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a0a4a8c5df43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a140fb52fec4680"/>
    <x:sheet xmlns:r="http://schemas.openxmlformats.org/officeDocument/2006/relationships" name="Inputs" sheetId="2" r:id="R66c66e06b79842c7"/>
    <x:sheet xmlns:r="http://schemas.openxmlformats.org/officeDocument/2006/relationships" name="XP Curve" sheetId="3" r:id="R483a4312eec843d4"/>
    <x:sheet xmlns:r="http://schemas.openxmlformats.org/officeDocument/2006/relationships" name="Coin Fish" sheetId="4" r:id="R984d839e40b84653"/>
    <x:sheet xmlns:r="http://schemas.openxmlformats.org/officeDocument/2006/relationships" name="Premium Fish" sheetId="5" r:id="R8375a0c75b434755"/>
    <x:sheet xmlns:r="http://schemas.openxmlformats.org/officeDocument/2006/relationships" name="Limited Edition" sheetId="6" r:id="Re15c1d0d3ce946af"/>
    <x:sheet xmlns:r="http://schemas.openxmlformats.org/officeDocument/2006/relationships" name="Unlock Plan" sheetId="7" r:id="R7001d0e478f944ed"/>
    <x:sheet xmlns:r="http://schemas.openxmlformats.org/officeDocument/2006/relationships" name="Tanks &amp; Social" sheetId="8" r:id="R7b3718f71419476c"/>
    <x:sheet xmlns:r="http://schemas.openxmlformats.org/officeDocument/2006/relationships" name="Onboarding" sheetId="9" r:id="Reaba88d0dc8049a8"/>
    <x:sheet xmlns:r="http://schemas.openxmlformats.org/officeDocument/2006/relationships" name="Quests &amp; Live Ops" sheetId="10" r:id="R8bea60535ade4d2d"/>
    <x:sheet xmlns:r="http://schemas.openxmlformats.org/officeDocument/2006/relationships" name="Currency Matrix" sheetId="11" r:id="R231c7311411c4fa6"/>
    <x:sheet xmlns:r="http://schemas.openxmlformats.org/officeDocument/2006/relationships" name="Dashboard" sheetId="12" r:id="R880239a697004ce2"/>
    <x:sheet xmlns:r="http://schemas.openxmlformats.org/officeDocument/2006/relationships" name="Roadmap" sheetId="13" r:id="Rf7c0b498826647bf"/>
    <x:sheet xmlns:r="http://schemas.openxmlformats.org/officeDocument/2006/relationships" name="Sources" sheetId="14" r:id="Re806c4f068314f3d"/>
    <x:sheet xmlns:r="http://schemas.openxmlformats.org/officeDocument/2006/relationships" name="Economy Simulation" sheetId="15" r:id="R40f0e0b6cb2e4713"/>
    <x:sheet xmlns:r="http://schemas.openxmlformats.org/officeDocument/2006/relationships" name="Quest Scaling" sheetId="16" r:id="R72db8dab9ae94379"/>
    <x:sheet xmlns:r="http://schemas.openxmlformats.org/officeDocument/2006/relationships" name="Balance Review" sheetId="17" r:id="Reab96c5126b448d4"/>
  </x:sheets>
</x:workbook>
</file>

<file path=xl/sharedStrings.xml><?xml version="1.0" encoding="utf-8"?>
<x:sst xmlns:x="http://schemas.openxmlformats.org/spreadsheetml/2006/main">
  <x:si>
    <x:t xml:space="preserve">LEVEL-BY-LEVEL UNLOCK PLAN (static snapshot — re-check after retuning catalogs)</x:t>
  </x:si>
  <x:si>
    <x:t xml:space="preserve">Level</x:t>
  </x:si>
  <x:si>
    <x:t xml:space="preserve">Band</x:t>
  </x:si>
  <x:si>
    <x:t xml:space="preserve">Coin Fish Unlock</x:t>
  </x:si>
  <x:si>
    <x:t xml:space="preserve">Rarity</x:t>
  </x:si>
  <x:si>
    <x:t xml:space="preserve">Growth</x:t>
  </x:si>
  <x:si>
    <x:t xml:space="preserve">Premium Fish Unlock</x:t>
  </x:si>
  <x:si>
    <x:t xml:space="preserve">Tank / Capacity Beat</x:t>
  </x:si>
  <x:si>
    <x:t xml:space="preserve">Decor Theme</x:t>
  </x:si>
  <x:si>
    <x:t xml:space="preserve">Social Beat</x:t>
  </x:si>
  <x:si>
    <x:t xml:space="preserve">Economy Hook</x:t>
  </x:si>
  <x:si>
    <x:t xml:space="preserve">Tutorial</x:t>
  </x:si>
  <x:si>
    <x:t xml:space="preserve">Neon Tetra, Guppy, Platy, Molly</x:t>
  </x:si>
  <x:si>
    <x:t xml:space="preserve">Common</x:t>
  </x:si>
  <x:si>
    <x:t xml:space="preserve">5 min, 4 h, 12 h, 24 h (1 d)</x:t>
  </x:si>
  <x:si>
    <x:t xml:space="preserve">-</x:t>
  </x:si>
  <x:si>
    <x:t xml:space="preserve">Coral</x:t>
  </x:si>
  <x:si>
    <x:t xml:space="preserve">Teach buy-feed-sell loop; fast rewards</x:t>
  </x:si>
  <x:si>
    <x:t xml:space="preserve">Zebra Danio</x:t>
  </x:si>
  <x:si>
    <x:t xml:space="preserve">30 min</x:t>
  </x:si>
  <x:si>
    <x:t xml:space="preserve">Shipwreck</x:t>
  </x:si>
  <x:si>
    <x:t xml:space="preserve">Reward crate + roadmap fish slot</x:t>
  </x:si>
  <x:si>
    <x:t xml:space="preserve">Tropical</x:t>
  </x:si>
  <x:si>
    <x:t xml:space="preserve">Ember Tetra</x:t>
  </x:si>
  <x:si>
    <x:t xml:space="preserve">5 min</x:t>
  </x:si>
  <x:si>
    <x:t xml:space="preserve">Medium Tank 1</x:t>
  </x:si>
  <x:si>
    <x:t xml:space="preserve">Zen</x:t>
  </x:si>
  <x:si>
    <x:t xml:space="preserve">Koi</x:t>
  </x:si>
  <x:si>
    <x:t xml:space="preserve">Ruins</x:t>
  </x:si>
  <x:si>
    <x:t xml:space="preserve">Daily gifting unlocked</x:t>
  </x:si>
  <x:si>
    <x:t xml:space="preserve">Early</x:t>
  </x:si>
  <x:si>
    <x:t xml:space="preserve">Harlequin Rasbora</x:t>
  </x:si>
  <x:si>
    <x:t xml:space="preserve">6 h</x:t>
  </x:si>
  <x:si>
    <x:t xml:space="preserve">Deep Sea</x:t>
  </x:si>
  <x:si>
    <x:t xml:space="preserve">Short-session fish; same-day level-ups</x:t>
  </x:si>
  <x:si>
    <x:t xml:space="preserve">Tank 2 unlock</x:t>
  </x:si>
  <x:si>
    <x:t xml:space="preserve">Fantasy</x:t>
  </x:si>
  <x:si>
    <x:t xml:space="preserve">Green Chromis</x:t>
  </x:si>
  <x:si>
    <x:t xml:space="preserve">Uncommon</x:t>
  </x:si>
  <x:si>
    <x:t xml:space="preserve">16 h</x:t>
  </x:si>
  <x:si>
    <x:t xml:space="preserve">Platinum Betta</x:t>
  </x:si>
  <x:si>
    <x:t xml:space="preserve">Mandarin Dragonet</x:t>
  </x:si>
  <x:si>
    <x:t xml:space="preserve">Large Tank 1</x:t>
  </x:si>
  <x:si>
    <x:t xml:space="preserve">Habit</x:t>
  </x:si>
  <x:si>
    <x:t xml:space="preserve">Pajama Cardinalfish</x:t>
  </x:si>
  <x:si>
    <x:t xml:space="preserve">2 h</x:t>
  </x:si>
  <x:si>
    <x:t xml:space="preserve">Daily-cycle fish; quest habit forming</x:t>
  </x:si>
  <x:si>
    <x:t xml:space="preserve">Pearl Gourami</x:t>
  </x:si>
  <x:si>
    <x:t xml:space="preserve">48 h (2 d)</x:t>
  </x:si>
  <x:si>
    <x:t xml:space="preserve">Axolotl</x:t>
  </x:si>
  <x:si>
    <x:t xml:space="preserve">Friend assist / NPC helper</x:t>
  </x:si>
  <x:si>
    <x:t xml:space="preserve">Medium Tank 2</x:t>
  </x:si>
  <x:si>
    <x:t xml:space="preserve">Sixline Wrasse</x:t>
  </x:si>
  <x:si>
    <x:t xml:space="preserve">Shy Hamlet</x:t>
  </x:si>
  <x:si>
    <x:t xml:space="preserve">4 h</x:t>
  </x:si>
  <x:si>
    <x:t xml:space="preserve">Hawaiian Hogfish</x:t>
  </x:si>
  <x:si>
    <x:t xml:space="preserve">12 h</x:t>
  </x:si>
  <x:si>
    <x:t xml:space="preserve">Flashlight Fish</x:t>
  </x:si>
  <x:si>
    <x:t xml:space="preserve">Tank 3 unlock</x:t>
  </x:si>
  <x:si>
    <x:t xml:space="preserve">Scooter Blenny</x:t>
  </x:si>
  <x:si>
    <x:t xml:space="preserve">24 h (1 d)</x:t>
  </x:si>
  <x:si>
    <x:t xml:space="preserve">Gift variety upgrade</x:t>
  </x:si>
  <x:si>
    <x:t xml:space="preserve">Large Tank 2</x:t>
  </x:si>
  <x:si>
    <x:t xml:space="preserve">Ocellaris Clownfish</x:t>
  </x:si>
  <x:si>
    <x:t xml:space="preserve">Golden Arowana</x:t>
  </x:si>
  <x:si>
    <x:t xml:space="preserve">Mid</x:t>
  </x:si>
  <x:si>
    <x:t xml:space="preserve">Rare tier opens; tank expansion focus</x:t>
  </x:si>
  <x:si>
    <x:t xml:space="preserve">Yellow Tang</x:t>
  </x:si>
  <x:si>
    <x:t xml:space="preserve">Rare</x:t>
  </x:si>
  <x:si>
    <x:t xml:space="preserve">20 h</x:t>
  </x:si>
  <x:si>
    <x:t xml:space="preserve">Medium Tank 3</x:t>
  </x:si>
  <x:si>
    <x:t xml:space="preserve">Banggai Cardinalfish</x:t>
  </x:si>
  <x:si>
    <x:t xml:space="preserve">Peppermint Angelfish</x:t>
  </x:si>
  <x:si>
    <x:t xml:space="preserve">Tank 4 unlock</x:t>
  </x:si>
  <x:si>
    <x:t xml:space="preserve">Coral Beauty</x:t>
  </x:si>
  <x:si>
    <x:t xml:space="preserve">Neighbor fish preview</x:t>
  </x:si>
  <x:si>
    <x:t xml:space="preserve">Large Tank 3</x:t>
  </x:si>
  <x:si>
    <x:t xml:space="preserve">Flame Angelfish</x:t>
  </x:si>
  <x:si>
    <x:t xml:space="preserve">Longhorn Cowfish</x:t>
  </x:si>
  <x:si>
    <x:t xml:space="preserve">Medium Tank 4</x:t>
  </x:si>
  <x:si>
    <x:t xml:space="preserve">Foxface Rabbitfish</x:t>
  </x:si>
  <x:si>
    <x:t xml:space="preserve">Picasso Triggerfish</x:t>
  </x:si>
  <x:si>
    <x:t xml:space="preserve">Tank 5 unlock</x:t>
  </x:si>
  <x:si>
    <x:t xml:space="preserve">Discus</x:t>
  </x:si>
  <x:si>
    <x:t xml:space="preserve">36 h (1.5 d)</x:t>
  </x:si>
  <x:si>
    <x:t xml:space="preserve">Black Diamond Stingray</x:t>
  </x:si>
  <x:si>
    <x:t xml:space="preserve">Advanced</x:t>
  </x:si>
  <x:si>
    <x:t xml:space="preserve">Moorish Idol</x:t>
  </x:si>
  <x:si>
    <x:t xml:space="preserve">Epic</x:t>
  </x:si>
  <x:si>
    <x:t xml:space="preserve">Co-op tank visits</x:t>
  </x:si>
  <x:si>
    <x:t xml:space="preserve">Epic tier; overnight planning + collections</x:t>
  </x:si>
  <x:si>
    <x:t xml:space="preserve">Large Tank 4</x:t>
  </x:si>
  <x:si>
    <x:t xml:space="preserve">Blueline Triggerfish</x:t>
  </x:si>
  <x:si>
    <x:t xml:space="preserve">5 h</x:t>
  </x:si>
  <x:si>
    <x:t xml:space="preserve">Queen Angelfish</x:t>
  </x:si>
  <x:si>
    <x:t xml:space="preserve">Platinum Arowana</x:t>
  </x:si>
  <x:si>
    <x:t xml:space="preserve">Medium Tank 5</x:t>
  </x:si>
  <x:si>
    <x:t xml:space="preserve">LAUNCH CAP: Level 40. Levels 41-70 ship via post-launch waves - see the Roadmap sheet. Fishless levels above are pre-wired slots for Content Refresh fish.</x:t>
  </x:si>
  <x:si>
    <x:t xml:space="preserve">FIRST-SESSION ONBOARDING — player reaches Level 2 by the end</x:t>
  </x:si>
  <x:si>
    <x:t xml:space="preserve">Step</x:t>
  </x:si>
  <x:si>
    <x:t xml:space="preserve">Moment</x:t>
  </x:si>
  <x:si>
    <x:t xml:space="preserve">Player Action</x:t>
  </x:si>
  <x:si>
    <x:t xml:space="preserve">Design Purpose</x:t>
  </x:si>
  <x:si>
    <x:t xml:space="preserve">Reward</x:t>
  </x:si>
  <x:si>
    <x:t xml:space="preserve">Tutorial Gate</x:t>
  </x:si>
  <x:si>
    <x:t xml:space="preserve">Primary Metric</x:t>
  </x:si>
  <x:si>
    <x:t xml:space="preserve">Choose tank look</x:t>
  </x:si>
  <x:si>
    <x:t xml:space="preserve">Pick background and gravel</x:t>
  </x:si>
  <x:si>
    <x:t xml:space="preserve">Personalizes the first tank; reduces blank-screen anxiety</x:t>
  </x:si>
  <x:si>
    <x:t xml:space="preserve">4 starter fish placed</x:t>
  </x:si>
  <x:si>
    <x:t xml:space="preserve">Store disabled until choice</x:t>
  </x:si>
  <x:si>
    <x:t xml:space="preserve">Start-to-choice completion</x:t>
  </x:si>
  <x:si>
    <x:t xml:space="preserve">Meet fish</x:t>
  </x:si>
  <x:si>
    <x:t xml:space="preserve">Tap each starter fish</x:t>
  </x:si>
  <x:si>
    <x:t xml:space="preserve">Shows names, hunger bars, growth timers</x:t>
  </x:si>
  <x:si>
    <x:t xml:space="preserve">20 XP</x:t>
  </x:si>
  <x:si>
    <x:t xml:space="preserve">Highlight fish one at a time</x:t>
  </x:si>
  <x:si>
    <x:t xml:space="preserve">Tap comprehension</x:t>
  </x:si>
  <x:si>
    <x:t xml:space="preserve">Feed</x:t>
  </x:si>
  <x:si>
    <x:t xml:space="preserve">Feed all fish</x:t>
  </x:si>
  <x:si>
    <x:t xml:space="preserve">Feeding prevents sickness and advances growth</x:t>
  </x:si>
  <x:si>
    <x:t xml:space="preserve">25 XP</x:t>
  </x:si>
  <x:si>
    <x:t xml:space="preserve">Only Feed button active</x:t>
  </x:si>
  <x:si>
    <x:t xml:space="preserve">Feed-all completion</x:t>
  </x:si>
  <x:si>
    <x:t xml:space="preserve">Buy fish</x:t>
  </x:si>
  <x:si>
    <x:t xml:space="preserve">Open Store, buy Neon Tetra</x:t>
  </x:si>
  <x:si>
    <x:t xml:space="preserve">Teaches coin sink + purchase XP</x:t>
  </x:si>
  <x:si>
    <x:t xml:space="preserve">Purchase XP</x:t>
  </x:si>
  <x:si>
    <x:t xml:space="preserve">One fish card enabled</x:t>
  </x:si>
  <x:si>
    <x:t xml:space="preserve">First purchase</x:t>
  </x:si>
  <x:si>
    <x:t xml:space="preserve">Place fish</x:t>
  </x:si>
  <x:si>
    <x:t xml:space="preserve">Place into open slot</x:t>
  </x:si>
  <x:si>
    <x:t xml:space="preserve">Connects catalog to tank capacity</x:t>
  </x:si>
  <x:si>
    <x:t xml:space="preserve">10 XP</x:t>
  </x:si>
  <x:si>
    <x:t xml:space="preserve">Highlight empty slot</x:t>
  </x:si>
  <x:si>
    <x:t xml:space="preserve">Placement success</x:t>
  </x:si>
  <x:si>
    <x:t xml:space="preserve">Speed demo</x:t>
  </x:si>
  <x:si>
    <x:t xml:space="preserve">Free tutorial instant-grow on one fish</x:t>
  </x:si>
  <x:si>
    <x:t xml:space="preserve">Demonstrates real-time growth without waiting</x:t>
  </x:si>
  <x:si>
    <x:t xml:space="preserve">No pearl cost</x:t>
  </x:si>
  <x:si>
    <x:t xml:space="preserve">Tutorial consumable only</x:t>
  </x:si>
  <x:si>
    <x:t xml:space="preserve">Understood grow cycle</x:t>
  </x:si>
  <x:si>
    <x:t xml:space="preserve">Sell Junior</x:t>
  </x:si>
  <x:si>
    <x:t xml:space="preserve">Sell the Junior fish</x:t>
  </x:si>
  <x:si>
    <x:t xml:space="preserve">Coins + XP reward; reinvestment loop</x:t>
  </x:si>
  <x:si>
    <x:t xml:space="preserve">Coins + XP</x:t>
  </x:si>
  <x:si>
    <x:t xml:space="preserve">Before/after wallet shown</x:t>
  </x:si>
  <x:si>
    <x:t xml:space="preserve">First sale</x:t>
  </x:si>
  <x:si>
    <x:t xml:space="preserve">Decorate</x:t>
  </x:si>
  <x:si>
    <x:t xml:space="preserve">Buy and place a plant</x:t>
  </x:si>
  <x:si>
    <x:t xml:space="preserve">Cosmetic XP sink + tank expression</x:t>
  </x:si>
  <x:si>
    <x:t xml:space="preserve">15 XP + decor score</x:t>
  </x:si>
  <x:si>
    <x:t xml:space="preserve">One decor card enabled</x:t>
  </x:si>
  <x:si>
    <x:t xml:space="preserve">First decoration</x:t>
  </x:si>
  <x:si>
    <x:t xml:space="preserve">Level up</x:t>
  </x:si>
  <x:si>
    <x:t xml:space="preserve">Claim Level 2 reward</x:t>
  </x:si>
  <x:si>
    <x:t xml:space="preserve">Connects XP to unlocks; shows next fish</x:t>
  </x:si>
  <x:si>
    <x:t xml:space="preserve">Coins, 1 Pearl, new fish</x:t>
  </x:si>
  <x:si>
    <x:t xml:space="preserve">Level-up modal</x:t>
  </x:si>
  <x:si>
    <x:t xml:space="preserve">Reached Level 2</x:t>
  </x:si>
  <x:si>
    <x:t xml:space="preserve">Quest</x:t>
  </x:si>
  <x:si>
    <x:t xml:space="preserve">Claim first quest; view Daily Quests</x:t>
  </x:si>
  <x:si>
    <x:t xml:space="preserve">Turns loop into directed goals</x:t>
  </x:si>
  <x:si>
    <x:t xml:space="preserve">Daily quest XP/coins</x:t>
  </x:si>
  <x:si>
    <x:t xml:space="preserve">Quest panel pulse</x:t>
  </x:si>
  <x:si>
    <x:t xml:space="preserve">Quest claim rate</x:t>
  </x:si>
  <x:si>
    <x:t xml:space="preserve">Social gift</x:t>
  </x:si>
  <x:si>
    <x:t xml:space="preserve">Send a free gift (NPC friend if none)</x:t>
  </x:si>
  <x:si>
    <x:t xml:space="preserve">Shows social loop, solo-completable</x:t>
  </x:si>
  <x:si>
    <x:t xml:space="preserve">Gift Box item</x:t>
  </x:si>
  <x:si>
    <x:t xml:space="preserve">NPC fallback</x:t>
  </x:si>
  <x:si>
    <x:t xml:space="preserve">Gift accept/send</x:t>
  </x:si>
  <x:si>
    <x:t xml:space="preserve">Return timer</x:t>
  </x:si>
  <x:si>
    <x:t xml:space="preserve">See next feed deadline / set reminder</x:t>
  </x:si>
  <x:si>
    <x:t xml:space="preserve">Converts real-time system into retention</x:t>
  </x:si>
  <x:si>
    <x:t xml:space="preserve">Starter egg in 24h</x:t>
  </x:si>
  <x:si>
    <x:t xml:space="preserve">End tutorial</x:t>
  </x:si>
  <x:si>
    <x:t xml:space="preserve">D1 return</x:t>
  </x:si>
  <x:si>
    <x:t xml:space="preserve">SOURCE REGISTER</x:t>
  </x:si>
  <x:si>
    <x:t xml:space="preserve">ID</x:t>
  </x:si>
  <x:si>
    <x:t xml:space="preserve">Source</x:t>
  </x:si>
  <x:si>
    <x:t xml:space="preserve">URL</x:t>
  </x:si>
  <x:si>
    <x:t xml:space="preserve">Used For</x:t>
  </x:si>
  <x:si>
    <x:t xml:space="preserve">S1</x:t>
  </x:si>
  <x:si>
    <x:t xml:space="preserve">FishVille Wiki - Fish</x:t>
  </x:si>
  <x:si>
    <x:t xml:space="preserve">https://fishville.fandom.com/wiki/Fish</x:t>
  </x:si>
  <x:si>
    <x:t xml:space="preserve">Lifecycle, growth periods, feed deadlines, Junior/Adult timing, fish examples</x:t>
  </x:si>
  <x:si>
    <x:t xml:space="preserve">S2</x:t>
  </x:si>
  <x:si>
    <x:t xml:space="preserve">FishVille Wiki - Level</x:t>
  </x:si>
  <x:si>
    <x:t xml:space="preserve">https://fishville.fandom.com/wiki/Level</x:t>
  </x:si>
  <x:si>
    <x:t xml:space="preserve">Reference XP table and level-gated unlocks to L70</x:t>
  </x:si>
  <x:si>
    <x:t xml:space="preserve">S3</x:t>
  </x:si>
  <x:si>
    <x:t xml:space="preserve">FishVille Wiki - Experience</x:t>
  </x:si>
  <x:si>
    <x:t xml:space="preserve">https://fishville.fandom.com/wiki/Experience</x:t>
  </x:si>
  <x:si>
    <x:t xml:space="preserve">XP sources and formulas L6-70</x:t>
  </x:si>
  <x:si>
    <x:t xml:space="preserve">S4</x:t>
  </x:si>
  <x:si>
    <x:t xml:space="preserve">FishVille Wiki - Coins</x:t>
  </x:si>
  <x:si>
    <x:t xml:space="preserve">https://fishville.fandom.com/wiki/Coins</x:t>
  </x:si>
  <x:si>
    <x:t xml:space="preserve">Soft currency sources/sinks</x:t>
  </x:si>
  <x:si>
    <x:t xml:space="preserve">S5</x:t>
  </x:si>
  <x:si>
    <x:t xml:space="preserve">FishVille Wiki - Sand Dollars</x:t>
  </x:si>
  <x:si>
    <x:t xml:space="preserve">https://fishville.fandom.com/wiki/Sand_Dollars</x:t>
  </x:si>
  <x:si>
    <x:t xml:space="preserve">Premium currency role</x:t>
  </x:si>
  <x:si>
    <x:t xml:space="preserve">S6</x:t>
  </x:si>
  <x:si>
    <x:t xml:space="preserve">FishVille Wiki - Store</x:t>
  </x:si>
  <x:si>
    <x:t xml:space="preserve">https://fishville.fandom.com/wiki/Store</x:t>
  </x:si>
  <x:si>
    <x:t xml:space="preserve">Store categories, level gating</x:t>
  </x:si>
  <x:si>
    <x:t xml:space="preserve">S7</x:t>
  </x:si>
  <x:si>
    <x:t xml:space="preserve">FishVille Wiki - Tank</x:t>
  </x:si>
  <x:si>
    <x:t xml:space="preserve">https://fishville.fandom.com/wiki/Tank</x:t>
  </x:si>
  <x:si>
    <x:t xml:space="preserve">Tank capacity/expansion (page flags data issues)</x:t>
  </x:si>
  <x:si>
    <x:t xml:space="preserve">S8</x:t>
  </x:si>
  <x:si>
    <x:t xml:space="preserve">FishVille Wiki - Gift</x:t>
  </x:si>
  <x:si>
    <x:t xml:space="preserve">https://fishville.fandom.com/wiki/Gift</x:t>
  </x:si>
  <x:si>
    <x:t xml:space="preserve">Free gifts, Gift Store, daily gifting</x:t>
  </x:si>
  <x:si>
    <x:t xml:space="preserve">S9</x:t>
  </x:si>
  <x:si>
    <x:t xml:space="preserve">FishVille Wiki - Decoration</x:t>
  </x:si>
  <x:si>
    <x:t xml:space="preserve">https://fishville.fandom.com/wiki/Decoration</x:t>
  </x:si>
  <x:si>
    <x:t xml:space="preserve">Decorations grant XP on purchase</x:t>
  </x:si>
  <x:si>
    <x:t xml:space="preserve">S10</x:t>
  </x:si>
  <x:si>
    <x:t xml:space="preserve">FishVille Wiki - Plant</x:t>
  </x:si>
  <x:si>
    <x:t xml:space="preserve">https://fishville.fandom.com/wiki/Plant</x:t>
  </x:si>
  <x:si>
    <x:t xml:space="preserve">Plants grant XP on purchase</x:t>
  </x:si>
  <x:si>
    <x:t xml:space="preserve">S11</x:t>
  </x:si>
  <x:si>
    <x:t xml:space="preserve">FishVille Wiki - Neighbour Fish</x:t>
  </x:si>
  <x:si>
    <x:t xml:space="preserve">https://fishville.fandom.com/wiki/Neighbour_Fish</x:t>
  </x:si>
  <x:si>
    <x:t xml:space="preserve">Friend-gated coin fish</x:t>
  </x:si>
  <x:si>
    <x:t xml:space="preserve">S12</x:t>
  </x:si>
  <x:si>
    <x:t xml:space="preserve">FishVille Wiki - FishVille</x:t>
  </x:si>
  <x:si>
    <x:t xml:space="preserve">https://fishville.fandom.com/wiki/FishVille</x:t>
  </x:si>
  <x:si>
    <x:t xml:space="preserve">High-level premise; closure</x:t>
  </x:si>
  <x:si>
    <x:t xml:space="preserve">S13</x:t>
  </x:si>
  <x:si>
    <x:t xml:space="preserve">Wikipedia - FishVille</x:t>
  </x:si>
  <x:si>
    <x:t xml:space="preserve">https://en.wikipedia.org/wiki/FishVille</x:t>
  </x:si>
  <x:si>
    <x:t xml:space="preserve">Independent overview: onboarding, starter fish, selling</x:t>
  </x:si>
  <x:si>
    <x:t xml:space="preserve">S14</x:t>
  </x:si>
  <x:si>
    <x:t xml:space="preserve">FishVille Strategy blog</x:t>
  </x:si>
  <x:si>
    <x:t xml:space="preserve">https://fishville.wordpress.com/2009/11/11/fishville-strategy-purchasing-fish/</x:t>
  </x:si>
  <x:si>
    <x:t xml:space="preserve">Growth-time examples (Mini Dart Goby 5m, Shy Hamlet 4h, Hogfish 12h, Scooter Blenny 24h); Sand Dollar fish</x:t>
  </x:si>
  <x:si>
    <x:t xml:space="preserve">S15</x:t>
  </x:si>
  <x:si>
    <x:t xml:space="preserve">Adam Nash - FishVille Economics pt 1</x:t>
  </x:si>
  <x:si>
    <x:t xml:space="preserve">https://adamnash.blog/2009/11/12/fishville-economics-points-experience-levels/</x:t>
  </x:si>
  <x:si>
    <x:t xml:space="preserve">Buy-XP + sell-XP dual-award pattern; coins/XP per hour framing</x:t>
  </x:si>
  <x:si>
    <x:t xml:space="preserve">S16</x:t>
  </x:si>
  <x:si>
    <x:t xml:space="preserve">Adam Nash - FishVille Economics pt 3</x:t>
  </x:si>
  <x:si>
    <x:t xml:space="preserve">https://adamnash.blog/2009/12/24/fishville-economics-points-experience-levels-part-3/</x:t>
  </x:si>
  <x:si>
    <x:t xml:space="preserve">Sell-XP = 3x/4x/9x buy-XP by growth time; Sand Dollar fish economics</x:t>
  </x:si>
  <x:si>
    <x:t xml:space="preserve">S17</x:t>
  </x:si>
  <x:si>
    <x:t xml:space="preserve">Gamezebo FishVille Walkthrough</x:t>
  </x:si>
  <x:si>
    <x:t xml:space="preserve">https://www.gamezebo.com/walkthroughs/fishville-walkthrough/</x:t>
  </x:si>
  <x:si>
    <x:t xml:space="preserve">Starting resources, fast-fish strategy, neighbor visit rewards</x:t>
  </x:si>
</x:sst>
</file>

<file path=xl/styles.xml><?xml version="1.0" encoding="utf-8"?>
<x:styleSheet xmlns:x="http://schemas.openxmlformats.org/spreadsheetml/2006/main">
  <x:numFmts count="8">
    <x:numFmt numFmtId="164" formatCode="General"/>
    <x:numFmt numFmtId="165" formatCode="#,##0"/>
    <x:numFmt numFmtId="166" formatCode="0"/>
    <x:numFmt numFmtId="167" formatCode="0.00"/>
    <x:numFmt numFmtId="168" formatCode="0.0"/>
    <x:numFmt numFmtId="169" formatCode="#,##0.0"/>
    <x:numFmt numFmtId="200" formatCode="0.###"/>
    <x:numFmt numFmtId="201" formatCode="0%"/>
  </x:numFmts>
  <x:fonts count="12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1F4E79"/>
      <x:name val="Arial"/>
    </x:font>
    <x:font>
      <x:sz val="10"/>
      <x:name val="Arial"/>
    </x:font>
    <x:font>
      <x:b/>
      <x:sz val="11"/>
      <x:color rgb="FF1F4E79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b/>
      <x:sz val="14"/>
      <x:color rgb="FFFFFFFF"/>
      <x:name val="Calibri"/>
    </x:font>
    <x:font>
      <x:b/>
      <x:sz val="11"/>
      <x:color rgb="FFFFFFFF"/>
      <x:name val="Calibri"/>
    </x:font>
    <x:font>
      <x:b/>
      <x:sz val="11"/>
      <x:color rgb="FF0B1F2A"/>
      <x:name val="Calibri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1F4E79"/>
      </x:patternFill>
    </x:fill>
    <x:fill>
      <x:patternFill patternType="solid">
        <x:fgColor rgb="FFD9D9D9"/>
      </x:patternFill>
    </x:fill>
    <x:fill>
      <x:patternFill patternType="solid">
        <x:fgColor rgb="FFC6EFCE"/>
      </x:patternFill>
    </x:fill>
    <x:fill>
      <x:patternFill patternType="solid">
        <x:fgColor rgb="FFBDD7EE"/>
      </x:patternFill>
    </x:fill>
    <x:fill>
      <x:patternFill patternType="solid">
        <x:fgColor rgb="FFE1CCF0"/>
      </x:patternFill>
    </x:fill>
    <x:fill>
      <x:patternFill patternType="solid">
        <x:fgColor rgb="FFFFD966"/>
      </x:patternFill>
    </x:fill>
    <x:fill>
      <x:patternFill patternType="solid">
        <x:fgColor rgb="FFF8CBAD"/>
      </x:patternFill>
    </x:fill>
    <x:fill>
      <x:patternFill patternType="solid">
        <x:fgColor rgb="FFFFE699"/>
      </x:patternFill>
    </x:fill>
    <x:fill>
      <x:patternFill patternType="solid">
        <x:fgColor rgb="FF0B1F2A"/>
      </x:patternFill>
    </x:fill>
    <x:fill>
      <x:patternFill patternType="solid">
        <x:fgColor rgb="FF0F766E"/>
      </x:patternFill>
    </x:fill>
    <x:fill>
      <x:patternFill patternType="solid">
        <x:fgColor rgb="FFDBEAFE"/>
      </x:patternFill>
    </x:fill>
  </x:fills>
  <x:borders count="4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37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1">
      <x:alignment horizontal="general" vertical="top" wrapText="1"/>
    </x:xf>
    <x:xf numFmtId="164" fontId="5" fillId="0" borderId="0" xfId="0" applyFont="1" applyBorder="0" applyAlignment="1">
      <x:alignment horizontal="general" vertical="top" wrapText="1"/>
    </x:xf>
    <x:xf numFmtId="164" fontId="6" fillId="0" borderId="0" xfId="0" applyFont="1" applyBorder="0" applyAlignment="1">
      <x:alignment horizontal="general" vertical="top" wrapText="1"/>
    </x:xf>
    <x:xf numFmtId="164" fontId="4" fillId="0" borderId="0" xfId="0" applyFont="1" applyBorder="0" applyAlignment="0">
      <x:alignment horizontal="general" vertical="bottom" wrapText="0"/>
    </x:xf>
    <x:xf numFmtId="164" fontId="6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0">
      <x:alignment horizontal="general" vertical="bottom" wrapText="0"/>
    </x:xf>
    <x:xf numFmtId="164" fontId="7" fillId="2" borderId="1" xfId="0" applyFont="1" applyBorder="1" applyAlignment="0">
      <x:alignment horizontal="general" vertical="bottom" wrapText="0"/>
    </x:xf>
    <x:xf numFmtId="165" fontId="7" fillId="2" borderId="1" xfId="0" applyFont="1" applyBorder="1" applyAlignment="0">
      <x:alignment horizontal="general" vertical="bottom" wrapText="0"/>
    </x:xf>
    <x:xf numFmtId="166" fontId="7" fillId="2" borderId="1" xfId="0" applyFont="1" applyBorder="1" applyAlignment="0">
      <x:alignment horizontal="general" vertical="bottom" wrapText="0"/>
    </x:xf>
    <x:xf numFmtId="167" fontId="7" fillId="2" borderId="1" xfId="0" applyFont="1" applyBorder="1" applyAlignment="0">
      <x:alignment horizontal="general" vertical="bottom" wrapText="0"/>
    </x:xf>
    <x:xf numFmtId="164" fontId="8" fillId="3" borderId="1" xfId="0" applyFont="1" applyBorder="1" applyAlignment="0">
      <x:alignment horizontal="general" vertical="bottom" wrapText="0"/>
    </x:xf>
    <x:xf numFmtId="168" fontId="7" fillId="0" borderId="1" xfId="0" applyFont="1" applyBorder="1" applyAlignment="0">
      <x:alignment horizontal="general" vertical="bottom" wrapText="0"/>
    </x:xf>
    <x:xf numFmtId="164" fontId="5" fillId="0" borderId="1" xfId="0" applyFont="1" applyBorder="1" applyAlignment="0">
      <x:alignment horizontal="general" vertical="bottom" wrapText="0"/>
    </x:xf>
    <x:xf numFmtId="168" fontId="7" fillId="2" borderId="1" xfId="0" applyFont="1" applyBorder="1" applyAlignment="0">
      <x:alignment horizontal="general" vertical="bottom" wrapText="0"/>
    </x:xf>
    <x:xf numFmtId="164" fontId="5" fillId="4" borderId="1" xfId="0" applyFont="1" applyBorder="1" applyAlignment="0">
      <x:alignment horizontal="general" vertical="bottom" wrapText="0"/>
    </x:xf>
    <x:xf numFmtId="164" fontId="5" fillId="5" borderId="1" xfId="0" applyFont="1" applyBorder="1" applyAlignment="0">
      <x:alignment horizontal="general" vertical="bottom" wrapText="0"/>
    </x:xf>
    <x:xf numFmtId="164" fontId="5" fillId="6" borderId="1" xfId="0" applyFont="1" applyBorder="1" applyAlignment="0">
      <x:alignment horizontal="general" vertical="bottom" wrapText="0"/>
    </x:xf>
    <x:xf numFmtId="164" fontId="5" fillId="7" borderId="1" xfId="0" applyFont="1" applyBorder="1" applyAlignment="0">
      <x:alignment horizontal="general" vertical="bottom" wrapText="0"/>
    </x:xf>
    <x:xf numFmtId="164" fontId="5" fillId="8" borderId="1" xfId="0" applyFont="1" applyBorder="1" applyAlignment="0">
      <x:alignment horizontal="general" vertical="bottom" wrapText="0"/>
    </x:xf>
    <x:xf numFmtId="164" fontId="5" fillId="9" borderId="1" xfId="0" applyFont="1" applyBorder="1" applyAlignment="0">
      <x:alignment horizontal="general" vertical="bottom" wrapText="0"/>
    </x:xf>
    <x:xf numFmtId="164" fontId="5" fillId="10" borderId="1" xfId="0" applyFont="1" applyBorder="1" applyAlignment="0">
      <x:alignment horizontal="general" vertical="bottom" wrapText="0"/>
    </x:xf>
    <x:xf numFmtId="164" fontId="8" fillId="3" borderId="1" xfId="0" applyFont="1" applyBorder="1" applyAlignment="1">
      <x:alignment horizontal="center" vertical="center" wrapText="1"/>
    </x:xf>
    <x:xf numFmtId="166" fontId="5" fillId="0" borderId="1" xfId="0" applyFont="1" applyBorder="1" applyAlignment="0">
      <x:alignment horizontal="general" vertical="bottom" wrapText="0"/>
    </x:xf>
    <x:xf numFmtId="165" fontId="5" fillId="0" borderId="1" xfId="0" applyFont="1" applyBorder="1" applyAlignment="0">
      <x:alignment horizontal="general" vertical="bottom" wrapText="0"/>
    </x:xf>
    <x:xf numFmtId="167" fontId="5" fillId="0" borderId="1" xfId="0" applyFont="1" applyBorder="1" applyAlignment="0">
      <x:alignment horizontal="general" vertical="bottom" wrapText="0"/>
    </x:xf>
    <x:xf numFmtId="164" fontId="5" fillId="0" borderId="1" xfId="0" applyFont="1" applyBorder="1" applyAlignment="1">
      <x:alignment horizontal="general" vertical="top" wrapText="1"/>
    </x:xf>
    <x:xf numFmtId="164" fontId="7" fillId="0" borderId="1" xfId="0" applyFont="1" applyBorder="1" applyAlignment="0">
      <x:alignment horizontal="general" vertical="bottom" wrapText="0"/>
    </x:xf>
    <x:xf numFmtId="164" fontId="7" fillId="4" borderId="1" xfId="0" applyFont="1" applyBorder="1" applyAlignment="0">
      <x:alignment horizontal="general" vertical="bottom" wrapText="0"/>
    </x:xf>
    <x:xf numFmtId="166" fontId="7" fillId="0" borderId="1" xfId="0" applyFont="1" applyBorder="1" applyAlignment="0">
      <x:alignment horizontal="general" vertical="bottom" wrapText="0"/>
    </x:xf>
    <x:xf numFmtId="165" fontId="7" fillId="0" borderId="1" xfId="0" applyFont="1" applyBorder="1" applyAlignment="0">
      <x:alignment horizontal="general" vertical="bottom" wrapText="0"/>
    </x:xf>
    <x:xf numFmtId="167" fontId="7" fillId="0" borderId="1" xfId="0" applyFont="1" applyBorder="1" applyAlignment="0">
      <x:alignment horizontal="general" vertical="bottom" wrapText="0"/>
    </x:xf>
    <x:xf numFmtId="168" fontId="5" fillId="0" borderId="1" xfId="0" applyFont="1" applyBorder="1" applyAlignment="0">
      <x:alignment horizontal="general" vertical="bottom" wrapText="0"/>
    </x:xf>
    <x:xf numFmtId="169" fontId="5" fillId="0" borderId="1" xfId="0" applyFont="1" applyBorder="1" applyAlignment="0">
      <x:alignment horizontal="general" vertical="bottom" wrapText="0"/>
    </x:xf>
    <x:xf numFmtId="164" fontId="7" fillId="5" borderId="1" xfId="0" applyFont="1" applyBorder="1" applyAlignment="0">
      <x:alignment horizontal="general" vertical="bottom" wrapText="0"/>
    </x:xf>
    <x:xf numFmtId="164" fontId="7" fillId="6" borderId="1" xfId="0" applyFont="1" applyBorder="1" applyAlignment="0">
      <x:alignment horizontal="general" vertical="bottom" wrapText="0"/>
    </x:xf>
    <x:xf numFmtId="164" fontId="7" fillId="7" borderId="1" xfId="0" applyFont="1" applyBorder="1" applyAlignment="0">
      <x:alignment horizontal="general" vertical="bottom" wrapText="0"/>
    </x:xf>
    <x:xf numFmtId="164" fontId="7" fillId="10" borderId="1" xfId="0" applyFont="1" applyBorder="1" applyAlignment="0">
      <x:alignment horizontal="general" vertical="bottom" wrapText="0"/>
    </x:xf>
    <x:xf numFmtId="164" fontId="7" fillId="9" borderId="1" xfId="0" applyFont="1" applyBorder="1" applyAlignment="0">
      <x:alignment horizontal="general" vertical="bottom" wrapText="0"/>
    </x:xf>
    <x:xf numFmtId="164" fontId="0" fillId="0" borderId="2" xfId="0" applyNumberFormat="1" applyFont="1" applyFill="1" applyBorder="1" applyAlignment="1">
      <x:alignment horizontal="general" vertical="bottom" wrapText="0"/>
    </x:xf>
    <x:xf numFmtId="164" fontId="4" fillId="0" borderId="2" xfId="0" applyNumberFormat="1" applyFont="1" applyFill="1" applyBorder="1" applyAlignment="1">
      <x:alignment horizontal="general" vertical="top" wrapText="1"/>
    </x:xf>
    <x:xf numFmtId="164" fontId="1" fillId="0" borderId="2" xfId="0" applyNumberFormat="1" applyFont="1" applyFill="1" applyBorder="1" applyAlignment="1">
      <x:alignment horizontal="general" vertical="top" wrapText="1"/>
    </x:xf>
    <x:xf numFmtId="164" fontId="6" fillId="0" borderId="2" xfId="0" applyNumberFormat="1" applyFont="1" applyFill="1" applyBorder="1" applyAlignment="1">
      <x:alignment horizontal="general" vertical="top" wrapText="1"/>
    </x:xf>
    <x:xf numFmtId="164" fontId="4" fillId="0" borderId="2" xfId="0" applyNumberFormat="1" applyFont="1" applyFill="1" applyBorder="1" applyAlignment="1">
      <x:alignment horizontal="general" vertical="bottom" wrapText="0"/>
    </x:xf>
    <x:xf numFmtId="164" fontId="6" fillId="0" borderId="2" xfId="0" applyNumberFormat="1" applyFont="1" applyFill="1" applyBorder="1" applyAlignment="1">
      <x:alignment horizontal="general" vertical="bottom" wrapText="0"/>
    </x:xf>
    <x:xf numFmtId="164" fontId="1" fillId="0" borderId="2" xfId="0" applyNumberFormat="1" applyFont="1" applyFill="1" applyBorder="1" applyAlignment="1">
      <x:alignment horizontal="general" vertical="bottom" wrapText="0"/>
    </x:xf>
    <x:xf numFmtId="164" fontId="7" fillId="2" borderId="3" xfId="0" applyNumberFormat="1" applyFont="1" applyFill="1" applyBorder="1" applyAlignment="1">
      <x:alignment horizontal="general" vertical="bottom" wrapText="0"/>
    </x:xf>
    <x:xf numFmtId="165" fontId="7" fillId="2" borderId="3" xfId="0" applyNumberFormat="1" applyFont="1" applyFill="1" applyBorder="1" applyAlignment="1">
      <x:alignment horizontal="general" vertical="bottom" wrapText="0"/>
    </x:xf>
    <x:xf numFmtId="166" fontId="7" fillId="2" borderId="3" xfId="0" applyNumberFormat="1" applyFont="1" applyFill="1" applyBorder="1" applyAlignment="1">
      <x:alignment horizontal="general" vertical="bottom" wrapText="0"/>
    </x:xf>
    <x:xf numFmtId="167" fontId="7" fillId="2" borderId="3" xfId="0" applyNumberFormat="1" applyFont="1" applyFill="1" applyBorder="1" applyAlignment="1">
      <x:alignment horizontal="general" vertical="bottom" wrapText="0"/>
    </x:xf>
    <x:xf numFmtId="164" fontId="8" fillId="3" borderId="3" xfId="0" applyNumberFormat="1" applyFont="1" applyFill="1" applyBorder="1" applyAlignment="1">
      <x:alignment horizontal="general" vertical="bottom" wrapText="0"/>
    </x:xf>
    <x:xf numFmtId="168" fontId="7" fillId="0" borderId="3" xfId="0" applyNumberFormat="1" applyFont="1" applyFill="1" applyBorder="1" applyAlignment="1">
      <x:alignment horizontal="general" vertical="bottom" wrapText="0"/>
    </x:xf>
    <x:xf numFmtId="164" fontId="1" fillId="0" borderId="3" xfId="0" applyNumberFormat="1" applyFont="1" applyFill="1" applyBorder="1" applyAlignment="1">
      <x:alignment horizontal="general" vertical="bottom" wrapText="0"/>
    </x:xf>
    <x:xf numFmtId="168" fontId="7" fillId="2" borderId="3" xfId="0" applyNumberFormat="1" applyFont="1" applyFill="1" applyBorder="1" applyAlignment="1">
      <x:alignment horizontal="general" vertical="bottom" wrapText="0"/>
    </x:xf>
    <x:xf numFmtId="164" fontId="1" fillId="4" borderId="3" xfId="0" applyNumberFormat="1" applyFont="1" applyFill="1" applyBorder="1" applyAlignment="1">
      <x:alignment horizontal="general" vertical="bottom" wrapText="0"/>
    </x:xf>
    <x:xf numFmtId="164" fontId="1" fillId="5" borderId="3" xfId="0" applyNumberFormat="1" applyFont="1" applyFill="1" applyBorder="1" applyAlignment="1">
      <x:alignment horizontal="general" vertical="bottom" wrapText="0"/>
    </x:xf>
    <x:xf numFmtId="164" fontId="1" fillId="6" borderId="3" xfId="0" applyNumberFormat="1" applyFont="1" applyFill="1" applyBorder="1" applyAlignment="1">
      <x:alignment horizontal="general" vertical="bottom" wrapText="0"/>
    </x:xf>
    <x:xf numFmtId="164" fontId="1" fillId="7" borderId="3" xfId="0" applyNumberFormat="1" applyFont="1" applyFill="1" applyBorder="1" applyAlignment="1">
      <x:alignment horizontal="general" vertical="bottom" wrapText="0"/>
    </x:xf>
    <x:xf numFmtId="164" fontId="1" fillId="8" borderId="3" xfId="0" applyNumberFormat="1" applyFont="1" applyFill="1" applyBorder="1" applyAlignment="1">
      <x:alignment horizontal="general" vertical="bottom" wrapText="0"/>
    </x:xf>
    <x:xf numFmtId="164" fontId="1" fillId="9" borderId="3" xfId="0" applyNumberFormat="1" applyFont="1" applyFill="1" applyBorder="1" applyAlignment="1">
      <x:alignment horizontal="general" vertical="bottom" wrapText="0"/>
    </x:xf>
    <x:xf numFmtId="164" fontId="1" fillId="10" borderId="3" xfId="0" applyNumberFormat="1" applyFont="1" applyFill="1" applyBorder="1" applyAlignment="1">
      <x:alignment horizontal="general" vertical="bottom" wrapText="0"/>
    </x:xf>
    <x:xf numFmtId="164" fontId="8" fillId="3" borderId="3" xfId="0" applyNumberFormat="1" applyFont="1" applyFill="1" applyBorder="1" applyAlignment="1">
      <x:alignment horizontal="center" vertical="center" wrapText="1"/>
    </x:xf>
    <x:xf numFmtId="166" fontId="1" fillId="0" borderId="3" xfId="0" applyNumberFormat="1" applyFont="1" applyFill="1" applyBorder="1" applyAlignment="1">
      <x:alignment horizontal="general" vertical="bottom" wrapText="0"/>
    </x:xf>
    <x:xf numFmtId="165" fontId="1" fillId="0" borderId="3" xfId="0" applyNumberFormat="1" applyFont="1" applyFill="1" applyBorder="1" applyAlignment="1">
      <x:alignment horizontal="general" vertical="bottom" wrapText="0"/>
    </x:xf>
    <x:xf numFmtId="167" fontId="1" fillId="0" borderId="3" xfId="0" applyNumberFormat="1" applyFont="1" applyFill="1" applyBorder="1" applyAlignment="1">
      <x:alignment horizontal="general" vertical="bottom" wrapText="0"/>
    </x:xf>
    <x:xf numFmtId="164" fontId="1" fillId="0" borderId="3" xfId="0" applyNumberFormat="1" applyFont="1" applyFill="1" applyBorder="1" applyAlignment="1">
      <x:alignment horizontal="general" vertical="top" wrapText="1"/>
    </x:xf>
    <x:xf numFmtId="164" fontId="7" fillId="0" borderId="3" xfId="0" applyNumberFormat="1" applyFont="1" applyFill="1" applyBorder="1" applyAlignment="1">
      <x:alignment horizontal="general" vertical="bottom" wrapText="0"/>
    </x:xf>
    <x:xf numFmtId="164" fontId="7" fillId="4" borderId="3" xfId="0" applyNumberFormat="1" applyFont="1" applyFill="1" applyBorder="1" applyAlignment="1">
      <x:alignment horizontal="general" vertical="bottom" wrapText="0"/>
    </x:xf>
    <x:xf numFmtId="166" fontId="7" fillId="0" borderId="3" xfId="0" applyNumberFormat="1" applyFont="1" applyFill="1" applyBorder="1" applyAlignment="1">
      <x:alignment horizontal="general" vertical="bottom" wrapText="0"/>
    </x:xf>
    <x:xf numFmtId="165" fontId="7" fillId="0" borderId="3" xfId="0" applyNumberFormat="1" applyFont="1" applyFill="1" applyBorder="1" applyAlignment="1">
      <x:alignment horizontal="general" vertical="bottom" wrapText="0"/>
    </x:xf>
    <x:xf numFmtId="167" fontId="7" fillId="0" borderId="3" xfId="0" applyNumberFormat="1" applyFont="1" applyFill="1" applyBorder="1" applyAlignment="1">
      <x:alignment horizontal="general" vertical="bottom" wrapText="0"/>
    </x:xf>
    <x:xf numFmtId="168" fontId="1" fillId="0" borderId="3" xfId="0" applyNumberFormat="1" applyFont="1" applyFill="1" applyBorder="1" applyAlignment="1">
      <x:alignment horizontal="general" vertical="bottom" wrapText="0"/>
    </x:xf>
    <x:xf numFmtId="169" fontId="1" fillId="0" borderId="3" xfId="0" applyNumberFormat="1" applyFont="1" applyFill="1" applyBorder="1" applyAlignment="1">
      <x:alignment horizontal="general" vertical="bottom" wrapText="0"/>
    </x:xf>
    <x:xf numFmtId="164" fontId="7" fillId="5" borderId="3" xfId="0" applyNumberFormat="1" applyFont="1" applyFill="1" applyBorder="1" applyAlignment="1">
      <x:alignment horizontal="general" vertical="bottom" wrapText="0"/>
    </x:xf>
    <x:xf numFmtId="164" fontId="7" fillId="6" borderId="3" xfId="0" applyNumberFormat="1" applyFont="1" applyFill="1" applyBorder="1" applyAlignment="1">
      <x:alignment horizontal="general" vertical="bottom" wrapText="0"/>
    </x:xf>
    <x:xf numFmtId="164" fontId="7" fillId="7" borderId="3" xfId="0" applyNumberFormat="1" applyFont="1" applyFill="1" applyBorder="1" applyAlignment="1">
      <x:alignment horizontal="general" vertical="bottom" wrapText="0"/>
    </x:xf>
    <x:xf numFmtId="164" fontId="7" fillId="10" borderId="3" xfId="0" applyNumberFormat="1" applyFont="1" applyFill="1" applyBorder="1" applyAlignment="1">
      <x:alignment horizontal="general" vertical="bottom" wrapText="0"/>
    </x:xf>
    <x:xf numFmtId="164" fontId="7" fillId="9" borderId="3" xfId="0" applyNumberFormat="1" applyFont="1" applyFill="1" applyBorder="1" applyAlignment="1">
      <x:alignment horizontal="general" vertical="bottom" wrapText="0"/>
    </x:xf>
    <x:xf numFmtId="164" fontId="0" fillId="11" borderId="0" xfId="0" applyNumberFormat="1" applyFont="1" applyFill="1" applyBorder="1" applyAlignment="1">
      <x:alignment horizontal="general" vertical="bottom" wrapText="0"/>
    </x:xf>
    <x:xf numFmtId="164" fontId="9" fillId="11" borderId="0" xfId="0" applyNumberFormat="1" applyFont="1" applyFill="1" applyBorder="1" applyAlignment="1">
      <x:alignment horizontal="general" vertical="bottom" wrapText="0"/>
    </x:xf>
    <x:xf numFmtId="164" fontId="9" fillId="11" borderId="0" xfId="0" applyNumberFormat="1" applyFont="1" applyFill="1" applyBorder="1" applyAlignment="1">
      <x:alignment horizontal="general" vertical="bottom" wrapText="1"/>
    </x:xf>
    <x:xf numFmtId="164" fontId="0" fillId="11" borderId="2" xfId="0" applyNumberFormat="1" applyFont="1" applyFill="1" applyBorder="1" applyAlignment="1">
      <x:alignment horizontal="general" vertical="bottom" wrapText="0"/>
    </x:xf>
    <x:xf numFmtId="164" fontId="9" fillId="11" borderId="2" xfId="0" applyNumberFormat="1" applyFont="1" applyFill="1" applyBorder="1" applyAlignment="1">
      <x:alignment horizontal="general" vertical="bottom" wrapText="0"/>
    </x:xf>
    <x:xf numFmtId="164" fontId="9" fillId="11" borderId="2" xfId="0" applyNumberFormat="1" applyFont="1" applyFill="1" applyBorder="1" applyAlignment="1">
      <x:alignment horizontal="general" vertical="bottom" wrapText="1"/>
    </x:xf>
    <x:xf numFmtId="164" fontId="0" fillId="12" borderId="0" xfId="0" applyNumberFormat="1" applyFont="1" applyFill="1" applyBorder="1" applyAlignment="1">
      <x:alignment horizontal="general" vertical="bottom" wrapText="0"/>
    </x:xf>
    <x:xf numFmtId="164" fontId="10" fillId="12" borderId="0" xfId="0" applyNumberFormat="1" applyFont="1" applyFill="1" applyBorder="1" applyAlignment="1">
      <x:alignment horizontal="general" vertical="bottom" wrapText="0"/>
    </x:xf>
    <x:xf numFmtId="164" fontId="10" fillId="12" borderId="0" xfId="0" applyNumberFormat="1" applyFont="1" applyFill="1" applyBorder="1" applyAlignment="1">
      <x:alignment horizontal="general" vertical="bottom" wrapText="1"/>
    </x:xf>
    <x:xf numFmtId="164" fontId="10" fillId="12" borderId="0" xfId="0" applyNumberFormat="1" applyFont="1" applyFill="1" applyBorder="1" applyAlignment="1">
      <x:alignment horizontal="center" vertical="bottom" wrapText="1"/>
    </x:xf>
    <x:xf numFmtId="164" fontId="10" fillId="12" borderId="0" xfId="0" applyNumberFormat="1" applyFont="1" applyFill="1" applyBorder="1" applyAlignment="1">
      <x:alignment horizontal="center" vertical="center" wrapText="1"/>
    </x:xf>
    <x:xf numFmtId="164" fontId="0" fillId="12" borderId="2" xfId="0" applyNumberFormat="1" applyFont="1" applyFill="1" applyBorder="1" applyAlignment="1">
      <x:alignment horizontal="general" vertical="bottom" wrapText="0"/>
    </x:xf>
    <x:xf numFmtId="164" fontId="10" fillId="12" borderId="2" xfId="0" applyNumberFormat="1" applyFont="1" applyFill="1" applyBorder="1" applyAlignment="1">
      <x:alignment horizontal="general" vertical="bottom" wrapText="0"/>
    </x:xf>
    <x:xf numFmtId="164" fontId="10" fillId="12" borderId="2" xfId="0" applyNumberFormat="1" applyFont="1" applyFill="1" applyBorder="1" applyAlignment="1">
      <x:alignment horizontal="general" vertical="bottom" wrapText="1"/>
    </x:xf>
    <x:xf numFmtId="164" fontId="10" fillId="12" borderId="2" xfId="0" applyNumberFormat="1" applyFont="1" applyFill="1" applyBorder="1" applyAlignment="1">
      <x:alignment horizontal="center" vertical="bottom" wrapText="1"/>
    </x:xf>
    <x:xf numFmtId="164" fontId="10" fillId="12" borderId="2" xfId="0" applyNumberFormat="1" applyFont="1" applyFill="1" applyBorder="1" applyAlignment="1">
      <x:alignment horizontal="center" vertical="center" wrapText="1"/>
    </x:xf>
    <x:xf numFmtId="164" fontId="9" fillId="12" borderId="0" xfId="0" applyNumberFormat="1" applyFont="1" applyFill="1" applyBorder="1" applyAlignment="1">
      <x:alignment horizontal="general" vertical="bottom" wrapText="1"/>
    </x:xf>
    <x:xf numFmtId="164" fontId="9" fillId="12" borderId="0" xfId="0" applyNumberFormat="1" applyFont="1" applyFill="1" applyBorder="1" applyAlignment="1">
      <x:alignment horizontal="center" vertical="bottom" wrapText="1"/>
    </x:xf>
    <x:xf numFmtId="164" fontId="9" fillId="12" borderId="0" xfId="0" applyNumberFormat="1" applyFont="1" applyFill="1" applyBorder="1" applyAlignment="1">
      <x:alignment horizontal="center" vertical="center" wrapText="1"/>
    </x:xf>
    <x:xf numFmtId="164" fontId="9" fillId="12" borderId="2" xfId="0" applyNumberFormat="1" applyFont="1" applyFill="1" applyBorder="1" applyAlignment="1">
      <x:alignment horizontal="general" vertical="bottom" wrapText="1"/>
    </x:xf>
    <x:xf numFmtId="164" fontId="9" fillId="12" borderId="2" xfId="0" applyNumberFormat="1" applyFont="1" applyFill="1" applyBorder="1" applyAlignment="1">
      <x:alignment horizontal="center" vertical="bottom" wrapText="1"/>
    </x:xf>
    <x:xf numFmtId="164" fontId="9" fillId="12" borderId="2" xfId="0" applyNumberFormat="1" applyFont="1" applyFill="1" applyBorder="1" applyAlignment="1">
      <x:alignment horizontal="center" vertical="center" wrapText="1"/>
    </x:xf>
    <x:xf numFmtId="164" fontId="0" fillId="13" borderId="0" xfId="0" applyNumberFormat="1" applyFont="1" applyFill="1" applyBorder="1" applyAlignment="1">
      <x:alignment horizontal="general" vertical="bottom" wrapText="0"/>
    </x:xf>
    <x:xf numFmtId="164" fontId="11" fillId="13" borderId="0" xfId="0" applyNumberFormat="1" applyFont="1" applyFill="1" applyBorder="1" applyAlignment="1">
      <x:alignment horizontal="general" vertical="bottom" wrapText="0"/>
    </x:xf>
    <x:xf numFmtId="164" fontId="11" fillId="13" borderId="0" xfId="0" applyNumberFormat="1" applyFont="1" applyFill="1" applyBorder="1" applyAlignment="1">
      <x:alignment horizontal="general" vertical="bottom" wrapText="1"/>
    </x:xf>
    <x:xf numFmtId="164" fontId="0" fillId="13" borderId="2" xfId="0" applyNumberFormat="1" applyFont="1" applyFill="1" applyBorder="1" applyAlignment="1">
      <x:alignment horizontal="general" vertical="bottom" wrapText="0"/>
    </x:xf>
    <x:xf numFmtId="164" fontId="11" fillId="13" borderId="2" xfId="0" applyNumberFormat="1" applyFont="1" applyFill="1" applyBorder="1" applyAlignment="1">
      <x:alignment horizontal="general" vertical="bottom" wrapText="0"/>
    </x:xf>
    <x:xf numFmtId="164" fontId="11" fillId="13" borderId="2" xfId="0" applyNumberFormat="1" applyFont="1" applyFill="1" applyBorder="1" applyAlignment="1">
      <x:alignment horizontal="general" vertical="bottom" wrapText="1"/>
    </x:xf>
    <x:xf numFmtId="200" fontId="0" fillId="0" borderId="0" xfId="0" applyNumberFormat="1" applyFont="1" applyFill="1" applyBorder="1" applyAlignment="1">
      <x:alignment horizontal="general" vertical="bottom" wrapText="0"/>
    </x:xf>
    <x:xf numFmtId="200" fontId="0" fillId="0" borderId="2" xfId="0" applyNumberFormat="1" applyFont="1" applyFill="1" applyBorder="1" applyAlignment="1">
      <x:alignment horizontal="general" vertical="bottom" wrapText="0"/>
    </x:xf>
    <x:xf numFmtId="168" fontId="0" fillId="0" borderId="0" xfId="0" applyNumberFormat="1" applyFont="1" applyFill="1" applyBorder="1" applyAlignment="1">
      <x:alignment horizontal="general" vertical="bottom" wrapText="0"/>
    </x:xf>
    <x:xf numFmtId="168" fontId="0" fillId="0" borderId="2" xfId="0" applyNumberFormat="1" applyFont="1" applyFill="1" applyBorder="1" applyAlignment="1">
      <x:alignment horizontal="general" vertical="bottom" wrapText="0"/>
    </x:xf>
    <x:xf numFmtId="165" fontId="0" fillId="0" borderId="0" xfId="0" applyNumberFormat="1" applyFont="1" applyFill="1" applyBorder="1" applyAlignment="1">
      <x:alignment horizontal="general" vertical="bottom" wrapText="0"/>
    </x:xf>
    <x:xf numFmtId="165" fontId="0" fillId="0" borderId="2" xfId="0" applyNumberFormat="1" applyFont="1" applyFill="1" applyBorder="1" applyAlignment="1">
      <x:alignment horizontal="general" vertical="bottom" wrapText="0"/>
    </x:xf>
    <x:xf numFmtId="169" fontId="0" fillId="0" borderId="0" xfId="0" applyNumberFormat="1" applyFont="1" applyFill="1" applyBorder="1" applyAlignment="1">
      <x:alignment horizontal="general" vertical="bottom" wrapText="0"/>
    </x:xf>
    <x:xf numFmtId="169" fontId="0" fillId="0" borderId="2" xfId="0" applyNumberFormat="1" applyFont="1" applyFill="1" applyBorder="1" applyAlignment="1">
      <x:alignment horizontal="general" vertical="bottom" wrapText="0"/>
    </x:xf>
    <x:xf numFmtId="167" fontId="0" fillId="0" borderId="0" xfId="0" applyNumberFormat="1" applyFont="1" applyFill="1" applyBorder="1" applyAlignment="1">
      <x:alignment horizontal="general" vertical="bottom" wrapText="0"/>
    </x:xf>
    <x:xf numFmtId="167" fontId="0" fillId="0" borderId="2" xfId="0" applyNumberFormat="1" applyFont="1" applyFill="1" applyBorder="1" applyAlignment="1">
      <x:alignment horizontal="general" vertical="bottom" wrapText="0"/>
    </x:xf>
    <x:xf numFmtId="201" fontId="0" fillId="0" borderId="0" xfId="0" applyNumberFormat="1" applyFont="1" applyFill="1" applyBorder="1" applyAlignment="1">
      <x:alignment horizontal="general" vertical="bottom" wrapText="0"/>
    </x:xf>
    <x:xf numFmtId="201" fontId="0" fillId="0" borderId="2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2" xfId="0" applyNumberFormat="1" applyFont="1" applyFill="1" applyBorder="1" applyAlignment="1">
      <x:alignment horizontal="general" vertical="bottom" wrapText="1"/>
    </x:xf>
    <x:xf numFmtId="167" fontId="0" fillId="0" borderId="0" xfId="0" applyNumberFormat="1" applyFont="1" applyFill="1" applyBorder="1" applyAlignment="1">
      <x:alignment horizontal="general" vertical="bottom" wrapText="1"/>
    </x:xf>
    <x:xf numFmtId="169" fontId="0" fillId="0" borderId="0" xfId="0" applyNumberFormat="1" applyFont="1" applyFill="1" applyBorder="1" applyAlignment="1">
      <x:alignment horizontal="general" vertical="bottom" wrapText="1"/>
    </x:xf>
    <x:xf numFmtId="201" fontId="0" fillId="0" borderId="0" xfId="0" applyNumberFormat="1" applyFont="1" applyFill="1" applyBorder="1" applyAlignment="1">
      <x:alignment horizontal="general" vertical="bottom" wrapText="1"/>
    </x:xf>
    <x:xf numFmtId="167" fontId="0" fillId="0" borderId="2" xfId="0" applyNumberFormat="1" applyFont="1" applyFill="1" applyBorder="1" applyAlignment="1">
      <x:alignment horizontal="general" vertical="bottom" wrapText="1"/>
    </x:xf>
    <x:xf numFmtId="169" fontId="0" fillId="0" borderId="2" xfId="0" applyNumberFormat="1" applyFont="1" applyFill="1" applyBorder="1" applyAlignment="1">
      <x:alignment horizontal="general" vertical="bottom" wrapText="1"/>
    </x:xf>
    <x:xf numFmtId="201" fontId="0" fillId="0" borderId="2" xfId="0" applyNumberFormat="1" applyFont="1" applyFill="1" applyBorder="1" applyAlignment="1">
      <x:alignment horizontal="general" vertical="bottom" wrapText="1"/>
    </x:xf>
    <x:xf numFmtId="200" fontId="0" fillId="0" borderId="0" xfId="0" applyNumberFormat="1" applyFont="1" applyFill="1" applyBorder="1" applyAlignment="1">
      <x:alignment horizontal="general" vertical="bottom" wrapText="1"/>
    </x:xf>
    <x:xf numFmtId="165" fontId="0" fillId="0" borderId="0" xfId="0" applyNumberFormat="1" applyFont="1" applyFill="1" applyBorder="1" applyAlignment="1">
      <x:alignment horizontal="general" vertical="bottom" wrapText="1"/>
    </x:xf>
    <x:xf numFmtId="168" fontId="0" fillId="0" borderId="0" xfId="0" applyNumberFormat="1" applyFont="1" applyFill="1" applyBorder="1" applyAlignment="1">
      <x:alignment horizontal="general" vertical="bottom" wrapText="1"/>
    </x:xf>
    <x:xf numFmtId="200" fontId="0" fillId="0" borderId="2" xfId="0" applyNumberFormat="1" applyFont="1" applyFill="1" applyBorder="1" applyAlignment="1">
      <x:alignment horizontal="general" vertical="bottom" wrapText="1"/>
    </x:xf>
    <x:xf numFmtId="165" fontId="0" fillId="0" borderId="2" xfId="0" applyNumberFormat="1" applyFont="1" applyFill="1" applyBorder="1" applyAlignment="1">
      <x:alignment horizontal="general" vertical="bottom" wrapText="1"/>
    </x:xf>
    <x:xf numFmtId="168" fontId="0" fillId="0" borderId="2" xfId="0" applyNumberFormat="1" applyFont="1" applyFill="1" applyBorder="1" applyAlignment="1">
      <x:alignment horizontal="general" vertical="bottom" wrapText="1"/>
    </x:xf>
    <x:xf numFmtId="164" fontId="9" fillId="11" borderId="0" xfId="0" applyNumberFormat="1" applyFont="1" applyFill="1" applyBorder="1" applyAlignment="1">
      <x:alignment horizontal="general" vertical="center" wrapText="0"/>
    </x:xf>
    <x:xf numFmtId="164" fontId="0" fillId="0" borderId="0" xfId="0" applyNumberFormat="1" applyFont="1" applyFill="1" applyBorder="1" applyAlignment="1">
      <x:alignment horizontal="general" vertical="center" wrapText="1"/>
    </x:xf>
    <x:xf numFmtId="164" fontId="1" fillId="0" borderId="0" xfId="0" applyNumberFormat="1" applyFont="1" applyFill="1" applyBorder="1" applyAlignment="1">
      <x:alignment horizontal="general" vertical="top" wrapText="1"/>
    </x:xf>
    <x:xf numFmtId="164" fontId="1" fillId="0" borderId="0" xfId="0" applyNumberFormat="1" applyFont="1" applyFill="1" applyBorder="1" applyAlignment="1">
      <x:alignment horizontal="general" vertical="center" wrapText="1"/>
    </x:xf>
    <x:xf numFmtId="164" fontId="1" fillId="0" borderId="1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8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FCC"/>
      <x:rgbColor rgb="FFD9D9D9"/>
      <x:rgbColor rgb="FF660066"/>
      <x:rgbColor rgb="FFFF8080"/>
      <x:rgbColor rgb="FF0066CC"/>
      <x:rgbColor rgb="FFE1CCF0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6EFCE"/>
      <x:rgbColor rgb="FFFFE699"/>
      <x:rgbColor rgb="FFBDD7EE"/>
      <x:rgbColor rgb="FFFF99CC"/>
      <x:rgbColor rgb="FFCC99FF"/>
      <x:rgbColor rgb="FFF8CBAD"/>
      <x:rgbColor rgb="FF3366FF"/>
      <x:rgbColor rgb="FF33CCCC"/>
      <x:rgbColor rgb="FF99CC00"/>
      <x:rgbColor rgb="FFFFD966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a4612ab5824b7c" /><Relationship Type="http://schemas.openxmlformats.org/officeDocument/2006/relationships/theme" Target="/xl/theme/theme1.xml" Id="R97ac9ea8696847ba" /><Relationship Type="http://schemas.openxmlformats.org/officeDocument/2006/relationships/sharedStrings" Target="/xl/sharedStrings.xml" Id="Rc44e36e1e812447b" /><Relationship Type="http://schemas.openxmlformats.org/officeDocument/2006/relationships/worksheet" Target="/xl/worksheets/sheet1.xml" Id="R2a140fb52fec4680" /><Relationship Type="http://schemas.openxmlformats.org/officeDocument/2006/relationships/worksheet" Target="/xl/worksheets/sheet2.xml" Id="R66c66e06b79842c7" /><Relationship Type="http://schemas.openxmlformats.org/officeDocument/2006/relationships/worksheet" Target="/xl/worksheets/sheet3.xml" Id="R483a4312eec843d4" /><Relationship Type="http://schemas.openxmlformats.org/officeDocument/2006/relationships/worksheet" Target="/xl/worksheets/sheet4.xml" Id="R984d839e40b84653" /><Relationship Type="http://schemas.openxmlformats.org/officeDocument/2006/relationships/worksheet" Target="/xl/worksheets/sheet5.xml" Id="R8375a0c75b434755" /><Relationship Type="http://schemas.openxmlformats.org/officeDocument/2006/relationships/worksheet" Target="/xl/worksheets/sheet6.xml" Id="Re15c1d0d3ce946af" /><Relationship Type="http://schemas.openxmlformats.org/officeDocument/2006/relationships/worksheet" Target="/xl/worksheets/sheet7.xml" Id="R7001d0e478f944ed" /><Relationship Type="http://schemas.openxmlformats.org/officeDocument/2006/relationships/worksheet" Target="/xl/worksheets/sheet8.xml" Id="R7b3718f71419476c" /><Relationship Type="http://schemas.openxmlformats.org/officeDocument/2006/relationships/worksheet" Target="/xl/worksheets/sheet9.xml" Id="Reaba88d0dc8049a8" /><Relationship Type="http://schemas.openxmlformats.org/officeDocument/2006/relationships/worksheet" Target="/xl/worksheets/sheet10.xml" Id="R8bea60535ade4d2d" /><Relationship Type="http://schemas.openxmlformats.org/officeDocument/2006/relationships/worksheet" Target="/xl/worksheets/sheet11.xml" Id="R231c7311411c4fa6" /><Relationship Type="http://schemas.openxmlformats.org/officeDocument/2006/relationships/worksheet" Target="/xl/worksheets/sheet12.xml" Id="R880239a697004ce2" /><Relationship Type="http://schemas.openxmlformats.org/officeDocument/2006/relationships/worksheet" Target="/xl/worksheets/sheet13.xml" Id="Rf7c0b498826647bf" /><Relationship Type="http://schemas.openxmlformats.org/officeDocument/2006/relationships/worksheet" Target="/xl/worksheets/sheet14.xml" Id="Re806c4f068314f3d" /><Relationship Type="http://schemas.openxmlformats.org/officeDocument/2006/relationships/worksheet" Target="/xl/worksheets/sheet15.xml" Id="R40f0e0b6cb2e4713" /><Relationship Type="http://schemas.openxmlformats.org/officeDocument/2006/relationships/worksheet" Target="/xl/worksheets/sheet16.xml" Id="R72db8dab9ae94379" /><Relationship Type="http://schemas.openxmlformats.org/officeDocument/2006/relationships/worksheet" Target="/xl/worksheets/sheet17.xml" Id="Reab96c5126b448d4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3" hidden="0" customWidth="1"/>
    <x:col min="2" max="2" width="115" hidden="0" customWidth="1"/>
  </x:cols>
  <x:sheetData>
    <x:row r="1" ht="16.799999237060547" hidden="0" customHeight="1">
      <x:c r="A1"/>
      <x:c r="B1" s="80" t="str">
        <x:v>AQUARIUM GAME — COMBINED ECONOMY &amp; PROGRESSION MODEL v3</x:v>
      </x:c>
    </x:row>
    <x:row r="2" ht="15" hidden="0" customHeight="1">
      <x:c r="A2"/>
      <x:c r="B2" s="118"/>
    </x:row>
    <x:row r="3" ht="15" hidden="0" customHeight="1">
      <x:c r="A3"/>
      <x:c r="B3" s="118" t="str">
        <x:v>What changed in v3</x:v>
      </x:c>
    </x:row>
    <x:row r="4" ht="26.399999618530273" hidden="0" customHeight="1">
      <x:c r="A4"/>
      <x:c r="B4" s="118" t="str">
        <x:v>The economy now uses target-rate payouts. Fish output is based on role, unlock level, schedule factor, and rarity utility budget — not Buy Price × rarity × growth-time multipliers.</x:v>
      </x:c>
    </x:row>
    <x:row r="5" ht="26.399999618530273" hidden="0" customHeight="1">
      <x:c r="A5"/>
      <x:c r="B5" s="118" t="str">
        <x:v>Every fish has a purpose: schedule purpose (active/session/idle), economic purpose (coin, XP, balanced, payout, convenience), and collection/aquarium purpose (mastery, prestige, social, theme). See Coin Fish AA:AB.</x:v>
      </x:c>
    </x:row>
    <x:row r="6" ht="15" hidden="0" customHeight="1">
      <x:c r="A6"/>
      <x:c r="B6" s="118" t="str">
        <x:v>Premium and Limited Edition fish are capped. Pearls buy visual exclusivity, convenience, XP/action, and collection progress, not a dominant coin printer.</x:v>
      </x:c>
    </x:row>
    <x:row r="7" ht="15" hidden="0" customHeight="1">
      <x:c r="A7"/>
      <x:c r="B7" s="118"/>
    </x:row>
    <x:row r="8" ht="15" hidden="0" customHeight="1">
      <x:c r="A8"/>
      <x:c r="B8" s="118" t="str">
        <x:v>Lifecycle</x:v>
      </x:c>
    </x:row>
    <x:row r="9" ht="15" hidden="0" customHeight="1">
      <x:c r="A9"/>
      <x:c r="B9" s="118" t="str">
        <x:v>Egg → Junior (25%) → Young (55%) → Mature (80%) → Adult (100%). Stage Time is one age level; Adult = 4 × Stage Time.</x:v>
      </x:c>
    </x:row>
    <x:row r="10" ht="15" hidden="0" customHeight="1">
      <x:c r="A10"/>
      <x:c r="B10" s="118" t="str">
        <x:v>Stage-specific XP now exists for Junior, Young, Mature, and Adult selling. Buy XP is 8% of the full-cycle XP budget, so selling stage choices are meaningful.</x:v>
      </x:c>
    </x:row>
    <x:row r="11" ht="26.399999618530273" hidden="0" customHeight="1">
      <x:c r="A11"/>
      <x:c r="B11" s="118" t="str">
        <x:v>Sickness grace is proportional: MAX(minimum grace, feed window × 25%), capped at 24h. This fixes the old problem where 5-minute fish effectively had absurdly generous protection.</x:v>
      </x:c>
    </x:row>
    <x:row r="12" ht="15" hidden="0" customHeight="1">
      <x:c r="A12"/>
      <x:c r="B12" s="118"/>
    </x:row>
    <x:row r="13" ht="15" hidden="0" customHeight="1">
      <x:c r="A13"/>
      <x:c r="B13" s="118" t="str">
        <x:v>Progression and sinks</x:v>
      </x:c>
    </x:row>
    <x:row r="14" ht="15" hidden="0" customHeight="1">
      <x:c r="A14"/>
      <x:c r="B14" s="118" t="str">
        <x:v>XP Curve smooths the L10/L11 and L30/L31 transitions while retaining a months-long L70 aspiration for a core player.</x:v>
      </x:c>
    </x:row>
    <x:row r="15" ht="26.399999618530273" hidden="0" customHeight="1">
      <x:c r="A15"/>
      <x:c r="B15" s="118" t="str">
        <x:v>Tank costs were repriced as meaningful coin sinks. Fish purchases are working capital; tanks, capacity, maintenance, food, decor and event crafting remove long-term surplus.</x:v>
      </x:c>
    </x:row>
    <x:row r="16" ht="15" hidden="0" customHeight="1">
      <x:c r="A16"/>
      <x:c r="B16" s="118" t="str">
        <x:v>Quest rewards are no longer static. Quest Scaling sets daily XP to roughly 10% of next-level XP and weekly XP to roughly 45%.</x:v>
      </x:c>
    </x:row>
    <x:row r="17" ht="15" hidden="0" customHeight="1">
      <x:c r="A17"/>
      <x:c r="B17" s="118"/>
    </x:row>
    <x:row r="18" ht="15" hidden="0" customHeight="1">
      <x:c r="A18"/>
      <x:c r="B18" s="118" t="str">
        <x:v>How to tune</x:v>
      </x:c>
    </x:row>
    <x:row r="19" ht="15" hidden="0" customHeight="1">
      <x:c r="A19"/>
      <x:c r="B19" s="118" t="str">
        <x:v>Start from Dashboard and Balance Review. Edit yellow input cells and blue balancing tables on Inputs; fish sheets will reprice through formulas.</x:v>
      </x:c>
    </x:row>
    <x:row r="20" ht="15" hidden="0" customHeight="1">
      <x:c r="A20"/>
      <x:c r="B20" s="118" t="str">
        <x:v>To add a post-launch fish, copy it from Roadmap into Coin Fish or Premium Fish and assign a role before tuning art/value details.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46" hidden="0" customWidth="1"/>
  </x:cols>
  <x:sheetData>
    <x:row r="1" ht="22.5" hidden="0" customHeight="1">
      <x:c r="A1" s="132" t="str">
        <x:v>INPUTS — edit yellow cells; formulas use target-rate economy, not buy-price multipliers</x:v>
      </x:c>
      <x:c r="B1" s="132"/>
      <x:c r="C1" s="132"/>
      <x:c r="D1" s="132"/>
      <x:c r="E1" s="132"/>
      <x:c r="F1" s="132"/>
    </x:row>
    <x:row r="2" ht="15" hidden="0" customHeight="1">
      <x:c r="A2" s="118"/>
      <x:c r="B2" s="118"/>
      <x:c r="C2" s="118"/>
      <x:c r="D2" s="118"/>
      <x:c r="E2" s="118"/>
      <x:c r="F2" s="118"/>
    </x:row>
    <x:row r="3" ht="15" hidden="0" customHeight="1">
      <x:c r="A3" s="102" t="str">
        <x:v>GLOBAL</x:v>
      </x:c>
      <x:c r="B3" s="102"/>
      <x:c r="C3" s="102"/>
      <x:c r="D3" s="102"/>
      <x:c r="E3" s="102"/>
      <x:c r="F3" s="102"/>
    </x:row>
    <x:row r="4" ht="15" hidden="0" customHeight="1">
      <x:c r="A4" s="118" t="str">
        <x:v>Soft currency name</x:v>
      </x:c>
      <x:c r="B4" s="118" t="str">
        <x:v>Coins</x:v>
      </x:c>
      <x:c r="C4" s="118"/>
      <x:c r="D4" s="118"/>
      <x:c r="E4" s="118"/>
      <x:c r="F4" s="118"/>
    </x:row>
    <x:row r="5" ht="15" hidden="0" customHeight="1">
      <x:c r="A5" s="118" t="str">
        <x:v>Premium currency name</x:v>
      </x:c>
      <x:c r="B5" s="118" t="str">
        <x:v>Pearls</x:v>
      </x:c>
      <x:c r="C5" s="118"/>
      <x:c r="D5" s="118"/>
      <x:c r="E5" s="118"/>
      <x:c r="F5" s="118"/>
    </x:row>
    <x:row r="6" ht="15" hidden="0" customHeight="1">
      <x:c r="A6" s="118" t="str">
        <x:v>Starting Coins</x:v>
      </x:c>
      <x:c r="B6" s="118" t="n">
        <x:v>250</x:v>
      </x:c>
      <x:c r="C6" s="118"/>
      <x:c r="D6" s="118"/>
      <x:c r="E6" s="118"/>
      <x:c r="F6" s="118"/>
    </x:row>
    <x:row r="7" ht="15" hidden="0" customHeight="1">
      <x:c r="A7" s="118" t="str">
        <x:v>Starting Pearls</x:v>
      </x:c>
      <x:c r="B7" s="118" t="n">
        <x:v>0</x:v>
      </x:c>
      <x:c r="C7" s="118"/>
      <x:c r="D7" s="118"/>
      <x:c r="E7" s="118"/>
      <x:c r="F7" s="118"/>
    </x:row>
    <x:row r="8" ht="15" hidden="0" customHeight="1">
      <x:c r="A8" s="118" t="str">
        <x:v>Starting tank capacity</x:v>
      </x:c>
      <x:c r="B8" s="118" t="n">
        <x:v>10</x:v>
      </x:c>
      <x:c r="C8" s="118"/>
      <x:c r="D8" s="118"/>
      <x:c r="E8" s="118"/>
      <x:c r="F8" s="118"/>
    </x:row>
    <x:row r="9" ht="15" hidden="0" customHeight="1">
      <x:c r="A9" s="118" t="str">
        <x:v>Starter fish count</x:v>
      </x:c>
      <x:c r="B9" s="118" t="n">
        <x:v>4</x:v>
      </x:c>
      <x:c r="C9" s="118"/>
      <x:c r="D9" s="118"/>
      <x:c r="E9" s="118"/>
      <x:c r="F9" s="118"/>
    </x:row>
    <x:row r="10" ht="15" hidden="0" customHeight="1">
      <x:c r="A10" s="118" t="str">
        <x:v>Target first session (min)</x:v>
      </x:c>
      <x:c r="B10" s="118" t="n">
        <x:v>6</x:v>
      </x:c>
      <x:c r="C10" s="118"/>
      <x:c r="D10" s="118"/>
      <x:c r="E10" s="118"/>
      <x:c r="F10" s="118"/>
    </x:row>
    <x:row r="11" ht="15" hidden="0" customHeight="1">
      <x:c r="A11" s="118" t="str">
        <x:v>Level 2 Pearl grant</x:v>
      </x:c>
      <x:c r="B11" s="118" t="n">
        <x:v>1</x:v>
      </x:c>
      <x:c r="C11" s="118"/>
      <x:c r="D11" s="118"/>
      <x:c r="E11" s="118"/>
      <x:c r="F11" s="118"/>
    </x:row>
    <x:row r="12" ht="15" hidden="0" customHeight="1">
      <x:c r="A12" s="118"/>
      <x:c r="B12" s="118"/>
      <x:c r="C12" s="118"/>
      <x:c r="D12" s="118"/>
      <x:c r="E12" s="118"/>
      <x:c r="F12" s="118"/>
    </x:row>
    <x:row r="13" ht="26.399999618530273" hidden="0" customHeight="1">
      <x:c r="A13" s="102" t="str">
        <x:v>XP CURVE SCALES (applied to per-level XP DELTAS — L10/L11 transition smoothed in XP Curve)</x:v>
      </x:c>
      <x:c r="B13" s="102"/>
      <x:c r="C13" s="102"/>
      <x:c r="D13" s="102"/>
      <x:c r="E13" s="102"/>
      <x:c r="F13" s="102"/>
    </x:row>
    <x:row r="14" ht="15" hidden="0" customHeight="1">
      <x:c r="A14" s="118" t="str">
        <x:v>Early scale (L1-10)</x:v>
      </x:c>
      <x:c r="B14" s="118" t="n">
        <x:v>0.55</x:v>
      </x:c>
      <x:c r="C14" s="118"/>
      <x:c r="D14" s="118"/>
      <x:c r="E14" s="118"/>
      <x:c r="F14" s="118"/>
    </x:row>
    <x:row r="15" ht="15" hidden="0" customHeight="1">
      <x:c r="A15" s="118" t="str">
        <x:v>Mid scale (L11-30)</x:v>
      </x:c>
      <x:c r="B15" s="118" t="n">
        <x:v>0.7</x:v>
      </x:c>
      <x:c r="C15" s="118"/>
      <x:c r="D15" s="118"/>
      <x:c r="E15" s="118"/>
      <x:c r="F15" s="118"/>
    </x:row>
    <x:row r="16" ht="15" hidden="0" customHeight="1">
      <x:c r="A16" s="118" t="str">
        <x:v>Late scale (L31-70)</x:v>
      </x:c>
      <x:c r="B16" s="118" t="n">
        <x:v>0.85</x:v>
      </x:c>
      <x:c r="C16" s="118"/>
      <x:c r="D16" s="118"/>
      <x:c r="E16" s="118"/>
      <x:c r="F16" s="118"/>
    </x:row>
    <x:row r="17" ht="15" hidden="0" customHeight="1">
      <x:c r="A17" s="118"/>
      <x:c r="B17" s="118"/>
      <x:c r="C17" s="118"/>
      <x:c r="D17" s="118"/>
      <x:c r="E17" s="118"/>
      <x:c r="F17" s="118"/>
    </x:row>
    <x:row r="18" ht="15" hidden="0" customHeight="1">
      <x:c r="A18" s="102" t="str">
        <x:v>FISH LIFECYCLE</x:v>
      </x:c>
      <x:c r="B18" s="102"/>
      <x:c r="C18" s="102"/>
      <x:c r="D18" s="102"/>
      <x:c r="E18" s="102"/>
      <x:c r="F18" s="102"/>
    </x:row>
    <x:row r="19" ht="15" hidden="0" customHeight="1">
      <x:c r="A19" s="118" t="str">
        <x:v>Growth stages to adult</x:v>
      </x:c>
      <x:c r="B19" s="118" t="n">
        <x:v>4</x:v>
      </x:c>
      <x:c r="C19" s="118"/>
      <x:c r="D19" s="118"/>
      <x:c r="E19" s="118"/>
      <x:c r="F19" s="118"/>
    </x:row>
    <x:row r="20" ht="15" hidden="0" customHeight="1">
      <x:c r="A20" s="118" t="str">
        <x:v>Feed window (x stage time)</x:v>
      </x:c>
      <x:c r="B20" s="118" t="n">
        <x:v>2</x:v>
      </x:c>
      <x:c r="C20" s="118"/>
      <x:c r="D20" s="118"/>
      <x:c r="E20" s="118"/>
      <x:c r="F20" s="118"/>
    </x:row>
    <x:row r="21" ht="26.399999618530273" hidden="0" customHeight="1">
      <x:c r="A21" s="118" t="str">
        <x:v>Legacy fixed sick grace (hours; replaced by proportional model)</x:v>
      </x:c>
      <x:c r="B21" s="118" t="n">
        <x:v>6</x:v>
      </x:c>
      <x:c r="C21" s="118"/>
      <x:c r="D21" s="118"/>
      <x:c r="E21" s="118"/>
      <x:c r="F21" s="118"/>
    </x:row>
    <x:row r="22" ht="15" hidden="0" customHeight="1">
      <x:c r="A22" s="118" t="str">
        <x:v>Junior sell ratio (age 1)</x:v>
      </x:c>
      <x:c r="B22" s="118" t="n">
        <x:v>0.25</x:v>
      </x:c>
      <x:c r="C22" s="118"/>
      <x:c r="D22" s="118"/>
      <x:c r="E22" s="118"/>
      <x:c r="F22" s="118"/>
    </x:row>
    <x:row r="23" ht="15" hidden="0" customHeight="1">
      <x:c r="A23" s="118" t="str">
        <x:v>Young sell ratio (age 2)</x:v>
      </x:c>
      <x:c r="B23" s="118" t="n">
        <x:v>0.55</x:v>
      </x:c>
      <x:c r="C23" s="118"/>
      <x:c r="D23" s="118"/>
      <x:c r="E23" s="118"/>
      <x:c r="F23" s="118"/>
    </x:row>
    <x:row r="24" ht="15" hidden="0" customHeight="1">
      <x:c r="A24" s="118" t="str">
        <x:v>Mature sell ratio (age 3)</x:v>
      </x:c>
      <x:c r="B24" s="118" t="n">
        <x:v>0.8</x:v>
      </x:c>
      <x:c r="C24" s="118"/>
      <x:c r="D24" s="118"/>
      <x:c r="E24" s="118"/>
      <x:c r="F24" s="118"/>
    </x:row>
    <x:row r="25" ht="15" hidden="0" customHeight="1">
      <x:c r="A25" s="118" t="str">
        <x:v>Adult sell ratio (age 4)</x:v>
      </x:c>
      <x:c r="B25" s="118" t="n">
        <x:v>1</x:v>
      </x:c>
      <x:c r="C25" s="118"/>
      <x:c r="D25" s="118"/>
      <x:c r="E25" s="118"/>
      <x:c r="F25" s="118"/>
    </x:row>
    <x:row r="26" ht="15" hidden="0" customHeight="1">
      <x:c r="A26" s="118" t="str">
        <x:v>Legacy buy XP rate (not used by target-rate sheets)</x:v>
      </x:c>
      <x:c r="B26" s="118" t="n">
        <x:v>0.65</x:v>
      </x:c>
      <x:c r="C26" s="118"/>
      <x:c r="D26" s="118"/>
      <x:c r="E26" s="118"/>
      <x:c r="F26" s="118"/>
    </x:row>
    <x:row r="27" ht="15" hidden="0" customHeight="1">
      <x:c r="A27" s="118"/>
      <x:c r="B27" s="118"/>
      <x:c r="C27" s="118"/>
      <x:c r="D27" s="118"/>
      <x:c r="E27" s="118"/>
      <x:c r="F27" s="118"/>
    </x:row>
    <x:row r="28" ht="26.399999618530273" hidden="0" customHeight="1">
      <x:c r="A28" s="102" t="str">
        <x:v>GROWTH BANDS — legacy only; target-rate sheets use SCHEDULE FACTORS below</x:v>
      </x:c>
      <x:c r="B28" s="102"/>
      <x:c r="C28" s="102"/>
      <x:c r="D28" s="102"/>
      <x:c r="E28" s="102"/>
      <x:c r="F28" s="102"/>
    </x:row>
    <x:row r="29" ht="15" hidden="0" customHeight="1">
      <x:c r="A29" s="118" t="str">
        <x:v>Stage hrs &gt;=</x:v>
      </x:c>
      <x:c r="B29" s="118" t="str">
        <x:v>Band</x:v>
      </x:c>
      <x:c r="C29" s="118" t="str">
        <x:v>Legacy Sell coin x</x:v>
      </x:c>
      <x:c r="D29" s="118" t="str">
        <x:v>Legacy Sell XP x</x:v>
      </x:c>
      <x:c r="E29" s="118"/>
      <x:c r="F29" s="118"/>
    </x:row>
    <x:row r="30" ht="15" hidden="0" customHeight="1">
      <x:c r="A30" s="118" t="n">
        <x:v>0</x:v>
      </x:c>
      <x:c r="B30" s="118" t="str">
        <x:v>Flash</x:v>
      </x:c>
      <x:c r="C30" s="118" t="n">
        <x:v>10</x:v>
      </x:c>
      <x:c r="D30" s="118" t="n">
        <x:v>3</x:v>
      </x:c>
      <x:c r="E30" s="118"/>
      <x:c r="F30" s="118"/>
    </x:row>
    <x:row r="31" ht="15" hidden="0" customHeight="1">
      <x:c r="A31" s="118" t="n">
        <x:v>0.5</x:v>
      </x:c>
      <x:c r="B31" s="118" t="str">
        <x:v>Quick</x:v>
      </x:c>
      <x:c r="C31" s="118" t="n">
        <x:v>10</x:v>
      </x:c>
      <x:c r="D31" s="118" t="n">
        <x:v>3</x:v>
      </x:c>
      <x:c r="E31" s="118"/>
      <x:c r="F31" s="118"/>
    </x:row>
    <x:row r="32" ht="15" hidden="0" customHeight="1">
      <x:c r="A32" s="118" t="n">
        <x:v>2</x:v>
      </x:c>
      <x:c r="B32" s="118" t="str">
        <x:v>Standard</x:v>
      </x:c>
      <x:c r="C32" s="118" t="n">
        <x:v>10</x:v>
      </x:c>
      <x:c r="D32" s="118" t="n">
        <x:v>4</x:v>
      </x:c>
      <x:c r="E32" s="118"/>
      <x:c r="F32" s="118"/>
    </x:row>
    <x:row r="33" ht="15" hidden="0" customHeight="1">
      <x:c r="A33" s="118" t="n">
        <x:v>8</x:v>
      </x:c>
      <x:c r="B33" s="118" t="str">
        <x:v>Long</x:v>
      </x:c>
      <x:c r="C33" s="118" t="n">
        <x:v>10.4</x:v>
      </x:c>
      <x:c r="D33" s="118" t="n">
        <x:v>6</x:v>
      </x:c>
      <x:c r="E33" s="118"/>
      <x:c r="F33" s="118"/>
    </x:row>
    <x:row r="34" ht="15" hidden="0" customHeight="1">
      <x:c r="A34" s="118" t="n">
        <x:v>24</x:v>
      </x:c>
      <x:c r="B34" s="118" t="str">
        <x:v>Marathon</x:v>
      </x:c>
      <x:c r="C34" s="118" t="n">
        <x:v>10.8</x:v>
      </x:c>
      <x:c r="D34" s="118" t="n">
        <x:v>9</x:v>
      </x:c>
      <x:c r="E34" s="118"/>
      <x:c r="F34" s="118"/>
    </x:row>
    <x:row r="35" ht="15" hidden="0" customHeight="1">
      <x:c r="A35" s="118"/>
      <x:c r="B35" s="118"/>
      <x:c r="C35" s="118"/>
      <x:c r="D35" s="118"/>
      <x:c r="E35" s="118"/>
      <x:c r="F35" s="118"/>
    </x:row>
    <x:row r="36" ht="15" hidden="0" customHeight="1">
      <x:c r="A36" s="102" t="str">
        <x:v>RARITY UTILITY BUDGET (not raw power multiplier)</x:v>
      </x:c>
      <x:c r="B36" s="102"/>
      <x:c r="C36" s="102"/>
      <x:c r="D36" s="102"/>
      <x:c r="E36" s="102"/>
      <x:c r="F36" s="102"/>
    </x:row>
    <x:row r="37" ht="15" hidden="0" customHeight="1">
      <x:c r="A37" s="118" t="str">
        <x:v>Rarity</x:v>
      </x:c>
      <x:c r="B37" s="118" t="str">
        <x:v>Utility Budget</x:v>
      </x:c>
      <x:c r="C37" s="118"/>
      <x:c r="D37" s="118"/>
      <x:c r="E37" s="118"/>
      <x:c r="F37" s="118"/>
    </x:row>
    <x:row r="38" ht="15" hidden="0" customHeight="1">
      <x:c r="A38" s="118" t="str">
        <x:v>Common</x:v>
      </x:c>
      <x:c r="B38" s="118" t="n">
        <x:v>0</x:v>
      </x:c>
      <x:c r="C38" s="118"/>
      <x:c r="D38" s="118"/>
      <x:c r="E38" s="118"/>
      <x:c r="F38" s="118"/>
    </x:row>
    <x:row r="39" ht="15" hidden="0" customHeight="1">
      <x:c r="A39" s="118" t="str">
        <x:v>Uncommon</x:v>
      </x:c>
      <x:c r="B39" s="118" t="n">
        <x:v>0.04</x:v>
      </x:c>
      <x:c r="C39" s="118"/>
      <x:c r="D39" s="118"/>
      <x:c r="E39" s="118"/>
      <x:c r="F39" s="118"/>
    </x:row>
    <x:row r="40" ht="15" hidden="0" customHeight="1">
      <x:c r="A40" s="118" t="str">
        <x:v>Rare</x:v>
      </x:c>
      <x:c r="B40" s="118" t="n">
        <x:v>0.08</x:v>
      </x:c>
      <x:c r="C40" s="118"/>
      <x:c r="D40" s="118"/>
      <x:c r="E40" s="118"/>
      <x:c r="F40" s="118"/>
    </x:row>
    <x:row r="41" ht="15" hidden="0" customHeight="1">
      <x:c r="A41" s="118" t="str">
        <x:v>Epic</x:v>
      </x:c>
      <x:c r="B41" s="118" t="n">
        <x:v>0.12</x:v>
      </x:c>
      <x:c r="C41" s="118"/>
      <x:c r="D41" s="118"/>
      <x:c r="E41" s="118"/>
      <x:c r="F41" s="118"/>
    </x:row>
    <x:row r="42" ht="15" hidden="0" customHeight="1">
      <x:c r="A42" s="118" t="str">
        <x:v>Legendary</x:v>
      </x:c>
      <x:c r="B42" s="118" t="n">
        <x:v>0.16</x:v>
      </x:c>
      <x:c r="C42" s="118"/>
      <x:c r="D42" s="118"/>
      <x:c r="E42" s="118"/>
      <x:c r="F42" s="118"/>
    </x:row>
    <x:row r="43" ht="15" hidden="0" customHeight="1">
      <x:c r="A43" s="118" t="str">
        <x:v>Limited</x:v>
      </x:c>
      <x:c r="B43" s="118" t="n">
        <x:v>0.08</x:v>
      </x:c>
      <x:c r="C43" s="118"/>
      <x:c r="D43" s="118"/>
      <x:c r="E43" s="118"/>
      <x:c r="F43" s="118"/>
    </x:row>
    <x:row r="44" ht="15" hidden="0" customHeight="1">
      <x:c r="A44" s="118" t="str">
        <x:v>Premium</x:v>
      </x:c>
      <x:c r="B44" s="118" t="n">
        <x:v>0</x:v>
      </x:c>
      <x:c r="C44" s="118"/>
      <x:c r="D44" s="118"/>
      <x:c r="E44" s="118"/>
      <x:c r="F44" s="118"/>
    </x:row>
    <x:row r="45" ht="15" hidden="0" customHeight="1">
      <x:c r="A45" s="118"/>
      <x:c r="B45" s="118"/>
      <x:c r="C45" s="118"/>
      <x:c r="D45" s="118"/>
      <x:c r="E45" s="118"/>
      <x:c r="F45" s="118"/>
    </x:row>
    <x:row r="46" ht="15" hidden="0" customHeight="1">
      <x:c r="A46" s="102" t="str">
        <x:v>PREMIUM (PEARL) ECONOMY</x:v>
      </x:c>
      <x:c r="B46" s="102"/>
      <x:c r="C46" s="102"/>
      <x:c r="D46" s="102"/>
      <x:c r="E46" s="102"/>
      <x:c r="F46" s="102"/>
    </x:row>
    <x:row r="47" ht="15" hidden="0" customHeight="1">
      <x:c r="A47" s="118" t="str">
        <x:v>Coin value per pearl (base sell)</x:v>
      </x:c>
      <x:c r="B47" s="118" t="n">
        <x:v>850</x:v>
      </x:c>
      <x:c r="C47" s="118"/>
      <x:c r="D47" s="118"/>
      <x:c r="E47" s="118"/>
      <x:c r="F47" s="118"/>
    </x:row>
    <x:row r="48" ht="15" hidden="0" customHeight="1">
      <x:c r="A48" s="118" t="str">
        <x:v>Sell XP per pearl (base)</x:v>
      </x:c>
      <x:c r="B48" s="118" t="n">
        <x:v>180</x:v>
      </x:c>
      <x:c r="C48" s="118"/>
      <x:c r="D48" s="118"/>
      <x:c r="E48" s="118"/>
      <x:c r="F48" s="118"/>
    </x:row>
    <x:row r="49" ht="15" hidden="0" customHeight="1">
      <x:c r="A49" s="118" t="str">
        <x:v>Buy XP per pearl</x:v>
      </x:c>
      <x:c r="B49" s="118" t="n">
        <x:v>20</x:v>
      </x:c>
      <x:c r="C49" s="118"/>
      <x:c r="D49" s="118"/>
      <x:c r="E49" s="118"/>
      <x:c r="F49" s="118"/>
    </x:row>
    <x:row r="50" ht="15" hidden="0" customHeight="1">
      <x:c r="A50" s="118"/>
      <x:c r="B50" s="118"/>
      <x:c r="C50" s="118"/>
      <x:c r="D50" s="118"/>
      <x:c r="E50" s="118"/>
      <x:c r="F50" s="118"/>
    </x:row>
    <x:row r="51" ht="15" hidden="0" customHeight="1">
      <x:c r="A51" s="102" t="str">
        <x:v>PREMIUM GROWTH BANDS (payout x by stage hrs)</x:v>
      </x:c>
      <x:c r="B51" s="102"/>
      <x:c r="C51" s="102"/>
      <x:c r="D51" s="102"/>
      <x:c r="E51" s="102"/>
      <x:c r="F51" s="102"/>
    </x:row>
    <x:row r="52" ht="15" hidden="0" customHeight="1">
      <x:c r="A52" s="118" t="str">
        <x:v>Stage hrs &gt;=</x:v>
      </x:c>
      <x:c r="B52" s="118" t="str">
        <x:v>Payout x</x:v>
      </x:c>
      <x:c r="C52" s="118"/>
      <x:c r="D52" s="118"/>
      <x:c r="E52" s="118"/>
      <x:c r="F52" s="118"/>
    </x:row>
    <x:row r="53" ht="15" hidden="0" customHeight="1">
      <x:c r="A53" s="118" t="n">
        <x:v>0</x:v>
      </x:c>
      <x:c r="B53" s="118" t="n">
        <x:v>1</x:v>
      </x:c>
      <x:c r="C53" s="118"/>
      <x:c r="D53" s="118"/>
      <x:c r="E53" s="118"/>
      <x:c r="F53" s="118"/>
    </x:row>
    <x:row r="54" ht="15" hidden="0" customHeight="1">
      <x:c r="A54" s="118" t="n">
        <x:v>2</x:v>
      </x:c>
      <x:c r="B54" s="118" t="n">
        <x:v>1.05</x:v>
      </x:c>
      <x:c r="C54" s="118"/>
      <x:c r="D54" s="118"/>
      <x:c r="E54" s="118"/>
      <x:c r="F54" s="118"/>
    </x:row>
    <x:row r="55" ht="15" hidden="0" customHeight="1">
      <x:c r="A55" s="118" t="n">
        <x:v>8</x:v>
      </x:c>
      <x:c r="B55" s="118" t="n">
        <x:v>1.1</x:v>
      </x:c>
      <x:c r="C55" s="118"/>
      <x:c r="D55" s="118"/>
      <x:c r="E55" s="118"/>
      <x:c r="F55" s="118"/>
    </x:row>
    <x:row r="56" ht="15" hidden="0" customHeight="1">
      <x:c r="A56" s="118" t="n">
        <x:v>24</x:v>
      </x:c>
      <x:c r="B56" s="118" t="n">
        <x:v>1.18</x:v>
      </x:c>
      <x:c r="C56" s="118"/>
      <x:c r="D56" s="118"/>
      <x:c r="E56" s="118"/>
      <x:c r="F56" s="118"/>
    </x:row>
    <x:row r="57" ht="15" hidden="0" customHeight="1">
      <x:c r="A57" s="118"/>
      <x:c r="B57" s="118"/>
      <x:c r="C57" s="118"/>
      <x:c r="D57" s="118"/>
      <x:c r="E57" s="118"/>
      <x:c r="F57" s="118"/>
    </x:row>
    <x:row r="58" ht="15" hidden="0" customHeight="1">
      <x:c r="A58" s="118" t="str">
        <x:v>Limited-edition bonus (pearl LE fish)</x:v>
      </x:c>
      <x:c r="B58" s="118" t="n">
        <x:v>1.08</x:v>
      </x:c>
      <x:c r="C58" s="118"/>
      <x:c r="D58" s="118"/>
      <x:c r="E58" s="118"/>
      <x:c r="F58" s="118"/>
    </x:row>
    <x:row r="59" ht="15" hidden="0" customHeight="1">
      <x:c r="A59" s="118"/>
      <x:c r="B59" s="118"/>
      <x:c r="C59" s="118"/>
      <x:c r="D59" s="118"/>
      <x:c r="E59" s="118"/>
      <x:c r="F59" s="118"/>
    </x:row>
    <x:row r="60" ht="15" hidden="0" customHeight="1">
      <x:c r="A60" s="102" t="str">
        <x:v>LIVE OPS / QUESTS</x:v>
      </x:c>
      <x:c r="B60" s="102"/>
      <x:c r="C60" s="102"/>
      <x:c r="D60" s="102"/>
      <x:c r="E60" s="102"/>
      <x:c r="F60" s="102"/>
    </x:row>
    <x:row r="61" ht="15" hidden="0" customHeight="1">
      <x:c r="A61" s="118" t="str">
        <x:v>Daily mission XP (legacy fallback)</x:v>
      </x:c>
      <x:c r="B61" s="118" t="n">
        <x:v>120</x:v>
      </x:c>
      <x:c r="C61" s="118"/>
      <x:c r="D61" s="118"/>
      <x:c r="E61" s="118"/>
      <x:c r="F61" s="118"/>
    </x:row>
    <x:row r="62" ht="15" hidden="0" customHeight="1">
      <x:c r="A62" s="118" t="str">
        <x:v>Daily mission coins (legacy fallback)</x:v>
      </x:c>
      <x:c r="B62" s="118" t="n">
        <x:v>85</x:v>
      </x:c>
      <x:c r="C62" s="118"/>
      <x:c r="D62" s="118"/>
      <x:c r="E62" s="118"/>
      <x:c r="F62" s="118"/>
    </x:row>
    <x:row r="63" ht="15" hidden="0" customHeight="1">
      <x:c r="A63" s="118" t="str">
        <x:v>Max free tank capacity</x:v>
      </x:c>
      <x:c r="B63" s="118" t="n">
        <x:v>40</x:v>
      </x:c>
      <x:c r="C63" s="118"/>
      <x:c r="D63" s="118"/>
      <x:c r="E63" s="118"/>
      <x:c r="F63" s="118"/>
    </x:row>
    <x:row r="64" ht="15" hidden="0" customHeight="1">
      <x:c r="A64" s="118"/>
      <x:c r="B64" s="118"/>
      <x:c r="C64" s="118"/>
      <x:c r="D64" s="118"/>
      <x:c r="E64" s="118"/>
      <x:c r="F64" s="118"/>
    </x:row>
    <x:row r="65" ht="39.599998474121094" hidden="0" customHeight="1">
      <x:c r="A65" s="102" t="str">
        <x:v>LEGEND: yellow cells are tunable inputs; blue tables are balancing weights; formulas should not be overwritten.</x:v>
      </x:c>
      <x:c r="B65" s="102"/>
      <x:c r="C65" s="102"/>
      <x:c r="D65" s="102"/>
      <x:c r="E65" s="102"/>
      <x:c r="F65" s="102"/>
    </x:row>
    <x:row r="66" ht="15" hidden="0" customHeight="1">
      <x:c r="A66" s="118"/>
      <x:c r="B66" s="118"/>
      <x:c r="C66" s="118"/>
      <x:c r="D66" s="118"/>
      <x:c r="E66" s="118"/>
      <x:c r="F66" s="118"/>
    </x:row>
    <x:row r="67" ht="15" hidden="0" customHeight="1">
      <x:c r="A67" s="102" t="str">
        <x:v>TARGET RATE FRONTIER</x:v>
      </x:c>
      <x:c r="B67" s="102"/>
      <x:c r="C67" s="102"/>
      <x:c r="D67" s="102"/>
      <x:c r="E67" s="102"/>
      <x:c r="F67" s="102"/>
    </x:row>
    <x:row r="68" ht="15" hidden="0" customHeight="1">
      <x:c r="A68" s="118" t="str">
        <x:v>Min level for interpolation</x:v>
      </x:c>
      <x:c r="B68" s="118" t="n">
        <x:v>1</x:v>
      </x:c>
      <x:c r="C68" s="118"/>
      <x:c r="D68" s="118"/>
      <x:c r="E68" s="118"/>
      <x:c r="F68" s="118"/>
    </x:row>
    <x:row r="69" ht="15" hidden="0" customHeight="1">
      <x:c r="A69" s="118" t="str">
        <x:v>Max level for interpolation</x:v>
      </x:c>
      <x:c r="B69" s="118" t="n">
        <x:v>70</x:v>
      </x:c>
      <x:c r="C69" s="118"/>
      <x:c r="D69" s="118"/>
      <x:c r="E69" s="118"/>
      <x:c r="F69" s="118"/>
    </x:row>
    <x:row r="70" ht="15" hidden="0" customHeight="1">
      <x:c r="A70" s="118" t="str">
        <x:v>Active coins/hr at L1</x:v>
      </x:c>
      <x:c r="B70" s="118" t="n">
        <x:v>190</x:v>
      </x:c>
      <x:c r="C70" s="118"/>
      <x:c r="D70" s="118"/>
      <x:c r="E70" s="118"/>
      <x:c r="F70" s="118"/>
    </x:row>
    <x:row r="71" ht="15" hidden="0" customHeight="1">
      <x:c r="A71" s="118" t="str">
        <x:v>Active coins/hr at L70</x:v>
      </x:c>
      <x:c r="B71" s="118" t="n">
        <x:v>585</x:v>
      </x:c>
      <x:c r="C71" s="118"/>
      <x:c r="D71" s="118"/>
      <x:c r="E71" s="118"/>
      <x:c r="F71" s="118"/>
    </x:row>
    <x:row r="72" ht="15" hidden="0" customHeight="1">
      <x:c r="A72" s="118" t="str">
        <x:v>Active XP/hr at L1</x:v>
      </x:c>
      <x:c r="B72" s="118" t="n">
        <x:v>60</x:v>
      </x:c>
      <x:c r="C72" s="118"/>
      <x:c r="D72" s="118"/>
      <x:c r="E72" s="118"/>
      <x:c r="F72" s="118"/>
    </x:row>
    <x:row r="73" ht="15" hidden="0" customHeight="1">
      <x:c r="A73" s="118" t="str">
        <x:v>Active XP/hr at L70</x:v>
      </x:c>
      <x:c r="B73" s="118" t="n">
        <x:v>150</x:v>
      </x:c>
      <x:c r="C73" s="118"/>
      <x:c r="D73" s="118"/>
      <x:c r="E73" s="118"/>
      <x:c r="F73" s="118"/>
    </x:row>
    <x:row r="74" ht="15" hidden="0" customHeight="1">
      <x:c r="A74" s="118" t="str">
        <x:v>Buy XP share of full-cycle XP</x:v>
      </x:c>
      <x:c r="B74" s="118" t="n">
        <x:v>0.08</x:v>
      </x:c>
      <x:c r="C74" s="118"/>
      <x:c r="D74" s="118"/>
      <x:c r="E74" s="118"/>
      <x:c r="F74" s="118"/>
    </x:row>
    <x:row r="75" ht="15" hidden="0" customHeight="1">
      <x:c r="A75" s="118" t="str">
        <x:v>Sick grace % of feed window</x:v>
      </x:c>
      <x:c r="B75" s="118" t="n">
        <x:v>0.25</x:v>
      </x:c>
      <x:c r="C75" s="118"/>
      <x:c r="D75" s="118"/>
      <x:c r="E75" s="118"/>
      <x:c r="F75" s="118"/>
    </x:row>
    <x:row r="76" ht="15" hidden="0" customHeight="1">
      <x:c r="A76" s="118" t="str">
        <x:v>Minimum sick grace (hrs)</x:v>
      </x:c>
      <x:c r="B76" s="118" t="n">
        <x:v>0.5</x:v>
      </x:c>
      <x:c r="C76" s="118"/>
      <x:c r="D76" s="118"/>
      <x:c r="E76" s="118"/>
      <x:c r="F76" s="118"/>
    </x:row>
    <x:row r="77" ht="15" hidden="0" customHeight="1">
      <x:c r="A77" s="118" t="str">
        <x:v>Maximum sick grace (hrs)</x:v>
      </x:c>
      <x:c r="B77" s="118" t="n">
        <x:v>24</x:v>
      </x:c>
      <x:c r="C77" s="118"/>
      <x:c r="D77" s="118"/>
      <x:c r="E77" s="118"/>
      <x:c r="F77" s="118"/>
    </x:row>
    <x:row r="78" ht="15" hidden="0" customHeight="1">
      <x:c r="A78" s="118" t="str">
        <x:v>Daily quest XP pool % of next level</x:v>
      </x:c>
      <x:c r="B78" s="118" t="n">
        <x:v>0.1</x:v>
      </x:c>
      <x:c r="C78" s="118"/>
      <x:c r="D78" s="118"/>
      <x:c r="E78" s="118"/>
      <x:c r="F78" s="118"/>
    </x:row>
    <x:row r="79" ht="15" hidden="0" customHeight="1">
      <x:c r="A79" s="118" t="str">
        <x:v>Weekly quest XP pool % of next level</x:v>
      </x:c>
      <x:c r="B79" s="118" t="n">
        <x:v>0.45</x:v>
      </x:c>
      <x:c r="C79" s="118"/>
      <x:c r="D79" s="118"/>
      <x:c r="E79" s="118"/>
      <x:c r="F79" s="118"/>
    </x:row>
    <x:row r="80" ht="15" hidden="0" customHeight="1">
      <x:c r="A80" s="118" t="str">
        <x:v>Daily quest coins % of estimated daily income</x:v>
      </x:c>
      <x:c r="B80" s="118" t="n">
        <x:v>0.07</x:v>
      </x:c>
      <x:c r="C80" s="118"/>
      <x:c r="D80" s="118"/>
      <x:c r="E80" s="118"/>
      <x:c r="F80" s="118"/>
    </x:row>
    <x:row r="81" ht="15" hidden="0" customHeight="1">
      <x:c r="A81" s="118" t="str">
        <x:v>Core effective coin utilization of 24h</x:v>
      </x:c>
      <x:c r="B81" s="118" t="n">
        <x:v>0.08</x:v>
      </x:c>
      <x:c r="C81" s="118"/>
      <x:c r="D81" s="118"/>
      <x:c r="E81" s="118"/>
      <x:c r="F81" s="118"/>
    </x:row>
    <x:row r="82" ht="15" hidden="0" customHeight="1">
      <x:c r="A82" s="118" t="str">
        <x:v>Core effective XP utilization of 24h</x:v>
      </x:c>
      <x:c r="B82" s="118" t="n">
        <x:v>0.08</x:v>
      </x:c>
      <x:c r="C82" s="118"/>
      <x:c r="D82" s="118"/>
      <x:c r="E82" s="118"/>
      <x:c r="F82" s="118"/>
    </x:row>
    <x:row r="83" ht="15" hidden="0" customHeight="1">
      <x:c r="A83" s="118" t="str">
        <x:v>Recurring sink target % gross income</x:v>
      </x:c>
      <x:c r="B83" s="118" t="n">
        <x:v>0.12</x:v>
      </x:c>
      <x:c r="C83" s="118"/>
      <x:c r="D83" s="118"/>
      <x:c r="E83" s="118"/>
      <x:c r="F83" s="118"/>
    </x:row>
    <x:row r="84" ht="15" hidden="0" customHeight="1">
      <x:c r="A84" s="118"/>
      <x:c r="B84" s="118"/>
      <x:c r="C84" s="118"/>
      <x:c r="D84" s="118"/>
      <x:c r="E84" s="118"/>
      <x:c r="F84" s="118"/>
    </x:row>
    <x:row r="85" ht="26.399999618530273" hidden="0" customHeight="1">
      <x:c r="A85" s="102" t="str">
        <x:v>SCHEDULE FACTORS — long fish lower hourly rate, higher convenience/action value</x:v>
      </x:c>
      <x:c r="B85" s="102"/>
      <x:c r="C85" s="102"/>
      <x:c r="D85" s="102"/>
      <x:c r="E85" s="102"/>
      <x:c r="F85" s="102"/>
    </x:row>
    <x:row r="86" ht="15" hidden="0" customHeight="1">
      <x:c r="A86" s="118" t="str">
        <x:v>Stage hrs &gt;=</x:v>
      </x:c>
      <x:c r="B86" s="118" t="str">
        <x:v>Band</x:v>
      </x:c>
      <x:c r="C86" s="118" t="str">
        <x:v>Coin Factor</x:v>
      </x:c>
      <x:c r="D86" s="118" t="str">
        <x:v>XP Factor</x:v>
      </x:c>
      <x:c r="E86" s="118"/>
      <x:c r="F86" s="118"/>
    </x:row>
    <x:row r="87" ht="15" hidden="0" customHeight="1">
      <x:c r="A87" s="118" t="n">
        <x:v>0</x:v>
      </x:c>
      <x:c r="B87" s="118" t="str">
        <x:v>Flash / 5 min</x:v>
      </x:c>
      <x:c r="C87" s="118" t="n">
        <x:v>1</x:v>
      </x:c>
      <x:c r="D87" s="118" t="n">
        <x:v>1</x:v>
      </x:c>
      <x:c r="E87" s="118"/>
      <x:c r="F87" s="118"/>
    </x:row>
    <x:row r="88" ht="15" hidden="0" customHeight="1">
      <x:c r="A88" s="118" t="n">
        <x:v>0.5</x:v>
      </x:c>
      <x:c r="B88" s="118" t="str">
        <x:v>Quick / 30 min</x:v>
      </x:c>
      <x:c r="C88" s="118" t="n">
        <x:v>0.38</x:v>
      </x:c>
      <x:c r="D88" s="118" t="n">
        <x:v>0.5</x:v>
      </x:c>
      <x:c r="E88" s="118"/>
      <x:c r="F88" s="118"/>
    </x:row>
    <x:row r="89" ht="26.399999618530273" hidden="0" customHeight="1">
      <x:c r="A89" s="118" t="n">
        <x:v>2</x:v>
      </x:c>
      <x:c r="B89" s="118" t="str">
        <x:v>Short session / 2 h</x:v>
      </x:c>
      <x:c r="C89" s="118" t="n">
        <x:v>0.24</x:v>
      </x:c>
      <x:c r="D89" s="118" t="n">
        <x:v>0.42</x:v>
      </x:c>
      <x:c r="E89" s="118"/>
      <x:c r="F89" s="118"/>
    </x:row>
    <x:row r="90" ht="15" hidden="0" customHeight="1">
      <x:c r="A90" s="118" t="n">
        <x:v>4</x:v>
      </x:c>
      <x:c r="B90" s="118" t="str">
        <x:v>Session / 4-5 h</x:v>
      </x:c>
      <x:c r="C90" s="118" t="n">
        <x:v>0.105</x:v>
      </x:c>
      <x:c r="D90" s="118" t="n">
        <x:v>0.16</x:v>
      </x:c>
      <x:c r="E90" s="118"/>
      <x:c r="F90" s="118"/>
    </x:row>
    <x:row r="91" ht="15" hidden="0" customHeight="1">
      <x:c r="A91" s="118" t="n">
        <x:v>6</x:v>
      </x:c>
      <x:c r="B91" s="118" t="str">
        <x:v>Long session / 6 h</x:v>
      </x:c>
      <x:c r="C91" s="118" t="n">
        <x:v>0.1</x:v>
      </x:c>
      <x:c r="D91" s="118" t="n">
        <x:v>0.15</x:v>
      </x:c>
      <x:c r="E91" s="118"/>
      <x:c r="F91" s="118"/>
    </x:row>
    <x:row r="92" ht="15" hidden="0" customHeight="1">
      <x:c r="A92" s="118" t="n">
        <x:v>8</x:v>
      </x:c>
      <x:c r="B92" s="118" t="str">
        <x:v>Half-day / 8-10 h</x:v>
      </x:c>
      <x:c r="C92" s="118" t="n">
        <x:v>0.09</x:v>
      </x:c>
      <x:c r="D92" s="118" t="n">
        <x:v>0.14</x:v>
      </x:c>
      <x:c r="E92" s="118"/>
      <x:c r="F92" s="118"/>
    </x:row>
    <x:row r="93" ht="26.399999618530273" hidden="0" customHeight="1">
      <x:c r="A93" s="118" t="n">
        <x:v>12</x:v>
      </x:c>
      <x:c r="B93" s="118" t="str">
        <x:v>Daily window / 12-20 h</x:v>
      </x:c>
      <x:c r="C93" s="118" t="n">
        <x:v>0.065</x:v>
      </x:c>
      <x:c r="D93" s="118" t="n">
        <x:v>0.13</x:v>
      </x:c>
      <x:c r="E93" s="118"/>
      <x:c r="F93" s="118"/>
    </x:row>
    <x:row r="94" ht="15" hidden="0" customHeight="1">
      <x:c r="A94" s="118" t="n">
        <x:v>24</x:v>
      </x:c>
      <x:c r="B94" s="118" t="str">
        <x:v>Overnight / 24 h</x:v>
      </x:c>
      <x:c r="C94" s="118" t="n">
        <x:v>0.055</x:v>
      </x:c>
      <x:c r="D94" s="118" t="n">
        <x:v>0.12</x:v>
      </x:c>
      <x:c r="E94" s="118"/>
      <x:c r="F94" s="118"/>
    </x:row>
    <x:row r="95" ht="15" hidden="0" customHeight="1">
      <x:c r="A95" s="118" t="n">
        <x:v>36</x:v>
      </x:c>
      <x:c r="B95" s="118" t="str">
        <x:v>Marathon / 36 h</x:v>
      </x:c>
      <x:c r="C95" s="118" t="n">
        <x:v>0.07</x:v>
      </x:c>
      <x:c r="D95" s="118" t="n">
        <x:v>0.11</x:v>
      </x:c>
      <x:c r="E95" s="118"/>
      <x:c r="F95" s="118"/>
    </x:row>
    <x:row r="96" ht="15" hidden="0" customHeight="1">
      <x:c r="A96" s="118" t="n">
        <x:v>48</x:v>
      </x:c>
      <x:c r="B96" s="118" t="str">
        <x:v>Marathon+ / 48 h</x:v>
      </x:c>
      <x:c r="C96" s="118" t="n">
        <x:v>0.075</x:v>
      </x:c>
      <x:c r="D96" s="118" t="n">
        <x:v>0.1</x:v>
      </x:c>
      <x:c r="E96" s="118"/>
      <x:c r="F96" s="118"/>
    </x:row>
    <x:row r="97" ht="15" hidden="0" customHeight="1">
      <x:c r="A97" s="118"/>
      <x:c r="B97" s="118"/>
      <x:c r="C97" s="118"/>
      <x:c r="D97" s="118"/>
      <x:c r="E97" s="118"/>
      <x:c r="F97" s="118"/>
    </x:row>
    <x:row r="98" ht="26.399999618530273" hidden="0" customHeight="1">
      <x:c r="A98" s="102" t="str">
        <x:v>ROLE ECONOMIC WEIGHTS — rarity budget is split by role, never applied fully to both coins and XP</x:v>
      </x:c>
      <x:c r="B98" s="102"/>
      <x:c r="C98" s="102"/>
      <x:c r="D98" s="102"/>
      <x:c r="E98" s="102"/>
      <x:c r="F98" s="102"/>
    </x:row>
    <x:row r="99" ht="15" hidden="0" customHeight="1">
      <x:c r="A99" s="118" t="str">
        <x:v>Role</x:v>
      </x:c>
      <x:c r="B99" s="118" t="str">
        <x:v>Coin Weight</x:v>
      </x:c>
      <x:c r="C99" s="118" t="str">
        <x:v>XP Weight</x:v>
      </x:c>
      <x:c r="D99" s="118" t="str">
        <x:v>Rarity Coin Share</x:v>
      </x:c>
      <x:c r="E99" s="118" t="str">
        <x:v>Rarity XP Share</x:v>
      </x:c>
      <x:c r="F99" s="118" t="str">
        <x:v>Design Intent</x:v>
      </x:c>
    </x:row>
    <x:row r="100" ht="15" hidden="0" customHeight="1">
      <x:c r="A100" s="118" t="str">
        <x:v>Starter</x:v>
      </x:c>
      <x:c r="B100" s="118" t="n">
        <x:v>1</x:v>
      </x:c>
      <x:c r="C100" s="118" t="n">
        <x:v>1</x:v>
      </x:c>
      <x:c r="D100" s="118" t="n">
        <x:v>0</x:v>
      </x:c>
      <x:c r="E100" s="118" t="n">
        <x:v>0</x:v>
      </x:c>
      <x:c r="F100" s="118" t="str">
        <x:v>Exact early FishVille-like tutorial baseline</x:v>
      </x:c>
    </x:row>
    <x:row r="101" ht="15" hidden="0" customHeight="1">
      <x:c r="A101" s="118" t="str">
        <x:v>Balanced</x:v>
      </x:c>
      <x:c r="B101" s="118" t="n">
        <x:v>1</x:v>
      </x:c>
      <x:c r="C101" s="118" t="n">
        <x:v>1</x:v>
      </x:c>
      <x:c r="D101" s="118" t="n">
        <x:v>0.25</x:v>
      </x:c>
      <x:c r="E101" s="118" t="n">
        <x:v>0.25</x:v>
      </x:c>
      <x:c r="F101" s="118" t="str">
        <x:v>Default session fish; never best at everything</x:v>
      </x:c>
    </x:row>
    <x:row r="102" ht="15" hidden="0" customHeight="1">
      <x:c r="A102" s="118" t="str">
        <x:v>Coin Specialist</x:v>
      </x:c>
      <x:c r="B102" s="118" t="n">
        <x:v>1.05</x:v>
      </x:c>
      <x:c r="C102" s="118" t="n">
        <x:v>0.9</x:v>
      </x:c>
      <x:c r="D102" s="118" t="n">
        <x:v>1</x:v>
      </x:c>
      <x:c r="E102" s="118" t="n">
        <x:v>0.1</x:v>
      </x:c>
      <x:c r="F102" s="118" t="str">
        <x:v>Higher coin output, weaker XP</x:v>
      </x:c>
    </x:row>
    <x:row r="103" ht="15" hidden="0" customHeight="1">
      <x:c r="A103" s="118" t="str">
        <x:v>XP Specialist</x:v>
      </x:c>
      <x:c r="B103" s="118" t="n">
        <x:v>0.9</x:v>
      </x:c>
      <x:c r="C103" s="118" t="n">
        <x:v>1.2</x:v>
      </x:c>
      <x:c r="D103" s="118" t="n">
        <x:v>0.1</x:v>
      </x:c>
      <x:c r="E103" s="118" t="n">
        <x:v>1</x:v>
      </x:c>
      <x:c r="F103" s="118" t="str">
        <x:v>Higher XP output, weaker coins</x:v>
      </x:c>
    </x:row>
    <x:row r="104" ht="15" hidden="0" customHeight="1">
      <x:c r="A104" s="118" t="str">
        <x:v>Payout</x:v>
      </x:c>
      <x:c r="B104" s="118" t="n">
        <x:v>1.05</x:v>
      </x:c>
      <x:c r="C104" s="118" t="n">
        <x:v>0.95</x:v>
      </x:c>
      <x:c r="D104" s="118" t="n">
        <x:v>0.75</x:v>
      </x:c>
      <x:c r="E104" s="118" t="n">
        <x:v>0.25</x:v>
      </x:c>
      <x:c r="F104" s="118" t="str">
        <x:v>Large individual harvests, not top hourly rate</x:v>
      </x:c>
    </x:row>
    <x:row r="105" ht="15" hidden="0" customHeight="1">
      <x:c r="A105" s="118" t="str">
        <x:v>Convenience</x:v>
      </x:c>
      <x:c r="B105" s="118" t="n">
        <x:v>0.95</x:v>
      </x:c>
      <x:c r="C105" s="118" t="n">
        <x:v>1.05</x:v>
      </x:c>
      <x:c r="D105" s="118" t="n">
        <x:v>0.1</x:v>
      </x:c>
      <x:c r="E105" s="118" t="n">
        <x:v>0.75</x:v>
      </x:c>
      <x:c r="F105" s="118" t="str">
        <x:v>Low attention, resilient, slightly better XP/action</x:v>
      </x:c>
    </x:row>
    <x:row r="106" ht="15" hidden="0" customHeight="1">
      <x:c r="A106" s="118" t="str">
        <x:v>Collection</x:v>
      </x:c>
      <x:c r="B106" s="118" t="n">
        <x:v>0.9</x:v>
      </x:c>
      <x:c r="C106" s="118" t="n">
        <x:v>1</x:v>
      </x:c>
      <x:c r="D106" s="118" t="n">
        <x:v>0.1</x:v>
      </x:c>
      <x:c r="E106" s="118" t="n">
        <x:v>0.3</x:v>
      </x:c>
      <x:c r="F106" s="118" t="str">
        <x:v>Completes chapters and aquarium sets</x:v>
      </x:c>
    </x:row>
    <x:row r="107" ht="15" hidden="0" customHeight="1">
      <x:c r="A107" s="118" t="str">
        <x:v>Prestige</x:v>
      </x:c>
      <x:c r="B107" s="118" t="n">
        <x:v>1</x:v>
      </x:c>
      <x:c r="C107" s="118" t="n">
        <x:v>1.05</x:v>
      </x:c>
      <x:c r="D107" s="118" t="n">
        <x:v>0.5</x:v>
      </x:c>
      <x:c r="E107" s="118" t="n">
        <x:v>0.5</x:v>
      </x:c>
      <x:c r="F107" s="118" t="str">
        <x:v>Beauty/capstone role with modest efficiency</x:v>
      </x:c>
    </x:row>
    <x:row r="108" ht="15" hidden="0" customHeight="1">
      <x:c r="A108" s="118"/>
      <x:c r="B108" s="118"/>
      <x:c r="C108" s="118"/>
      <x:c r="D108" s="118"/>
      <x:c r="E108" s="118"/>
      <x:c r="F108" s="118"/>
    </x:row>
    <x:row r="109" ht="39.599998474121094" hidden="0" customHeight="1">
      <x:c r="A109" s="102" t="str">
        <x:v>PREMIUM ROLE WEIGHTS — premium sells cosmetics, convenience and collection, not dominant F2P production</x:v>
      </x:c>
      <x:c r="B109" s="102"/>
      <x:c r="C109" s="102"/>
      <x:c r="D109" s="102"/>
      <x:c r="E109" s="102"/>
      <x:c r="F109" s="102"/>
    </x:row>
    <x:row r="110" ht="15" hidden="0" customHeight="1">
      <x:c r="A110" s="118" t="str">
        <x:v>Premium Role</x:v>
      </x:c>
      <x:c r="B110" s="118" t="str">
        <x:v>Coin Weight</x:v>
      </x:c>
      <x:c r="C110" s="118" t="str">
        <x:v>XP Weight</x:v>
      </x:c>
      <x:c r="D110" s="118"/>
      <x:c r="E110" s="118"/>
      <x:c r="F110" s="118" t="str">
        <x:v>Design Intent</x:v>
      </x:c>
    </x:row>
    <x:row r="111" ht="15" hidden="0" customHeight="1">
      <x:c r="A111" s="118" t="str">
        <x:v>Tutorial</x:v>
      </x:c>
      <x:c r="B111" s="118" t="n">
        <x:v>0.65</x:v>
      </x:c>
      <x:c r="C111" s="118" t="n">
        <x:v>1</x:v>
      </x:c>
      <x:c r="D111" s="118"/>
      <x:c r="E111" s="118"/>
      <x:c r="F111" s="118" t="str">
        <x:v>L2 one-time teaching purchase; no early coin arbitrage</x:v>
      </x:c>
    </x:row>
    <x:row r="112" ht="15" hidden="0" customHeight="1">
      <x:c r="A112" s="118" t="str">
        <x:v>Cosmetic</x:v>
      </x:c>
      <x:c r="B112" s="118" t="n">
        <x:v>0.9</x:v>
      </x:c>
      <x:c r="C112" s="118" t="n">
        <x:v>1.15</x:v>
      </x:c>
      <x:c r="D112" s="118"/>
      <x:c r="E112" s="118"/>
      <x:c r="F112" s="118" t="str">
        <x:v>Visual premium with moderate XP</x:v>
      </x:c>
    </x:row>
    <x:row r="113" ht="15" hidden="0" customHeight="1">
      <x:c r="A113" s="118" t="str">
        <x:v>XP Cosmetic</x:v>
      </x:c>
      <x:c r="B113" s="118" t="n">
        <x:v>0.75</x:v>
      </x:c>
      <x:c r="C113" s="118" t="n">
        <x:v>1.35</x:v>
      </x:c>
      <x:c r="D113" s="118"/>
      <x:c r="E113" s="118"/>
      <x:c r="F113" s="118" t="str">
        <x:v>Pays mainly in XP/collection progress</x:v>
      </x:c>
    </x:row>
    <x:row r="114" ht="15" hidden="0" customHeight="1">
      <x:c r="A114" s="118" t="str">
        <x:v>Convenience</x:v>
      </x:c>
      <x:c r="B114" s="118" t="n">
        <x:v>0.85</x:v>
      </x:c>
      <x:c r="C114" s="118" t="n">
        <x:v>1.1</x:v>
      </x:c>
      <x:c r="D114" s="118"/>
      <x:c r="E114" s="118"/>
      <x:c r="F114" s="118" t="str">
        <x:v>Lower attention premium</x:v>
      </x:c>
    </x:row>
    <x:row r="115" ht="15" hidden="0" customHeight="1">
      <x:c r="A115" s="118" t="str">
        <x:v>Prestige</x:v>
      </x:c>
      <x:c r="B115" s="118" t="n">
        <x:v>1</x:v>
      </x:c>
      <x:c r="C115" s="118" t="n">
        <x:v>1.2</x:v>
      </x:c>
      <x:c r="D115" s="118"/>
      <x:c r="E115" s="118"/>
      <x:c r="F115" s="118" t="str">
        <x:v>High-status fish without overwhelming coins</x:v>
      </x:c>
    </x:row>
    <x:row r="116" ht="15" hidden="0" customHeight="1">
      <x:c r="A116" s="118" t="str">
        <x:v>Capstone Trophy</x:v>
      </x:c>
      <x:c r="B116" s="118" t="n">
        <x:v>1.1</x:v>
      </x:c>
      <x:c r="C116" s="118" t="n">
        <x:v>1.25</x:v>
      </x:c>
      <x:c r="D116" s="118"/>
      <x:c r="E116" s="118"/>
      <x:c r="F116" s="118" t="str">
        <x:v>Late trophy; best premium but capped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7" hidden="0" customWidth="1"/>
    <x:col min="2" max="2" width="15" hidden="0" customWidth="1"/>
    <x:col min="3" max="3" width="12" hidden="0" customWidth="1"/>
    <x:col min="4" max="4" width="10" hidden="0" customWidth="1"/>
    <x:col min="5" max="5" width="8" hidden="0" customWidth="1"/>
    <x:col min="6" max="6" width="13" hidden="0" customWidth="1"/>
    <x:col min="7" max="7" width="16" hidden="0" customWidth="1"/>
    <x:col min="8" max="8" width="60" hidden="0" customWidth="1"/>
  </x:cols>
  <x:sheetData>
    <x:row r="1" ht="22.5" hidden="0" customHeight="1">
      <x:c r="A1" s="132" t="str">
        <x:v>PROPOSED XP CURVE — smoothed gates, formula-driven from Inputs</x:v>
      </x:c>
      <x:c r="B1" s="132"/>
      <x:c r="C1" s="132"/>
      <x:c r="D1" s="132"/>
      <x:c r="E1" s="132"/>
      <x:c r="F1" s="132"/>
      <x:c r="G1" s="132"/>
      <x:c r="H1" s="132"/>
    </x:row>
    <x:row r="2" ht="15" hidden="0" customHeight="1">
      <x:c r="A2" s="118"/>
      <x:c r="B2" s="118"/>
      <x:c r="C2" s="118"/>
      <x:c r="D2" s="118"/>
      <x:c r="E2" s="118"/>
      <x:c r="F2" s="118"/>
      <x:c r="G2" s="118"/>
      <x:c r="H2" s="118"/>
    </x:row>
    <x:row r="3" ht="26.399999618530273" hidden="0" customHeight="1">
      <x:c r="A3" s="88" t="str">
        <x:v>Level</x:v>
      </x:c>
      <x:c r="B3" s="88" t="str">
        <x:v>Ref Cumulative XP</x:v>
      </x:c>
      <x:c r="C3" s="88" t="str">
        <x:v>Ref Delta</x:v>
      </x:c>
      <x:c r="D3" s="88" t="str">
        <x:v>Pace Band</x:v>
      </x:c>
      <x:c r="E3" s="88" t="str">
        <x:v>Scale</x:v>
      </x:c>
      <x:c r="F3" s="88" t="str">
        <x:v>Proposed Delta</x:v>
      </x:c>
      <x:c r="G3" s="88" t="str">
        <x:v>Proposed Cumulative</x:v>
      </x:c>
      <x:c r="H3" s="88" t="str">
        <x:v>Unlock Beat (snapshot)</x:v>
      </x:c>
    </x:row>
    <x:row r="4" ht="15" hidden="0" customHeight="1">
      <x:c r="A4" s="118" t="n">
        <x:v>1</x:v>
      </x:c>
      <x:c r="B4" s="118" t="n">
        <x:v>0</x:v>
      </x:c>
      <x:c r="C4" s="118" t="n">
        <x:f>0</x:f>
        <x:v>0</x:v>
      </x:c>
      <x:c r="D4" s="118" t="str">
        <x:f>IF(A4&lt;=5,"Tutorial",IF(A4&lt;=10,"Early",IF(A4&lt;=20,"Habit",IF(A4&lt;=30,"Mid",IF(A4&lt;=40,"Advanced Launch","Post-launch")))))</x:f>
        <x:v>Tutorial</x:v>
      </x:c>
      <x:c r="E4" s="118" t="n">
        <x:f aca="0">IF(A4&lt;=10,Inputs!$B$14,IF(A4&lt;=18,Inputs!$B$14+(A4-10)*(Inputs!$B$15-Inputs!$B$14)/8,IF(A4&lt;=30,Inputs!$B$15,IF(A4&lt;=36,Inputs!$B$15+(A4-30)*(Inputs!$B$16-Inputs!$B$15)/6,Inputs!$B$16))))</x:f>
        <x:v>0.55</x:v>
      </x:c>
      <x:c r="F4" s="118" t="n">
        <x:f aca="0">ROUND(C4*E4,-1)</x:f>
        <x:v>0</x:v>
      </x:c>
      <x:c r="G4" s="118" t="n">
        <x:f>0</x:f>
        <x:v>0</x:v>
      </x:c>
      <x:c r="H4" s="118" t="str">
        <x:v>Neon Tetra (C); Guppy (C); Platy (C); Molly (C)</x:v>
      </x:c>
    </x:row>
    <x:row r="5" ht="15" hidden="0" customHeight="1">
      <x:c r="A5" s="118" t="n">
        <x:v>2</x:v>
      </x:c>
      <x:c r="B5" s="118" t="n">
        <x:v>140</x:v>
      </x:c>
      <x:c r="C5" s="118" t="n">
        <x:f aca="0">B5-B4</x:f>
        <x:v>140</x:v>
      </x:c>
      <x:c r="D5" s="118" t="str">
        <x:f>IF(A5&lt;=5,"Tutorial",IF(A5&lt;=10,"Early",IF(A5&lt;=20,"Habit",IF(A5&lt;=30,"Mid",IF(A5&lt;=40,"Advanced Launch","Post-launch")))))</x:f>
        <x:v>Tutorial</x:v>
      </x:c>
      <x:c r="E5" s="118" t="n">
        <x:f aca="0">IF(A5&lt;=10,Inputs!$B$14,IF(A5&lt;=18,Inputs!$B$14+(A5-10)*(Inputs!$B$15-Inputs!$B$14)/8,IF(A5&lt;=30,Inputs!$B$15,IF(A5&lt;=36,Inputs!$B$15+(A5-30)*(Inputs!$B$16-Inputs!$B$15)/6,Inputs!$B$16))))</x:f>
        <x:v>0.55</x:v>
      </x:c>
      <x:c r="F5" s="118" t="n">
        <x:f aca="0">ROUND(C5*E5,-1)</x:f>
        <x:v>80</x:v>
      </x:c>
      <x:c r="G5" s="118" t="n">
        <x:f aca="0">G4+F5</x:f>
        <x:v>80</x:v>
      </x:c>
      <x:c r="H5" s="118" t="str">
        <x:v>Zebra Danio (C); 1 Pearl tutorial grant; Bubble Eye Goldfish [one-time tutorial]</x:v>
      </x:c>
    </x:row>
    <x:row r="6" ht="15" hidden="0" customHeight="1">
      <x:c r="A6" s="118" t="n">
        <x:v>3</x:v>
      </x:c>
      <x:c r="B6" s="118" t="n">
        <x:v>480</x:v>
      </x:c>
      <x:c r="C6" s="118" t="n">
        <x:f aca="0">B6-B5</x:f>
        <x:v>340</x:v>
      </x:c>
      <x:c r="D6" s="118" t="str">
        <x:f>IF(A6&lt;=5,"Tutorial",IF(A6&lt;=10,"Early",IF(A6&lt;=20,"Habit",IF(A6&lt;=30,"Mid",IF(A6&lt;=40,"Advanced Launch","Post-launch")))))</x:f>
        <x:v>Tutorial</x:v>
      </x:c>
      <x:c r="E6" s="118" t="n">
        <x:f aca="0">IF(A6&lt;=10,Inputs!$B$14,IF(A6&lt;=18,Inputs!$B$14+(A6-10)*(Inputs!$B$15-Inputs!$B$14)/8,IF(A6&lt;=30,Inputs!$B$15,IF(A6&lt;=36,Inputs!$B$15+(A6-30)*(Inputs!$B$16-Inputs!$B$15)/6,Inputs!$B$16))))</x:f>
        <x:v>0.55</x:v>
      </x:c>
      <x:c r="F6" s="118" t="n">
        <x:f aca="0">ROUND(C6*E6,-1)</x:f>
        <x:v>190</x:v>
      </x:c>
      <x:c r="G6" s="118" t="n">
        <x:f aca="0">G5+F6</x:f>
        <x:v>270</x:v>
      </x:c>
      <x:c r="H6" s="118"/>
    </x:row>
    <x:row r="7" ht="15" hidden="0" customHeight="1">
      <x:c r="A7" s="118" t="n">
        <x:v>4</x:v>
      </x:c>
      <x:c r="B7" s="118" t="n">
        <x:v>1070</x:v>
      </x:c>
      <x:c r="C7" s="118" t="n">
        <x:f aca="0">B7-B6</x:f>
        <x:v>590</x:v>
      </x:c>
      <x:c r="D7" s="118" t="str">
        <x:f>IF(A7&lt;=5,"Tutorial",IF(A7&lt;=10,"Early",IF(A7&lt;=20,"Habit",IF(A7&lt;=30,"Mid",IF(A7&lt;=40,"Advanced Launch","Post-launch")))))</x:f>
        <x:v>Tutorial</x:v>
      </x:c>
      <x:c r="E7" s="118" t="n">
        <x:f aca="0">IF(A7&lt;=10,Inputs!$B$14,IF(A7&lt;=18,Inputs!$B$14+(A7-10)*(Inputs!$B$15-Inputs!$B$14)/8,IF(A7&lt;=30,Inputs!$B$15,IF(A7&lt;=36,Inputs!$B$15+(A7-30)*(Inputs!$B$16-Inputs!$B$15)/6,Inputs!$B$16))))</x:f>
        <x:v>0.55</x:v>
      </x:c>
      <x:c r="F7" s="118" t="n">
        <x:f aca="0">ROUND(C7*E7,-1)</x:f>
        <x:v>320</x:v>
      </x:c>
      <x:c r="G7" s="118" t="n">
        <x:f aca="0">G6+F7</x:f>
        <x:v>590</x:v>
      </x:c>
      <x:c r="H7" s="118" t="str">
        <x:v>Ember Tetra (C); Medium Tank 1</x:v>
      </x:c>
    </x:row>
    <x:row r="8" ht="15" hidden="0" customHeight="1">
      <x:c r="A8" s="118" t="n">
        <x:v>5</x:v>
      </x:c>
      <x:c r="B8" s="118" t="n">
        <x:v>1990</x:v>
      </x:c>
      <x:c r="C8" s="118" t="n">
        <x:f aca="0">B8-B7</x:f>
        <x:v>920</x:v>
      </x:c>
      <x:c r="D8" s="118" t="str">
        <x:f>IF(A8&lt;=5,"Tutorial",IF(A8&lt;=10,"Early",IF(A8&lt;=20,"Habit",IF(A8&lt;=30,"Mid",IF(A8&lt;=40,"Advanced Launch","Post-launch")))))</x:f>
        <x:v>Tutorial</x:v>
      </x:c>
      <x:c r="E8" s="118" t="n">
        <x:f aca="0">IF(A8&lt;=10,Inputs!$B$14,IF(A8&lt;=18,Inputs!$B$14+(A8-10)*(Inputs!$B$15-Inputs!$B$14)/8,IF(A8&lt;=30,Inputs!$B$15,IF(A8&lt;=36,Inputs!$B$15+(A8-30)*(Inputs!$B$16-Inputs!$B$15)/6,Inputs!$B$16))))</x:f>
        <x:v>0.55</x:v>
      </x:c>
      <x:c r="F8" s="118" t="n">
        <x:f aca="0">ROUND(C8*E8,-1)</x:f>
        <x:v>510</x:v>
      </x:c>
      <x:c r="G8" s="118" t="n">
        <x:f aca="0">G7+F8</x:f>
        <x:v>1100</x:v>
      </x:c>
      <x:c r="H8" s="118" t="str">
        <x:v>Koi [Pearls]</x:v>
      </x:c>
    </x:row>
    <x:row r="9" ht="15" hidden="0" customHeight="1">
      <x:c r="A9" s="118" t="n">
        <x:v>6</x:v>
      </x:c>
      <x:c r="B9" s="118" t="n">
        <x:v>3250</x:v>
      </x:c>
      <x:c r="C9" s="118" t="n">
        <x:f aca="0">B9-B8</x:f>
        <x:v>1260</x:v>
      </x:c>
      <x:c r="D9" s="118" t="str">
        <x:f>IF(A9&lt;=5,"Tutorial",IF(A9&lt;=10,"Early",IF(A9&lt;=20,"Habit",IF(A9&lt;=30,"Mid",IF(A9&lt;=40,"Advanced Launch","Post-launch")))))</x:f>
        <x:v>Early</x:v>
      </x:c>
      <x:c r="E9" s="118" t="n">
        <x:f aca="0">IF(A9&lt;=10,Inputs!$B$14,IF(A9&lt;=18,Inputs!$B$14+(A9-10)*(Inputs!$B$15-Inputs!$B$14)/8,IF(A9&lt;=30,Inputs!$B$15,IF(A9&lt;=36,Inputs!$B$15+(A9-30)*(Inputs!$B$16-Inputs!$B$15)/6,Inputs!$B$16))))</x:f>
        <x:v>0.55</x:v>
      </x:c>
      <x:c r="F9" s="118" t="n">
        <x:f aca="0">ROUND(C9*E9,-1)</x:f>
        <x:v>690</x:v>
      </x:c>
      <x:c r="G9" s="118" t="n">
        <x:f aca="0">G8+F9</x:f>
        <x:v>1790</x:v>
      </x:c>
      <x:c r="H9" s="118" t="str">
        <x:v>Harlequin Rasbora (C)</x:v>
      </x:c>
    </x:row>
    <x:row r="10" ht="15" hidden="0" customHeight="1">
      <x:c r="A10" s="118" t="n">
        <x:v>7</x:v>
      </x:c>
      <x:c r="B10" s="118" t="n">
        <x:v>5040</x:v>
      </x:c>
      <x:c r="C10" s="118" t="n">
        <x:f aca="0">B10-B9</x:f>
        <x:v>1790</x:v>
      </x:c>
      <x:c r="D10" s="118" t="str">
        <x:f>IF(A10&lt;=5,"Tutorial",IF(A10&lt;=10,"Early",IF(A10&lt;=20,"Habit",IF(A10&lt;=30,"Mid",IF(A10&lt;=40,"Advanced Launch","Post-launch")))))</x:f>
        <x:v>Early</x:v>
      </x:c>
      <x:c r="E10" s="118" t="n">
        <x:f aca="0">IF(A10&lt;=10,Inputs!$B$14,IF(A10&lt;=18,Inputs!$B$14+(A10-10)*(Inputs!$B$15-Inputs!$B$14)/8,IF(A10&lt;=30,Inputs!$B$15,IF(A10&lt;=36,Inputs!$B$15+(A10-30)*(Inputs!$B$16-Inputs!$B$15)/6,Inputs!$B$16))))</x:f>
        <x:v>0.55</x:v>
      </x:c>
      <x:c r="F10" s="118" t="n">
        <x:f aca="0">ROUND(C10*E10,-1)</x:f>
        <x:v>980</x:v>
      </x:c>
      <x:c r="G10" s="118" t="n">
        <x:f aca="0">G9+F10</x:f>
        <x:v>2770</x:v>
      </x:c>
      <x:c r="H10" s="118" t="str">
        <x:v>Tank 2 unlock</x:v>
      </x:c>
    </x:row>
    <x:row r="11" ht="15" hidden="0" customHeight="1">
      <x:c r="A11" s="118" t="n">
        <x:v>8</x:v>
      </x:c>
      <x:c r="B11" s="118" t="n">
        <x:v>7430</x:v>
      </x:c>
      <x:c r="C11" s="118" t="n">
        <x:f aca="0">B11-B10</x:f>
        <x:v>2390</x:v>
      </x:c>
      <x:c r="D11" s="118" t="str">
        <x:f>IF(A11&lt;=5,"Tutorial",IF(A11&lt;=10,"Early",IF(A11&lt;=20,"Habit",IF(A11&lt;=30,"Mid",IF(A11&lt;=40,"Advanced Launch","Post-launch")))))</x:f>
        <x:v>Early</x:v>
      </x:c>
      <x:c r="E11" s="118" t="n">
        <x:f aca="0">IF(A11&lt;=10,Inputs!$B$14,IF(A11&lt;=18,Inputs!$B$14+(A11-10)*(Inputs!$B$15-Inputs!$B$14)/8,IF(A11&lt;=30,Inputs!$B$15,IF(A11&lt;=36,Inputs!$B$15+(A11-30)*(Inputs!$B$16-Inputs!$B$15)/6,Inputs!$B$16))))</x:f>
        <x:v>0.55</x:v>
      </x:c>
      <x:c r="F11" s="118" t="n">
        <x:f aca="0">ROUND(C11*E11,-1)</x:f>
        <x:v>1310</x:v>
      </x:c>
      <x:c r="G11" s="118" t="n">
        <x:f aca="0">G10+F11</x:f>
        <x:v>4080</x:v>
      </x:c>
      <x:c r="H11" s="118" t="str">
        <x:v>Green Chromis (U); Platinum Betta [Pearls]</x:v>
      </x:c>
    </x:row>
    <x:row r="12" ht="15" hidden="0" customHeight="1">
      <x:c r="A12" s="118" t="n">
        <x:v>9</x:v>
      </x:c>
      <x:c r="B12" s="118" t="n">
        <x:v>10570</x:v>
      </x:c>
      <x:c r="C12" s="118" t="n">
        <x:f aca="0">B12-B11</x:f>
        <x:v>3140</x:v>
      </x:c>
      <x:c r="D12" s="118" t="str">
        <x:f>IF(A12&lt;=5,"Tutorial",IF(A12&lt;=10,"Early",IF(A12&lt;=20,"Habit",IF(A12&lt;=30,"Mid",IF(A12&lt;=40,"Advanced Launch","Post-launch")))))</x:f>
        <x:v>Early</x:v>
      </x:c>
      <x:c r="E12" s="118" t="n">
        <x:f aca="0">IF(A12&lt;=10,Inputs!$B$14,IF(A12&lt;=18,Inputs!$B$14+(A12-10)*(Inputs!$B$15-Inputs!$B$14)/8,IF(A12&lt;=30,Inputs!$B$15,IF(A12&lt;=36,Inputs!$B$15+(A12-30)*(Inputs!$B$16-Inputs!$B$15)/6,Inputs!$B$16))))</x:f>
        <x:v>0.55</x:v>
      </x:c>
      <x:c r="F12" s="118" t="n">
        <x:f aca="0">ROUND(C12*E12,-1)</x:f>
        <x:v>1730</x:v>
      </x:c>
      <x:c r="G12" s="118" t="n">
        <x:f aca="0">G11+F12</x:f>
        <x:v>5810</x:v>
      </x:c>
      <x:c r="H12" s="118"/>
    </x:row>
    <x:row r="13" ht="15" hidden="0" customHeight="1">
      <x:c r="A13" s="118" t="n">
        <x:v>10</x:v>
      </x:c>
      <x:c r="B13" s="118" t="n">
        <x:v>14610</x:v>
      </x:c>
      <x:c r="C13" s="118" t="n">
        <x:f aca="0">B13-B12</x:f>
        <x:v>4040</x:v>
      </x:c>
      <x:c r="D13" s="118" t="str">
        <x:f>IF(A13&lt;=5,"Tutorial",IF(A13&lt;=10,"Early",IF(A13&lt;=20,"Habit",IF(A13&lt;=30,"Mid",IF(A13&lt;=40,"Advanced Launch","Post-launch")))))</x:f>
        <x:v>Early</x:v>
      </x:c>
      <x:c r="E13" s="118" t="n">
        <x:f aca="0">IF(A13&lt;=10,Inputs!$B$14,IF(A13&lt;=18,Inputs!$B$14+(A13-10)*(Inputs!$B$15-Inputs!$B$14)/8,IF(A13&lt;=30,Inputs!$B$15,IF(A13&lt;=36,Inputs!$B$15+(A13-30)*(Inputs!$B$16-Inputs!$B$15)/6,Inputs!$B$16))))</x:f>
        <x:v>0.55</x:v>
      </x:c>
      <x:c r="F13" s="118" t="n">
        <x:f aca="0">ROUND(C13*E13,-1)</x:f>
        <x:v>2220</x:v>
      </x:c>
      <x:c r="G13" s="118" t="n">
        <x:f aca="0">G12+F13</x:f>
        <x:v>8030</x:v>
      </x:c>
      <x:c r="H13" s="118" t="str">
        <x:v>Mandarin Dragonet [Pearls]; Large Tank 1</x:v>
      </x:c>
    </x:row>
    <x:row r="14" ht="15" hidden="0" customHeight="1">
      <x:c r="A14" s="118" t="n">
        <x:v>11</x:v>
      </x:c>
      <x:c r="B14" s="118" t="n">
        <x:v>19700</x:v>
      </x:c>
      <x:c r="C14" s="118" t="n">
        <x:f aca="0">B14-B13</x:f>
        <x:v>5090</x:v>
      </x:c>
      <x:c r="D14" s="118" t="str">
        <x:f>IF(A14&lt;=5,"Tutorial",IF(A14&lt;=10,"Early",IF(A14&lt;=20,"Habit",IF(A14&lt;=30,"Mid",IF(A14&lt;=40,"Advanced Launch","Post-launch")))))</x:f>
        <x:v>Habit</x:v>
      </x:c>
      <x:c r="E14" s="118" t="n">
        <x:f aca="0">IF(A14&lt;=10,Inputs!$B$14,IF(A14&lt;=18,Inputs!$B$14+(A14-10)*(Inputs!$B$15-Inputs!$B$14)/8,IF(A14&lt;=30,Inputs!$B$15,IF(A14&lt;=36,Inputs!$B$15+(A14-30)*(Inputs!$B$16-Inputs!$B$15)/6,Inputs!$B$16))))</x:f>
        <x:v>0.5687500000000001</x:v>
      </x:c>
      <x:c r="F14" s="118" t="n">
        <x:f aca="0">ROUND(C14*E14,-1)</x:f>
        <x:v>2890</x:v>
      </x:c>
      <x:c r="G14" s="118" t="n">
        <x:f aca="0">G13+F14</x:f>
        <x:v>10920</x:v>
      </x:c>
      <x:c r="H14" s="118" t="str">
        <x:v>Pajama Cardinalfish (U)</x:v>
      </x:c>
    </x:row>
    <x:row r="15" ht="15" hidden="0" customHeight="1">
      <x:c r="A15" s="118" t="n">
        <x:v>12</x:v>
      </x:c>
      <x:c r="B15" s="118" t="n">
        <x:v>25990</x:v>
      </x:c>
      <x:c r="C15" s="118" t="n">
        <x:f aca="0">B15-B14</x:f>
        <x:v>6290</x:v>
      </x:c>
      <x:c r="D15" s="118" t="str">
        <x:f>IF(A15&lt;=5,"Tutorial",IF(A15&lt;=10,"Early",IF(A15&lt;=20,"Habit",IF(A15&lt;=30,"Mid",IF(A15&lt;=40,"Advanced Launch","Post-launch")))))</x:f>
        <x:v>Habit</x:v>
      </x:c>
      <x:c r="E15" s="118" t="n">
        <x:f aca="0">IF(A15&lt;=10,Inputs!$B$14,IF(A15&lt;=18,Inputs!$B$14+(A15-10)*(Inputs!$B$15-Inputs!$B$14)/8,IF(A15&lt;=30,Inputs!$B$15,IF(A15&lt;=36,Inputs!$B$15+(A15-30)*(Inputs!$B$16-Inputs!$B$15)/6,Inputs!$B$16))))</x:f>
        <x:v>0.5875</x:v>
      </x:c>
      <x:c r="F15" s="118" t="n">
        <x:f aca="0">ROUND(C15*E15,-1)</x:f>
        <x:v>3700</x:v>
      </x:c>
      <x:c r="G15" s="118" t="n">
        <x:f aca="0">G14+F15</x:f>
        <x:v>14620</x:v>
      </x:c>
      <x:c r="H15" s="118" t="str">
        <x:v>Pearl Gourami (C); Axolotl [Pearls]</x:v>
      </x:c>
    </x:row>
    <x:row r="16" ht="15" hidden="0" customHeight="1">
      <x:c r="A16" s="118" t="n">
        <x:v>13</x:v>
      </x:c>
      <x:c r="B16" s="118" t="n">
        <x:v>33630</x:v>
      </x:c>
      <x:c r="C16" s="118" t="n">
        <x:f aca="0">B16-B15</x:f>
        <x:v>7640</x:v>
      </x:c>
      <x:c r="D16" s="118" t="str">
        <x:f>IF(A16&lt;=5,"Tutorial",IF(A16&lt;=10,"Early",IF(A16&lt;=20,"Habit",IF(A16&lt;=30,"Mid",IF(A16&lt;=40,"Advanced Launch","Post-launch")))))</x:f>
        <x:v>Habit</x:v>
      </x:c>
      <x:c r="E16" s="118" t="n">
        <x:f aca="0">IF(A16&lt;=10,Inputs!$B$14,IF(A16&lt;=18,Inputs!$B$14+(A16-10)*(Inputs!$B$15-Inputs!$B$14)/8,IF(A16&lt;=30,Inputs!$B$15,IF(A16&lt;=36,Inputs!$B$15+(A16-30)*(Inputs!$B$16-Inputs!$B$15)/6,Inputs!$B$16))))</x:f>
        <x:v>0.60625</x:v>
      </x:c>
      <x:c r="F16" s="118" t="n">
        <x:f aca="0">ROUND(C16*E16,-1)</x:f>
        <x:v>4630</x:v>
      </x:c>
      <x:c r="G16" s="118" t="n">
        <x:f aca="0">G15+F16</x:f>
        <x:v>19250</x:v>
      </x:c>
      <x:c r="H16" s="118" t="str">
        <x:v>Medium Tank 2</x:v>
      </x:c>
    </x:row>
    <x:row r="17" ht="15" hidden="0" customHeight="1">
      <x:c r="A17" s="118" t="n">
        <x:v>14</x:v>
      </x:c>
      <x:c r="B17" s="118" t="n">
        <x:v>42770</x:v>
      </x:c>
      <x:c r="C17" s="118" t="n">
        <x:f aca="0">B17-B16</x:f>
        <x:v>9140</x:v>
      </x:c>
      <x:c r="D17" s="118" t="str">
        <x:f>IF(A17&lt;=5,"Tutorial",IF(A17&lt;=10,"Early",IF(A17&lt;=20,"Habit",IF(A17&lt;=30,"Mid",IF(A17&lt;=40,"Advanced Launch","Post-launch")))))</x:f>
        <x:v>Habit</x:v>
      </x:c>
      <x:c r="E17" s="118" t="n">
        <x:f aca="0">IF(A17&lt;=10,Inputs!$B$14,IF(A17&lt;=18,Inputs!$B$14+(A17-10)*(Inputs!$B$15-Inputs!$B$14)/8,IF(A17&lt;=30,Inputs!$B$15,IF(A17&lt;=36,Inputs!$B$15+(A17-30)*(Inputs!$B$16-Inputs!$B$15)/6,Inputs!$B$16))))</x:f>
        <x:v>0.625</x:v>
      </x:c>
      <x:c r="F17" s="118" t="n">
        <x:f aca="0">ROUND(C17*E17,-1)</x:f>
        <x:v>5710</x:v>
      </x:c>
      <x:c r="G17" s="118" t="n">
        <x:f aca="0">G16+F17</x:f>
        <x:v>24960</x:v>
      </x:c>
      <x:c r="H17" s="118" t="str">
        <x:v>Sixline Wrasse (U)</x:v>
      </x:c>
    </x:row>
    <x:row r="18" ht="15" hidden="0" customHeight="1">
      <x:c r="A18" s="118" t="n">
        <x:v>15</x:v>
      </x:c>
      <x:c r="B18" s="118" t="n">
        <x:v>53560</x:v>
      </x:c>
      <x:c r="C18" s="118" t="n">
        <x:f aca="0">B18-B17</x:f>
        <x:v>10790</x:v>
      </x:c>
      <x:c r="D18" s="118" t="str">
        <x:f>IF(A18&lt;=5,"Tutorial",IF(A18&lt;=10,"Early",IF(A18&lt;=20,"Habit",IF(A18&lt;=30,"Mid",IF(A18&lt;=40,"Advanced Launch","Post-launch")))))</x:f>
        <x:v>Habit</x:v>
      </x:c>
      <x:c r="E18" s="118" t="n">
        <x:f aca="0">IF(A18&lt;=10,Inputs!$B$14,IF(A18&lt;=18,Inputs!$B$14+(A18-10)*(Inputs!$B$15-Inputs!$B$14)/8,IF(A18&lt;=30,Inputs!$B$15,IF(A18&lt;=36,Inputs!$B$15+(A18-30)*(Inputs!$B$16-Inputs!$B$15)/6,Inputs!$B$16))))</x:f>
        <x:v>0.64375</x:v>
      </x:c>
      <x:c r="F18" s="118" t="n">
        <x:f aca="0">ROUND(C18*E18,-1)</x:f>
        <x:v>6950</x:v>
      </x:c>
      <x:c r="G18" s="118" t="n">
        <x:f aca="0">G17+F18</x:f>
        <x:v>31910</x:v>
      </x:c>
      <x:c r="H18" s="118" t="str">
        <x:v>Shy Hamlet (U)</x:v>
      </x:c>
    </x:row>
    <x:row r="19" ht="15" hidden="0" customHeight="1">
      <x:c r="A19" s="118" t="n">
        <x:v>16</x:v>
      </x:c>
      <x:c r="B19" s="118" t="n">
        <x:v>66150</x:v>
      </x:c>
      <x:c r="C19" s="118" t="n">
        <x:f aca="0">B19-B18</x:f>
        <x:v>12590</x:v>
      </x:c>
      <x:c r="D19" s="118" t="str">
        <x:f>IF(A19&lt;=5,"Tutorial",IF(A19&lt;=10,"Early",IF(A19&lt;=20,"Habit",IF(A19&lt;=30,"Mid",IF(A19&lt;=40,"Advanced Launch","Post-launch")))))</x:f>
        <x:v>Habit</x:v>
      </x:c>
      <x:c r="E19" s="118" t="n">
        <x:f aca="0">IF(A19&lt;=10,Inputs!$B$14,IF(A19&lt;=18,Inputs!$B$14+(A19-10)*(Inputs!$B$15-Inputs!$B$14)/8,IF(A19&lt;=30,Inputs!$B$15,IF(A19&lt;=36,Inputs!$B$15+(A19-30)*(Inputs!$B$16-Inputs!$B$15)/6,Inputs!$B$16))))</x:f>
        <x:v>0.6625</x:v>
      </x:c>
      <x:c r="F19" s="118" t="n">
        <x:f aca="0">ROUND(C19*E19,-1)</x:f>
        <x:v>8340</x:v>
      </x:c>
      <x:c r="G19" s="118" t="n">
        <x:f aca="0">G18+F19</x:f>
        <x:v>40250</x:v>
      </x:c>
      <x:c r="H19" s="118" t="str">
        <x:v>Hawaiian Hogfish (U); Flashlight Fish [Pearls]; Tank 3 unlock</x:v>
      </x:c>
    </x:row>
    <x:row r="20" ht="15" hidden="0" customHeight="1">
      <x:c r="A20" s="118" t="n">
        <x:v>17</x:v>
      </x:c>
      <x:c r="B20" s="118" t="n">
        <x:v>80690</x:v>
      </x:c>
      <x:c r="C20" s="118" t="n">
        <x:f aca="0">B20-B19</x:f>
        <x:v>14540</x:v>
      </x:c>
      <x:c r="D20" s="118" t="str">
        <x:f>IF(A20&lt;=5,"Tutorial",IF(A20&lt;=10,"Early",IF(A20&lt;=20,"Habit",IF(A20&lt;=30,"Mid",IF(A20&lt;=40,"Advanced Launch","Post-launch")))))</x:f>
        <x:v>Habit</x:v>
      </x:c>
      <x:c r="E20" s="118" t="n">
        <x:f aca="0">IF(A20&lt;=10,Inputs!$B$14,IF(A20&lt;=18,Inputs!$B$14+(A20-10)*(Inputs!$B$15-Inputs!$B$14)/8,IF(A20&lt;=30,Inputs!$B$15,IF(A20&lt;=36,Inputs!$B$15+(A20-30)*(Inputs!$B$16-Inputs!$B$15)/6,Inputs!$B$16))))</x:f>
        <x:v>0.6812499999999999</x:v>
      </x:c>
      <x:c r="F20" s="118" t="n">
        <x:f aca="0">ROUND(C20*E20,-1)</x:f>
        <x:v>9910</x:v>
      </x:c>
      <x:c r="G20" s="118" t="n">
        <x:f aca="0">G19+F20</x:f>
        <x:v>50160</x:v>
      </x:c>
      <x:c r="H20" s="118" t="str">
        <x:v>Scooter Blenny (U)</x:v>
      </x:c>
    </x:row>
    <x:row r="21" ht="15" hidden="0" customHeight="1">
      <x:c r="A21" s="118" t="n">
        <x:v>18</x:v>
      </x:c>
      <x:c r="B21" s="118" t="n">
        <x:v>97330</x:v>
      </x:c>
      <x:c r="C21" s="118" t="n">
        <x:f aca="0">B21-B20</x:f>
        <x:v>16640</x:v>
      </x:c>
      <x:c r="D21" s="118" t="str">
        <x:f>IF(A21&lt;=5,"Tutorial",IF(A21&lt;=10,"Early",IF(A21&lt;=20,"Habit",IF(A21&lt;=30,"Mid",IF(A21&lt;=40,"Advanced Launch","Post-launch")))))</x:f>
        <x:v>Habit</x:v>
      </x:c>
      <x:c r="E21" s="118" t="n">
        <x:f aca="0">IF(A21&lt;=10,Inputs!$B$14,IF(A21&lt;=18,Inputs!$B$14+(A21-10)*(Inputs!$B$15-Inputs!$B$14)/8,IF(A21&lt;=30,Inputs!$B$15,IF(A21&lt;=36,Inputs!$B$15+(A21-30)*(Inputs!$B$16-Inputs!$B$15)/6,Inputs!$B$16))))</x:f>
        <x:v>0.7</x:v>
      </x:c>
      <x:c r="F21" s="118" t="n">
        <x:f aca="0">ROUND(C21*E21,-1)</x:f>
        <x:v>11650</x:v>
      </x:c>
      <x:c r="G21" s="118" t="n">
        <x:f aca="0">G20+F21</x:f>
        <x:v>61810</x:v>
      </x:c>
      <x:c r="H21" s="118"/>
    </x:row>
    <x:row r="22" ht="15" hidden="0" customHeight="1">
      <x:c r="A22" s="118" t="n">
        <x:v>19</x:v>
      </x:c>
      <x:c r="B22" s="118" t="n">
        <x:v>116220</x:v>
      </x:c>
      <x:c r="C22" s="118" t="n">
        <x:f aca="0">B22-B21</x:f>
        <x:v>18890</x:v>
      </x:c>
      <x:c r="D22" s="118" t="str">
        <x:f>IF(A22&lt;=5,"Tutorial",IF(A22&lt;=10,"Early",IF(A22&lt;=20,"Habit",IF(A22&lt;=30,"Mid",IF(A22&lt;=40,"Advanced Launch","Post-launch")))))</x:f>
        <x:v>Habit</x:v>
      </x:c>
      <x:c r="E22" s="118" t="n">
        <x:f aca="0">IF(A22&lt;=10,Inputs!$B$14,IF(A22&lt;=18,Inputs!$B$14+(A22-10)*(Inputs!$B$15-Inputs!$B$14)/8,IF(A22&lt;=30,Inputs!$B$15,IF(A22&lt;=36,Inputs!$B$15+(A22-30)*(Inputs!$B$16-Inputs!$B$15)/6,Inputs!$B$16))))</x:f>
        <x:v>0.7</x:v>
      </x:c>
      <x:c r="F22" s="118" t="n">
        <x:f aca="0">ROUND(C22*E22,-1)</x:f>
        <x:v>13220</x:v>
      </x:c>
      <x:c r="G22" s="118" t="n">
        <x:f aca="0">G21+F22</x:f>
        <x:v>75030</x:v>
      </x:c>
      <x:c r="H22" s="118" t="str">
        <x:v>Large Tank 2</x:v>
      </x:c>
    </x:row>
    <x:row r="23" ht="15" hidden="0" customHeight="1">
      <x:c r="A23" s="118" t="n">
        <x:v>20</x:v>
      </x:c>
      <x:c r="B23" s="118" t="n">
        <x:v>137510</x:v>
      </x:c>
      <x:c r="C23" s="118" t="n">
        <x:f aca="0">B23-B22</x:f>
        <x:v>21290</x:v>
      </x:c>
      <x:c r="D23" s="118" t="str">
        <x:f>IF(A23&lt;=5,"Tutorial",IF(A23&lt;=10,"Early",IF(A23&lt;=20,"Habit",IF(A23&lt;=30,"Mid",IF(A23&lt;=40,"Advanced Launch","Post-launch")))))</x:f>
        <x:v>Habit</x:v>
      </x:c>
      <x:c r="E23" s="118" t="n">
        <x:f aca="0">IF(A23&lt;=10,Inputs!$B$14,IF(A23&lt;=18,Inputs!$B$14+(A23-10)*(Inputs!$B$15-Inputs!$B$14)/8,IF(A23&lt;=30,Inputs!$B$15,IF(A23&lt;=36,Inputs!$B$15+(A23-30)*(Inputs!$B$16-Inputs!$B$15)/6,Inputs!$B$16))))</x:f>
        <x:v>0.7</x:v>
      </x:c>
      <x:c r="F23" s="118" t="n">
        <x:f aca="0">ROUND(C23*E23,-1)</x:f>
        <x:v>14900</x:v>
      </x:c>
      <x:c r="G23" s="118" t="n">
        <x:f aca="0">G22+F23</x:f>
        <x:v>89930</x:v>
      </x:c>
      <x:c r="H23" s="118" t="str">
        <x:v>Ocellaris Clownfish (U); Golden Arowana [Pearls]</x:v>
      </x:c>
    </x:row>
    <x:row r="24" ht="15" hidden="0" customHeight="1">
      <x:c r="A24" s="118" t="n">
        <x:v>21</x:v>
      </x:c>
      <x:c r="B24" s="118" t="n">
        <x:v>161350</x:v>
      </x:c>
      <x:c r="C24" s="118" t="n">
        <x:f aca="0">B24-B23</x:f>
        <x:v>23840</x:v>
      </x:c>
      <x:c r="D24" s="118" t="str">
        <x:f>IF(A24&lt;=5,"Tutorial",IF(A24&lt;=10,"Early",IF(A24&lt;=20,"Habit",IF(A24&lt;=30,"Mid",IF(A24&lt;=40,"Advanced Launch","Post-launch")))))</x:f>
        <x:v>Mid</x:v>
      </x:c>
      <x:c r="E24" s="118" t="n">
        <x:f aca="0">IF(A24&lt;=10,Inputs!$B$14,IF(A24&lt;=18,Inputs!$B$14+(A24-10)*(Inputs!$B$15-Inputs!$B$14)/8,IF(A24&lt;=30,Inputs!$B$15,IF(A24&lt;=36,Inputs!$B$15+(A24-30)*(Inputs!$B$16-Inputs!$B$15)/6,Inputs!$B$16))))</x:f>
        <x:v>0.7</x:v>
      </x:c>
      <x:c r="F24" s="118" t="n">
        <x:f aca="0">ROUND(C24*E24,-1)</x:f>
        <x:v>16690</x:v>
      </x:c>
      <x:c r="G24" s="118" t="n">
        <x:f aca="0">G23+F24</x:f>
        <x:v>106620</x:v>
      </x:c>
      <x:c r="H24" s="118"/>
    </x:row>
    <x:row r="25" ht="15" hidden="0" customHeight="1">
      <x:c r="A25" s="118" t="n">
        <x:v>22</x:v>
      </x:c>
      <x:c r="B25" s="118" t="n">
        <x:v>187890</x:v>
      </x:c>
      <x:c r="C25" s="118" t="n">
        <x:f aca="0">B25-B24</x:f>
        <x:v>26540</x:v>
      </x:c>
      <x:c r="D25" s="118" t="str">
        <x:f>IF(A25&lt;=5,"Tutorial",IF(A25&lt;=10,"Early",IF(A25&lt;=20,"Habit",IF(A25&lt;=30,"Mid",IF(A25&lt;=40,"Advanced Launch","Post-launch")))))</x:f>
        <x:v>Mid</x:v>
      </x:c>
      <x:c r="E25" s="118" t="n">
        <x:f aca="0">IF(A25&lt;=10,Inputs!$B$14,IF(A25&lt;=18,Inputs!$B$14+(A25-10)*(Inputs!$B$15-Inputs!$B$14)/8,IF(A25&lt;=30,Inputs!$B$15,IF(A25&lt;=36,Inputs!$B$15+(A25-30)*(Inputs!$B$16-Inputs!$B$15)/6,Inputs!$B$16))))</x:f>
        <x:v>0.7</x:v>
      </x:c>
      <x:c r="F25" s="118" t="n">
        <x:f aca="0">ROUND(C25*E25,-1)</x:f>
        <x:v>18580</x:v>
      </x:c>
      <x:c r="G25" s="118" t="n">
        <x:f aca="0">G24+F25</x:f>
        <x:v>125200</x:v>
      </x:c>
      <x:c r="H25" s="118" t="str">
        <x:v>Yellow Tang (R); Medium Tank 3</x:v>
      </x:c>
    </x:row>
    <x:row r="26" ht="15" hidden="0" customHeight="1">
      <x:c r="A26" s="118" t="n">
        <x:v>23</x:v>
      </x:c>
      <x:c r="B26" s="118" t="n">
        <x:v>217280</x:v>
      </x:c>
      <x:c r="C26" s="118" t="n">
        <x:f aca="0">B26-B25</x:f>
        <x:v>29390</x:v>
      </x:c>
      <x:c r="D26" s="118" t="str">
        <x:f>IF(A26&lt;=5,"Tutorial",IF(A26&lt;=10,"Early",IF(A26&lt;=20,"Habit",IF(A26&lt;=30,"Mid",IF(A26&lt;=40,"Advanced Launch","Post-launch")))))</x:f>
        <x:v>Mid</x:v>
      </x:c>
      <x:c r="E26" s="118" t="n">
        <x:f aca="0">IF(A26&lt;=10,Inputs!$B$14,IF(A26&lt;=18,Inputs!$B$14+(A26-10)*(Inputs!$B$15-Inputs!$B$14)/8,IF(A26&lt;=30,Inputs!$B$15,IF(A26&lt;=36,Inputs!$B$15+(A26-30)*(Inputs!$B$16-Inputs!$B$15)/6,Inputs!$B$16))))</x:f>
        <x:v>0.7</x:v>
      </x:c>
      <x:c r="F26" s="118" t="n">
        <x:f aca="0">ROUND(C26*E26,-1)</x:f>
        <x:v>20570</x:v>
      </x:c>
      <x:c r="G26" s="118" t="n">
        <x:f aca="0">G25+F26</x:f>
        <x:v>145770</x:v>
      </x:c>
      <x:c r="H26" s="118"/>
    </x:row>
    <x:row r="27" ht="15" hidden="0" customHeight="1">
      <x:c r="A27" s="118" t="n">
        <x:v>24</x:v>
      </x:c>
      <x:c r="B27" s="118" t="n">
        <x:v>249670</x:v>
      </x:c>
      <x:c r="C27" s="118" t="n">
        <x:f aca="0">B27-B26</x:f>
        <x:v>32390</x:v>
      </x:c>
      <x:c r="D27" s="118" t="str">
        <x:f>IF(A27&lt;=5,"Tutorial",IF(A27&lt;=10,"Early",IF(A27&lt;=20,"Habit",IF(A27&lt;=30,"Mid",IF(A27&lt;=40,"Advanced Launch","Post-launch")))))</x:f>
        <x:v>Mid</x:v>
      </x:c>
      <x:c r="E27" s="118" t="n">
        <x:f aca="0">IF(A27&lt;=10,Inputs!$B$14,IF(A27&lt;=18,Inputs!$B$14+(A27-10)*(Inputs!$B$15-Inputs!$B$14)/8,IF(A27&lt;=30,Inputs!$B$15,IF(A27&lt;=36,Inputs!$B$15+(A27-30)*(Inputs!$B$16-Inputs!$B$15)/6,Inputs!$B$16))))</x:f>
        <x:v>0.7</x:v>
      </x:c>
      <x:c r="F27" s="118" t="n">
        <x:f aca="0">ROUND(C27*E27,-1)</x:f>
        <x:v>22670</x:v>
      </x:c>
      <x:c r="G27" s="118" t="n">
        <x:f aca="0">G26+F27</x:f>
        <x:v>168440</x:v>
      </x:c>
      <x:c r="H27" s="118" t="str">
        <x:v>Banggai Cardinalfish (R)</x:v>
      </x:c>
    </x:row>
    <x:row r="28" ht="15" hidden="0" customHeight="1">
      <x:c r="A28" s="118" t="n">
        <x:v>25</x:v>
      </x:c>
      <x:c r="B28" s="118" t="n">
        <x:v>285210</x:v>
      </x:c>
      <x:c r="C28" s="118" t="n">
        <x:f aca="0">B28-B27</x:f>
        <x:v>35540</x:v>
      </x:c>
      <x:c r="D28" s="118" t="str">
        <x:f>IF(A28&lt;=5,"Tutorial",IF(A28&lt;=10,"Early",IF(A28&lt;=20,"Habit",IF(A28&lt;=30,"Mid",IF(A28&lt;=40,"Advanced Launch","Post-launch")))))</x:f>
        <x:v>Mid</x:v>
      </x:c>
      <x:c r="E28" s="118" t="n">
        <x:f aca="0">IF(A28&lt;=10,Inputs!$B$14,IF(A28&lt;=18,Inputs!$B$14+(A28-10)*(Inputs!$B$15-Inputs!$B$14)/8,IF(A28&lt;=30,Inputs!$B$15,IF(A28&lt;=36,Inputs!$B$15+(A28-30)*(Inputs!$B$16-Inputs!$B$15)/6,Inputs!$B$16))))</x:f>
        <x:v>0.7</x:v>
      </x:c>
      <x:c r="F28" s="118" t="n">
        <x:f aca="0">ROUND(C28*E28,-1)</x:f>
        <x:v>24880</x:v>
      </x:c>
      <x:c r="G28" s="118" t="n">
        <x:f aca="0">G27+F28</x:f>
        <x:v>193320</x:v>
      </x:c>
      <x:c r="H28" s="118" t="str">
        <x:v>Peppermint Angelfish [Pearls]; Tank 4 unlock</x:v>
      </x:c>
    </x:row>
    <x:row r="29" ht="15" hidden="0" customHeight="1">
      <x:c r="A29" s="118" t="n">
        <x:v>26</x:v>
      </x:c>
      <x:c r="B29" s="118" t="n">
        <x:v>324050</x:v>
      </x:c>
      <x:c r="C29" s="118" t="n">
        <x:f aca="0">B29-B28</x:f>
        <x:v>38840</x:v>
      </x:c>
      <x:c r="D29" s="118" t="str">
        <x:f>IF(A29&lt;=5,"Tutorial",IF(A29&lt;=10,"Early",IF(A29&lt;=20,"Habit",IF(A29&lt;=30,"Mid",IF(A29&lt;=40,"Advanced Launch","Post-launch")))))</x:f>
        <x:v>Mid</x:v>
      </x:c>
      <x:c r="E29" s="118" t="n">
        <x:f aca="0">IF(A29&lt;=10,Inputs!$B$14,IF(A29&lt;=18,Inputs!$B$14+(A29-10)*(Inputs!$B$15-Inputs!$B$14)/8,IF(A29&lt;=30,Inputs!$B$15,IF(A29&lt;=36,Inputs!$B$15+(A29-30)*(Inputs!$B$16-Inputs!$B$15)/6,Inputs!$B$16))))</x:f>
        <x:v>0.7</x:v>
      </x:c>
      <x:c r="F29" s="118" t="n">
        <x:f aca="0">ROUND(C29*E29,-1)</x:f>
        <x:v>27190</x:v>
      </x:c>
      <x:c r="G29" s="118" t="n">
        <x:f aca="0">G28+F29</x:f>
        <x:v>220510</x:v>
      </x:c>
      <x:c r="H29" s="118" t="str">
        <x:v>Coral Beauty (R)</x:v>
      </x:c>
    </x:row>
    <x:row r="30" ht="15" hidden="0" customHeight="1">
      <x:c r="A30" s="118" t="n">
        <x:v>27</x:v>
      </x:c>
      <x:c r="B30" s="118" t="n">
        <x:v>366340</x:v>
      </x:c>
      <x:c r="C30" s="118" t="n">
        <x:f aca="0">B30-B29</x:f>
        <x:v>42290</x:v>
      </x:c>
      <x:c r="D30" s="118" t="str">
        <x:f>IF(A30&lt;=5,"Tutorial",IF(A30&lt;=10,"Early",IF(A30&lt;=20,"Habit",IF(A30&lt;=30,"Mid",IF(A30&lt;=40,"Advanced Launch","Post-launch")))))</x:f>
        <x:v>Mid</x:v>
      </x:c>
      <x:c r="E30" s="118" t="n">
        <x:f aca="0">IF(A30&lt;=10,Inputs!$B$14,IF(A30&lt;=18,Inputs!$B$14+(A30-10)*(Inputs!$B$15-Inputs!$B$14)/8,IF(A30&lt;=30,Inputs!$B$15,IF(A30&lt;=36,Inputs!$B$15+(A30-30)*(Inputs!$B$16-Inputs!$B$15)/6,Inputs!$B$16))))</x:f>
        <x:v>0.7</x:v>
      </x:c>
      <x:c r="F30" s="118" t="n">
        <x:f aca="0">ROUND(C30*E30,-1)</x:f>
        <x:v>29600</x:v>
      </x:c>
      <x:c r="G30" s="118" t="n">
        <x:f aca="0">G29+F30</x:f>
        <x:v>250110</x:v>
      </x:c>
      <x:c r="H30" s="118"/>
    </x:row>
    <x:row r="31" ht="15" hidden="0" customHeight="1">
      <x:c r="A31" s="118" t="n">
        <x:v>28</x:v>
      </x:c>
      <x:c r="B31" s="118" t="n">
        <x:v>412230</x:v>
      </x:c>
      <x:c r="C31" s="118" t="n">
        <x:f aca="0">B31-B30</x:f>
        <x:v>45890</x:v>
      </x:c>
      <x:c r="D31" s="118" t="str">
        <x:f>IF(A31&lt;=5,"Tutorial",IF(A31&lt;=10,"Early",IF(A31&lt;=20,"Habit",IF(A31&lt;=30,"Mid",IF(A31&lt;=40,"Advanced Launch","Post-launch")))))</x:f>
        <x:v>Mid</x:v>
      </x:c>
      <x:c r="E31" s="118" t="n">
        <x:f aca="0">IF(A31&lt;=10,Inputs!$B$14,IF(A31&lt;=18,Inputs!$B$14+(A31-10)*(Inputs!$B$15-Inputs!$B$14)/8,IF(A31&lt;=30,Inputs!$B$15,IF(A31&lt;=36,Inputs!$B$15+(A31-30)*(Inputs!$B$16-Inputs!$B$15)/6,Inputs!$B$16))))</x:f>
        <x:v>0.7</x:v>
      </x:c>
      <x:c r="F31" s="118" t="n">
        <x:f aca="0">ROUND(C31*E31,-1)</x:f>
        <x:v>32120</x:v>
      </x:c>
      <x:c r="G31" s="118" t="n">
        <x:f aca="0">G30+F31</x:f>
        <x:v>282230</x:v>
      </x:c>
      <x:c r="H31" s="118" t="str">
        <x:v>Large Tank 3</x:v>
      </x:c>
    </x:row>
    <x:row r="32" ht="15" hidden="0" customHeight="1">
      <x:c r="A32" s="118" t="n">
        <x:v>29</x:v>
      </x:c>
      <x:c r="B32" s="118" t="n">
        <x:v>461870</x:v>
      </x:c>
      <x:c r="C32" s="118" t="n">
        <x:f aca="0">B32-B31</x:f>
        <x:v>49640</x:v>
      </x:c>
      <x:c r="D32" s="118" t="str">
        <x:f>IF(A32&lt;=5,"Tutorial",IF(A32&lt;=10,"Early",IF(A32&lt;=20,"Habit",IF(A32&lt;=30,"Mid",IF(A32&lt;=40,"Advanced Launch","Post-launch")))))</x:f>
        <x:v>Mid</x:v>
      </x:c>
      <x:c r="E32" s="118" t="n">
        <x:f aca="0">IF(A32&lt;=10,Inputs!$B$14,IF(A32&lt;=18,Inputs!$B$14+(A32-10)*(Inputs!$B$15-Inputs!$B$14)/8,IF(A32&lt;=30,Inputs!$B$15,IF(A32&lt;=36,Inputs!$B$15+(A32-30)*(Inputs!$B$16-Inputs!$B$15)/6,Inputs!$B$16))))</x:f>
        <x:v>0.7</x:v>
      </x:c>
      <x:c r="F32" s="118" t="n">
        <x:f aca="0">ROUND(C32*E32,-1)</x:f>
        <x:v>34750</x:v>
      </x:c>
      <x:c r="G32" s="118" t="n">
        <x:f aca="0">G31+F32</x:f>
        <x:v>316980</x:v>
      </x:c>
      <x:c r="H32" s="118" t="str">
        <x:v>Flame Angelfish (R)</x:v>
      </x:c>
    </x:row>
    <x:row r="33" ht="15" hidden="0" customHeight="1">
      <x:c r="A33" s="118" t="n">
        <x:v>30</x:v>
      </x:c>
      <x:c r="B33" s="118" t="n">
        <x:v>515410</x:v>
      </x:c>
      <x:c r="C33" s="118" t="n">
        <x:f aca="0">B33-B32</x:f>
        <x:v>53540</x:v>
      </x:c>
      <x:c r="D33" s="118" t="str">
        <x:f>IF(A33&lt;=5,"Tutorial",IF(A33&lt;=10,"Early",IF(A33&lt;=20,"Habit",IF(A33&lt;=30,"Mid",IF(A33&lt;=40,"Advanced Launch","Post-launch")))))</x:f>
        <x:v>Mid</x:v>
      </x:c>
      <x:c r="E33" s="118" t="n">
        <x:f aca="0">IF(A33&lt;=10,Inputs!$B$14,IF(A33&lt;=18,Inputs!$B$14+(A33-10)*(Inputs!$B$15-Inputs!$B$14)/8,IF(A33&lt;=30,Inputs!$B$15,IF(A33&lt;=36,Inputs!$B$15+(A33-30)*(Inputs!$B$16-Inputs!$B$15)/6,Inputs!$B$16))))</x:f>
        <x:v>0.7</x:v>
      </x:c>
      <x:c r="F33" s="118" t="n">
        <x:f aca="0">ROUND(C33*E33,-1)</x:f>
        <x:v>37480</x:v>
      </x:c>
      <x:c r="G33" s="118" t="n">
        <x:f aca="0">G32+F33</x:f>
        <x:v>354460</x:v>
      </x:c>
      <x:c r="H33" s="118" t="str">
        <x:v>Longhorn Cowfish (R)</x:v>
      </x:c>
    </x:row>
    <x:row r="34" ht="26.399999618530273" hidden="0" customHeight="1">
      <x:c r="A34" s="118" t="n">
        <x:v>31</x:v>
      </x:c>
      <x:c r="B34" s="118" t="n">
        <x:v>573000</x:v>
      </x:c>
      <x:c r="C34" s="118" t="n">
        <x:f aca="0">B34-B33</x:f>
        <x:v>57590</x:v>
      </x:c>
      <x:c r="D34" s="118" t="str">
        <x:f>IF(A34&lt;=5,"Tutorial",IF(A34&lt;=10,"Early",IF(A34&lt;=20,"Habit",IF(A34&lt;=30,"Mid",IF(A34&lt;=40,"Advanced Launch","Post-launch")))))</x:f>
        <x:v>Advanced Launch</x:v>
      </x:c>
      <x:c r="E34" s="118" t="n">
        <x:f aca="0">IF(A34&lt;=10,Inputs!$B$14,IF(A34&lt;=18,Inputs!$B$14+(A34-10)*(Inputs!$B$15-Inputs!$B$14)/8,IF(A34&lt;=30,Inputs!$B$15,IF(A34&lt;=36,Inputs!$B$15+(A34-30)*(Inputs!$B$16-Inputs!$B$15)/6,Inputs!$B$16))))</x:f>
        <x:v>0.725</x:v>
      </x:c>
      <x:c r="F34" s="118" t="n">
        <x:f aca="0">ROUND(C34*E34,-1)</x:f>
        <x:v>41750</x:v>
      </x:c>
      <x:c r="G34" s="118" t="n">
        <x:f aca="0">G33+F34</x:f>
        <x:v>396210</x:v>
      </x:c>
      <x:c r="H34" s="118" t="str">
        <x:v>Medium Tank 4</x:v>
      </x:c>
    </x:row>
    <x:row r="35" ht="26.399999618530273" hidden="0" customHeight="1">
      <x:c r="A35" s="118" t="n">
        <x:v>32</x:v>
      </x:c>
      <x:c r="B35" s="118" t="n">
        <x:v>634790</x:v>
      </x:c>
      <x:c r="C35" s="118" t="n">
        <x:f aca="0">B35-B34</x:f>
        <x:v>61790</x:v>
      </x:c>
      <x:c r="D35" s="118" t="str">
        <x:f>IF(A35&lt;=5,"Tutorial",IF(A35&lt;=10,"Early",IF(A35&lt;=20,"Habit",IF(A35&lt;=30,"Mid",IF(A35&lt;=40,"Advanced Launch","Post-launch")))))</x:f>
        <x:v>Advanced Launch</x:v>
      </x:c>
      <x:c r="E35" s="118" t="n">
        <x:f aca="0">IF(A35&lt;=10,Inputs!$B$14,IF(A35&lt;=18,Inputs!$B$14+(A35-10)*(Inputs!$B$15-Inputs!$B$14)/8,IF(A35&lt;=30,Inputs!$B$15,IF(A35&lt;=36,Inputs!$B$15+(A35-30)*(Inputs!$B$16-Inputs!$B$15)/6,Inputs!$B$16))))</x:f>
        <x:v>0.75</x:v>
      </x:c>
      <x:c r="F35" s="118" t="n">
        <x:f aca="0">ROUND(C35*E35,-1)</x:f>
        <x:v>46340</x:v>
      </x:c>
      <x:c r="G35" s="118" t="n">
        <x:f aca="0">G34+F35</x:f>
        <x:v>442550</x:v>
      </x:c>
      <x:c r="H35" s="118" t="str">
        <x:v>Foxface Rabbitfish (R)</x:v>
      </x:c>
    </x:row>
    <x:row r="36" ht="26.399999618530273" hidden="0" customHeight="1">
      <x:c r="A36" s="118" t="n">
        <x:v>33</x:v>
      </x:c>
      <x:c r="B36" s="118" t="n">
        <x:v>700930</x:v>
      </x:c>
      <x:c r="C36" s="118" t="n">
        <x:f aca="0">B36-B35</x:f>
        <x:v>66140</x:v>
      </x:c>
      <x:c r="D36" s="118" t="str">
        <x:f>IF(A36&lt;=5,"Tutorial",IF(A36&lt;=10,"Early",IF(A36&lt;=20,"Habit",IF(A36&lt;=30,"Mid",IF(A36&lt;=40,"Advanced Launch","Post-launch")))))</x:f>
        <x:v>Advanced Launch</x:v>
      </x:c>
      <x:c r="E36" s="118" t="n">
        <x:f aca="0">IF(A36&lt;=10,Inputs!$B$14,IF(A36&lt;=18,Inputs!$B$14+(A36-10)*(Inputs!$B$15-Inputs!$B$14)/8,IF(A36&lt;=30,Inputs!$B$15,IF(A36&lt;=36,Inputs!$B$15+(A36-30)*(Inputs!$B$16-Inputs!$B$15)/6,Inputs!$B$16))))</x:f>
        <x:v>0.7749999999999999</x:v>
      </x:c>
      <x:c r="F36" s="118" t="n">
        <x:f aca="0">ROUND(C36*E36,-1)</x:f>
        <x:v>51260</x:v>
      </x:c>
      <x:c r="G36" s="118" t="n">
        <x:f aca="0">G35+F36</x:f>
        <x:v>493810</x:v>
      </x:c>
      <x:c r="H36" s="118" t="str">
        <x:v>Picasso Triggerfish (R)</x:v>
      </x:c>
    </x:row>
    <x:row r="37" ht="26.399999618530273" hidden="0" customHeight="1">
      <x:c r="A37" s="118" t="n">
        <x:v>34</x:v>
      </x:c>
      <x:c r="B37" s="118" t="n">
        <x:v>771570</x:v>
      </x:c>
      <x:c r="C37" s="118" t="n">
        <x:f aca="0">B37-B36</x:f>
        <x:v>70640</x:v>
      </x:c>
      <x:c r="D37" s="118" t="str">
        <x:f>IF(A37&lt;=5,"Tutorial",IF(A37&lt;=10,"Early",IF(A37&lt;=20,"Habit",IF(A37&lt;=30,"Mid",IF(A37&lt;=40,"Advanced Launch","Post-launch")))))</x:f>
        <x:v>Advanced Launch</x:v>
      </x:c>
      <x:c r="E37" s="118" t="n">
        <x:f aca="0">IF(A37&lt;=10,Inputs!$B$14,IF(A37&lt;=18,Inputs!$B$14+(A37-10)*(Inputs!$B$15-Inputs!$B$14)/8,IF(A37&lt;=30,Inputs!$B$15,IF(A37&lt;=36,Inputs!$B$15+(A37-30)*(Inputs!$B$16-Inputs!$B$15)/6,Inputs!$B$16))))</x:f>
        <x:v>0.7999999999999999</x:v>
      </x:c>
      <x:c r="F37" s="118" t="n">
        <x:f aca="0">ROUND(C37*E37,-1)</x:f>
        <x:v>56510</x:v>
      </x:c>
      <x:c r="G37" s="118" t="n">
        <x:f aca="0">G36+F37</x:f>
        <x:v>550320</x:v>
      </x:c>
      <x:c r="H37" s="118" t="str">
        <x:v>Tank 5 unlock</x:v>
      </x:c>
    </x:row>
    <x:row r="38" ht="26.399999618530273" hidden="0" customHeight="1">
      <x:c r="A38" s="118" t="n">
        <x:v>35</x:v>
      </x:c>
      <x:c r="B38" s="118" t="n">
        <x:v>846860</x:v>
      </x:c>
      <x:c r="C38" s="118" t="n">
        <x:f aca="0">B38-B37</x:f>
        <x:v>75290</x:v>
      </x:c>
      <x:c r="D38" s="118" t="str">
        <x:f>IF(A38&lt;=5,"Tutorial",IF(A38&lt;=10,"Early",IF(A38&lt;=20,"Habit",IF(A38&lt;=30,"Mid",IF(A38&lt;=40,"Advanced Launch","Post-launch")))))</x:f>
        <x:v>Advanced Launch</x:v>
      </x:c>
      <x:c r="E38" s="118" t="n">
        <x:f aca="0">IF(A38&lt;=10,Inputs!$B$14,IF(A38&lt;=18,Inputs!$B$14+(A38-10)*(Inputs!$B$15-Inputs!$B$14)/8,IF(A38&lt;=30,Inputs!$B$15,IF(A38&lt;=36,Inputs!$B$15+(A38-30)*(Inputs!$B$16-Inputs!$B$15)/6,Inputs!$B$16))))</x:f>
        <x:v>0.825</x:v>
      </x:c>
      <x:c r="F38" s="118" t="n">
        <x:f aca="0">ROUND(C38*E38,-1)</x:f>
        <x:v>62110</x:v>
      </x:c>
      <x:c r="G38" s="118" t="n">
        <x:f aca="0">G37+F38</x:f>
        <x:v>612430</x:v>
      </x:c>
      <x:c r="H38" s="118" t="str">
        <x:v>Discus (R); Black Diamond Stingray [Pearls]</x:v>
      </x:c>
    </x:row>
    <x:row r="39" ht="26.399999618530273" hidden="0" customHeight="1">
      <x:c r="A39" s="118" t="n">
        <x:v>36</x:v>
      </x:c>
      <x:c r="B39" s="118" t="n">
        <x:v>926950</x:v>
      </x:c>
      <x:c r="C39" s="118" t="n">
        <x:f aca="0">B39-B38</x:f>
        <x:v>80090</x:v>
      </x:c>
      <x:c r="D39" s="118" t="str">
        <x:f>IF(A39&lt;=5,"Tutorial",IF(A39&lt;=10,"Early",IF(A39&lt;=20,"Habit",IF(A39&lt;=30,"Mid",IF(A39&lt;=40,"Advanced Launch","Post-launch")))))</x:f>
        <x:v>Advanced Launch</x:v>
      </x:c>
      <x:c r="E39" s="118" t="n">
        <x:f aca="0">IF(A39&lt;=10,Inputs!$B$14,IF(A39&lt;=18,Inputs!$B$14+(A39-10)*(Inputs!$B$15-Inputs!$B$14)/8,IF(A39&lt;=30,Inputs!$B$15,IF(A39&lt;=36,Inputs!$B$15+(A39-30)*(Inputs!$B$16-Inputs!$B$15)/6,Inputs!$B$16))))</x:f>
        <x:v>0.85</x:v>
      </x:c>
      <x:c r="F39" s="118" t="n">
        <x:f aca="0">ROUND(C39*E39,-1)</x:f>
        <x:v>68080</x:v>
      </x:c>
      <x:c r="G39" s="118" t="n">
        <x:f aca="0">G38+F39</x:f>
        <x:v>680510</x:v>
      </x:c>
      <x:c r="H39" s="118" t="str">
        <x:v>Moorish Idol (E)</x:v>
      </x:c>
    </x:row>
    <x:row r="40" ht="26.399999618530273" hidden="0" customHeight="1">
      <x:c r="A40" s="118" t="n">
        <x:v>37</x:v>
      </x:c>
      <x:c r="B40" s="118" t="n">
        <x:v>1011990</x:v>
      </x:c>
      <x:c r="C40" s="118" t="n">
        <x:f aca="0">B40-B39</x:f>
        <x:v>85040</x:v>
      </x:c>
      <x:c r="D40" s="118" t="str">
        <x:f>IF(A40&lt;=5,"Tutorial",IF(A40&lt;=10,"Early",IF(A40&lt;=20,"Habit",IF(A40&lt;=30,"Mid",IF(A40&lt;=40,"Advanced Launch","Post-launch")))))</x:f>
        <x:v>Advanced Launch</x:v>
      </x:c>
      <x:c r="E40" s="118" t="n">
        <x:f aca="0">IF(A40&lt;=10,Inputs!$B$14,IF(A40&lt;=18,Inputs!$B$14+(A40-10)*(Inputs!$B$15-Inputs!$B$14)/8,IF(A40&lt;=30,Inputs!$B$15,IF(A40&lt;=36,Inputs!$B$15+(A40-30)*(Inputs!$B$16-Inputs!$B$15)/6,Inputs!$B$16))))</x:f>
        <x:v>0.85</x:v>
      </x:c>
      <x:c r="F40" s="118" t="n">
        <x:f aca="0">ROUND(C40*E40,-1)</x:f>
        <x:v>72280</x:v>
      </x:c>
      <x:c r="G40" s="118" t="n">
        <x:f aca="0">G39+F40</x:f>
        <x:v>752790</x:v>
      </x:c>
      <x:c r="H40" s="118" t="str">
        <x:v>Large Tank 4</x:v>
      </x:c>
    </x:row>
    <x:row r="41" ht="26.399999618530273" hidden="0" customHeight="1">
      <x:c r="A41" s="118" t="n">
        <x:v>38</x:v>
      </x:c>
      <x:c r="B41" s="118" t="n">
        <x:v>1102130</x:v>
      </x:c>
      <x:c r="C41" s="118" t="n">
        <x:f aca="0">B41-B40</x:f>
        <x:v>90140</x:v>
      </x:c>
      <x:c r="D41" s="118" t="str">
        <x:f>IF(A41&lt;=5,"Tutorial",IF(A41&lt;=10,"Early",IF(A41&lt;=20,"Habit",IF(A41&lt;=30,"Mid",IF(A41&lt;=40,"Advanced Launch","Post-launch")))))</x:f>
        <x:v>Advanced Launch</x:v>
      </x:c>
      <x:c r="E41" s="118" t="n">
        <x:f aca="0">IF(A41&lt;=10,Inputs!$B$14,IF(A41&lt;=18,Inputs!$B$14+(A41-10)*(Inputs!$B$15-Inputs!$B$14)/8,IF(A41&lt;=30,Inputs!$B$15,IF(A41&lt;=36,Inputs!$B$15+(A41-30)*(Inputs!$B$16-Inputs!$B$15)/6,Inputs!$B$16))))</x:f>
        <x:v>0.85</x:v>
      </x:c>
      <x:c r="F41" s="118" t="n">
        <x:f aca="0">ROUND(C41*E41,-1)</x:f>
        <x:v>76620</x:v>
      </x:c>
      <x:c r="G41" s="118" t="n">
        <x:f aca="0">G40+F41</x:f>
        <x:v>829410</x:v>
      </x:c>
      <x:c r="H41" s="118" t="str">
        <x:v>Blueline Triggerfish (R)</x:v>
      </x:c>
    </x:row>
    <x:row r="42" ht="26.399999618530273" hidden="0" customHeight="1">
      <x:c r="A42" s="118" t="n">
        <x:v>39</x:v>
      </x:c>
      <x:c r="B42" s="118" t="n">
        <x:v>1197520</x:v>
      </x:c>
      <x:c r="C42" s="118" t="n">
        <x:f aca="0">B42-B41</x:f>
        <x:v>95390</x:v>
      </x:c>
      <x:c r="D42" s="118" t="str">
        <x:f>IF(A42&lt;=5,"Tutorial",IF(A42&lt;=10,"Early",IF(A42&lt;=20,"Habit",IF(A42&lt;=30,"Mid",IF(A42&lt;=40,"Advanced Launch","Post-launch")))))</x:f>
        <x:v>Advanced Launch</x:v>
      </x:c>
      <x:c r="E42" s="118" t="n">
        <x:f aca="0">IF(A42&lt;=10,Inputs!$B$14,IF(A42&lt;=18,Inputs!$B$14+(A42-10)*(Inputs!$B$15-Inputs!$B$14)/8,IF(A42&lt;=30,Inputs!$B$15,IF(A42&lt;=36,Inputs!$B$15+(A42-30)*(Inputs!$B$16-Inputs!$B$15)/6,Inputs!$B$16))))</x:f>
        <x:v>0.85</x:v>
      </x:c>
      <x:c r="F42" s="118" t="n">
        <x:f aca="0">ROUND(C42*E42,-1)</x:f>
        <x:v>81080</x:v>
      </x:c>
      <x:c r="G42" s="118" t="n">
        <x:f aca="0">G41+F42</x:f>
        <x:v>910490</x:v>
      </x:c>
      <x:c r="H42" s="118"/>
    </x:row>
    <x:row r="43" ht="26.399999618530273" hidden="0" customHeight="1">
      <x:c r="A43" s="118" t="n">
        <x:v>40</x:v>
      </x:c>
      <x:c r="B43" s="118" t="n">
        <x:v>1298310</x:v>
      </x:c>
      <x:c r="C43" s="118" t="n">
        <x:f aca="0">B43-B42</x:f>
        <x:v>100790</x:v>
      </x:c>
      <x:c r="D43" s="118" t="str">
        <x:f>IF(A43&lt;=5,"Tutorial",IF(A43&lt;=10,"Early",IF(A43&lt;=20,"Habit",IF(A43&lt;=30,"Mid",IF(A43&lt;=40,"Advanced Launch","Post-launch")))))</x:f>
        <x:v>Advanced Launch</x:v>
      </x:c>
      <x:c r="E43" s="118" t="n">
        <x:f aca="0">IF(A43&lt;=10,Inputs!$B$14,IF(A43&lt;=18,Inputs!$B$14+(A43-10)*(Inputs!$B$15-Inputs!$B$14)/8,IF(A43&lt;=30,Inputs!$B$15,IF(A43&lt;=36,Inputs!$B$15+(A43-30)*(Inputs!$B$16-Inputs!$B$15)/6,Inputs!$B$16))))</x:f>
        <x:v>0.85</x:v>
      </x:c>
      <x:c r="F43" s="118" t="n">
        <x:f aca="0">ROUND(C43*E43,-1)</x:f>
        <x:v>85670</x:v>
      </x:c>
      <x:c r="G43" s="118" t="n">
        <x:f aca="0">G42+F43</x:f>
        <x:v>996160</x:v>
      </x:c>
      <x:c r="H43" s="118" t="str">
        <x:v>Queen Angelfish (E); Platinum Arowana [Pearls]; Medium Tank 5  &lt;&lt; LAUNCH LEVEL CAP, capstone pacing</x:v>
      </x:c>
    </x:row>
    <x:row r="44" ht="15" hidden="0" customHeight="1">
      <x:c r="A44" s="118" t="n">
        <x:v>41</x:v>
      </x:c>
      <x:c r="B44" s="118" t="n">
        <x:v>1404650</x:v>
      </x:c>
      <x:c r="C44" s="118" t="n">
        <x:f aca="0">B44-B43</x:f>
        <x:v>106340</x:v>
      </x:c>
      <x:c r="D44" s="118" t="str">
        <x:f>IF(A44&lt;=5,"Tutorial",IF(A44&lt;=10,"Early",IF(A44&lt;=20,"Habit",IF(A44&lt;=30,"Mid",IF(A44&lt;=40,"Advanced Launch","Post-launch")))))</x:f>
        <x:v>Post-launch</x:v>
      </x:c>
      <x:c r="E44" s="118" t="n">
        <x:f aca="0">IF(A44&lt;=10,Inputs!$B$14,IF(A44&lt;=18,Inputs!$B$14+(A44-10)*(Inputs!$B$15-Inputs!$B$14)/8,IF(A44&lt;=30,Inputs!$B$15,IF(A44&lt;=36,Inputs!$B$15+(A44-30)*(Inputs!$B$16-Inputs!$B$15)/6,Inputs!$B$16))))</x:f>
        <x:v>0.85</x:v>
      </x:c>
      <x:c r="F44" s="118" t="n">
        <x:f aca="0">ROUND(C44*E44,-1)</x:f>
        <x:v>90390</x:v>
      </x:c>
      <x:c r="G44" s="118" t="n">
        <x:f aca="0">G43+F44</x:f>
        <x:v>1086550</x:v>
      </x:c>
      <x:c r="H44" s="118" t="str">
        <x:v>Post-launch: roadmap wave content</x:v>
      </x:c>
    </x:row>
    <x:row r="45" ht="15" hidden="0" customHeight="1">
      <x:c r="A45" s="118" t="n">
        <x:v>42</x:v>
      </x:c>
      <x:c r="B45" s="118" t="n">
        <x:v>1516690</x:v>
      </x:c>
      <x:c r="C45" s="118" t="n">
        <x:f aca="0">B45-B44</x:f>
        <x:v>112040</x:v>
      </x:c>
      <x:c r="D45" s="118" t="str">
        <x:f>IF(A45&lt;=5,"Tutorial",IF(A45&lt;=10,"Early",IF(A45&lt;=20,"Habit",IF(A45&lt;=30,"Mid",IF(A45&lt;=40,"Advanced Launch","Post-launch")))))</x:f>
        <x:v>Post-launch</x:v>
      </x:c>
      <x:c r="E45" s="118" t="n">
        <x:f aca="0">IF(A45&lt;=10,Inputs!$B$14,IF(A45&lt;=18,Inputs!$B$14+(A45-10)*(Inputs!$B$15-Inputs!$B$14)/8,IF(A45&lt;=30,Inputs!$B$15,IF(A45&lt;=36,Inputs!$B$15+(A45-30)*(Inputs!$B$16-Inputs!$B$15)/6,Inputs!$B$16))))</x:f>
        <x:v>0.85</x:v>
      </x:c>
      <x:c r="F45" s="118" t="n">
        <x:f aca="0">ROUND(C45*E45,-1)</x:f>
        <x:v>95230</x:v>
      </x:c>
      <x:c r="G45" s="118" t="n">
        <x:f aca="0">G44+F45</x:f>
        <x:v>1181780</x:v>
      </x:c>
      <x:c r="H45" s="118" t="str">
        <x:v>Post-launch: roadmap wave content</x:v>
      </x:c>
    </x:row>
    <x:row r="46" ht="15" hidden="0" customHeight="1">
      <x:c r="A46" s="118" t="n">
        <x:v>43</x:v>
      </x:c>
      <x:c r="B46" s="118" t="n">
        <x:v>1634580</x:v>
      </x:c>
      <x:c r="C46" s="118" t="n">
        <x:f aca="0">B46-B45</x:f>
        <x:v>117890</x:v>
      </x:c>
      <x:c r="D46" s="118" t="str">
        <x:f>IF(A46&lt;=5,"Tutorial",IF(A46&lt;=10,"Early",IF(A46&lt;=20,"Habit",IF(A46&lt;=30,"Mid",IF(A46&lt;=40,"Advanced Launch","Post-launch")))))</x:f>
        <x:v>Post-launch</x:v>
      </x:c>
      <x:c r="E46" s="118" t="n">
        <x:f aca="0">IF(A46&lt;=10,Inputs!$B$14,IF(A46&lt;=18,Inputs!$B$14+(A46-10)*(Inputs!$B$15-Inputs!$B$14)/8,IF(A46&lt;=30,Inputs!$B$15,IF(A46&lt;=36,Inputs!$B$15+(A46-30)*(Inputs!$B$16-Inputs!$B$15)/6,Inputs!$B$16))))</x:f>
        <x:v>0.85</x:v>
      </x:c>
      <x:c r="F46" s="118" t="n">
        <x:f aca="0">ROUND(C46*E46,-1)</x:f>
        <x:v>100210</x:v>
      </x:c>
      <x:c r="G46" s="118" t="n">
        <x:f aca="0">G45+F46</x:f>
        <x:v>1281990</x:v>
      </x:c>
      <x:c r="H46" s="118" t="str">
        <x:v>Post-launch: Tank 6 unlock</x:v>
      </x:c>
    </x:row>
    <x:row r="47" ht="15" hidden="0" customHeight="1">
      <x:c r="A47" s="118" t="n">
        <x:v>44</x:v>
      </x:c>
      <x:c r="B47" s="118" t="n">
        <x:v>1758470</x:v>
      </x:c>
      <x:c r="C47" s="118" t="n">
        <x:f aca="0">B47-B46</x:f>
        <x:v>123890</x:v>
      </x:c>
      <x:c r="D47" s="118" t="str">
        <x:f>IF(A47&lt;=5,"Tutorial",IF(A47&lt;=10,"Early",IF(A47&lt;=20,"Habit",IF(A47&lt;=30,"Mid",IF(A47&lt;=40,"Advanced Launch","Post-launch")))))</x:f>
        <x:v>Post-launch</x:v>
      </x:c>
      <x:c r="E47" s="118" t="n">
        <x:f aca="0">IF(A47&lt;=10,Inputs!$B$14,IF(A47&lt;=18,Inputs!$B$14+(A47-10)*(Inputs!$B$15-Inputs!$B$14)/8,IF(A47&lt;=30,Inputs!$B$15,IF(A47&lt;=36,Inputs!$B$15+(A47-30)*(Inputs!$B$16-Inputs!$B$15)/6,Inputs!$B$16))))</x:f>
        <x:v>0.85</x:v>
      </x:c>
      <x:c r="F47" s="118" t="n">
        <x:f aca="0">ROUND(C47*E47,-1)</x:f>
        <x:v>105310</x:v>
      </x:c>
      <x:c r="G47" s="118" t="n">
        <x:f aca="0">G46+F47</x:f>
        <x:v>1387300</x:v>
      </x:c>
      <x:c r="H47" s="118" t="str">
        <x:v>Post-launch: roadmap wave content</x:v>
      </x:c>
    </x:row>
    <x:row r="48" ht="15" hidden="0" customHeight="1">
      <x:c r="A48" s="118" t="n">
        <x:v>45</x:v>
      </x:c>
      <x:c r="B48" s="118" t="n">
        <x:v>1888510</x:v>
      </x:c>
      <x:c r="C48" s="118" t="n">
        <x:f aca="0">B48-B47</x:f>
        <x:v>130040</x:v>
      </x:c>
      <x:c r="D48" s="118" t="str">
        <x:f>IF(A48&lt;=5,"Tutorial",IF(A48&lt;=10,"Early",IF(A48&lt;=20,"Habit",IF(A48&lt;=30,"Mid",IF(A48&lt;=40,"Advanced Launch","Post-launch")))))</x:f>
        <x:v>Post-launch</x:v>
      </x:c>
      <x:c r="E48" s="118" t="n">
        <x:f aca="0">IF(A48&lt;=10,Inputs!$B$14,IF(A48&lt;=18,Inputs!$B$14+(A48-10)*(Inputs!$B$15-Inputs!$B$14)/8,IF(A48&lt;=30,Inputs!$B$15,IF(A48&lt;=36,Inputs!$B$15+(A48-30)*(Inputs!$B$16-Inputs!$B$15)/6,Inputs!$B$16))))</x:f>
        <x:v>0.85</x:v>
      </x:c>
      <x:c r="F48" s="118" t="n">
        <x:f aca="0">ROUND(C48*E48,-1)</x:f>
        <x:v>110530</x:v>
      </x:c>
      <x:c r="G48" s="118" t="n">
        <x:f aca="0">G47+F48</x:f>
        <x:v>1497830</x:v>
      </x:c>
      <x:c r="H48" s="118" t="str">
        <x:v>Post-launch: roadmap wave content</x:v>
      </x:c>
    </x:row>
    <x:row r="49" ht="15" hidden="0" customHeight="1">
      <x:c r="A49" s="118" t="n">
        <x:v>46</x:v>
      </x:c>
      <x:c r="B49" s="118" t="n">
        <x:v>2024850</x:v>
      </x:c>
      <x:c r="C49" s="118" t="n">
        <x:f aca="0">B49-B48</x:f>
        <x:v>136340</x:v>
      </x:c>
      <x:c r="D49" s="118" t="str">
        <x:f>IF(A49&lt;=5,"Tutorial",IF(A49&lt;=10,"Early",IF(A49&lt;=20,"Habit",IF(A49&lt;=30,"Mid",IF(A49&lt;=40,"Advanced Launch","Post-launch")))))</x:f>
        <x:v>Post-launch</x:v>
      </x:c>
      <x:c r="E49" s="118" t="n">
        <x:f aca="0">IF(A49&lt;=10,Inputs!$B$14,IF(A49&lt;=18,Inputs!$B$14+(A49-10)*(Inputs!$B$15-Inputs!$B$14)/8,IF(A49&lt;=30,Inputs!$B$15,IF(A49&lt;=36,Inputs!$B$15+(A49-30)*(Inputs!$B$16-Inputs!$B$15)/6,Inputs!$B$16))))</x:f>
        <x:v>0.85</x:v>
      </x:c>
      <x:c r="F49" s="118" t="n">
        <x:f aca="0">ROUND(C49*E49,-1)</x:f>
        <x:v>115890</x:v>
      </x:c>
      <x:c r="G49" s="118" t="n">
        <x:f aca="0">G48+F49</x:f>
        <x:v>1613720</x:v>
      </x:c>
      <x:c r="H49" s="118" t="str">
        <x:v>Post-launch: Large Tank 5</x:v>
      </x:c>
    </x:row>
    <x:row r="50" ht="15" hidden="0" customHeight="1">
      <x:c r="A50" s="118" t="n">
        <x:v>47</x:v>
      </x:c>
      <x:c r="B50" s="118" t="n">
        <x:v>2167640</x:v>
      </x:c>
      <x:c r="C50" s="118" t="n">
        <x:f aca="0">B50-B49</x:f>
        <x:v>142790</x:v>
      </x:c>
      <x:c r="D50" s="118" t="str">
        <x:f>IF(A50&lt;=5,"Tutorial",IF(A50&lt;=10,"Early",IF(A50&lt;=20,"Habit",IF(A50&lt;=30,"Mid",IF(A50&lt;=40,"Advanced Launch","Post-launch")))))</x:f>
        <x:v>Post-launch</x:v>
      </x:c>
      <x:c r="E50" s="118" t="n">
        <x:f aca="0">IF(A50&lt;=10,Inputs!$B$14,IF(A50&lt;=18,Inputs!$B$14+(A50-10)*(Inputs!$B$15-Inputs!$B$14)/8,IF(A50&lt;=30,Inputs!$B$15,IF(A50&lt;=36,Inputs!$B$15+(A50-30)*(Inputs!$B$16-Inputs!$B$15)/6,Inputs!$B$16))))</x:f>
        <x:v>0.85</x:v>
      </x:c>
      <x:c r="F50" s="118" t="n">
        <x:f aca="0">ROUND(C50*E50,-1)</x:f>
        <x:v>121370</x:v>
      </x:c>
      <x:c r="G50" s="118" t="n">
        <x:f aca="0">G49+F50</x:f>
        <x:v>1735090</x:v>
      </x:c>
      <x:c r="H50" s="118" t="str">
        <x:v>Post-launch: roadmap wave content</x:v>
      </x:c>
    </x:row>
    <x:row r="51" ht="15" hidden="0" customHeight="1">
      <x:c r="A51" s="118" t="n">
        <x:v>48</x:v>
      </x:c>
      <x:c r="B51" s="118" t="n">
        <x:v>2317030</x:v>
      </x:c>
      <x:c r="C51" s="118" t="n">
        <x:f aca="0">B51-B50</x:f>
        <x:v>149390</x:v>
      </x:c>
      <x:c r="D51" s="118" t="str">
        <x:f>IF(A51&lt;=5,"Tutorial",IF(A51&lt;=10,"Early",IF(A51&lt;=20,"Habit",IF(A51&lt;=30,"Mid",IF(A51&lt;=40,"Advanced Launch","Post-launch")))))</x:f>
        <x:v>Post-launch</x:v>
      </x:c>
      <x:c r="E51" s="118" t="n">
        <x:f aca="0">IF(A51&lt;=10,Inputs!$B$14,IF(A51&lt;=18,Inputs!$B$14+(A51-10)*(Inputs!$B$15-Inputs!$B$14)/8,IF(A51&lt;=30,Inputs!$B$15,IF(A51&lt;=36,Inputs!$B$15+(A51-30)*(Inputs!$B$16-Inputs!$B$15)/6,Inputs!$B$16))))</x:f>
        <x:v>0.85</x:v>
      </x:c>
      <x:c r="F51" s="118" t="n">
        <x:f aca="0">ROUND(C51*E51,-1)</x:f>
        <x:v>126980</x:v>
      </x:c>
      <x:c r="G51" s="118" t="n">
        <x:f aca="0">G50+F51</x:f>
        <x:v>1862070</x:v>
      </x:c>
      <x:c r="H51" s="118" t="str">
        <x:v>Post-launch: roadmap wave content</x:v>
      </x:c>
    </x:row>
    <x:row r="52" ht="15" hidden="0" customHeight="1">
      <x:c r="A52" s="118" t="n">
        <x:v>49</x:v>
      </x:c>
      <x:c r="B52" s="118" t="n">
        <x:v>2473170</x:v>
      </x:c>
      <x:c r="C52" s="118" t="n">
        <x:f aca="0">B52-B51</x:f>
        <x:v>156140</x:v>
      </x:c>
      <x:c r="D52" s="118" t="str">
        <x:f>IF(A52&lt;=5,"Tutorial",IF(A52&lt;=10,"Early",IF(A52&lt;=20,"Habit",IF(A52&lt;=30,"Mid",IF(A52&lt;=40,"Advanced Launch","Post-launch")))))</x:f>
        <x:v>Post-launch</x:v>
      </x:c>
      <x:c r="E52" s="118" t="n">
        <x:f aca="0">IF(A52&lt;=10,Inputs!$B$14,IF(A52&lt;=18,Inputs!$B$14+(A52-10)*(Inputs!$B$15-Inputs!$B$14)/8,IF(A52&lt;=30,Inputs!$B$15,IF(A52&lt;=36,Inputs!$B$15+(A52-30)*(Inputs!$B$16-Inputs!$B$15)/6,Inputs!$B$16))))</x:f>
        <x:v>0.85</x:v>
      </x:c>
      <x:c r="F52" s="118" t="n">
        <x:f aca="0">ROUND(C52*E52,-1)</x:f>
        <x:v>132720</x:v>
      </x:c>
      <x:c r="G52" s="118" t="n">
        <x:f aca="0">G51+F52</x:f>
        <x:v>1994790</x:v>
      </x:c>
      <x:c r="H52" s="118" t="str">
        <x:v>Post-launch: Medium Tank 6</x:v>
      </x:c>
    </x:row>
    <x:row r="53" ht="15" hidden="0" customHeight="1">
      <x:c r="A53" s="118" t="n">
        <x:v>50</x:v>
      </x:c>
      <x:c r="B53" s="118" t="n">
        <x:v>2636210</x:v>
      </x:c>
      <x:c r="C53" s="118" t="n">
        <x:f aca="0">B53-B52</x:f>
        <x:v>163040</x:v>
      </x:c>
      <x:c r="D53" s="118" t="str">
        <x:f>IF(A53&lt;=5,"Tutorial",IF(A53&lt;=10,"Early",IF(A53&lt;=20,"Habit",IF(A53&lt;=30,"Mid",IF(A53&lt;=40,"Advanced Launch","Post-launch")))))</x:f>
        <x:v>Post-launch</x:v>
      </x:c>
      <x:c r="E53" s="118" t="n">
        <x:f aca="0">IF(A53&lt;=10,Inputs!$B$14,IF(A53&lt;=18,Inputs!$B$14+(A53-10)*(Inputs!$B$15-Inputs!$B$14)/8,IF(A53&lt;=30,Inputs!$B$15,IF(A53&lt;=36,Inputs!$B$15+(A53-30)*(Inputs!$B$16-Inputs!$B$15)/6,Inputs!$B$16))))</x:f>
        <x:v>0.85</x:v>
      </x:c>
      <x:c r="F53" s="118" t="n">
        <x:f aca="0">ROUND(C53*E53,-1)</x:f>
        <x:v>138580</x:v>
      </x:c>
      <x:c r="G53" s="118" t="n">
        <x:f aca="0">G52+F53</x:f>
        <x:v>2133370</x:v>
      </x:c>
      <x:c r="H53" s="118" t="str">
        <x:v>Post-launch: roadmap wave content</x:v>
      </x:c>
    </x:row>
    <x:row r="54" ht="15" hidden="0" customHeight="1">
      <x:c r="A54" s="118" t="n">
        <x:v>51</x:v>
      </x:c>
      <x:c r="B54" s="118" t="n">
        <x:v>2806300</x:v>
      </x:c>
      <x:c r="C54" s="118" t="n">
        <x:f aca="0">B54-B53</x:f>
        <x:v>170090</x:v>
      </x:c>
      <x:c r="D54" s="118" t="str">
        <x:f>IF(A54&lt;=5,"Tutorial",IF(A54&lt;=10,"Early",IF(A54&lt;=20,"Habit",IF(A54&lt;=30,"Mid",IF(A54&lt;=40,"Advanced Launch","Post-launch")))))</x:f>
        <x:v>Post-launch</x:v>
      </x:c>
      <x:c r="E54" s="118" t="n">
        <x:f aca="0">IF(A54&lt;=10,Inputs!$B$14,IF(A54&lt;=18,Inputs!$B$14+(A54-10)*(Inputs!$B$15-Inputs!$B$14)/8,IF(A54&lt;=30,Inputs!$B$15,IF(A54&lt;=36,Inputs!$B$15+(A54-30)*(Inputs!$B$16-Inputs!$B$15)/6,Inputs!$B$16))))</x:f>
        <x:v>0.85</x:v>
      </x:c>
      <x:c r="F54" s="118" t="n">
        <x:f aca="0">ROUND(C54*E54,-1)</x:f>
        <x:v>144580</x:v>
      </x:c>
      <x:c r="G54" s="118" t="n">
        <x:f aca="0">G53+F54</x:f>
        <x:v>2277950</x:v>
      </x:c>
      <x:c r="H54" s="118" t="str">
        <x:v>Post-launch: roadmap wave content</x:v>
      </x:c>
    </x:row>
    <x:row r="55" ht="15" hidden="0" customHeight="1">
      <x:c r="A55" s="118" t="n">
        <x:v>52</x:v>
      </x:c>
      <x:c r="B55" s="118" t="n">
        <x:v>2983590</x:v>
      </x:c>
      <x:c r="C55" s="118" t="n">
        <x:f aca="0">B55-B54</x:f>
        <x:v>177290</x:v>
      </x:c>
      <x:c r="D55" s="118" t="str">
        <x:f>IF(A55&lt;=5,"Tutorial",IF(A55&lt;=10,"Early",IF(A55&lt;=20,"Habit",IF(A55&lt;=30,"Mid",IF(A55&lt;=40,"Advanced Launch","Post-launch")))))</x:f>
        <x:v>Post-launch</x:v>
      </x:c>
      <x:c r="E55" s="118" t="n">
        <x:f aca="0">IF(A55&lt;=10,Inputs!$B$14,IF(A55&lt;=18,Inputs!$B$14+(A55-10)*(Inputs!$B$15-Inputs!$B$14)/8,IF(A55&lt;=30,Inputs!$B$15,IF(A55&lt;=36,Inputs!$B$15+(A55-30)*(Inputs!$B$16-Inputs!$B$15)/6,Inputs!$B$16))))</x:f>
        <x:v>0.85</x:v>
      </x:c>
      <x:c r="F55" s="118" t="n">
        <x:f aca="0">ROUND(C55*E55,-1)</x:f>
        <x:v>150700</x:v>
      </x:c>
      <x:c r="G55" s="118" t="n">
        <x:f aca="0">G54+F55</x:f>
        <x:v>2428650</x:v>
      </x:c>
      <x:c r="H55" s="118" t="str">
        <x:v>Post-launch: Tank 7 unlock</x:v>
      </x:c>
    </x:row>
    <x:row r="56" ht="15" hidden="0" customHeight="1">
      <x:c r="A56" s="118" t="n">
        <x:v>53</x:v>
      </x:c>
      <x:c r="B56" s="118" t="n">
        <x:v>3168230</x:v>
      </x:c>
      <x:c r="C56" s="118" t="n">
        <x:f aca="0">B56-B55</x:f>
        <x:v>184640</x:v>
      </x:c>
      <x:c r="D56" s="118" t="str">
        <x:f>IF(A56&lt;=5,"Tutorial",IF(A56&lt;=10,"Early",IF(A56&lt;=20,"Habit",IF(A56&lt;=30,"Mid",IF(A56&lt;=40,"Advanced Launch","Post-launch")))))</x:f>
        <x:v>Post-launch</x:v>
      </x:c>
      <x:c r="E56" s="118" t="n">
        <x:f aca="0">IF(A56&lt;=10,Inputs!$B$14,IF(A56&lt;=18,Inputs!$B$14+(A56-10)*(Inputs!$B$15-Inputs!$B$14)/8,IF(A56&lt;=30,Inputs!$B$15,IF(A56&lt;=36,Inputs!$B$15+(A56-30)*(Inputs!$B$16-Inputs!$B$15)/6,Inputs!$B$16))))</x:f>
        <x:v>0.85</x:v>
      </x:c>
      <x:c r="F56" s="118" t="n">
        <x:f aca="0">ROUND(C56*E56,-1)</x:f>
        <x:v>156940</x:v>
      </x:c>
      <x:c r="G56" s="118" t="n">
        <x:f aca="0">G55+F56</x:f>
        <x:v>2585590</x:v>
      </x:c>
      <x:c r="H56" s="118" t="str">
        <x:v>Post-launch: roadmap wave content</x:v>
      </x:c>
    </x:row>
    <x:row r="57" ht="15" hidden="0" customHeight="1">
      <x:c r="A57" s="118" t="n">
        <x:v>54</x:v>
      </x:c>
      <x:c r="B57" s="118" t="n">
        <x:v>3360370</x:v>
      </x:c>
      <x:c r="C57" s="118" t="n">
        <x:f aca="0">B57-B56</x:f>
        <x:v>192140</x:v>
      </x:c>
      <x:c r="D57" s="118" t="str">
        <x:f>IF(A57&lt;=5,"Tutorial",IF(A57&lt;=10,"Early",IF(A57&lt;=20,"Habit",IF(A57&lt;=30,"Mid",IF(A57&lt;=40,"Advanced Launch","Post-launch")))))</x:f>
        <x:v>Post-launch</x:v>
      </x:c>
      <x:c r="E57" s="118" t="n">
        <x:f aca="0">IF(A57&lt;=10,Inputs!$B$14,IF(A57&lt;=18,Inputs!$B$14+(A57-10)*(Inputs!$B$15-Inputs!$B$14)/8,IF(A57&lt;=30,Inputs!$B$15,IF(A57&lt;=36,Inputs!$B$15+(A57-30)*(Inputs!$B$16-Inputs!$B$15)/6,Inputs!$B$16))))</x:f>
        <x:v>0.85</x:v>
      </x:c>
      <x:c r="F57" s="118" t="n">
        <x:f aca="0">ROUND(C57*E57,-1)</x:f>
        <x:v>163320</x:v>
      </x:c>
      <x:c r="G57" s="118" t="n">
        <x:f aca="0">G56+F57</x:f>
        <x:v>2748910</x:v>
      </x:c>
      <x:c r="H57" s="118" t="str">
        <x:v>Post-launch: roadmap wave content</x:v>
      </x:c>
    </x:row>
    <x:row r="58" ht="15" hidden="0" customHeight="1">
      <x:c r="A58" s="118" t="n">
        <x:v>55</x:v>
      </x:c>
      <x:c r="B58" s="118" t="n">
        <x:v>3560160</x:v>
      </x:c>
      <x:c r="C58" s="118" t="n">
        <x:f aca="0">B58-B57</x:f>
        <x:v>199790</x:v>
      </x:c>
      <x:c r="D58" s="118" t="str">
        <x:f>IF(A58&lt;=5,"Tutorial",IF(A58&lt;=10,"Early",IF(A58&lt;=20,"Habit",IF(A58&lt;=30,"Mid",IF(A58&lt;=40,"Advanced Launch","Post-launch")))))</x:f>
        <x:v>Post-launch</x:v>
      </x:c>
      <x:c r="E58" s="118" t="n">
        <x:f aca="0">IF(A58&lt;=10,Inputs!$B$14,IF(A58&lt;=18,Inputs!$B$14+(A58-10)*(Inputs!$B$15-Inputs!$B$14)/8,IF(A58&lt;=30,Inputs!$B$15,IF(A58&lt;=36,Inputs!$B$15+(A58-30)*(Inputs!$B$16-Inputs!$B$15)/6,Inputs!$B$16))))</x:f>
        <x:v>0.85</x:v>
      </x:c>
      <x:c r="F58" s="118" t="n">
        <x:f aca="0">ROUND(C58*E58,-1)</x:f>
        <x:v>169820</x:v>
      </x:c>
      <x:c r="G58" s="118" t="n">
        <x:f aca="0">G57+F58</x:f>
        <x:v>2918730</x:v>
      </x:c>
      <x:c r="H58" s="118" t="str">
        <x:v>Post-launch: Large Tank 6</x:v>
      </x:c>
    </x:row>
    <x:row r="59" ht="15" hidden="0" customHeight="1">
      <x:c r="A59" s="118" t="n">
        <x:v>56</x:v>
      </x:c>
      <x:c r="B59" s="118" t="n">
        <x:v>3767750</x:v>
      </x:c>
      <x:c r="C59" s="118" t="n">
        <x:f aca="0">B59-B58</x:f>
        <x:v>207590</x:v>
      </x:c>
      <x:c r="D59" s="118" t="str">
        <x:f>IF(A59&lt;=5,"Tutorial",IF(A59&lt;=10,"Early",IF(A59&lt;=20,"Habit",IF(A59&lt;=30,"Mid",IF(A59&lt;=40,"Advanced Launch","Post-launch")))))</x:f>
        <x:v>Post-launch</x:v>
      </x:c>
      <x:c r="E59" s="118" t="n">
        <x:f aca="0">IF(A59&lt;=10,Inputs!$B$14,IF(A59&lt;=18,Inputs!$B$14+(A59-10)*(Inputs!$B$15-Inputs!$B$14)/8,IF(A59&lt;=30,Inputs!$B$15,IF(A59&lt;=36,Inputs!$B$15+(A59-30)*(Inputs!$B$16-Inputs!$B$15)/6,Inputs!$B$16))))</x:f>
        <x:v>0.85</x:v>
      </x:c>
      <x:c r="F59" s="118" t="n">
        <x:f aca="0">ROUND(C59*E59,-1)</x:f>
        <x:v>176450</x:v>
      </x:c>
      <x:c r="G59" s="118" t="n">
        <x:f aca="0">G58+F59</x:f>
        <x:v>3095180</x:v>
      </x:c>
      <x:c r="H59" s="118" t="str">
        <x:v>Post-launch: roadmap wave content</x:v>
      </x:c>
    </x:row>
    <x:row r="60" ht="15" hidden="0" customHeight="1">
      <x:c r="A60" s="118" t="n">
        <x:v>57</x:v>
      </x:c>
      <x:c r="B60" s="118" t="n">
        <x:v>3983290</x:v>
      </x:c>
      <x:c r="C60" s="118" t="n">
        <x:f aca="0">B60-B59</x:f>
        <x:v>215540</x:v>
      </x:c>
      <x:c r="D60" s="118" t="str">
        <x:f>IF(A60&lt;=5,"Tutorial",IF(A60&lt;=10,"Early",IF(A60&lt;=20,"Habit",IF(A60&lt;=30,"Mid",IF(A60&lt;=40,"Advanced Launch","Post-launch")))))</x:f>
        <x:v>Post-launch</x:v>
      </x:c>
      <x:c r="E60" s="118" t="n">
        <x:f aca="0">IF(A60&lt;=10,Inputs!$B$14,IF(A60&lt;=18,Inputs!$B$14+(A60-10)*(Inputs!$B$15-Inputs!$B$14)/8,IF(A60&lt;=30,Inputs!$B$15,IF(A60&lt;=36,Inputs!$B$15+(A60-30)*(Inputs!$B$16-Inputs!$B$15)/6,Inputs!$B$16))))</x:f>
        <x:v>0.85</x:v>
      </x:c>
      <x:c r="F60" s="118" t="n">
        <x:f aca="0">ROUND(C60*E60,-1)</x:f>
        <x:v>183210</x:v>
      </x:c>
      <x:c r="G60" s="118" t="n">
        <x:f aca="0">G59+F60</x:f>
        <x:v>3278390</x:v>
      </x:c>
      <x:c r="H60" s="118" t="str">
        <x:v>Post-launch: roadmap wave content</x:v>
      </x:c>
    </x:row>
    <x:row r="61" ht="15" hidden="0" customHeight="1">
      <x:c r="A61" s="118" t="n">
        <x:v>58</x:v>
      </x:c>
      <x:c r="B61" s="118" t="n">
        <x:v>4206930</x:v>
      </x:c>
      <x:c r="C61" s="118" t="n">
        <x:f aca="0">B61-B60</x:f>
        <x:v>223640</x:v>
      </x:c>
      <x:c r="D61" s="118" t="str">
        <x:f>IF(A61&lt;=5,"Tutorial",IF(A61&lt;=10,"Early",IF(A61&lt;=20,"Habit",IF(A61&lt;=30,"Mid",IF(A61&lt;=40,"Advanced Launch","Post-launch")))))</x:f>
        <x:v>Post-launch</x:v>
      </x:c>
      <x:c r="E61" s="118" t="n">
        <x:f aca="0">IF(A61&lt;=10,Inputs!$B$14,IF(A61&lt;=18,Inputs!$B$14+(A61-10)*(Inputs!$B$15-Inputs!$B$14)/8,IF(A61&lt;=30,Inputs!$B$15,IF(A61&lt;=36,Inputs!$B$15+(A61-30)*(Inputs!$B$16-Inputs!$B$15)/6,Inputs!$B$16))))</x:f>
        <x:v>0.85</x:v>
      </x:c>
      <x:c r="F61" s="118" t="n">
        <x:f aca="0">ROUND(C61*E61,-1)</x:f>
        <x:v>190090</x:v>
      </x:c>
      <x:c r="G61" s="118" t="n">
        <x:f aca="0">G60+F61</x:f>
        <x:v>3468480</x:v>
      </x:c>
      <x:c r="H61" s="118" t="str">
        <x:v>Post-launch: Medium Tank 7</x:v>
      </x:c>
    </x:row>
    <x:row r="62" ht="15" hidden="0" customHeight="1">
      <x:c r="A62" s="118" t="n">
        <x:v>59</x:v>
      </x:c>
      <x:c r="B62" s="118" t="n">
        <x:v>4438820</x:v>
      </x:c>
      <x:c r="C62" s="118" t="n">
        <x:f aca="0">B62-B61</x:f>
        <x:v>231890</x:v>
      </x:c>
      <x:c r="D62" s="118" t="str">
        <x:f>IF(A62&lt;=5,"Tutorial",IF(A62&lt;=10,"Early",IF(A62&lt;=20,"Habit",IF(A62&lt;=30,"Mid",IF(A62&lt;=40,"Advanced Launch","Post-launch")))))</x:f>
        <x:v>Post-launch</x:v>
      </x:c>
      <x:c r="E62" s="118" t="n">
        <x:f aca="0">IF(A62&lt;=10,Inputs!$B$14,IF(A62&lt;=18,Inputs!$B$14+(A62-10)*(Inputs!$B$15-Inputs!$B$14)/8,IF(A62&lt;=30,Inputs!$B$15,IF(A62&lt;=36,Inputs!$B$15+(A62-30)*(Inputs!$B$16-Inputs!$B$15)/6,Inputs!$B$16))))</x:f>
        <x:v>0.85</x:v>
      </x:c>
      <x:c r="F62" s="118" t="n">
        <x:f aca="0">ROUND(C62*E62,-1)</x:f>
        <x:v>197110</x:v>
      </x:c>
      <x:c r="G62" s="118" t="n">
        <x:f aca="0">G61+F62</x:f>
        <x:v>3665590</x:v>
      </x:c>
      <x:c r="H62" s="118" t="str">
        <x:v>Post-launch: roadmap wave content</x:v>
      </x:c>
    </x:row>
    <x:row r="63" ht="15" hidden="0" customHeight="1">
      <x:c r="A63" s="118" t="n">
        <x:v>60</x:v>
      </x:c>
      <x:c r="B63" s="118" t="n">
        <x:v>4679110</x:v>
      </x:c>
      <x:c r="C63" s="118" t="n">
        <x:f aca="0">B63-B62</x:f>
        <x:v>240290</x:v>
      </x:c>
      <x:c r="D63" s="118" t="str">
        <x:f>IF(A63&lt;=5,"Tutorial",IF(A63&lt;=10,"Early",IF(A63&lt;=20,"Habit",IF(A63&lt;=30,"Mid",IF(A63&lt;=40,"Advanced Launch","Post-launch")))))</x:f>
        <x:v>Post-launch</x:v>
      </x:c>
      <x:c r="E63" s="118" t="n">
        <x:f aca="0">IF(A63&lt;=10,Inputs!$B$14,IF(A63&lt;=18,Inputs!$B$14+(A63-10)*(Inputs!$B$15-Inputs!$B$14)/8,IF(A63&lt;=30,Inputs!$B$15,IF(A63&lt;=36,Inputs!$B$15+(A63-30)*(Inputs!$B$16-Inputs!$B$15)/6,Inputs!$B$16))))</x:f>
        <x:v>0.85</x:v>
      </x:c>
      <x:c r="F63" s="118" t="n">
        <x:f aca="0">ROUND(C63*E63,-1)</x:f>
        <x:v>204250</x:v>
      </x:c>
      <x:c r="G63" s="118" t="n">
        <x:f aca="0">G62+F63</x:f>
        <x:v>3869840</x:v>
      </x:c>
      <x:c r="H63" s="118" t="str">
        <x:v>Post-launch: roadmap wave content</x:v>
      </x:c>
    </x:row>
    <x:row r="64" ht="15" hidden="0" customHeight="1">
      <x:c r="A64" s="118" t="n">
        <x:v>61</x:v>
      </x:c>
      <x:c r="B64" s="118" t="n">
        <x:v>4927950</x:v>
      </x:c>
      <x:c r="C64" s="118" t="n">
        <x:f aca="0">B64-B63</x:f>
        <x:v>248840</x:v>
      </x:c>
      <x:c r="D64" s="118" t="str">
        <x:f>IF(A64&lt;=5,"Tutorial",IF(A64&lt;=10,"Early",IF(A64&lt;=20,"Habit",IF(A64&lt;=30,"Mid",IF(A64&lt;=40,"Advanced Launch","Post-launch")))))</x:f>
        <x:v>Post-launch</x:v>
      </x:c>
      <x:c r="E64" s="118" t="n">
        <x:f aca="0">IF(A64&lt;=10,Inputs!$B$14,IF(A64&lt;=18,Inputs!$B$14+(A64-10)*(Inputs!$B$15-Inputs!$B$14)/8,IF(A64&lt;=30,Inputs!$B$15,IF(A64&lt;=36,Inputs!$B$15+(A64-30)*(Inputs!$B$16-Inputs!$B$15)/6,Inputs!$B$16))))</x:f>
        <x:v>0.85</x:v>
      </x:c>
      <x:c r="F64" s="118" t="n">
        <x:f aca="0">ROUND(C64*E64,-1)</x:f>
        <x:v>211510</x:v>
      </x:c>
      <x:c r="G64" s="118" t="n">
        <x:f aca="0">G63+F64</x:f>
        <x:v>4081350</x:v>
      </x:c>
      <x:c r="H64" s="118" t="str">
        <x:v>Post-launch: Tank 8 unlock</x:v>
      </x:c>
    </x:row>
    <x:row r="65" ht="15" hidden="0" customHeight="1">
      <x:c r="A65" s="118" t="n">
        <x:v>62</x:v>
      </x:c>
      <x:c r="B65" s="118" t="n">
        <x:v>5185490</x:v>
      </x:c>
      <x:c r="C65" s="118" t="n">
        <x:f aca="0">B65-B64</x:f>
        <x:v>257540</x:v>
      </x:c>
      <x:c r="D65" s="118" t="str">
        <x:f>IF(A65&lt;=5,"Tutorial",IF(A65&lt;=10,"Early",IF(A65&lt;=20,"Habit",IF(A65&lt;=30,"Mid",IF(A65&lt;=40,"Advanced Launch","Post-launch")))))</x:f>
        <x:v>Post-launch</x:v>
      </x:c>
      <x:c r="E65" s="118" t="n">
        <x:f aca="0">IF(A65&lt;=10,Inputs!$B$14,IF(A65&lt;=18,Inputs!$B$14+(A65-10)*(Inputs!$B$15-Inputs!$B$14)/8,IF(A65&lt;=30,Inputs!$B$15,IF(A65&lt;=36,Inputs!$B$15+(A65-30)*(Inputs!$B$16-Inputs!$B$15)/6,Inputs!$B$16))))</x:f>
        <x:v>0.85</x:v>
      </x:c>
      <x:c r="F65" s="118" t="n">
        <x:f aca="0">ROUND(C65*E65,-1)</x:f>
        <x:v>218910</x:v>
      </x:c>
      <x:c r="G65" s="118" t="n">
        <x:f aca="0">G64+F65</x:f>
        <x:v>4300260</x:v>
      </x:c>
      <x:c r="H65" s="118" t="str">
        <x:v>Post-launch: roadmap wave content</x:v>
      </x:c>
    </x:row>
    <x:row r="66" ht="15" hidden="0" customHeight="1">
      <x:c r="A66" s="118" t="n">
        <x:v>63</x:v>
      </x:c>
      <x:c r="B66" s="118" t="n">
        <x:v>5451880</x:v>
      </x:c>
      <x:c r="C66" s="118" t="n">
        <x:f aca="0">B66-B65</x:f>
        <x:v>266390</x:v>
      </x:c>
      <x:c r="D66" s="118" t="str">
        <x:f>IF(A66&lt;=5,"Tutorial",IF(A66&lt;=10,"Early",IF(A66&lt;=20,"Habit",IF(A66&lt;=30,"Mid",IF(A66&lt;=40,"Advanced Launch","Post-launch")))))</x:f>
        <x:v>Post-launch</x:v>
      </x:c>
      <x:c r="E66" s="118" t="n">
        <x:f aca="0">IF(A66&lt;=10,Inputs!$B$14,IF(A66&lt;=18,Inputs!$B$14+(A66-10)*(Inputs!$B$15-Inputs!$B$14)/8,IF(A66&lt;=30,Inputs!$B$15,IF(A66&lt;=36,Inputs!$B$15+(A66-30)*(Inputs!$B$16-Inputs!$B$15)/6,Inputs!$B$16))))</x:f>
        <x:v>0.85</x:v>
      </x:c>
      <x:c r="F66" s="118" t="n">
        <x:f aca="0">ROUND(C66*E66,-1)</x:f>
        <x:v>226430</x:v>
      </x:c>
      <x:c r="G66" s="118" t="n">
        <x:f aca="0">G65+F66</x:f>
        <x:v>4526690</x:v>
      </x:c>
      <x:c r="H66" s="118" t="str">
        <x:v>Post-launch: roadmap wave content</x:v>
      </x:c>
    </x:row>
    <x:row r="67" ht="15" hidden="0" customHeight="1">
      <x:c r="A67" s="118" t="n">
        <x:v>64</x:v>
      </x:c>
      <x:c r="B67" s="118" t="n">
        <x:v>5727270</x:v>
      </x:c>
      <x:c r="C67" s="118" t="n">
        <x:f aca="0">B67-B66</x:f>
        <x:v>275390</x:v>
      </x:c>
      <x:c r="D67" s="118" t="str">
        <x:f>IF(A67&lt;=5,"Tutorial",IF(A67&lt;=10,"Early",IF(A67&lt;=20,"Habit",IF(A67&lt;=30,"Mid",IF(A67&lt;=40,"Advanced Launch","Post-launch")))))</x:f>
        <x:v>Post-launch</x:v>
      </x:c>
      <x:c r="E67" s="118" t="n">
        <x:f aca="0">IF(A67&lt;=10,Inputs!$B$14,IF(A67&lt;=18,Inputs!$B$14+(A67-10)*(Inputs!$B$15-Inputs!$B$14)/8,IF(A67&lt;=30,Inputs!$B$15,IF(A67&lt;=36,Inputs!$B$15+(A67-30)*(Inputs!$B$16-Inputs!$B$15)/6,Inputs!$B$16))))</x:f>
        <x:v>0.85</x:v>
      </x:c>
      <x:c r="F67" s="118" t="n">
        <x:f aca="0">ROUND(C67*E67,-1)</x:f>
        <x:v>234080</x:v>
      </x:c>
      <x:c r="G67" s="118" t="n">
        <x:f aca="0">G66+F67</x:f>
        <x:v>4760770</x:v>
      </x:c>
      <x:c r="H67" s="118" t="str">
        <x:v>Post-launch: Large Tank 7</x:v>
      </x:c>
    </x:row>
    <x:row r="68" ht="15" hidden="0" customHeight="1">
      <x:c r="A68" s="118" t="n">
        <x:v>65</x:v>
      </x:c>
      <x:c r="B68" s="118" t="n">
        <x:v>6011810</x:v>
      </x:c>
      <x:c r="C68" s="118" t="n">
        <x:f aca="0">B68-B67</x:f>
        <x:v>284540</x:v>
      </x:c>
      <x:c r="D68" s="118" t="str">
        <x:f>IF(A68&lt;=5,"Tutorial",IF(A68&lt;=10,"Early",IF(A68&lt;=20,"Habit",IF(A68&lt;=30,"Mid",IF(A68&lt;=40,"Advanced Launch","Post-launch")))))</x:f>
        <x:v>Post-launch</x:v>
      </x:c>
      <x:c r="E68" s="118" t="n">
        <x:f aca="0">IF(A68&lt;=10,Inputs!$B$14,IF(A68&lt;=18,Inputs!$B$14+(A68-10)*(Inputs!$B$15-Inputs!$B$14)/8,IF(A68&lt;=30,Inputs!$B$15,IF(A68&lt;=36,Inputs!$B$15+(A68-30)*(Inputs!$B$16-Inputs!$B$15)/6,Inputs!$B$16))))</x:f>
        <x:v>0.85</x:v>
      </x:c>
      <x:c r="F68" s="118" t="n">
        <x:f aca="0">ROUND(C68*E68,-1)</x:f>
        <x:v>241860</x:v>
      </x:c>
      <x:c r="G68" s="118" t="n">
        <x:f aca="0">G67+F68</x:f>
        <x:v>5002630</x:v>
      </x:c>
      <x:c r="H68" s="118" t="str">
        <x:v>Post-launch: roadmap wave content</x:v>
      </x:c>
    </x:row>
    <x:row r="69" ht="15" hidden="0" customHeight="1">
      <x:c r="A69" s="118" t="n">
        <x:v>66</x:v>
      </x:c>
      <x:c r="B69" s="118" t="n">
        <x:v>6305650</x:v>
      </x:c>
      <x:c r="C69" s="118" t="n">
        <x:f aca="0">B69-B68</x:f>
        <x:v>293840</x:v>
      </x:c>
      <x:c r="D69" s="118" t="str">
        <x:f>IF(A69&lt;=5,"Tutorial",IF(A69&lt;=10,"Early",IF(A69&lt;=20,"Habit",IF(A69&lt;=30,"Mid",IF(A69&lt;=40,"Advanced Launch","Post-launch")))))</x:f>
        <x:v>Post-launch</x:v>
      </x:c>
      <x:c r="E69" s="118" t="n">
        <x:f aca="0">IF(A69&lt;=10,Inputs!$B$14,IF(A69&lt;=18,Inputs!$B$14+(A69-10)*(Inputs!$B$15-Inputs!$B$14)/8,IF(A69&lt;=30,Inputs!$B$15,IF(A69&lt;=36,Inputs!$B$15+(A69-30)*(Inputs!$B$16-Inputs!$B$15)/6,Inputs!$B$16))))</x:f>
        <x:v>0.85</x:v>
      </x:c>
      <x:c r="F69" s="118" t="n">
        <x:f aca="0">ROUND(C69*E69,-1)</x:f>
        <x:v>249760</x:v>
      </x:c>
      <x:c r="G69" s="118" t="n">
        <x:f aca="0">G68+F69</x:f>
        <x:v>5252390</x:v>
      </x:c>
      <x:c r="H69" s="118" t="str">
        <x:v>Post-launch: roadmap wave content</x:v>
      </x:c>
    </x:row>
    <x:row r="70" ht="15" hidden="0" customHeight="1">
      <x:c r="A70" s="118" t="n">
        <x:v>67</x:v>
      </x:c>
      <x:c r="B70" s="118" t="n">
        <x:v>6608940</x:v>
      </x:c>
      <x:c r="C70" s="118" t="n">
        <x:f aca="0">B70-B69</x:f>
        <x:v>303290</x:v>
      </x:c>
      <x:c r="D70" s="118" t="str">
        <x:f>IF(A70&lt;=5,"Tutorial",IF(A70&lt;=10,"Early",IF(A70&lt;=20,"Habit",IF(A70&lt;=30,"Mid",IF(A70&lt;=40,"Advanced Launch","Post-launch")))))</x:f>
        <x:v>Post-launch</x:v>
      </x:c>
      <x:c r="E70" s="118" t="n">
        <x:f aca="0">IF(A70&lt;=10,Inputs!$B$14,IF(A70&lt;=18,Inputs!$B$14+(A70-10)*(Inputs!$B$15-Inputs!$B$14)/8,IF(A70&lt;=30,Inputs!$B$15,IF(A70&lt;=36,Inputs!$B$15+(A70-30)*(Inputs!$B$16-Inputs!$B$15)/6,Inputs!$B$16))))</x:f>
        <x:v>0.85</x:v>
      </x:c>
      <x:c r="F70" s="118" t="n">
        <x:f aca="0">ROUND(C70*E70,-1)</x:f>
        <x:v>257800</x:v>
      </x:c>
      <x:c r="G70" s="118" t="n">
        <x:f aca="0">G69+F70</x:f>
        <x:v>5510190</x:v>
      </x:c>
      <x:c r="H70" s="118" t="str">
        <x:v>Post-launch: Medium Tank 8</x:v>
      </x:c>
    </x:row>
    <x:row r="71" ht="15" hidden="0" customHeight="1">
      <x:c r="A71" s="118" t="n">
        <x:v>68</x:v>
      </x:c>
      <x:c r="B71" s="118" t="n">
        <x:v>6921830</x:v>
      </x:c>
      <x:c r="C71" s="118" t="n">
        <x:f aca="0">B71-B70</x:f>
        <x:v>312890</x:v>
      </x:c>
      <x:c r="D71" s="118" t="str">
        <x:f>IF(A71&lt;=5,"Tutorial",IF(A71&lt;=10,"Early",IF(A71&lt;=20,"Habit",IF(A71&lt;=30,"Mid",IF(A71&lt;=40,"Advanced Launch","Post-launch")))))</x:f>
        <x:v>Post-launch</x:v>
      </x:c>
      <x:c r="E71" s="118" t="n">
        <x:f aca="0">IF(A71&lt;=10,Inputs!$B$14,IF(A71&lt;=18,Inputs!$B$14+(A71-10)*(Inputs!$B$15-Inputs!$B$14)/8,IF(A71&lt;=30,Inputs!$B$15,IF(A71&lt;=36,Inputs!$B$15+(A71-30)*(Inputs!$B$16-Inputs!$B$15)/6,Inputs!$B$16))))</x:f>
        <x:v>0.85</x:v>
      </x:c>
      <x:c r="F71" s="118" t="n">
        <x:f aca="0">ROUND(C71*E71,-1)</x:f>
        <x:v>265960</x:v>
      </x:c>
      <x:c r="G71" s="118" t="n">
        <x:f aca="0">G70+F71</x:f>
        <x:v>5776150</x:v>
      </x:c>
      <x:c r="H71" s="118" t="str">
        <x:v>Post-launch: roadmap wave content</x:v>
      </x:c>
    </x:row>
    <x:row r="72" ht="15" hidden="0" customHeight="1">
      <x:c r="A72" s="118" t="n">
        <x:v>69</x:v>
      </x:c>
      <x:c r="B72" s="118" t="n">
        <x:v>7244470</x:v>
      </x:c>
      <x:c r="C72" s="118" t="n">
        <x:f aca="0">B72-B71</x:f>
        <x:v>322640</x:v>
      </x:c>
      <x:c r="D72" s="118" t="str">
        <x:f>IF(A72&lt;=5,"Tutorial",IF(A72&lt;=10,"Early",IF(A72&lt;=20,"Habit",IF(A72&lt;=30,"Mid",IF(A72&lt;=40,"Advanced Launch","Post-launch")))))</x:f>
        <x:v>Post-launch</x:v>
      </x:c>
      <x:c r="E72" s="118" t="n">
        <x:f aca="0">IF(A72&lt;=10,Inputs!$B$14,IF(A72&lt;=18,Inputs!$B$14+(A72-10)*(Inputs!$B$15-Inputs!$B$14)/8,IF(A72&lt;=30,Inputs!$B$15,IF(A72&lt;=36,Inputs!$B$15+(A72-30)*(Inputs!$B$16-Inputs!$B$15)/6,Inputs!$B$16))))</x:f>
        <x:v>0.85</x:v>
      </x:c>
      <x:c r="F72" s="118" t="n">
        <x:f aca="0">ROUND(C72*E72,-1)</x:f>
        <x:v>274240</x:v>
      </x:c>
      <x:c r="G72" s="118" t="n">
        <x:f aca="0">G71+F72</x:f>
        <x:v>6050390</x:v>
      </x:c>
      <x:c r="H72" s="118" t="str">
        <x:v>Post-launch: roadmap wave content</x:v>
      </x:c>
    </x:row>
    <x:row r="73" ht="15" hidden="0" customHeight="1">
      <x:c r="A73" s="118" t="n">
        <x:v>70</x:v>
      </x:c>
      <x:c r="B73" s="118" t="n">
        <x:v>7577010</x:v>
      </x:c>
      <x:c r="C73" s="118" t="n">
        <x:f aca="0">B73-B72</x:f>
        <x:v>332540</x:v>
      </x:c>
      <x:c r="D73" s="118" t="str">
        <x:f>IF(A73&lt;=5,"Tutorial",IF(A73&lt;=10,"Early",IF(A73&lt;=20,"Habit",IF(A73&lt;=30,"Mid",IF(A73&lt;=40,"Advanced Launch","Post-launch")))))</x:f>
        <x:v>Post-launch</x:v>
      </x:c>
      <x:c r="E73" s="118" t="n">
        <x:f aca="0">IF(A73&lt;=10,Inputs!$B$14,IF(A73&lt;=18,Inputs!$B$14+(A73-10)*(Inputs!$B$15-Inputs!$B$14)/8,IF(A73&lt;=30,Inputs!$B$15,IF(A73&lt;=36,Inputs!$B$15+(A73-30)*(Inputs!$B$16-Inputs!$B$15)/6,Inputs!$B$16))))</x:f>
        <x:v>0.85</x:v>
      </x:c>
      <x:c r="F73" s="118" t="n">
        <x:f aca="0">ROUND(C73*E73,-1)</x:f>
        <x:v>282660</x:v>
      </x:c>
      <x:c r="G73" s="118" t="n">
        <x:f aca="0">G72+F73</x:f>
        <x:v>6333050</x:v>
      </x:c>
      <x:c r="H73" s="118" t="str">
        <x:v>Post-launch: Large Tank 8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9" hidden="0" customWidth="1"/>
    <x:col min="2" max="2" width="24" hidden="0" customWidth="1"/>
    <x:col min="3" max="3" width="12" hidden="0" customWidth="1"/>
    <x:col min="4" max="4" width="10" hidden="0" customWidth="1"/>
    <x:col min="5" max="5" width="12" hidden="0" customWidth="1"/>
    <x:col min="6" max="6" width="12" hidden="0" customWidth="1"/>
    <x:col min="7" max="7" width="13" hidden="0" customWidth="1"/>
    <x:col min="8" max="9" width="9" hidden="0" customWidth="1"/>
    <x:col min="10" max="10" width="8" hidden="0" customWidth="1"/>
    <x:col min="11" max="11" width="11" hidden="0" customWidth="1"/>
    <x:col min="12" max="16" width="10" hidden="0" customWidth="1"/>
    <x:col min="17" max="18" width="9" hidden="0" customWidth="1"/>
    <x:col min="19" max="20" width="10" hidden="0" customWidth="1"/>
    <x:col min="21" max="21" width="20" hidden="0" customWidth="1"/>
    <x:col min="22" max="22" width="11" hidden="0" customWidth="1"/>
    <x:col min="23" max="23" width="34" hidden="0" customWidth="1"/>
    <x:col min="27" max="27" width="18" hidden="0" customWidth="1"/>
    <x:col min="28" max="28" width="36" hidden="0" customWidth="1"/>
    <x:col min="29" max="29" width="12" hidden="0" customWidth="1"/>
    <x:col min="30" max="30" width="12" hidden="0" customWidth="1"/>
    <x:col min="31" max="31" width="18" hidden="0" customWidth="1"/>
    <x:col min="32" max="32" width="14" hidden="0" customWidth="1"/>
    <x:col min="33" max="33" width="14" hidden="0" customWidth="1"/>
    <x:col min="34" max="34" width="44" hidden="0" customWidth="1"/>
  </x:cols>
  <x:sheetData>
    <x:row r="1" ht="50.400001525878906" hidden="0" customHeight="1">
      <x:c r="A1" s="96" t="str">
        <x:v>ID</x:v>
      </x:c>
      <x:c r="B1" s="96" t="str">
        <x:v>Fish</x:v>
      </x:c>
      <x:c r="C1" s="96" t="str">
        <x:v>Rarity</x:v>
      </x:c>
      <x:c r="D1" s="96" t="str">
        <x:v>Unlock Lvl</x:v>
      </x:c>
      <x:c r="E1" s="96" t="str">
        <x:v>Buy (coins)</x:v>
      </x:c>
      <x:c r="F1" s="96" t="str">
        <x:v>Stage Time (hrs)</x:v>
      </x:c>
      <x:c r="G1" s="96" t="str">
        <x:v>Stage Time</x:v>
      </x:c>
      <x:c r="H1" s="96" t="str">
        <x:v>Adult In (hrs)</x:v>
      </x:c>
      <x:c r="I1" s="96" t="str">
        <x:v>Feed Window (hrs)</x:v>
      </x:c>
      <x:c r="J1" s="96" t="str">
        <x:v>Sick Grace (hrs)</x:v>
      </x:c>
      <x:c r="K1" s="96" t="str">
        <x:v>Target Coins/hr</x:v>
      </x:c>
      <x:c r="L1" s="96" t="str">
        <x:v>Target XP/hr</x:v>
      </x:c>
      <x:c r="M1" s="96" t="str">
        <x:v>Buy XP</x:v>
      </x:c>
      <x:c r="N1" s="96" t="str">
        <x:v>Adult Sell (coins)</x:v>
      </x:c>
      <x:c r="O1" s="96" t="str">
        <x:v>Adult Sell XP</x:v>
      </x:c>
      <x:c r="P1" s="96" t="str">
        <x:v>Mature Sell (coins)</x:v>
      </x:c>
      <x:c r="Q1" s="96" t="str">
        <x:v>Young Sell (coins)</x:v>
      </x:c>
      <x:c r="R1" s="96" t="str">
        <x:v>Junior Sell (coins)</x:v>
      </x:c>
      <x:c r="S1" s="96" t="str">
        <x:v>Mature Sell XP</x:v>
      </x:c>
      <x:c r="T1" s="96" t="str">
        <x:v>Young Sell XP</x:v>
      </x:c>
      <x:c r="U1" s="96" t="str">
        <x:v>Junior Sell XP</x:v>
      </x:c>
      <x:c r="V1" s="96" t="str">
        <x:v>Profit (coins)</x:v>
      </x:c>
      <x:c r="W1" s="96" t="str">
        <x:v>Coins/hr</x:v>
      </x:c>
      <x:c r="X1" s="96" t="str">
        <x:v>XP/hr</x:v>
      </x:c>
      <x:c r="Y1" s="96" t="str">
        <x:v>Coins/action</x:v>
      </x:c>
      <x:c r="Z1" s="96" t="str">
        <x:v>XP/action</x:v>
      </x:c>
      <x:c r="AA1" s="96" t="str">
        <x:v>Primary Role</x:v>
      </x:c>
      <x:c r="AB1" s="96" t="str">
        <x:v>Secondary Trait</x:v>
      </x:c>
      <x:c r="AC1" s="96" t="str">
        <x:v>Playstyle</x:v>
      </x:c>
      <x:c r="AD1" s="96" t="str">
        <x:v>Store Badge</x:v>
      </x:c>
      <x:c r="AE1" s="96" t="str">
        <x:v>Balance Flag</x:v>
      </x:c>
      <x:c r="AF1" s="96" t="str">
        <x:v>Real Lifespan</x:v>
      </x:c>
      <x:c r="AG1" s="96" t="str">
        <x:v>Real Maturity</x:v>
      </x:c>
      <x:c r="AH1" s="96" t="str">
        <x:v>Notes</x:v>
      </x:c>
    </x:row>
    <x:row r="2" ht="15" hidden="0" customHeight="1">
      <x:c r="A2" s="118" t="str">
        <x:v>CF-01</x:v>
      </x:c>
      <x:c r="B2" s="118" t="str">
        <x:v>Neon Tetra</x:v>
      </x:c>
      <x:c r="C2" s="118" t="str">
        <x:v>Common</x:v>
      </x:c>
      <x:c r="D2" s="126" t="n">
        <x:v>1</x:v>
      </x:c>
      <x:c r="E2" s="127" t="n">
        <x:v>7</x:v>
      </x:c>
      <x:c r="F2" s="126" t="n">
        <x:v>0.083</x:v>
      </x:c>
      <x:c r="G2" s="118" t="str">
        <x:v>5 min</x:v>
      </x:c>
      <x:c r="H2" s="128" t="n">
        <x:f aca="0">F2*Inputs!$B$19</x:f>
        <x:v>0.332</x:v>
      </x:c>
      <x:c r="I2" s="128" t="n">
        <x:f aca="0">F2*Inputs!$B$20</x:f>
        <x:v>0.166</x:v>
      </x:c>
      <x:c r="J2" s="128" t="n">
        <x:f aca="0">MIN(Inputs!$B$77,MAX(Inputs!$B$76,I2*Inputs!$B$75))</x:f>
        <x:v>0.5</x:v>
      </x:c>
      <x:c r="K2" s="128" t="n">
        <x:f aca="0">ROUND((Inputs!$B$70+(D2-Inputs!$B$68)*(Inputs!$B$71-Inputs!$B$70)/(Inputs!$B$69-Inputs!$B$68))*INDEX(Inputs!$C$87:$C$96,MATCH(F2,Inputs!$A$87:$A$96,1))*INDEX(Inputs!$B$100:$B$107,MATCH(AA2,Inputs!$A$100:$A$107,0))*(1+INDEX(Inputs!$B$38:$B$44,MATCH(C2,Inputs!$A$38:$A$44,0))*INDEX(Inputs!$D$100:$D$107,MATCH(AA2,Inputs!$A$100:$A$107,0))),1)</x:f>
        <x:v>190</x:v>
      </x:c>
      <x:c r="L2" s="128" t="n">
        <x:f aca="0">ROUND((Inputs!$B$72+(D2-Inputs!$B$68)*(Inputs!$B$73-Inputs!$B$72)/(Inputs!$B$69-Inputs!$B$68))*INDEX(Inputs!$D$87:$D$96,MATCH(F2,Inputs!$A$87:$A$96,1))*INDEX(Inputs!$C$100:$C$107,MATCH(AA2,Inputs!$A$100:$A$107,0))*(1+INDEX(Inputs!$B$38:$B$44,MATCH(C2,Inputs!$A$38:$A$44,0))*INDEX(Inputs!$E$100:$E$107,MATCH(AA2,Inputs!$A$100:$A$107,0))),1)</x:f>
        <x:v>60</x:v>
      </x:c>
      <x:c r="M2" s="127" t="n">
        <x:f aca="0">ROUND(L2*H2*Inputs!$B$74,0)</x:f>
        <x:v>2</x:v>
      </x:c>
      <x:c r="N2" s="127" t="n">
        <x:f aca="0">ROUND(E2+K2*H2,0)</x:f>
        <x:v>70</x:v>
      </x:c>
      <x:c r="O2" s="127" t="n">
        <x:f aca="0">MAX(1,ROUND(L2*H2-M2,0))</x:f>
        <x:v>18</x:v>
      </x:c>
      <x:c r="P2" s="127" t="n">
        <x:f aca="0">ROUND(E2+(N2-E2)*Inputs!$B$24,0)</x:f>
        <x:v>57</x:v>
      </x:c>
      <x:c r="Q2" s="127" t="n">
        <x:f aca="0">ROUND(E2+(N2-E2)*Inputs!$B$23,0)</x:f>
        <x:v>42</x:v>
      </x:c>
      <x:c r="R2" s="127" t="n">
        <x:f aca="0">ROUND(E2+(N2-E2)*Inputs!$B$22,0)</x:f>
        <x:v>23</x:v>
      </x:c>
      <x:c r="S2" s="127" t="n">
        <x:f aca="0">ROUND(O2*Inputs!$B$24,0)</x:f>
        <x:v>14</x:v>
      </x:c>
      <x:c r="T2" s="127" t="n">
        <x:f aca="0">ROUND(O2*Inputs!$B$23,0)</x:f>
        <x:v>10</x:v>
      </x:c>
      <x:c r="U2" s="127" t="n">
        <x:f>ROUND(O2*Inputs!$B$22,0)</x:f>
        <x:v>5</x:v>
      </x:c>
      <x:c r="V2" s="127" t="n">
        <x:f>N2-E2</x:f>
        <x:v>63</x:v>
      </x:c>
      <x:c r="W2" s="128" t="n">
        <x:f>ROUND(V2/H2,1)</x:f>
        <x:v>189.8</x:v>
      </x:c>
      <x:c r="X2" s="128" t="n">
        <x:f>ROUND((M2+O2)/H2,1)</x:f>
        <x:v>60.2</x:v>
      </x:c>
      <x:c r="Y2" s="128" t="n">
        <x:f>V2</x:f>
        <x:v>63</x:v>
      </x:c>
      <x:c r="Z2" s="128" t="n">
        <x:f>M2+O2</x:f>
        <x:v>20</x:v>
      </x:c>
      <x:c r="AA2" s="118" t="str">
        <x:v>Starter</x:v>
      </x:c>
      <x:c r="AB2" s="118" t="str">
        <x:v>starter XP + first fast-return loop</x:v>
      </x:c>
      <x:c r="AC2" s="118" t="str">
        <x:f>IF(F2&lt;1,"Active",IF(F2&lt;12,"Balanced","Idle"))</x:f>
        <x:v>Active</x:v>
      </x:c>
      <x:c r="AD2" s="118" t="str">
        <x:f>IF(F2&lt;1,"Fast Fish",IF(F2&gt;=24,"Overnight","-"))</x:f>
        <x:v>Fast Fish</x:v>
      </x:c>
      <x:c r="AE2" s="118" t="str">
        <x:f>IF(W2&gt;(Inputs!$B$70+(D2-Inputs!$B$68)*(Inputs!$B$71-Inputs!$B$70)/(Inputs!$B$69-Inputs!$B$68))*1.30,"Above active frontier",IF(W2&lt;0,"Loss","OK"))</x:f>
        <x:v>OK</x:v>
      </x:c>
      <x:c r="AF2" s="118" t="str">
        <x:v>5-8 yr</x:v>
      </x:c>
      <x:c r="AG2" s="118" t="str">
        <x:v>6 mo</x:v>
      </x:c>
      <x:c r="AH2" s="118" t="str">
        <x:v>Starter 'Fast Fish' (Mini Dart Goby role)</x:v>
      </x:c>
    </x:row>
    <x:row r="3" ht="15" hidden="0" customHeight="1">
      <x:c r="A3" s="118" t="str">
        <x:v>CF-02</x:v>
      </x:c>
      <x:c r="B3" s="118" t="str">
        <x:v>Guppy</x:v>
      </x:c>
      <x:c r="C3" s="118" t="str">
        <x:v>Common</x:v>
      </x:c>
      <x:c r="D3" s="126" t="n">
        <x:v>1</x:v>
      </x:c>
      <x:c r="E3" s="127" t="n">
        <x:v>35</x:v>
      </x:c>
      <x:c r="F3" s="126" t="n">
        <x:v>4</x:v>
      </x:c>
      <x:c r="G3" s="118" t="str">
        <x:v>4 h</x:v>
      </x:c>
      <x:c r="H3" s="128" t="n">
        <x:f aca="0">F3*Inputs!$B$19</x:f>
        <x:v>16</x:v>
      </x:c>
      <x:c r="I3" s="128" t="n">
        <x:f aca="0">F3*Inputs!$B$20</x:f>
        <x:v>8</x:v>
      </x:c>
      <x:c r="J3" s="128" t="n">
        <x:f aca="0">MIN(Inputs!$B$77,MAX(Inputs!$B$76,I3*Inputs!$B$75))</x:f>
        <x:v>2</x:v>
      </x:c>
      <x:c r="K3" s="128" t="n">
        <x:f aca="0">ROUND((Inputs!$B$70+(D3-Inputs!$B$68)*(Inputs!$B$71-Inputs!$B$70)/(Inputs!$B$69-Inputs!$B$68))*INDEX(Inputs!$C$87:$C$96,MATCH(F3,Inputs!$A$87:$A$96,1))*INDEX(Inputs!$B$100:$B$107,MATCH(AA3,Inputs!$A$100:$A$107,0))*(1+INDEX(Inputs!$B$38:$B$44,MATCH(C3,Inputs!$A$38:$A$44,0))*INDEX(Inputs!$D$100:$D$107,MATCH(AA3,Inputs!$A$100:$A$107,0))),1)</x:f>
        <x:v>20</x:v>
      </x:c>
      <x:c r="L3" s="128" t="n">
        <x:f aca="0">ROUND((Inputs!$B$72+(D3-Inputs!$B$68)*(Inputs!$B$73-Inputs!$B$72)/(Inputs!$B$69-Inputs!$B$68))*INDEX(Inputs!$D$87:$D$96,MATCH(F3,Inputs!$A$87:$A$96,1))*INDEX(Inputs!$C$100:$C$107,MATCH(AA3,Inputs!$A$100:$A$107,0))*(1+INDEX(Inputs!$B$38:$B$44,MATCH(C3,Inputs!$A$38:$A$44,0))*INDEX(Inputs!$E$100:$E$107,MATCH(AA3,Inputs!$A$100:$A$107,0))),1)</x:f>
        <x:v>9.6</x:v>
      </x:c>
      <x:c r="M3" s="127" t="n">
        <x:f aca="0">ROUND(L3*H3*Inputs!$B$74,0)</x:f>
        <x:v>12</x:v>
      </x:c>
      <x:c r="N3" s="127" t="n">
        <x:f aca="0">ROUND(E3+K3*H3,0)</x:f>
        <x:v>355</x:v>
      </x:c>
      <x:c r="O3" s="127" t="n">
        <x:f aca="0">MAX(1,ROUND(L3*H3-M3,0))</x:f>
        <x:v>142</x:v>
      </x:c>
      <x:c r="P3" s="127" t="n">
        <x:f aca="0">ROUND(E3+(N3-E3)*Inputs!$B$24,0)</x:f>
        <x:v>291</x:v>
      </x:c>
      <x:c r="Q3" s="127" t="n">
        <x:f aca="0">ROUND(E3+(N3-E3)*Inputs!$B$23,0)</x:f>
        <x:v>211</x:v>
      </x:c>
      <x:c r="R3" s="127" t="n">
        <x:f aca="0">ROUND(E3+(N3-E3)*Inputs!$B$22,0)</x:f>
        <x:v>115</x:v>
      </x:c>
      <x:c r="S3" s="127" t="n">
        <x:f aca="0">ROUND(O3*Inputs!$B$24,0)</x:f>
        <x:v>114</x:v>
      </x:c>
      <x:c r="T3" s="127" t="n">
        <x:f aca="0">ROUND(O3*Inputs!$B$23,0)</x:f>
        <x:v>78</x:v>
      </x:c>
      <x:c r="U3" s="127" t="n">
        <x:f>ROUND(O3*Inputs!$B$22,0)</x:f>
        <x:v>36</x:v>
      </x:c>
      <x:c r="V3" s="127" t="n">
        <x:f>N3-E3</x:f>
        <x:v>320</x:v>
      </x:c>
      <x:c r="W3" s="128" t="n">
        <x:f>ROUND(V3/H3,1)</x:f>
        <x:v>20</x:v>
      </x:c>
      <x:c r="X3" s="128" t="n">
        <x:f>ROUND((M3+O3)/H3,1)</x:f>
        <x:v>9.6</x:v>
      </x:c>
      <x:c r="Y3" s="128" t="n">
        <x:f>V3</x:f>
        <x:v>320</x:v>
      </x:c>
      <x:c r="Z3" s="128" t="n">
        <x:f>M3+O3</x:f>
        <x:v>154</x:v>
      </x:c>
      <x:c r="AA3" s="118" t="str">
        <x:v>Balanced</x:v>
      </x:c>
      <x:c r="AB3" s="118" t="str">
        <x:v>cheap 4h session fish</x:v>
      </x:c>
      <x:c r="AC3" s="118" t="str">
        <x:f>IF(F3&lt;1,"Active",IF(F3&lt;12,"Balanced","Idle"))</x:f>
        <x:v>Balanced</x:v>
      </x:c>
      <x:c r="AD3" s="118" t="str">
        <x:f>IF(F3&lt;1,"Fast Fish",IF(F3&gt;=24,"Overnight","-"))</x:f>
        <x:v>-</x:v>
      </x:c>
      <x:c r="AE3" s="118" t="str">
        <x:f>IF(W3&gt;(Inputs!$B$70+(D3-Inputs!$B$68)*(Inputs!$B$71-Inputs!$B$70)/(Inputs!$B$69-Inputs!$B$68))*1.30,"Above active frontier",IF(W3&lt;0,"Loss","OK"))</x:f>
        <x:v>OK</x:v>
      </x:c>
      <x:c r="AF3" s="118" t="str">
        <x:v>2-3 yr</x:v>
      </x:c>
      <x:c r="AG3" s="118" t="str">
        <x:v>3 mo</x:v>
      </x:c>
      <x:c r="AH3" s="118" t="str">
        <x:v>Starter session fish (Shy Hamlet role)</x:v>
      </x:c>
    </x:row>
    <x:row r="4" ht="15" hidden="0" customHeight="1">
      <x:c r="A4" s="118" t="str">
        <x:v>CF-03</x:v>
      </x:c>
      <x:c r="B4" s="118" t="str">
        <x:v>Platy</x:v>
      </x:c>
      <x:c r="C4" s="118" t="str">
        <x:v>Common</x:v>
      </x:c>
      <x:c r="D4" s="126" t="n">
        <x:v>1</x:v>
      </x:c>
      <x:c r="E4" s="127" t="n">
        <x:v>60</x:v>
      </x:c>
      <x:c r="F4" s="126" t="n">
        <x:v>12</x:v>
      </x:c>
      <x:c r="G4" s="118" t="str">
        <x:v>12 h</x:v>
      </x:c>
      <x:c r="H4" s="128" t="n">
        <x:f aca="0">F4*Inputs!$B$19</x:f>
        <x:v>48</x:v>
      </x:c>
      <x:c r="I4" s="128" t="n">
        <x:f aca="0">F4*Inputs!$B$20</x:f>
        <x:v>24</x:v>
      </x:c>
      <x:c r="J4" s="128" t="n">
        <x:f aca="0">MIN(Inputs!$B$77,MAX(Inputs!$B$76,I4*Inputs!$B$75))</x:f>
        <x:v>6</x:v>
      </x:c>
      <x:c r="K4" s="128" t="n">
        <x:f aca="0">ROUND((Inputs!$B$70+(D4-Inputs!$B$68)*(Inputs!$B$71-Inputs!$B$70)/(Inputs!$B$69-Inputs!$B$68))*INDEX(Inputs!$C$87:$C$96,MATCH(F4,Inputs!$A$87:$A$96,1))*INDEX(Inputs!$B$100:$B$107,MATCH(AA4,Inputs!$A$100:$A$107,0))*(1+INDEX(Inputs!$B$38:$B$44,MATCH(C4,Inputs!$A$38:$A$44,0))*INDEX(Inputs!$D$100:$D$107,MATCH(AA4,Inputs!$A$100:$A$107,0))),1)</x:f>
        <x:v>11.7</x:v>
      </x:c>
      <x:c r="L4" s="128" t="n">
        <x:f aca="0">ROUND((Inputs!$B$72+(D4-Inputs!$B$68)*(Inputs!$B$73-Inputs!$B$72)/(Inputs!$B$69-Inputs!$B$68))*INDEX(Inputs!$D$87:$D$96,MATCH(F4,Inputs!$A$87:$A$96,1))*INDEX(Inputs!$C$100:$C$107,MATCH(AA4,Inputs!$A$100:$A$107,0))*(1+INDEX(Inputs!$B$38:$B$44,MATCH(C4,Inputs!$A$38:$A$44,0))*INDEX(Inputs!$E$100:$E$107,MATCH(AA4,Inputs!$A$100:$A$107,0))),1)</x:f>
        <x:v>8.2</x:v>
      </x:c>
      <x:c r="M4" s="127" t="n">
        <x:f aca="0">ROUND(L4*H4*Inputs!$B$74,0)</x:f>
        <x:v>31</x:v>
      </x:c>
      <x:c r="N4" s="127" t="n">
        <x:f aca="0">ROUND(E4+K4*H4,0)</x:f>
        <x:v>622</x:v>
      </x:c>
      <x:c r="O4" s="127" t="n">
        <x:f aca="0">MAX(1,ROUND(L4*H4-M4,0))</x:f>
        <x:v>363</x:v>
      </x:c>
      <x:c r="P4" s="127" t="n">
        <x:f aca="0">ROUND(E4+(N4-E4)*Inputs!$B$24,0)</x:f>
        <x:v>510</x:v>
      </x:c>
      <x:c r="Q4" s="127" t="n">
        <x:f aca="0">ROUND(E4+(N4-E4)*Inputs!$B$23,0)</x:f>
        <x:v>369</x:v>
      </x:c>
      <x:c r="R4" s="127" t="n">
        <x:f aca="0">ROUND(E4+(N4-E4)*Inputs!$B$22,0)</x:f>
        <x:v>201</x:v>
      </x:c>
      <x:c r="S4" s="127" t="n">
        <x:f aca="0">ROUND(O4*Inputs!$B$24,0)</x:f>
        <x:v>290</x:v>
      </x:c>
      <x:c r="T4" s="127" t="n">
        <x:f aca="0">ROUND(O4*Inputs!$B$23,0)</x:f>
        <x:v>200</x:v>
      </x:c>
      <x:c r="U4" s="127" t="n">
        <x:f>ROUND(O4*Inputs!$B$22,0)</x:f>
        <x:v>91</x:v>
      </x:c>
      <x:c r="V4" s="127" t="n">
        <x:f>N4-E4</x:f>
        <x:v>562</x:v>
      </x:c>
      <x:c r="W4" s="128" t="n">
        <x:f>ROUND(V4/H4,1)</x:f>
        <x:v>11.7</x:v>
      </x:c>
      <x:c r="X4" s="128" t="n">
        <x:f>ROUND((M4+O4)/H4,1)</x:f>
        <x:v>8.2</x:v>
      </x:c>
      <x:c r="Y4" s="128" t="n">
        <x:f>V4</x:f>
        <x:v>562</x:v>
      </x:c>
      <x:c r="Z4" s="128" t="n">
        <x:f>M4+O4</x:f>
        <x:v>394</x:v>
      </x:c>
      <x:c r="AA4" s="118" t="str">
        <x:v>Convenience</x:v>
      </x:c>
      <x:c r="AB4" s="118" t="str">
        <x:v>starter half-day low-attention fish</x:v>
      </x:c>
      <x:c r="AC4" s="118" t="str">
        <x:f>IF(F4&lt;1,"Active",IF(F4&lt;12,"Balanced","Idle"))</x:f>
        <x:v>Idle</x:v>
      </x:c>
      <x:c r="AD4" s="118" t="str">
        <x:f>IF(F4&lt;1,"Fast Fish",IF(F4&gt;=24,"Overnight","-"))</x:f>
        <x:v>-</x:v>
      </x:c>
      <x:c r="AE4" s="118" t="str">
        <x:f>IF(W4&gt;(Inputs!$B$70+(D4-Inputs!$B$68)*(Inputs!$B$71-Inputs!$B$70)/(Inputs!$B$69-Inputs!$B$68))*1.30,"Above active frontier",IF(W4&lt;0,"Loss","OK"))</x:f>
        <x:v>OK</x:v>
      </x:c>
      <x:c r="AF4" s="118" t="str">
        <x:v>3-4 yr</x:v>
      </x:c>
      <x:c r="AG4" s="118" t="str">
        <x:v>4 mo</x:v>
      </x:c>
      <x:c r="AH4" s="118" t="str">
        <x:v>Starter daily fish (Hogfish role)</x:v>
      </x:c>
    </x:row>
    <x:row r="5" ht="15" hidden="0" customHeight="1">
      <x:c r="A5" s="118" t="str">
        <x:v>CF-04</x:v>
      </x:c>
      <x:c r="B5" s="118" t="str">
        <x:v>Molly</x:v>
      </x:c>
      <x:c r="C5" s="118" t="str">
        <x:v>Common</x:v>
      </x:c>
      <x:c r="D5" s="126" t="n">
        <x:v>1</x:v>
      </x:c>
      <x:c r="E5" s="127" t="n">
        <x:v>80</x:v>
      </x:c>
      <x:c r="F5" s="126" t="n">
        <x:v>24</x:v>
      </x:c>
      <x:c r="G5" s="118" t="str">
        <x:v>24 h (1 d)</x:v>
      </x:c>
      <x:c r="H5" s="128" t="n">
        <x:f aca="0">F5*Inputs!$B$19</x:f>
        <x:v>96</x:v>
      </x:c>
      <x:c r="I5" s="128" t="n">
        <x:f aca="0">F5*Inputs!$B$20</x:f>
        <x:v>48</x:v>
      </x:c>
      <x:c r="J5" s="128" t="n">
        <x:f aca="0">MIN(Inputs!$B$77,MAX(Inputs!$B$76,I5*Inputs!$B$75))</x:f>
        <x:v>12</x:v>
      </x:c>
      <x:c r="K5" s="128" t="n">
        <x:f aca="0">ROUND((Inputs!$B$70+(D5-Inputs!$B$68)*(Inputs!$B$71-Inputs!$B$70)/(Inputs!$B$69-Inputs!$B$68))*INDEX(Inputs!$C$87:$C$96,MATCH(F5,Inputs!$A$87:$A$96,1))*INDEX(Inputs!$B$100:$B$107,MATCH(AA5,Inputs!$A$100:$A$107,0))*(1+INDEX(Inputs!$B$38:$B$44,MATCH(C5,Inputs!$A$38:$A$44,0))*INDEX(Inputs!$D$100:$D$107,MATCH(AA5,Inputs!$A$100:$A$107,0))),1)</x:f>
        <x:v>9.9</x:v>
      </x:c>
      <x:c r="L5" s="128" t="n">
        <x:f aca="0">ROUND((Inputs!$B$72+(D5-Inputs!$B$68)*(Inputs!$B$73-Inputs!$B$72)/(Inputs!$B$69-Inputs!$B$68))*INDEX(Inputs!$D$87:$D$96,MATCH(F5,Inputs!$A$87:$A$96,1))*INDEX(Inputs!$C$100:$C$107,MATCH(AA5,Inputs!$A$100:$A$107,0))*(1+INDEX(Inputs!$B$38:$B$44,MATCH(C5,Inputs!$A$38:$A$44,0))*INDEX(Inputs!$E$100:$E$107,MATCH(AA5,Inputs!$A$100:$A$107,0))),1)</x:f>
        <x:v>7.6</x:v>
      </x:c>
      <x:c r="M5" s="127" t="n">
        <x:f aca="0">ROUND(L5*H5*Inputs!$B$74,0)</x:f>
        <x:v>58</x:v>
      </x:c>
      <x:c r="N5" s="127" t="n">
        <x:f aca="0">ROUND(E5+K5*H5,0)</x:f>
        <x:v>1030</x:v>
      </x:c>
      <x:c r="O5" s="127" t="n">
        <x:f aca="0">MAX(1,ROUND(L5*H5-M5,0))</x:f>
        <x:v>672</x:v>
      </x:c>
      <x:c r="P5" s="127" t="n">
        <x:f aca="0">ROUND(E5+(N5-E5)*Inputs!$B$24,0)</x:f>
        <x:v>840</x:v>
      </x:c>
      <x:c r="Q5" s="127" t="n">
        <x:f aca="0">ROUND(E5+(N5-E5)*Inputs!$B$23,0)</x:f>
        <x:v>603</x:v>
      </x:c>
      <x:c r="R5" s="127" t="n">
        <x:f aca="0">ROUND(E5+(N5-E5)*Inputs!$B$22,0)</x:f>
        <x:v>318</x:v>
      </x:c>
      <x:c r="S5" s="127" t="n">
        <x:f aca="0">ROUND(O5*Inputs!$B$24,0)</x:f>
        <x:v>538</x:v>
      </x:c>
      <x:c r="T5" s="127" t="n">
        <x:f aca="0">ROUND(O5*Inputs!$B$23,0)</x:f>
        <x:v>370</x:v>
      </x:c>
      <x:c r="U5" s="127" t="n">
        <x:f>ROUND(O5*Inputs!$B$22,0)</x:f>
        <x:v>168</x:v>
      </x:c>
      <x:c r="V5" s="127" t="n">
        <x:f>N5-E5</x:f>
        <x:v>950</x:v>
      </x:c>
      <x:c r="W5" s="128" t="n">
        <x:f>ROUND(V5/H5,1)</x:f>
        <x:v>9.9</x:v>
      </x:c>
      <x:c r="X5" s="128" t="n">
        <x:f>ROUND((M5+O5)/H5,1)</x:f>
        <x:v>7.6</x:v>
      </x:c>
      <x:c r="Y5" s="128" t="n">
        <x:f>V5</x:f>
        <x:v>950</x:v>
      </x:c>
      <x:c r="Z5" s="128" t="n">
        <x:f>M5+O5</x:f>
        <x:v>730</x:v>
      </x:c>
      <x:c r="AA5" s="118" t="str">
        <x:v>Convenience</x:v>
      </x:c>
      <x:c r="AB5" s="118" t="str">
        <x:v>first overnight low-care fish</x:v>
      </x:c>
      <x:c r="AC5" s="118" t="str">
        <x:f>IF(F5&lt;1,"Active",IF(F5&lt;12,"Balanced","Idle"))</x:f>
        <x:v>Idle</x:v>
      </x:c>
      <x:c r="AD5" s="118" t="str">
        <x:f>IF(F5&lt;1,"Fast Fish",IF(F5&gt;=24,"Overnight","-"))</x:f>
        <x:v>Overnight</x:v>
      </x:c>
      <x:c r="AE5" s="118" t="str">
        <x:f>IF(W5&gt;(Inputs!$B$70+(D5-Inputs!$B$68)*(Inputs!$B$71-Inputs!$B$70)/(Inputs!$B$69-Inputs!$B$68))*1.30,"Above active frontier",IF(W5&lt;0,"Loss","OK"))</x:f>
        <x:v>OK</x:v>
      </x:c>
      <x:c r="AF5" s="118" t="str">
        <x:v>3-5 yr</x:v>
      </x:c>
      <x:c r="AG5" s="118" t="str">
        <x:v>4 mo</x:v>
      </x:c>
      <x:c r="AH5" s="118" t="str">
        <x:v>Starter overnight fish (Scooter Blenny role)</x:v>
      </x:c>
    </x:row>
    <x:row r="6" ht="15" hidden="0" customHeight="1">
      <x:c r="A6" s="118" t="str">
        <x:v>CF-05</x:v>
      </x:c>
      <x:c r="B6" s="118" t="str">
        <x:v>Zebra Danio</x:v>
      </x:c>
      <x:c r="C6" s="118" t="str">
        <x:v>Common</x:v>
      </x:c>
      <x:c r="D6" s="126" t="n">
        <x:v>2</x:v>
      </x:c>
      <x:c r="E6" s="127" t="n">
        <x:v>16</x:v>
      </x:c>
      <x:c r="F6" s="126" t="n">
        <x:v>0.5</x:v>
      </x:c>
      <x:c r="G6" s="118" t="str">
        <x:v>30 min</x:v>
      </x:c>
      <x:c r="H6" s="128" t="n">
        <x:f aca="0">F6*Inputs!$B$19</x:f>
        <x:v>2</x:v>
      </x:c>
      <x:c r="I6" s="128" t="n">
        <x:f aca="0">F6*Inputs!$B$20</x:f>
        <x:v>1</x:v>
      </x:c>
      <x:c r="J6" s="128" t="n">
        <x:f aca="0">MIN(Inputs!$B$77,MAX(Inputs!$B$76,I6*Inputs!$B$75))</x:f>
        <x:v>0.5</x:v>
      </x:c>
      <x:c r="K6" s="128" t="n">
        <x:f aca="0">ROUND((Inputs!$B$70+(D6-Inputs!$B$68)*(Inputs!$B$71-Inputs!$B$70)/(Inputs!$B$69-Inputs!$B$68))*INDEX(Inputs!$C$87:$C$96,MATCH(F6,Inputs!$A$87:$A$96,1))*INDEX(Inputs!$B$100:$B$107,MATCH(AA6,Inputs!$A$100:$A$107,0))*(1+INDEX(Inputs!$B$38:$B$44,MATCH(C6,Inputs!$A$38:$A$44,0))*INDEX(Inputs!$D$100:$D$107,MATCH(AA6,Inputs!$A$100:$A$107,0))),1)</x:f>
        <x:v>66.9</x:v>
      </x:c>
      <x:c r="L6" s="128" t="n">
        <x:f aca="0">ROUND((Inputs!$B$72+(D6-Inputs!$B$68)*(Inputs!$B$73-Inputs!$B$72)/(Inputs!$B$69-Inputs!$B$68))*INDEX(Inputs!$D$87:$D$96,MATCH(F6,Inputs!$A$87:$A$96,1))*INDEX(Inputs!$C$100:$C$107,MATCH(AA6,Inputs!$A$100:$A$107,0))*(1+INDEX(Inputs!$B$38:$B$44,MATCH(C6,Inputs!$A$38:$A$44,0))*INDEX(Inputs!$E$100:$E$107,MATCH(AA6,Inputs!$A$100:$A$107,0))),1)</x:f>
        <x:v>36.8</x:v>
      </x:c>
      <x:c r="M6" s="127" t="n">
        <x:f aca="0">ROUND(L6*H6*Inputs!$B$74,0)</x:f>
        <x:v>6</x:v>
      </x:c>
      <x:c r="N6" s="127" t="n">
        <x:f aca="0">ROUND(E6+K6*H6,0)</x:f>
        <x:v>150</x:v>
      </x:c>
      <x:c r="O6" s="127" t="n">
        <x:f aca="0">MAX(1,ROUND(L6*H6-M6,0))</x:f>
        <x:v>68</x:v>
      </x:c>
      <x:c r="P6" s="127" t="n">
        <x:f aca="0">ROUND(E6+(N6-E6)*Inputs!$B$24,0)</x:f>
        <x:v>123</x:v>
      </x:c>
      <x:c r="Q6" s="127" t="n">
        <x:f aca="0">ROUND(E6+(N6-E6)*Inputs!$B$23,0)</x:f>
        <x:v>90</x:v>
      </x:c>
      <x:c r="R6" s="127" t="n">
        <x:f aca="0">ROUND(E6+(N6-E6)*Inputs!$B$22,0)</x:f>
        <x:v>50</x:v>
      </x:c>
      <x:c r="S6" s="127" t="n">
        <x:f aca="0">ROUND(O6*Inputs!$B$24,0)</x:f>
        <x:v>54</x:v>
      </x:c>
      <x:c r="T6" s="127" t="n">
        <x:f aca="0">ROUND(O6*Inputs!$B$23,0)</x:f>
        <x:v>37</x:v>
      </x:c>
      <x:c r="U6" s="127" t="n">
        <x:f>ROUND(O6*Inputs!$B$22,0)</x:f>
        <x:v>17</x:v>
      </x:c>
      <x:c r="V6" s="127" t="n">
        <x:f>N6-E6</x:f>
        <x:v>134</x:v>
      </x:c>
      <x:c r="W6" s="128" t="n">
        <x:f>ROUND(V6/H6,1)</x:f>
        <x:v>67</x:v>
      </x:c>
      <x:c r="X6" s="128" t="n">
        <x:f>ROUND((M6+O6)/H6,1)</x:f>
        <x:v>37</x:v>
      </x:c>
      <x:c r="Y6" s="128" t="n">
        <x:f>V6</x:f>
        <x:v>134</x:v>
      </x:c>
      <x:c r="Z6" s="128" t="n">
        <x:f>M6+O6</x:f>
        <x:v>74</x:v>
      </x:c>
      <x:c r="AA6" s="118" t="str">
        <x:v>XP Specialist</x:v>
      </x:c>
      <x:c r="AB6" s="118" t="str">
        <x:v>30-minute tutorial and quest fish</x:v>
      </x:c>
      <x:c r="AC6" s="118" t="str">
        <x:f>IF(F6&lt;1,"Active",IF(F6&lt;12,"Balanced","Idle"))</x:f>
        <x:v>Active</x:v>
      </x:c>
      <x:c r="AD6" s="118" t="str">
        <x:f>IF(F6&lt;1,"Fast Fish",IF(F6&gt;=24,"Overnight","-"))</x:f>
        <x:v>Fast Fish</x:v>
      </x:c>
      <x:c r="AE6" s="118" t="str">
        <x:f>IF(W6&gt;(Inputs!$B$70+(D6-Inputs!$B$68)*(Inputs!$B$71-Inputs!$B$70)/(Inputs!$B$69-Inputs!$B$68))*1.30,"Above active frontier",IF(W6&lt;0,"Loss","OK"))</x:f>
        <x:v>OK</x:v>
      </x:c>
      <x:c r="AF6" s="118" t="str">
        <x:v>3-5 yr</x:v>
      </x:c>
      <x:c r="AG6" s="118" t="str">
        <x:v>3 mo</x:v>
      </x:c>
      <x:c r="AH6" s="118" t="str"/>
    </x:row>
    <x:row r="7" ht="15" hidden="0" customHeight="1">
      <x:c r="A7" s="118" t="str">
        <x:v>CF-06</x:v>
      </x:c>
      <x:c r="B7" s="118" t="str">
        <x:v>Ember Tetra</x:v>
      </x:c>
      <x:c r="C7" s="118" t="str">
        <x:v>Common</x:v>
      </x:c>
      <x:c r="D7" s="126" t="n">
        <x:v>4</x:v>
      </x:c>
      <x:c r="E7" s="127" t="n">
        <x:v>12</x:v>
      </x:c>
      <x:c r="F7" s="126" t="n">
        <x:v>0.083</x:v>
      </x:c>
      <x:c r="G7" s="118" t="str">
        <x:v>5 min</x:v>
      </x:c>
      <x:c r="H7" s="128" t="n">
        <x:f aca="0">F7*Inputs!$B$19</x:f>
        <x:v>0.332</x:v>
      </x:c>
      <x:c r="I7" s="128" t="n">
        <x:f aca="0">F7*Inputs!$B$20</x:f>
        <x:v>0.166</x:v>
      </x:c>
      <x:c r="J7" s="128" t="n">
        <x:f aca="0">MIN(Inputs!$B$77,MAX(Inputs!$B$76,I7*Inputs!$B$75))</x:f>
        <x:v>0.5</x:v>
      </x:c>
      <x:c r="K7" s="128" t="n">
        <x:f aca="0">ROUND((Inputs!$B$70+(D7-Inputs!$B$68)*(Inputs!$B$71-Inputs!$B$70)/(Inputs!$B$69-Inputs!$B$68))*INDEX(Inputs!$C$87:$C$96,MATCH(F7,Inputs!$A$87:$A$96,1))*INDEX(Inputs!$B$100:$B$107,MATCH(AA7,Inputs!$A$100:$A$107,0))*(1+INDEX(Inputs!$B$38:$B$44,MATCH(C7,Inputs!$A$38:$A$44,0))*INDEX(Inputs!$D$100:$D$107,MATCH(AA7,Inputs!$A$100:$A$107,0))),1)</x:f>
        <x:v>217.5</x:v>
      </x:c>
      <x:c r="L7" s="128" t="n">
        <x:f aca="0">ROUND((Inputs!$B$72+(D7-Inputs!$B$68)*(Inputs!$B$73-Inputs!$B$72)/(Inputs!$B$69-Inputs!$B$68))*INDEX(Inputs!$D$87:$D$96,MATCH(F7,Inputs!$A$87:$A$96,1))*INDEX(Inputs!$C$100:$C$107,MATCH(AA7,Inputs!$A$100:$A$107,0))*(1+INDEX(Inputs!$B$38:$B$44,MATCH(C7,Inputs!$A$38:$A$44,0))*INDEX(Inputs!$E$100:$E$107,MATCH(AA7,Inputs!$A$100:$A$107,0))),1)</x:f>
        <x:v>57.5</x:v>
      </x:c>
      <x:c r="M7" s="127" t="n">
        <x:f aca="0">ROUND(L7*H7*Inputs!$B$74,0)</x:f>
        <x:v>2</x:v>
      </x:c>
      <x:c r="N7" s="127" t="n">
        <x:f aca="0">ROUND(E7+K7*H7,0)</x:f>
        <x:v>84</x:v>
      </x:c>
      <x:c r="O7" s="127" t="n">
        <x:f aca="0">MAX(1,ROUND(L7*H7-M7,0))</x:f>
        <x:v>17</x:v>
      </x:c>
      <x:c r="P7" s="127" t="n">
        <x:f aca="0">ROUND(E7+(N7-E7)*Inputs!$B$24,0)</x:f>
        <x:v>70</x:v>
      </x:c>
      <x:c r="Q7" s="127" t="n">
        <x:f aca="0">ROUND(E7+(N7-E7)*Inputs!$B$23,0)</x:f>
        <x:v>52</x:v>
      </x:c>
      <x:c r="R7" s="127" t="n">
        <x:f aca="0">ROUND(E7+(N7-E7)*Inputs!$B$22,0)</x:f>
        <x:v>30</x:v>
      </x:c>
      <x:c r="S7" s="127" t="n">
        <x:f aca="0">ROUND(O7*Inputs!$B$24,0)</x:f>
        <x:v>14</x:v>
      </x:c>
      <x:c r="T7" s="127" t="n">
        <x:f aca="0">ROUND(O7*Inputs!$B$23,0)</x:f>
        <x:v>9</x:v>
      </x:c>
      <x:c r="U7" s="127" t="n">
        <x:f>ROUND(O7*Inputs!$B$22,0)</x:f>
        <x:v>4</x:v>
      </x:c>
      <x:c r="V7" s="127" t="n">
        <x:f>N7-E7</x:f>
        <x:v>72</x:v>
      </x:c>
      <x:c r="W7" s="128" t="n">
        <x:f>ROUND(V7/H7,1)</x:f>
        <x:v>216.9</x:v>
      </x:c>
      <x:c r="X7" s="128" t="n">
        <x:f>ROUND((M7+O7)/H7,1)</x:f>
        <x:v>57.2</x:v>
      </x:c>
      <x:c r="Y7" s="128" t="n">
        <x:f>V7</x:f>
        <x:v>72</x:v>
      </x:c>
      <x:c r="Z7" s="128" t="n">
        <x:f>M7+O7</x:f>
        <x:v>19</x:v>
      </x:c>
      <x:c r="AA7" s="118" t="str">
        <x:v>Coin Specialist</x:v>
      </x:c>
      <x:c r="AB7" s="118" t="str">
        <x:v>early active coin grinder</x:v>
      </x:c>
      <x:c r="AC7" s="118" t="str">
        <x:f>IF(F7&lt;1,"Active",IF(F7&lt;12,"Balanced","Idle"))</x:f>
        <x:v>Active</x:v>
      </x:c>
      <x:c r="AD7" s="118" t="str">
        <x:f>IF(F7&lt;1,"Fast Fish",IF(F7&gt;=24,"Overnight","-"))</x:f>
        <x:v>Fast Fish</x:v>
      </x:c>
      <x:c r="AE7" s="118" t="str">
        <x:f>IF(W7&gt;(Inputs!$B$70+(D7-Inputs!$B$68)*(Inputs!$B$71-Inputs!$B$70)/(Inputs!$B$69-Inputs!$B$68))*1.30,"Above active frontier",IF(W7&lt;0,"Loss","OK"))</x:f>
        <x:v>OK</x:v>
      </x:c>
      <x:c r="AF7" s="118" t="str">
        <x:v>2-4 yr</x:v>
      </x:c>
      <x:c r="AG7" s="118" t="str">
        <x:v>6 mo</x:v>
      </x:c>
      <x:c r="AH7" s="118" t="str">
        <x:v>Cheap fast fish (Sardine role)</x:v>
      </x:c>
    </x:row>
    <x:row r="8" ht="15" hidden="0" customHeight="1">
      <x:c r="A8" s="118" t="str">
        <x:v>CF-07</x:v>
      </x:c>
      <x:c r="B8" s="118" t="str">
        <x:v>Harlequin Rasbora</x:v>
      </x:c>
      <x:c r="C8" s="118" t="str">
        <x:v>Common</x:v>
      </x:c>
      <x:c r="D8" s="126" t="n">
        <x:v>6</x:v>
      </x:c>
      <x:c r="E8" s="127" t="n">
        <x:v>55</x:v>
      </x:c>
      <x:c r="F8" s="126" t="n">
        <x:v>6</x:v>
      </x:c>
      <x:c r="G8" s="118" t="str">
        <x:v>6 h</x:v>
      </x:c>
      <x:c r="H8" s="128" t="n">
        <x:f aca="0">F8*Inputs!$B$19</x:f>
        <x:v>24</x:v>
      </x:c>
      <x:c r="I8" s="128" t="n">
        <x:f aca="0">F8*Inputs!$B$20</x:f>
        <x:v>12</x:v>
      </x:c>
      <x:c r="J8" s="128" t="n">
        <x:f aca="0">MIN(Inputs!$B$77,MAX(Inputs!$B$76,I8*Inputs!$B$75))</x:f>
        <x:v>3</x:v>
      </x:c>
      <x:c r="K8" s="128" t="n">
        <x:f aca="0">ROUND((Inputs!$B$70+(D8-Inputs!$B$68)*(Inputs!$B$71-Inputs!$B$70)/(Inputs!$B$69-Inputs!$B$68))*INDEX(Inputs!$C$87:$C$96,MATCH(F8,Inputs!$A$87:$A$96,1))*INDEX(Inputs!$B$100:$B$107,MATCH(AA8,Inputs!$A$100:$A$107,0))*(1+INDEX(Inputs!$B$38:$B$44,MATCH(C8,Inputs!$A$38:$A$44,0))*INDEX(Inputs!$D$100:$D$107,MATCH(AA8,Inputs!$A$100:$A$107,0))),1)</x:f>
        <x:v>21.9</x:v>
      </x:c>
      <x:c r="L8" s="128" t="n">
        <x:f aca="0">ROUND((Inputs!$B$72+(D8-Inputs!$B$68)*(Inputs!$B$73-Inputs!$B$72)/(Inputs!$B$69-Inputs!$B$68))*INDEX(Inputs!$D$87:$D$96,MATCH(F8,Inputs!$A$87:$A$96,1))*INDEX(Inputs!$C$100:$C$107,MATCH(AA8,Inputs!$A$100:$A$107,0))*(1+INDEX(Inputs!$B$38:$B$44,MATCH(C8,Inputs!$A$38:$A$44,0))*INDEX(Inputs!$E$100:$E$107,MATCH(AA8,Inputs!$A$100:$A$107,0))),1)</x:f>
        <x:v>10</x:v>
      </x:c>
      <x:c r="M8" s="127" t="n">
        <x:f aca="0">ROUND(L8*H8*Inputs!$B$74,0)</x:f>
        <x:v>19</x:v>
      </x:c>
      <x:c r="N8" s="127" t="n">
        <x:f aca="0">ROUND(E8+K8*H8,0)</x:f>
        <x:v>581</x:v>
      </x:c>
      <x:c r="O8" s="127" t="n">
        <x:f aca="0">MAX(1,ROUND(L8*H8-M8,0))</x:f>
        <x:v>221</x:v>
      </x:c>
      <x:c r="P8" s="127" t="n">
        <x:f aca="0">ROUND(E8+(N8-E8)*Inputs!$B$24,0)</x:f>
        <x:v>476</x:v>
      </x:c>
      <x:c r="Q8" s="127" t="n">
        <x:f aca="0">ROUND(E8+(N8-E8)*Inputs!$B$23,0)</x:f>
        <x:v>344</x:v>
      </x:c>
      <x:c r="R8" s="127" t="n">
        <x:f aca="0">ROUND(E8+(N8-E8)*Inputs!$B$22,0)</x:f>
        <x:v>187</x:v>
      </x:c>
      <x:c r="S8" s="127" t="n">
        <x:f aca="0">ROUND(O8*Inputs!$B$24,0)</x:f>
        <x:v>177</x:v>
      </x:c>
      <x:c r="T8" s="127" t="n">
        <x:f aca="0">ROUND(O8*Inputs!$B$23,0)</x:f>
        <x:v>122</x:v>
      </x:c>
      <x:c r="U8" s="127" t="n">
        <x:f>ROUND(O8*Inputs!$B$22,0)</x:f>
        <x:v>55</x:v>
      </x:c>
      <x:c r="V8" s="127" t="n">
        <x:f>N8-E8</x:f>
        <x:v>526</x:v>
      </x:c>
      <x:c r="W8" s="128" t="n">
        <x:f>ROUND(V8/H8,1)</x:f>
        <x:v>21.9</x:v>
      </x:c>
      <x:c r="X8" s="128" t="n">
        <x:f>ROUND((M8+O8)/H8,1)</x:f>
        <x:v>10</x:v>
      </x:c>
      <x:c r="Y8" s="128" t="n">
        <x:f>V8</x:f>
        <x:v>526</x:v>
      </x:c>
      <x:c r="Z8" s="128" t="n">
        <x:f>M8+O8</x:f>
        <x:v>240</x:v>
      </x:c>
      <x:c r="AA8" s="118" t="str">
        <x:v>Balanced</x:v>
      </x:c>
      <x:c r="AB8" s="118" t="str">
        <x:v>accessible 6h session fish</x:v>
      </x:c>
      <x:c r="AC8" s="118" t="str">
        <x:f>IF(F8&lt;1,"Active",IF(F8&lt;12,"Balanced","Idle"))</x:f>
        <x:v>Balanced</x:v>
      </x:c>
      <x:c r="AD8" s="118" t="str">
        <x:f>IF(F8&lt;1,"Fast Fish",IF(F8&gt;=24,"Overnight","-"))</x:f>
        <x:v>-</x:v>
      </x:c>
      <x:c r="AE8" s="118" t="str">
        <x:f>IF(W8&gt;(Inputs!$B$70+(D8-Inputs!$B$68)*(Inputs!$B$71-Inputs!$B$70)/(Inputs!$B$69-Inputs!$B$68))*1.30,"Above active frontier",IF(W8&lt;0,"Loss","OK"))</x:f>
        <x:v>OK</x:v>
      </x:c>
      <x:c r="AF8" s="118" t="str">
        <x:v>5-8 yr</x:v>
      </x:c>
      <x:c r="AG8" s="118" t="str">
        <x:v>9 mo</x:v>
      </x:c>
      <x:c r="AH8" s="118" t="str"/>
    </x:row>
    <x:row r="9" ht="15" hidden="0" customHeight="1">
      <x:c r="A9" s="118" t="str">
        <x:v>CF-08</x:v>
      </x:c>
      <x:c r="B9" s="118" t="str">
        <x:v>Green Chromis</x:v>
      </x:c>
      <x:c r="C9" s="118" t="str">
        <x:v>Uncommon</x:v>
      </x:c>
      <x:c r="D9" s="126" t="n">
        <x:v>8</x:v>
      </x:c>
      <x:c r="E9" s="127" t="n">
        <x:v>110</x:v>
      </x:c>
      <x:c r="F9" s="126" t="n">
        <x:v>16</x:v>
      </x:c>
      <x:c r="G9" s="118" t="str">
        <x:v>16 h</x:v>
      </x:c>
      <x:c r="H9" s="128" t="n">
        <x:f aca="0">F9*Inputs!$B$19</x:f>
        <x:v>64</x:v>
      </x:c>
      <x:c r="I9" s="128" t="n">
        <x:f aca="0">F9*Inputs!$B$20</x:f>
        <x:v>32</x:v>
      </x:c>
      <x:c r="J9" s="128" t="n">
        <x:f aca="0">MIN(Inputs!$B$77,MAX(Inputs!$B$76,I9*Inputs!$B$75))</x:f>
        <x:v>8</x:v>
      </x:c>
      <x:c r="K9" s="128" t="n">
        <x:f aca="0">ROUND((Inputs!$B$70+(D9-Inputs!$B$68)*(Inputs!$B$71-Inputs!$B$70)/(Inputs!$B$69-Inputs!$B$68))*INDEX(Inputs!$C$87:$C$96,MATCH(F9,Inputs!$A$87:$A$96,1))*INDEX(Inputs!$B$100:$B$107,MATCH(AA9,Inputs!$A$100:$A$107,0))*(1+INDEX(Inputs!$B$38:$B$44,MATCH(C9,Inputs!$A$38:$A$44,0))*INDEX(Inputs!$D$100:$D$107,MATCH(AA9,Inputs!$A$100:$A$107,0))),1)</x:f>
        <x:v>13.5</x:v>
      </x:c>
      <x:c r="L9" s="128" t="n">
        <x:f aca="0">ROUND((Inputs!$B$72+(D9-Inputs!$B$68)*(Inputs!$B$73-Inputs!$B$72)/(Inputs!$B$69-Inputs!$B$68))*INDEX(Inputs!$D$87:$D$96,MATCH(F9,Inputs!$A$87:$A$96,1))*INDEX(Inputs!$C$100:$C$107,MATCH(AA9,Inputs!$A$100:$A$107,0))*(1+INDEX(Inputs!$B$38:$B$44,MATCH(C9,Inputs!$A$38:$A$44,0))*INDEX(Inputs!$E$100:$E$107,MATCH(AA9,Inputs!$A$100:$A$107,0))),1)</x:f>
        <x:v>9.1</x:v>
      </x:c>
      <x:c r="M9" s="127" t="n">
        <x:f aca="0">ROUND(L9*H9*Inputs!$B$74,0)</x:f>
        <x:v>47</x:v>
      </x:c>
      <x:c r="N9" s="127" t="n">
        <x:f aca="0">ROUND(E9+K9*H9,0)</x:f>
        <x:v>974</x:v>
      </x:c>
      <x:c r="O9" s="127" t="n">
        <x:f aca="0">MAX(1,ROUND(L9*H9-M9,0))</x:f>
        <x:v>535</x:v>
      </x:c>
      <x:c r="P9" s="127" t="n">
        <x:f aca="0">ROUND(E9+(N9-E9)*Inputs!$B$24,0)</x:f>
        <x:v>801</x:v>
      </x:c>
      <x:c r="Q9" s="127" t="n">
        <x:f aca="0">ROUND(E9+(N9-E9)*Inputs!$B$23,0)</x:f>
        <x:v>585</x:v>
      </x:c>
      <x:c r="R9" s="127" t="n">
        <x:f aca="0">ROUND(E9+(N9-E9)*Inputs!$B$22,0)</x:f>
        <x:v>326</x:v>
      </x:c>
      <x:c r="S9" s="127" t="n">
        <x:f aca="0">ROUND(O9*Inputs!$B$24,0)</x:f>
        <x:v>428</x:v>
      </x:c>
      <x:c r="T9" s="127" t="n">
        <x:f aca="0">ROUND(O9*Inputs!$B$23,0)</x:f>
        <x:v>294</x:v>
      </x:c>
      <x:c r="U9" s="127" t="n">
        <x:f>ROUND(O9*Inputs!$B$22,0)</x:f>
        <x:v>134</x:v>
      </x:c>
      <x:c r="V9" s="127" t="n">
        <x:f>N9-E9</x:f>
        <x:v>864</x:v>
      </x:c>
      <x:c r="W9" s="128" t="n">
        <x:f>ROUND(V9/H9,1)</x:f>
        <x:v>13.5</x:v>
      </x:c>
      <x:c r="X9" s="128" t="n">
        <x:f>ROUND((M9+O9)/H9,1)</x:f>
        <x:v>9.1</x:v>
      </x:c>
      <x:c r="Y9" s="128" t="n">
        <x:f>V9</x:f>
        <x:v>864</x:v>
      </x:c>
      <x:c r="Z9" s="128" t="n">
        <x:f>M9+O9</x:f>
        <x:v>582</x:v>
      </x:c>
      <x:c r="AA9" s="118" t="str">
        <x:v>Collection</x:v>
      </x:c>
      <x:c r="AB9" s="118" t="str">
        <x:v>first marine collection entry</x:v>
      </x:c>
      <x:c r="AC9" s="118" t="str">
        <x:f>IF(F9&lt;1,"Active",IF(F9&lt;12,"Balanced","Idle"))</x:f>
        <x:v>Idle</x:v>
      </x:c>
      <x:c r="AD9" s="118" t="str">
        <x:f>IF(F9&lt;1,"Fast Fish",IF(F9&gt;=24,"Overnight","-"))</x:f>
        <x:v>-</x:v>
      </x:c>
      <x:c r="AE9" s="118" t="str">
        <x:f>IF(W9&gt;(Inputs!$B$70+(D9-Inputs!$B$68)*(Inputs!$B$71-Inputs!$B$70)/(Inputs!$B$69-Inputs!$B$68))*1.30,"Above active frontier",IF(W9&lt;0,"Loss","OK"))</x:f>
        <x:v>OK</x:v>
      </x:c>
      <x:c r="AF9" s="118" t="str">
        <x:v>8-15 yr</x:v>
      </x:c>
      <x:c r="AG9" s="118" t="str">
        <x:v>1 yr</x:v>
      </x:c>
      <x:c r="AH9" s="118" t="str">
        <x:v>First marine fish + first Uncommon</x:v>
      </x:c>
    </x:row>
    <x:row r="10" ht="15" hidden="0" customHeight="1">
      <x:c r="A10" s="118" t="str">
        <x:v>CF-09</x:v>
      </x:c>
      <x:c r="B10" s="118" t="str">
        <x:v>Pajama Cardinalfish</x:v>
      </x:c>
      <x:c r="C10" s="118" t="str">
        <x:v>Uncommon</x:v>
      </x:c>
      <x:c r="D10" s="126" t="n">
        <x:v>11</x:v>
      </x:c>
      <x:c r="E10" s="127" t="n">
        <x:v>50</x:v>
      </x:c>
      <x:c r="F10" s="126" t="n">
        <x:v>2</x:v>
      </x:c>
      <x:c r="G10" s="118" t="str">
        <x:v>2 h</x:v>
      </x:c>
      <x:c r="H10" s="128" t="n">
        <x:f aca="0">F10*Inputs!$B$19</x:f>
        <x:v>8</x:v>
      </x:c>
      <x:c r="I10" s="128" t="n">
        <x:f aca="0">F10*Inputs!$B$20</x:f>
        <x:v>4</x:v>
      </x:c>
      <x:c r="J10" s="128" t="n">
        <x:f aca="0">MIN(Inputs!$B$77,MAX(Inputs!$B$76,I10*Inputs!$B$75))</x:f>
        <x:v>1</x:v>
      </x:c>
      <x:c r="K10" s="128" t="n">
        <x:f aca="0">ROUND((Inputs!$B$70+(D10-Inputs!$B$68)*(Inputs!$B$71-Inputs!$B$70)/(Inputs!$B$69-Inputs!$B$68))*INDEX(Inputs!$C$87:$C$96,MATCH(F10,Inputs!$A$87:$A$96,1))*INDEX(Inputs!$B$100:$B$107,MATCH(AA10,Inputs!$A$100:$A$107,0))*(1+INDEX(Inputs!$B$38:$B$44,MATCH(C10,Inputs!$A$38:$A$44,0))*INDEX(Inputs!$D$100:$D$107,MATCH(AA10,Inputs!$A$100:$A$107,0))),1)</x:f>
        <x:v>53.6</x:v>
      </x:c>
      <x:c r="L10" s="128" t="n">
        <x:f aca="0">ROUND((Inputs!$B$72+(D10-Inputs!$B$68)*(Inputs!$B$73-Inputs!$B$72)/(Inputs!$B$69-Inputs!$B$68))*INDEX(Inputs!$D$87:$D$96,MATCH(F10,Inputs!$A$87:$A$96,1))*INDEX(Inputs!$C$100:$C$107,MATCH(AA10,Inputs!$A$100:$A$107,0))*(1+INDEX(Inputs!$B$38:$B$44,MATCH(C10,Inputs!$A$38:$A$44,0))*INDEX(Inputs!$E$100:$E$107,MATCH(AA10,Inputs!$A$100:$A$107,0))),1)</x:f>
        <x:v>38.3</x:v>
      </x:c>
      <x:c r="M10" s="127" t="n">
        <x:f aca="0">ROUND(L10*H10*Inputs!$B$74,0)</x:f>
        <x:v>25</x:v>
      </x:c>
      <x:c r="N10" s="127" t="n">
        <x:f aca="0">ROUND(E10+K10*H10,0)</x:f>
        <x:v>479</x:v>
      </x:c>
      <x:c r="O10" s="127" t="n">
        <x:f aca="0">MAX(1,ROUND(L10*H10-M10,0))</x:f>
        <x:v>281</x:v>
      </x:c>
      <x:c r="P10" s="127" t="n">
        <x:f aca="0">ROUND(E10+(N10-E10)*Inputs!$B$24,0)</x:f>
        <x:v>393</x:v>
      </x:c>
      <x:c r="Q10" s="127" t="n">
        <x:f aca="0">ROUND(E10+(N10-E10)*Inputs!$B$23,0)</x:f>
        <x:v>286</x:v>
      </x:c>
      <x:c r="R10" s="127" t="n">
        <x:f aca="0">ROUND(E10+(N10-E10)*Inputs!$B$22,0)</x:f>
        <x:v>157</x:v>
      </x:c>
      <x:c r="S10" s="127" t="n">
        <x:f aca="0">ROUND(O10*Inputs!$B$24,0)</x:f>
        <x:v>225</x:v>
      </x:c>
      <x:c r="T10" s="127" t="n">
        <x:f aca="0">ROUND(O10*Inputs!$B$23,0)</x:f>
        <x:v>155</x:v>
      </x:c>
      <x:c r="U10" s="127" t="n">
        <x:f>ROUND(O10*Inputs!$B$22,0)</x:f>
        <x:v>70</x:v>
      </x:c>
      <x:c r="V10" s="127" t="n">
        <x:f>N10-E10</x:f>
        <x:v>429</x:v>
      </x:c>
      <x:c r="W10" s="128" t="n">
        <x:f>ROUND(V10/H10,1)</x:f>
        <x:v>53.6</x:v>
      </x:c>
      <x:c r="X10" s="128" t="n">
        <x:f>ROUND((M10+O10)/H10,1)</x:f>
        <x:v>38.3</x:v>
      </x:c>
      <x:c r="Y10" s="128" t="n">
        <x:f>V10</x:f>
        <x:v>429</x:v>
      </x:c>
      <x:c r="Z10" s="128" t="n">
        <x:f>M10+O10</x:f>
        <x:v>306</x:v>
      </x:c>
      <x:c r="AA10" s="118" t="str">
        <x:v>XP Specialist</x:v>
      </x:c>
      <x:c r="AB10" s="118" t="str">
        <x:v>2h XP session fish</x:v>
      </x:c>
      <x:c r="AC10" s="118" t="str">
        <x:f>IF(F10&lt;1,"Active",IF(F10&lt;12,"Balanced","Idle"))</x:f>
        <x:v>Balanced</x:v>
      </x:c>
      <x:c r="AD10" s="118" t="str">
        <x:f>IF(F10&lt;1,"Fast Fish",IF(F10&gt;=24,"Overnight","-"))</x:f>
        <x:v>-</x:v>
      </x:c>
      <x:c r="AE10" s="118" t="str">
        <x:f>IF(W10&gt;(Inputs!$B$70+(D10-Inputs!$B$68)*(Inputs!$B$71-Inputs!$B$70)/(Inputs!$B$69-Inputs!$B$68))*1.30,"Above active frontier",IF(W10&lt;0,"Loss","OK"))</x:f>
        <x:v>OK</x:v>
      </x:c>
      <x:c r="AF10" s="118" t="str">
        <x:v>5 yr</x:v>
      </x:c>
      <x:c r="AG10" s="118" t="str">
        <x:v>1 yr</x:v>
      </x:c>
      <x:c r="AH10" s="118" t="str">
        <x:v>FishVille classic (2h)</x:v>
      </x:c>
    </x:row>
    <x:row r="11" ht="15" hidden="0" customHeight="1">
      <x:c r="A11" s="118" t="str">
        <x:v>CF-10</x:v>
      </x:c>
      <x:c r="B11" s="118" t="str">
        <x:v>Pearl Gourami</x:v>
      </x:c>
      <x:c r="C11" s="118" t="str">
        <x:v>Common</x:v>
      </x:c>
      <x:c r="D11" s="126" t="n">
        <x:v>12</x:v>
      </x:c>
      <x:c r="E11" s="127" t="n">
        <x:v>180</x:v>
      </x:c>
      <x:c r="F11" s="126" t="n">
        <x:v>48</x:v>
      </x:c>
      <x:c r="G11" s="118" t="str">
        <x:v>48 h (2 d)</x:v>
      </x:c>
      <x:c r="H11" s="128" t="n">
        <x:f aca="0">F11*Inputs!$B$19</x:f>
        <x:v>192</x:v>
      </x:c>
      <x:c r="I11" s="128" t="n">
        <x:f aca="0">F11*Inputs!$B$20</x:f>
        <x:v>96</x:v>
      </x:c>
      <x:c r="J11" s="128" t="n">
        <x:f aca="0">MIN(Inputs!$B$77,MAX(Inputs!$B$76,I11*Inputs!$B$75))</x:f>
        <x:v>24</x:v>
      </x:c>
      <x:c r="K11" s="128" t="n">
        <x:f aca="0">ROUND((Inputs!$B$70+(D11-Inputs!$B$68)*(Inputs!$B$71-Inputs!$B$70)/(Inputs!$B$69-Inputs!$B$68))*INDEX(Inputs!$C$87:$C$96,MATCH(F11,Inputs!$A$87:$A$96,1))*INDEX(Inputs!$B$100:$B$107,MATCH(AA11,Inputs!$A$100:$A$107,0))*(1+INDEX(Inputs!$B$38:$B$44,MATCH(C11,Inputs!$A$38:$A$44,0))*INDEX(Inputs!$D$100:$D$107,MATCH(AA11,Inputs!$A$100:$A$107,0))),1)</x:f>
        <x:v>19.9</x:v>
      </x:c>
      <x:c r="L11" s="128" t="n">
        <x:f aca="0">ROUND((Inputs!$B$72+(D11-Inputs!$B$68)*(Inputs!$B$73-Inputs!$B$72)/(Inputs!$B$69-Inputs!$B$68))*INDEX(Inputs!$D$87:$D$96,MATCH(F11,Inputs!$A$87:$A$96,1))*INDEX(Inputs!$C$100:$C$107,MATCH(AA11,Inputs!$A$100:$A$107,0))*(1+INDEX(Inputs!$B$38:$B$44,MATCH(C11,Inputs!$A$38:$A$44,0))*INDEX(Inputs!$E$100:$E$107,MATCH(AA11,Inputs!$A$100:$A$107,0))),1)</x:f>
        <x:v>7.1</x:v>
      </x:c>
      <x:c r="M11" s="127" t="n">
        <x:f aca="0">ROUND(L11*H11*Inputs!$B$74,0)</x:f>
        <x:v>109</x:v>
      </x:c>
      <x:c r="N11" s="127" t="n">
        <x:f aca="0">ROUND(E11+K11*H11,0)</x:f>
        <x:v>4001</x:v>
      </x:c>
      <x:c r="O11" s="127" t="n">
        <x:f aca="0">MAX(1,ROUND(L11*H11-M11,0))</x:f>
        <x:v>1254</x:v>
      </x:c>
      <x:c r="P11" s="127" t="n">
        <x:f aca="0">ROUND(E11+(N11-E11)*Inputs!$B$24,0)</x:f>
        <x:v>3237</x:v>
      </x:c>
      <x:c r="Q11" s="127" t="n">
        <x:f aca="0">ROUND(E11+(N11-E11)*Inputs!$B$23,0)</x:f>
        <x:v>2282</x:v>
      </x:c>
      <x:c r="R11" s="127" t="n">
        <x:f aca="0">ROUND(E11+(N11-E11)*Inputs!$B$22,0)</x:f>
        <x:v>1135</x:v>
      </x:c>
      <x:c r="S11" s="127" t="n">
        <x:f aca="0">ROUND(O11*Inputs!$B$24,0)</x:f>
        <x:v>1003</x:v>
      </x:c>
      <x:c r="T11" s="127" t="n">
        <x:f aca="0">ROUND(O11*Inputs!$B$23,0)</x:f>
        <x:v>690</x:v>
      </x:c>
      <x:c r="U11" s="127" t="n">
        <x:f>ROUND(O11*Inputs!$B$22,0)</x:f>
        <x:v>314</x:v>
      </x:c>
      <x:c r="V11" s="127" t="n">
        <x:f>N11-E11</x:f>
        <x:v>3821</x:v>
      </x:c>
      <x:c r="W11" s="128" t="n">
        <x:f>ROUND(V11/H11,1)</x:f>
        <x:v>19.9</x:v>
      </x:c>
      <x:c r="X11" s="128" t="n">
        <x:f>ROUND((M11+O11)/H11,1)</x:f>
        <x:v>7.1</x:v>
      </x:c>
      <x:c r="Y11" s="128" t="n">
        <x:f>V11</x:f>
        <x:v>3821</x:v>
      </x:c>
      <x:c r="Z11" s="128" t="n">
        <x:f>M11+O11</x:f>
        <x:v>1363</x:v>
      </x:c>
      <x:c r="AA11" s="118" t="str">
        <x:v>Payout</x:v>
      </x:c>
      <x:c r="AB11" s="118" t="str">
        <x:v>first marathon lump-sum fish</x:v>
      </x:c>
      <x:c r="AC11" s="118" t="str">
        <x:f>IF(F11&lt;1,"Active",IF(F11&lt;12,"Balanced","Idle"))</x:f>
        <x:v>Idle</x:v>
      </x:c>
      <x:c r="AD11" s="118" t="str">
        <x:f>IF(F11&lt;1,"Fast Fish",IF(F11&gt;=24,"Overnight","-"))</x:f>
        <x:v>Overnight</x:v>
      </x:c>
      <x:c r="AE11" s="118" t="str">
        <x:f>IF(W11&gt;(Inputs!$B$70+(D11-Inputs!$B$68)*(Inputs!$B$71-Inputs!$B$70)/(Inputs!$B$69-Inputs!$B$68))*1.30,"Above active frontier",IF(W11&lt;0,"Loss","OK"))</x:f>
        <x:v>OK</x:v>
      </x:c>
      <x:c r="AF11" s="118" t="str">
        <x:v>5-8 yr</x:v>
      </x:c>
      <x:c r="AG11" s="118" t="str">
        <x:v>8 mo</x:v>
      </x:c>
      <x:c r="AH11" s="118" t="str">
        <x:v>First Marathon lump-sum fish</x:v>
      </x:c>
    </x:row>
    <x:row r="12" ht="26.399999618530273" hidden="0" customHeight="1">
      <x:c r="A12" s="118" t="str">
        <x:v>CF-11</x:v>
      </x:c>
      <x:c r="B12" s="118" t="str">
        <x:v>Sixline Wrasse</x:v>
      </x:c>
      <x:c r="C12" s="118" t="str">
        <x:v>Uncommon</x:v>
      </x:c>
      <x:c r="D12" s="126" t="n">
        <x:v>14</x:v>
      </x:c>
      <x:c r="E12" s="127" t="n">
        <x:v>35</x:v>
      </x:c>
      <x:c r="F12" s="126" t="n">
        <x:v>0.5</x:v>
      </x:c>
      <x:c r="G12" s="118" t="str">
        <x:v>30 min</x:v>
      </x:c>
      <x:c r="H12" s="128" t="n">
        <x:f aca="0">F12*Inputs!$B$19</x:f>
        <x:v>2</x:v>
      </x:c>
      <x:c r="I12" s="128" t="n">
        <x:f aca="0">F12*Inputs!$B$20</x:f>
        <x:v>1</x:v>
      </x:c>
      <x:c r="J12" s="128" t="n">
        <x:f aca="0">MIN(Inputs!$B$77,MAX(Inputs!$B$76,I12*Inputs!$B$75))</x:f>
        <x:v>0.5</x:v>
      </x:c>
      <x:c r="K12" s="128" t="n">
        <x:f aca="0">ROUND((Inputs!$B$70+(D12-Inputs!$B$68)*(Inputs!$B$71-Inputs!$B$70)/(Inputs!$B$69-Inputs!$B$68))*INDEX(Inputs!$C$87:$C$96,MATCH(F12,Inputs!$A$87:$A$96,1))*INDEX(Inputs!$B$100:$B$107,MATCH(AA12,Inputs!$A$100:$A$107,0))*(1+INDEX(Inputs!$B$38:$B$44,MATCH(C12,Inputs!$A$38:$A$44,0))*INDEX(Inputs!$D$100:$D$107,MATCH(AA12,Inputs!$A$100:$A$107,0))),1)</x:f>
        <x:v>90.8</x:v>
      </x:c>
      <x:c r="L12" s="128" t="n">
        <x:f aca="0">ROUND((Inputs!$B$72+(D12-Inputs!$B$68)*(Inputs!$B$73-Inputs!$B$72)/(Inputs!$B$69-Inputs!$B$68))*INDEX(Inputs!$D$87:$D$96,MATCH(F12,Inputs!$A$87:$A$96,1))*INDEX(Inputs!$C$100:$C$107,MATCH(AA12,Inputs!$A$100:$A$107,0))*(1+INDEX(Inputs!$B$38:$B$44,MATCH(C12,Inputs!$A$38:$A$44,0))*INDEX(Inputs!$E$100:$E$107,MATCH(AA12,Inputs!$A$100:$A$107,0))),1)</x:f>
        <x:v>48</x:v>
      </x:c>
      <x:c r="M12" s="127" t="n">
        <x:f aca="0">ROUND(L12*H12*Inputs!$B$74,0)</x:f>
        <x:v>8</x:v>
      </x:c>
      <x:c r="N12" s="127" t="n">
        <x:f aca="0">ROUND(E12+K12*H12,0)</x:f>
        <x:v>217</x:v>
      </x:c>
      <x:c r="O12" s="127" t="n">
        <x:f aca="0">MAX(1,ROUND(L12*H12-M12,0))</x:f>
        <x:v>88</x:v>
      </x:c>
      <x:c r="P12" s="127" t="n">
        <x:f aca="0">ROUND(E12+(N12-E12)*Inputs!$B$24,0)</x:f>
        <x:v>181</x:v>
      </x:c>
      <x:c r="Q12" s="127" t="n">
        <x:f aca="0">ROUND(E12+(N12-E12)*Inputs!$B$23,0)</x:f>
        <x:v>135</x:v>
      </x:c>
      <x:c r="R12" s="127" t="n">
        <x:f aca="0">ROUND(E12+(N12-E12)*Inputs!$B$22,0)</x:f>
        <x:v>81</x:v>
      </x:c>
      <x:c r="S12" s="127" t="n">
        <x:f aca="0">ROUND(O12*Inputs!$B$24,0)</x:f>
        <x:v>70</x:v>
      </x:c>
      <x:c r="T12" s="127" t="n">
        <x:f aca="0">ROUND(O12*Inputs!$B$23,0)</x:f>
        <x:v>48</x:v>
      </x:c>
      <x:c r="U12" s="127" t="n">
        <x:f>ROUND(O12*Inputs!$B$22,0)</x:f>
        <x:v>22</x:v>
      </x:c>
      <x:c r="V12" s="127" t="n">
        <x:f>N12-E12</x:f>
        <x:v>182</x:v>
      </x:c>
      <x:c r="W12" s="128" t="n">
        <x:f>ROUND(V12/H12,1)</x:f>
        <x:v>91</x:v>
      </x:c>
      <x:c r="X12" s="128" t="n">
        <x:f>ROUND((M12+O12)/H12,1)</x:f>
        <x:v>48</x:v>
      </x:c>
      <x:c r="Y12" s="128" t="n">
        <x:f>V12</x:f>
        <x:v>182</x:v>
      </x:c>
      <x:c r="Z12" s="128" t="n">
        <x:f>M12+O12</x:f>
        <x:v>96</x:v>
      </x:c>
      <x:c r="AA12" s="118" t="str">
        <x:v>XP Specialist</x:v>
      </x:c>
      <x:c r="AB12" s="118" t="str">
        <x:v>30m active XP fish</x:v>
      </x:c>
      <x:c r="AC12" s="118" t="str">
        <x:f>IF(F12&lt;1,"Active",IF(F12&lt;12,"Balanced","Idle"))</x:f>
        <x:v>Active</x:v>
      </x:c>
      <x:c r="AD12" s="118" t="str">
        <x:f>IF(F12&lt;1,"Fast Fish",IF(F12&gt;=24,"Overnight","-"))</x:f>
        <x:v>Fast Fish</x:v>
      </x:c>
      <x:c r="AE12" s="118" t="str">
        <x:f>IF(W12&gt;(Inputs!$B$70+(D12-Inputs!$B$68)*(Inputs!$B$71-Inputs!$B$70)/(Inputs!$B$69-Inputs!$B$68))*1.30,"Above active frontier",IF(W12&lt;0,"Loss","OK"))</x:f>
        <x:v>OK</x:v>
      </x:c>
      <x:c r="AF12" s="118" t="str">
        <x:v>4-6 yr</x:v>
      </x:c>
      <x:c r="AG12" s="118" t="str">
        <x:v>1 yr</x:v>
      </x:c>
      <x:c r="AH12" s="118" t="str">
        <x:v>| Rebalanced: target-rate role prevents one-fish dominance.</x:v>
      </x:c>
    </x:row>
    <x:row r="13" ht="15" hidden="0" customHeight="1">
      <x:c r="A13" s="118" t="str">
        <x:v>CF-12</x:v>
      </x:c>
      <x:c r="B13" s="118" t="str">
        <x:v>Shy Hamlet</x:v>
      </x:c>
      <x:c r="C13" s="118" t="str">
        <x:v>Uncommon</x:v>
      </x:c>
      <x:c r="D13" s="126" t="n">
        <x:v>15</x:v>
      </x:c>
      <x:c r="E13" s="127" t="n">
        <x:v>80</x:v>
      </x:c>
      <x:c r="F13" s="126" t="n">
        <x:v>4</x:v>
      </x:c>
      <x:c r="G13" s="118" t="str">
        <x:v>4 h</x:v>
      </x:c>
      <x:c r="H13" s="128" t="n">
        <x:f aca="0">F13*Inputs!$B$19</x:f>
        <x:v>16</x:v>
      </x:c>
      <x:c r="I13" s="128" t="n">
        <x:f aca="0">F13*Inputs!$B$20</x:f>
        <x:v>8</x:v>
      </x:c>
      <x:c r="J13" s="128" t="n">
        <x:f aca="0">MIN(Inputs!$B$77,MAX(Inputs!$B$76,I13*Inputs!$B$75))</x:f>
        <x:v>2</x:v>
      </x:c>
      <x:c r="K13" s="128" t="n">
        <x:f aca="0">ROUND((Inputs!$B$70+(D13-Inputs!$B$68)*(Inputs!$B$71-Inputs!$B$70)/(Inputs!$B$69-Inputs!$B$68))*INDEX(Inputs!$C$87:$C$96,MATCH(F13,Inputs!$A$87:$A$96,1))*INDEX(Inputs!$B$100:$B$107,MATCH(AA13,Inputs!$A$100:$A$107,0))*(1+INDEX(Inputs!$B$38:$B$44,MATCH(C13,Inputs!$A$38:$A$44,0))*INDEX(Inputs!$D$100:$D$107,MATCH(AA13,Inputs!$A$100:$A$107,0))),1)</x:f>
        <x:v>31</x:v>
      </x:c>
      <x:c r="L13" s="128" t="n">
        <x:f aca="0">ROUND((Inputs!$B$72+(D13-Inputs!$B$68)*(Inputs!$B$73-Inputs!$B$72)/(Inputs!$B$69-Inputs!$B$68))*INDEX(Inputs!$D$87:$D$96,MATCH(F13,Inputs!$A$87:$A$96,1))*INDEX(Inputs!$C$100:$C$107,MATCH(AA13,Inputs!$A$100:$A$107,0))*(1+INDEX(Inputs!$B$38:$B$44,MATCH(C13,Inputs!$A$38:$A$44,0))*INDEX(Inputs!$E$100:$E$107,MATCH(AA13,Inputs!$A$100:$A$107,0))),1)</x:f>
        <x:v>11.3</x:v>
      </x:c>
      <x:c r="M13" s="127" t="n">
        <x:f aca="0">ROUND(L13*H13*Inputs!$B$74,0)</x:f>
        <x:v>14</x:v>
      </x:c>
      <x:c r="N13" s="127" t="n">
        <x:f aca="0">ROUND(E13+K13*H13,0)</x:f>
        <x:v>576</x:v>
      </x:c>
      <x:c r="O13" s="127" t="n">
        <x:f aca="0">MAX(1,ROUND(L13*H13-M13,0))</x:f>
        <x:v>167</x:v>
      </x:c>
      <x:c r="P13" s="127" t="n">
        <x:f aca="0">ROUND(E13+(N13-E13)*Inputs!$B$24,0)</x:f>
        <x:v>477</x:v>
      </x:c>
      <x:c r="Q13" s="127" t="n">
        <x:f aca="0">ROUND(E13+(N13-E13)*Inputs!$B$23,0)</x:f>
        <x:v>353</x:v>
      </x:c>
      <x:c r="R13" s="127" t="n">
        <x:f aca="0">ROUND(E13+(N13-E13)*Inputs!$B$22,0)</x:f>
        <x:v>204</x:v>
      </x:c>
      <x:c r="S13" s="127" t="n">
        <x:f aca="0">ROUND(O13*Inputs!$B$24,0)</x:f>
        <x:v>134</x:v>
      </x:c>
      <x:c r="T13" s="127" t="n">
        <x:f aca="0">ROUND(O13*Inputs!$B$23,0)</x:f>
        <x:v>92</x:v>
      </x:c>
      <x:c r="U13" s="127" t="n">
        <x:f>ROUND(O13*Inputs!$B$22,0)</x:f>
        <x:v>42</x:v>
      </x:c>
      <x:c r="V13" s="127" t="n">
        <x:f>N13-E13</x:f>
        <x:v>496</x:v>
      </x:c>
      <x:c r="W13" s="128" t="n">
        <x:f>ROUND(V13/H13,1)</x:f>
        <x:v>31</x:v>
      </x:c>
      <x:c r="X13" s="128" t="n">
        <x:f>ROUND((M13+O13)/H13,1)</x:f>
        <x:v>11.3</x:v>
      </x:c>
      <x:c r="Y13" s="128" t="n">
        <x:f>V13</x:f>
        <x:v>496</x:v>
      </x:c>
      <x:c r="Z13" s="128" t="n">
        <x:f>M13+O13</x:f>
        <x:v>181</x:v>
      </x:c>
      <x:c r="AA13" s="118" t="str">
        <x:v>Coin Specialist</x:v>
      </x:c>
      <x:c r="AB13" s="118" t="str">
        <x:v>4h coin-session FishVille classic</x:v>
      </x:c>
      <x:c r="AC13" s="118" t="str">
        <x:f>IF(F13&lt;1,"Active",IF(F13&lt;12,"Balanced","Idle"))</x:f>
        <x:v>Balanced</x:v>
      </x:c>
      <x:c r="AD13" s="118" t="str">
        <x:f>IF(F13&lt;1,"Fast Fish",IF(F13&gt;=24,"Overnight","-"))</x:f>
        <x:v>-</x:v>
      </x:c>
      <x:c r="AE13" s="118" t="str">
        <x:f>IF(W13&gt;(Inputs!$B$70+(D13-Inputs!$B$68)*(Inputs!$B$71-Inputs!$B$70)/(Inputs!$B$69-Inputs!$B$68))*1.30,"Above active frontier",IF(W13&lt;0,"Loss","OK"))</x:f>
        <x:v>OK</x:v>
      </x:c>
      <x:c r="AF13" s="118" t="str">
        <x:v>5-7 yr</x:v>
      </x:c>
      <x:c r="AG13" s="118" t="str">
        <x:v>1.5 yr</x:v>
      </x:c>
      <x:c r="AH13" s="118" t="str">
        <x:v>FishVille classic (4h)</x:v>
      </x:c>
    </x:row>
    <x:row r="14" ht="15" hidden="0" customHeight="1">
      <x:c r="A14" s="118" t="str">
        <x:v>CF-13</x:v>
      </x:c>
      <x:c r="B14" s="118" t="str">
        <x:v>Hawaiian Hogfish</x:v>
      </x:c>
      <x:c r="C14" s="118" t="str">
        <x:v>Uncommon</x:v>
      </x:c>
      <x:c r="D14" s="126" t="n">
        <x:v>16</x:v>
      </x:c>
      <x:c r="E14" s="127" t="n">
        <x:v>130</x:v>
      </x:c>
      <x:c r="F14" s="126" t="n">
        <x:v>12</x:v>
      </x:c>
      <x:c r="G14" s="118" t="str">
        <x:v>12 h</x:v>
      </x:c>
      <x:c r="H14" s="128" t="n">
        <x:f aca="0">F14*Inputs!$B$19</x:f>
        <x:v>48</x:v>
      </x:c>
      <x:c r="I14" s="128" t="n">
        <x:f aca="0">F14*Inputs!$B$20</x:f>
        <x:v>24</x:v>
      </x:c>
      <x:c r="J14" s="128" t="n">
        <x:f aca="0">MIN(Inputs!$B$77,MAX(Inputs!$B$76,I14*Inputs!$B$75))</x:f>
        <x:v>6</x:v>
      </x:c>
      <x:c r="K14" s="128" t="n">
        <x:f aca="0">ROUND((Inputs!$B$70+(D14-Inputs!$B$68)*(Inputs!$B$71-Inputs!$B$70)/(Inputs!$B$69-Inputs!$B$68))*INDEX(Inputs!$C$87:$C$96,MATCH(F14,Inputs!$A$87:$A$96,1))*INDEX(Inputs!$B$100:$B$107,MATCH(AA14,Inputs!$A$100:$A$107,0))*(1+INDEX(Inputs!$B$38:$B$44,MATCH(C14,Inputs!$A$38:$A$44,0))*INDEX(Inputs!$D$100:$D$107,MATCH(AA14,Inputs!$A$100:$A$107,0))),1)</x:f>
        <x:v>18.1</x:v>
      </x:c>
      <x:c r="L14" s="128" t="n">
        <x:f aca="0">ROUND((Inputs!$B$72+(D14-Inputs!$B$68)*(Inputs!$B$73-Inputs!$B$72)/(Inputs!$B$69-Inputs!$B$68))*INDEX(Inputs!$D$87:$D$96,MATCH(F14,Inputs!$A$87:$A$96,1))*INDEX(Inputs!$C$100:$C$107,MATCH(AA14,Inputs!$A$100:$A$107,0))*(1+INDEX(Inputs!$B$38:$B$44,MATCH(C14,Inputs!$A$38:$A$44,0))*INDEX(Inputs!$E$100:$E$107,MATCH(AA14,Inputs!$A$100:$A$107,0))),1)</x:f>
        <x:v>10.4</x:v>
      </x:c>
      <x:c r="M14" s="127" t="n">
        <x:f aca="0">ROUND(L14*H14*Inputs!$B$74,0)</x:f>
        <x:v>40</x:v>
      </x:c>
      <x:c r="N14" s="127" t="n">
        <x:f aca="0">ROUND(E14+K14*H14,0)</x:f>
        <x:v>999</x:v>
      </x:c>
      <x:c r="O14" s="127" t="n">
        <x:f aca="0">MAX(1,ROUND(L14*H14-M14,0))</x:f>
        <x:v>459</x:v>
      </x:c>
      <x:c r="P14" s="127" t="n">
        <x:f aca="0">ROUND(E14+(N14-E14)*Inputs!$B$24,0)</x:f>
        <x:v>825</x:v>
      </x:c>
      <x:c r="Q14" s="127" t="n">
        <x:f aca="0">ROUND(E14+(N14-E14)*Inputs!$B$23,0)</x:f>
        <x:v>608</x:v>
      </x:c>
      <x:c r="R14" s="127" t="n">
        <x:f aca="0">ROUND(E14+(N14-E14)*Inputs!$B$22,0)</x:f>
        <x:v>347</x:v>
      </x:c>
      <x:c r="S14" s="127" t="n">
        <x:f aca="0">ROUND(O14*Inputs!$B$24,0)</x:f>
        <x:v>367</x:v>
      </x:c>
      <x:c r="T14" s="127" t="n">
        <x:f aca="0">ROUND(O14*Inputs!$B$23,0)</x:f>
        <x:v>252</x:v>
      </x:c>
      <x:c r="U14" s="127" t="n">
        <x:f>ROUND(O14*Inputs!$B$22,0)</x:f>
        <x:v>115</x:v>
      </x:c>
      <x:c r="V14" s="127" t="n">
        <x:f>N14-E14</x:f>
        <x:v>869</x:v>
      </x:c>
      <x:c r="W14" s="128" t="n">
        <x:f>ROUND(V14/H14,1)</x:f>
        <x:v>18.1</x:v>
      </x:c>
      <x:c r="X14" s="128" t="n">
        <x:f>ROUND((M14+O14)/H14,1)</x:f>
        <x:v>10.4</x:v>
      </x:c>
      <x:c r="Y14" s="128" t="n">
        <x:f>V14</x:f>
        <x:v>869</x:v>
      </x:c>
      <x:c r="Z14" s="128" t="n">
        <x:f>M14+O14</x:f>
        <x:v>499</x:v>
      </x:c>
      <x:c r="AA14" s="118" t="str">
        <x:v>Balanced</x:v>
      </x:c>
      <x:c r="AB14" s="118" t="str">
        <x:v>half-day FishVille classic</x:v>
      </x:c>
      <x:c r="AC14" s="118" t="str">
        <x:f>IF(F14&lt;1,"Active",IF(F14&lt;12,"Balanced","Idle"))</x:f>
        <x:v>Idle</x:v>
      </x:c>
      <x:c r="AD14" s="118" t="str">
        <x:f>IF(F14&lt;1,"Fast Fish",IF(F14&gt;=24,"Overnight","-"))</x:f>
        <x:v>-</x:v>
      </x:c>
      <x:c r="AE14" s="118" t="str">
        <x:f>IF(W14&gt;(Inputs!$B$70+(D14-Inputs!$B$68)*(Inputs!$B$71-Inputs!$B$70)/(Inputs!$B$69-Inputs!$B$68))*1.30,"Above active frontier",IF(W14&lt;0,"Loss","OK"))</x:f>
        <x:v>OK</x:v>
      </x:c>
      <x:c r="AF14" s="118" t="str">
        <x:v>10+ yr</x:v>
      </x:c>
      <x:c r="AG14" s="118" t="str">
        <x:v>2 yr</x:v>
      </x:c>
      <x:c r="AH14" s="118" t="str">
        <x:v>FishVille classic (12h)</x:v>
      </x:c>
    </x:row>
    <x:row r="15" ht="15" hidden="0" customHeight="1">
      <x:c r="A15" s="118" t="str">
        <x:v>CF-14</x:v>
      </x:c>
      <x:c r="B15" s="118" t="str">
        <x:v>Scooter Blenny</x:v>
      </x:c>
      <x:c r="C15" s="118" t="str">
        <x:v>Uncommon</x:v>
      </x:c>
      <x:c r="D15" s="126" t="n">
        <x:v>17</x:v>
      </x:c>
      <x:c r="E15" s="127" t="n">
        <x:v>180</x:v>
      </x:c>
      <x:c r="F15" s="126" t="n">
        <x:v>24</x:v>
      </x:c>
      <x:c r="G15" s="118" t="str">
        <x:v>24 h (1 d)</x:v>
      </x:c>
      <x:c r="H15" s="128" t="n">
        <x:f aca="0">F15*Inputs!$B$19</x:f>
        <x:v>96</x:v>
      </x:c>
      <x:c r="I15" s="128" t="n">
        <x:f aca="0">F15*Inputs!$B$20</x:f>
        <x:v>48</x:v>
      </x:c>
      <x:c r="J15" s="128" t="n">
        <x:f aca="0">MIN(Inputs!$B$77,MAX(Inputs!$B$76,I15*Inputs!$B$75))</x:f>
        <x:v>12</x:v>
      </x:c>
      <x:c r="K15" s="128" t="n">
        <x:f aca="0">ROUND((Inputs!$B$70+(D15-Inputs!$B$68)*(Inputs!$B$71-Inputs!$B$70)/(Inputs!$B$69-Inputs!$B$68))*INDEX(Inputs!$C$87:$C$96,MATCH(F15,Inputs!$A$87:$A$96,1))*INDEX(Inputs!$B$100:$B$107,MATCH(AA15,Inputs!$A$100:$A$107,0))*(1+INDEX(Inputs!$B$38:$B$44,MATCH(C15,Inputs!$A$38:$A$44,0))*INDEX(Inputs!$D$100:$D$107,MATCH(AA15,Inputs!$A$100:$A$107,0))),1)</x:f>
        <x:v>14.8</x:v>
      </x:c>
      <x:c r="L15" s="128" t="n">
        <x:f aca="0">ROUND((Inputs!$B$72+(D15-Inputs!$B$68)*(Inputs!$B$73-Inputs!$B$72)/(Inputs!$B$69-Inputs!$B$68))*INDEX(Inputs!$D$87:$D$96,MATCH(F15,Inputs!$A$87:$A$96,1))*INDEX(Inputs!$C$100:$C$107,MATCH(AA15,Inputs!$A$100:$A$107,0))*(1+INDEX(Inputs!$B$38:$B$44,MATCH(C15,Inputs!$A$38:$A$44,0))*INDEX(Inputs!$E$100:$E$107,MATCH(AA15,Inputs!$A$100:$A$107,0))),1)</x:f>
        <x:v>10.5</x:v>
      </x:c>
      <x:c r="M15" s="127" t="n">
        <x:f aca="0">ROUND(L15*H15*Inputs!$B$74,0)</x:f>
        <x:v>81</x:v>
      </x:c>
      <x:c r="N15" s="127" t="n">
        <x:f aca="0">ROUND(E15+K15*H15,0)</x:f>
        <x:v>1601</x:v>
      </x:c>
      <x:c r="O15" s="127" t="n">
        <x:f aca="0">MAX(1,ROUND(L15*H15-M15,0))</x:f>
        <x:v>927</x:v>
      </x:c>
      <x:c r="P15" s="127" t="n">
        <x:f aca="0">ROUND(E15+(N15-E15)*Inputs!$B$24,0)</x:f>
        <x:v>1317</x:v>
      </x:c>
      <x:c r="Q15" s="127" t="n">
        <x:f aca="0">ROUND(E15+(N15-E15)*Inputs!$B$23,0)</x:f>
        <x:v>962</x:v>
      </x:c>
      <x:c r="R15" s="127" t="n">
        <x:f aca="0">ROUND(E15+(N15-E15)*Inputs!$B$22,0)</x:f>
        <x:v>535</x:v>
      </x:c>
      <x:c r="S15" s="127" t="n">
        <x:f aca="0">ROUND(O15*Inputs!$B$24,0)</x:f>
        <x:v>742</x:v>
      </x:c>
      <x:c r="T15" s="127" t="n">
        <x:f aca="0">ROUND(O15*Inputs!$B$23,0)</x:f>
        <x:v>510</x:v>
      </x:c>
      <x:c r="U15" s="127" t="n">
        <x:f>ROUND(O15*Inputs!$B$22,0)</x:f>
        <x:v>232</x:v>
      </x:c>
      <x:c r="V15" s="127" t="n">
        <x:f>N15-E15</x:f>
        <x:v>1421</x:v>
      </x:c>
      <x:c r="W15" s="128" t="n">
        <x:f>ROUND(V15/H15,1)</x:f>
        <x:v>14.8</x:v>
      </x:c>
      <x:c r="X15" s="128" t="n">
        <x:f>ROUND((M15+O15)/H15,1)</x:f>
        <x:v>10.5</x:v>
      </x:c>
      <x:c r="Y15" s="128" t="n">
        <x:f>V15</x:f>
        <x:v>1421</x:v>
      </x:c>
      <x:c r="Z15" s="128" t="n">
        <x:f>M15+O15</x:f>
        <x:v>1008</x:v>
      </x:c>
      <x:c r="AA15" s="118" t="str">
        <x:v>Convenience</x:v>
      </x:c>
      <x:c r="AB15" s="118" t="str">
        <x:v>daily low-care FishVille classic</x:v>
      </x:c>
      <x:c r="AC15" s="118" t="str">
        <x:f>IF(F15&lt;1,"Active",IF(F15&lt;12,"Balanced","Idle"))</x:f>
        <x:v>Idle</x:v>
      </x:c>
      <x:c r="AD15" s="118" t="str">
        <x:f>IF(F15&lt;1,"Fast Fish",IF(F15&gt;=24,"Overnight","-"))</x:f>
        <x:v>Overnight</x:v>
      </x:c>
      <x:c r="AE15" s="118" t="str">
        <x:f>IF(W15&gt;(Inputs!$B$70+(D15-Inputs!$B$68)*(Inputs!$B$71-Inputs!$B$70)/(Inputs!$B$69-Inputs!$B$68))*1.30,"Above active frontier",IF(W15&lt;0,"Loss","OK"))</x:f>
        <x:v>OK</x:v>
      </x:c>
      <x:c r="AF15" s="118" t="str">
        <x:v>2-4 yr</x:v>
      </x:c>
      <x:c r="AG15" s="118" t="str">
        <x:v>1 yr</x:v>
      </x:c>
      <x:c r="AH15" s="118" t="str">
        <x:v>FishVille classic (1 day)</x:v>
      </x:c>
    </x:row>
    <x:row r="16" ht="15" hidden="0" customHeight="1">
      <x:c r="A16" s="118" t="str">
        <x:v>CF-15</x:v>
      </x:c>
      <x:c r="B16" s="118" t="str">
        <x:v>Ocellaris Clownfish</x:v>
      </x:c>
      <x:c r="C16" s="118" t="str">
        <x:v>Uncommon</x:v>
      </x:c>
      <x:c r="D16" s="126" t="n">
        <x:v>20</x:v>
      </x:c>
      <x:c r="E16" s="127" t="n">
        <x:v>170</x:v>
      </x:c>
      <x:c r="F16" s="126" t="n">
        <x:v>16</x:v>
      </x:c>
      <x:c r="G16" s="118" t="str">
        <x:v>16 h</x:v>
      </x:c>
      <x:c r="H16" s="128" t="n">
        <x:f aca="0">F16*Inputs!$B$19</x:f>
        <x:v>64</x:v>
      </x:c>
      <x:c r="I16" s="128" t="n">
        <x:f aca="0">F16*Inputs!$B$20</x:f>
        <x:v>32</x:v>
      </x:c>
      <x:c r="J16" s="128" t="n">
        <x:f aca="0">MIN(Inputs!$B$77,MAX(Inputs!$B$76,I16*Inputs!$B$75))</x:f>
        <x:v>8</x:v>
      </x:c>
      <x:c r="K16" s="128" t="n">
        <x:f aca="0">ROUND((Inputs!$B$70+(D16-Inputs!$B$68)*(Inputs!$B$71-Inputs!$B$70)/(Inputs!$B$69-Inputs!$B$68))*INDEX(Inputs!$C$87:$C$96,MATCH(F16,Inputs!$A$87:$A$96,1))*INDEX(Inputs!$B$100:$B$107,MATCH(AA16,Inputs!$A$100:$A$107,0))*(1+INDEX(Inputs!$B$38:$B$44,MATCH(C16,Inputs!$A$38:$A$44,0))*INDEX(Inputs!$D$100:$D$107,MATCH(AA16,Inputs!$A$100:$A$107,0))),1)</x:f>
        <x:v>17.5</x:v>
      </x:c>
      <x:c r="L16" s="128" t="n">
        <x:f aca="0">ROUND((Inputs!$B$72+(D16-Inputs!$B$68)*(Inputs!$B$73-Inputs!$B$72)/(Inputs!$B$69-Inputs!$B$68))*INDEX(Inputs!$D$87:$D$96,MATCH(F16,Inputs!$A$87:$A$96,1))*INDEX(Inputs!$C$100:$C$107,MATCH(AA16,Inputs!$A$100:$A$107,0))*(1+INDEX(Inputs!$B$38:$B$44,MATCH(C16,Inputs!$A$38:$A$44,0))*INDEX(Inputs!$E$100:$E$107,MATCH(AA16,Inputs!$A$100:$A$107,0))),1)</x:f>
        <x:v>11.2</x:v>
      </x:c>
      <x:c r="M16" s="127" t="n">
        <x:f aca="0">ROUND(L16*H16*Inputs!$B$74,0)</x:f>
        <x:v>57</x:v>
      </x:c>
      <x:c r="N16" s="127" t="n">
        <x:f aca="0">ROUND(E16+K16*H16,0)</x:f>
        <x:v>1290</x:v>
      </x:c>
      <x:c r="O16" s="127" t="n">
        <x:f aca="0">MAX(1,ROUND(L16*H16-M16,0))</x:f>
        <x:v>660</x:v>
      </x:c>
      <x:c r="P16" s="127" t="n">
        <x:f aca="0">ROUND(E16+(N16-E16)*Inputs!$B$24,0)</x:f>
        <x:v>1066</x:v>
      </x:c>
      <x:c r="Q16" s="127" t="n">
        <x:f aca="0">ROUND(E16+(N16-E16)*Inputs!$B$23,0)</x:f>
        <x:v>786</x:v>
      </x:c>
      <x:c r="R16" s="127" t="n">
        <x:f aca="0">ROUND(E16+(N16-E16)*Inputs!$B$22,0)</x:f>
        <x:v>450</x:v>
      </x:c>
      <x:c r="S16" s="127" t="n">
        <x:f aca="0">ROUND(O16*Inputs!$B$24,0)</x:f>
        <x:v>528</x:v>
      </x:c>
      <x:c r="T16" s="127" t="n">
        <x:f aca="0">ROUND(O16*Inputs!$B$23,0)</x:f>
        <x:v>363</x:v>
      </x:c>
      <x:c r="U16" s="127" t="n">
        <x:f>ROUND(O16*Inputs!$B$22,0)</x:f>
        <x:v>165</x:v>
      </x:c>
      <x:c r="V16" s="127" t="n">
        <x:f>N16-E16</x:f>
        <x:v>1120</x:v>
      </x:c>
      <x:c r="W16" s="128" t="n">
        <x:f>ROUND(V16/H16,1)</x:f>
        <x:v>17.5</x:v>
      </x:c>
      <x:c r="X16" s="128" t="n">
        <x:f>ROUND((M16+O16)/H16,1)</x:f>
        <x:v>11.2</x:v>
      </x:c>
      <x:c r="Y16" s="128" t="n">
        <x:f>V16</x:f>
        <x:v>1120</x:v>
      </x:c>
      <x:c r="Z16" s="128" t="n">
        <x:f>M16+O16</x:f>
        <x:v>717</x:v>
      </x:c>
      <x:c r="AA16" s="118" t="str">
        <x:v>Collection</x:v>
      </x:c>
      <x:c r="AB16" s="118" t="str">
        <x:v>iconic clownfish / social collection</x:v>
      </x:c>
      <x:c r="AC16" s="118" t="str">
        <x:f>IF(F16&lt;1,"Active",IF(F16&lt;12,"Balanced","Idle"))</x:f>
        <x:v>Idle</x:v>
      </x:c>
      <x:c r="AD16" s="118" t="str">
        <x:f>IF(F16&lt;1,"Fast Fish",IF(F16&gt;=24,"Overnight","-"))</x:f>
        <x:v>-</x:v>
      </x:c>
      <x:c r="AE16" s="118" t="str">
        <x:f>IF(W16&gt;(Inputs!$B$70+(D16-Inputs!$B$68)*(Inputs!$B$71-Inputs!$B$70)/(Inputs!$B$69-Inputs!$B$68))*1.30,"Above active frontier",IF(W16&lt;0,"Loss","OK"))</x:f>
        <x:v>OK</x:v>
      </x:c>
      <x:c r="AF16" s="118" t="str">
        <x:v>6-10 yr</x:v>
      </x:c>
      <x:c r="AG16" s="118" t="str">
        <x:v>1.5 yr</x:v>
      </x:c>
      <x:c r="AH16" s="118" t="str">
        <x:v>Iconic milestone fish</x:v>
      </x:c>
    </x:row>
    <x:row r="17" ht="15" hidden="0" customHeight="1">
      <x:c r="A17" s="118" t="str">
        <x:v>CF-16</x:v>
      </x:c>
      <x:c r="B17" s="118" t="str">
        <x:v>Yellow Tang</x:v>
      </x:c>
      <x:c r="C17" s="118" t="str">
        <x:v>Rare</x:v>
      </x:c>
      <x:c r="D17" s="126" t="n">
        <x:v>22</x:v>
      </x:c>
      <x:c r="E17" s="127" t="n">
        <x:v>230</x:v>
      </x:c>
      <x:c r="F17" s="126" t="n">
        <x:v>20</x:v>
      </x:c>
      <x:c r="G17" s="118" t="str">
        <x:v>20 h</x:v>
      </x:c>
      <x:c r="H17" s="128" t="n">
        <x:f aca="0">F17*Inputs!$B$19</x:f>
        <x:v>80</x:v>
      </x:c>
      <x:c r="I17" s="128" t="n">
        <x:f aca="0">F17*Inputs!$B$20</x:f>
        <x:v>40</x:v>
      </x:c>
      <x:c r="J17" s="128" t="n">
        <x:f aca="0">MIN(Inputs!$B$77,MAX(Inputs!$B$76,I17*Inputs!$B$75))</x:f>
        <x:v>10</x:v>
      </x:c>
      <x:c r="K17" s="128" t="n">
        <x:f aca="0">ROUND((Inputs!$B$70+(D17-Inputs!$B$68)*(Inputs!$B$71-Inputs!$B$70)/(Inputs!$B$69-Inputs!$B$68))*INDEX(Inputs!$C$87:$C$96,MATCH(F17,Inputs!$A$87:$A$96,1))*INDEX(Inputs!$B$100:$B$107,MATCH(AA17,Inputs!$A$100:$A$107,0))*(1+INDEX(Inputs!$B$38:$B$44,MATCH(C17,Inputs!$A$38:$A$44,0))*INDEX(Inputs!$D$100:$D$107,MATCH(AA17,Inputs!$A$100:$A$107,0))),1)</x:f>
        <x:v>22.9</x:v>
      </x:c>
      <x:c r="L17" s="128" t="n">
        <x:f aca="0">ROUND((Inputs!$B$72+(D17-Inputs!$B$68)*(Inputs!$B$73-Inputs!$B$72)/(Inputs!$B$69-Inputs!$B$68))*INDEX(Inputs!$D$87:$D$96,MATCH(F17,Inputs!$A$87:$A$96,1))*INDEX(Inputs!$C$100:$C$107,MATCH(AA17,Inputs!$A$100:$A$107,0))*(1+INDEX(Inputs!$B$38:$B$44,MATCH(C17,Inputs!$A$38:$A$44,0))*INDEX(Inputs!$E$100:$E$107,MATCH(AA17,Inputs!$A$100:$A$107,0))),1)</x:f>
        <x:v>10.3</x:v>
      </x:c>
      <x:c r="M17" s="127" t="n">
        <x:f aca="0">ROUND(L17*H17*Inputs!$B$74,0)</x:f>
        <x:v>66</x:v>
      </x:c>
      <x:c r="N17" s="127" t="n">
        <x:f aca="0">ROUND(E17+K17*H17,0)</x:f>
        <x:v>2062</x:v>
      </x:c>
      <x:c r="O17" s="127" t="n">
        <x:f aca="0">MAX(1,ROUND(L17*H17-M17,0))</x:f>
        <x:v>758</x:v>
      </x:c>
      <x:c r="P17" s="127" t="n">
        <x:f aca="0">ROUND(E17+(N17-E17)*Inputs!$B$24,0)</x:f>
        <x:v>1696</x:v>
      </x:c>
      <x:c r="Q17" s="127" t="n">
        <x:f aca="0">ROUND(E17+(N17-E17)*Inputs!$B$23,0)</x:f>
        <x:v>1238</x:v>
      </x:c>
      <x:c r="R17" s="127" t="n">
        <x:f aca="0">ROUND(E17+(N17-E17)*Inputs!$B$22,0)</x:f>
        <x:v>688</x:v>
      </x:c>
      <x:c r="S17" s="127" t="n">
        <x:f aca="0">ROUND(O17*Inputs!$B$24,0)</x:f>
        <x:v>606</x:v>
      </x:c>
      <x:c r="T17" s="127" t="n">
        <x:f aca="0">ROUND(O17*Inputs!$B$23,0)</x:f>
        <x:v>417</x:v>
      </x:c>
      <x:c r="U17" s="127" t="n">
        <x:f>ROUND(O17*Inputs!$B$22,0)</x:f>
        <x:v>190</x:v>
      </x:c>
      <x:c r="V17" s="127" t="n">
        <x:f>N17-E17</x:f>
        <x:v>1832</x:v>
      </x:c>
      <x:c r="W17" s="128" t="n">
        <x:f>ROUND(V17/H17,1)</x:f>
        <x:v>22.9</x:v>
      </x:c>
      <x:c r="X17" s="128" t="n">
        <x:f>ROUND((M17+O17)/H17,1)</x:f>
        <x:v>10.3</x:v>
      </x:c>
      <x:c r="Y17" s="128" t="n">
        <x:f>V17</x:f>
        <x:v>1832</x:v>
      </x:c>
      <x:c r="Z17" s="128" t="n">
        <x:f>M17+O17</x:f>
        <x:v>824</x:v>
      </x:c>
      <x:c r="AA17" s="118" t="str">
        <x:v>Coin Specialist</x:v>
      </x:c>
      <x:c r="AB17" s="118" t="str">
        <x:v>20h rare coin specialist</x:v>
      </x:c>
      <x:c r="AC17" s="118" t="str">
        <x:f>IF(F17&lt;1,"Active",IF(F17&lt;12,"Balanced","Idle"))</x:f>
        <x:v>Idle</x:v>
      </x:c>
      <x:c r="AD17" s="118" t="str">
        <x:f>IF(F17&lt;1,"Fast Fish",IF(F17&gt;=24,"Overnight","-"))</x:f>
        <x:v>-</x:v>
      </x:c>
      <x:c r="AE17" s="118" t="str">
        <x:f>IF(W17&gt;(Inputs!$B$70+(D17-Inputs!$B$68)*(Inputs!$B$71-Inputs!$B$70)/(Inputs!$B$69-Inputs!$B$68))*1.30,"Above active frontier",IF(W17&lt;0,"Loss","OK"))</x:f>
        <x:v>OK</x:v>
      </x:c>
      <x:c r="AF17" s="118" t="str">
        <x:v>20-30 yr</x:v>
      </x:c>
      <x:c r="AG17" s="118" t="str">
        <x:v>2 yr</x:v>
      </x:c>
      <x:c r="AH17" s="118" t="str">
        <x:v>First rare unlock</x:v>
      </x:c>
    </x:row>
    <x:row r="18" ht="15" hidden="0" customHeight="1">
      <x:c r="A18" s="118" t="str">
        <x:v>CF-17</x:v>
      </x:c>
      <x:c r="B18" s="118" t="str">
        <x:v>Banggai Cardinalfish</x:v>
      </x:c>
      <x:c r="C18" s="118" t="str">
        <x:v>Rare</x:v>
      </x:c>
      <x:c r="D18" s="126" t="n">
        <x:v>24</x:v>
      </x:c>
      <x:c r="E18" s="127" t="n">
        <x:v>350</x:v>
      </x:c>
      <x:c r="F18" s="126" t="n">
        <x:v>48</x:v>
      </x:c>
      <x:c r="G18" s="118" t="str">
        <x:v>48 h (2 d)</x:v>
      </x:c>
      <x:c r="H18" s="128" t="n">
        <x:f aca="0">F18*Inputs!$B$19</x:f>
        <x:v>192</x:v>
      </x:c>
      <x:c r="I18" s="128" t="n">
        <x:f aca="0">F18*Inputs!$B$20</x:f>
        <x:v>96</x:v>
      </x:c>
      <x:c r="J18" s="128" t="n">
        <x:f aca="0">MIN(Inputs!$B$77,MAX(Inputs!$B$76,I18*Inputs!$B$75))</x:f>
        <x:v>24</x:v>
      </x:c>
      <x:c r="K18" s="128" t="n">
        <x:f aca="0">ROUND((Inputs!$B$70+(D18-Inputs!$B$68)*(Inputs!$B$71-Inputs!$B$70)/(Inputs!$B$69-Inputs!$B$68))*INDEX(Inputs!$C$87:$C$96,MATCH(F18,Inputs!$A$87:$A$96,1))*INDEX(Inputs!$B$100:$B$107,MATCH(AA18,Inputs!$A$100:$A$107,0))*(1+INDEX(Inputs!$B$38:$B$44,MATCH(C18,Inputs!$A$38:$A$44,0))*INDEX(Inputs!$D$100:$D$107,MATCH(AA18,Inputs!$A$100:$A$107,0))),1)</x:f>
        <x:v>21.9</x:v>
      </x:c>
      <x:c r="L18" s="128" t="n">
        <x:f aca="0">ROUND((Inputs!$B$72+(D18-Inputs!$B$68)*(Inputs!$B$73-Inputs!$B$72)/(Inputs!$B$69-Inputs!$B$68))*INDEX(Inputs!$D$87:$D$96,MATCH(F18,Inputs!$A$87:$A$96,1))*INDEX(Inputs!$C$100:$C$107,MATCH(AA18,Inputs!$A$100:$A$107,0))*(1+INDEX(Inputs!$B$38:$B$44,MATCH(C18,Inputs!$A$38:$A$44,0))*INDEX(Inputs!$E$100:$E$107,MATCH(AA18,Inputs!$A$100:$A$107,0))),1)</x:f>
        <x:v>9.2</x:v>
      </x:c>
      <x:c r="M18" s="127" t="n">
        <x:f aca="0">ROUND(L18*H18*Inputs!$B$74,0)</x:f>
        <x:v>141</x:v>
      </x:c>
      <x:c r="N18" s="127" t="n">
        <x:f aca="0">ROUND(E18+K18*H18,0)</x:f>
        <x:v>4555</x:v>
      </x:c>
      <x:c r="O18" s="127" t="n">
        <x:f aca="0">MAX(1,ROUND(L18*H18-M18,0))</x:f>
        <x:v>1625</x:v>
      </x:c>
      <x:c r="P18" s="127" t="n">
        <x:f aca="0">ROUND(E18+(N18-E18)*Inputs!$B$24,0)</x:f>
        <x:v>3714</x:v>
      </x:c>
      <x:c r="Q18" s="127" t="n">
        <x:f aca="0">ROUND(E18+(N18-E18)*Inputs!$B$23,0)</x:f>
        <x:v>2663</x:v>
      </x:c>
      <x:c r="R18" s="127" t="n">
        <x:f aca="0">ROUND(E18+(N18-E18)*Inputs!$B$22,0)</x:f>
        <x:v>1401</x:v>
      </x:c>
      <x:c r="S18" s="127" t="n">
        <x:f aca="0">ROUND(O18*Inputs!$B$24,0)</x:f>
        <x:v>1300</x:v>
      </x:c>
      <x:c r="T18" s="127" t="n">
        <x:f aca="0">ROUND(O18*Inputs!$B$23,0)</x:f>
        <x:v>894</x:v>
      </x:c>
      <x:c r="U18" s="127" t="n">
        <x:f>ROUND(O18*Inputs!$B$22,0)</x:f>
        <x:v>406</x:v>
      </x:c>
      <x:c r="V18" s="127" t="n">
        <x:f>N18-E18</x:f>
        <x:v>4205</x:v>
      </x:c>
      <x:c r="W18" s="128" t="n">
        <x:f>ROUND(V18/H18,1)</x:f>
        <x:v>21.9</x:v>
      </x:c>
      <x:c r="X18" s="128" t="n">
        <x:f>ROUND((M18+O18)/H18,1)</x:f>
        <x:v>9.2</x:v>
      </x:c>
      <x:c r="Y18" s="128" t="n">
        <x:f>V18</x:f>
        <x:v>4205</x:v>
      </x:c>
      <x:c r="Z18" s="128" t="n">
        <x:f>M18+O18</x:f>
        <x:v>1766</x:v>
      </x:c>
      <x:c r="AA18" s="118" t="str">
        <x:v>Collection</x:v>
      </x:c>
      <x:c r="AB18" s="118" t="str">
        <x:v>rare cardinal chapter / breeder fantasy</x:v>
      </x:c>
      <x:c r="AC18" s="118" t="str">
        <x:f>IF(F18&lt;1,"Active",IF(F18&lt;12,"Balanced","Idle"))</x:f>
        <x:v>Idle</x:v>
      </x:c>
      <x:c r="AD18" s="118" t="str">
        <x:f>IF(F18&lt;1,"Fast Fish",IF(F18&gt;=24,"Overnight","-"))</x:f>
        <x:v>Overnight</x:v>
      </x:c>
      <x:c r="AE18" s="118" t="str">
        <x:f>IF(W18&gt;(Inputs!$B$70+(D18-Inputs!$B$68)*(Inputs!$B$71-Inputs!$B$70)/(Inputs!$B$69-Inputs!$B$68))*1.30,"Above active frontier",IF(W18&lt;0,"Loss","OK"))</x:f>
        <x:v>OK</x:v>
      </x:c>
      <x:c r="AF18" s="118" t="str">
        <x:v>4-5 yr</x:v>
      </x:c>
      <x:c r="AG18" s="118" t="str">
        <x:v>9 mo</x:v>
      </x:c>
      <x:c r="AH18" s="118" t="str"/>
    </x:row>
    <x:row r="19" ht="26.399999618530273" hidden="0" customHeight="1">
      <x:c r="A19" s="118" t="str">
        <x:v>CF-18</x:v>
      </x:c>
      <x:c r="B19" s="118" t="str">
        <x:v>Coral Beauty</x:v>
      </x:c>
      <x:c r="C19" s="118" t="str">
        <x:v>Rare</x:v>
      </x:c>
      <x:c r="D19" s="126" t="n">
        <x:v>26</x:v>
      </x:c>
      <x:c r="E19" s="127" t="n">
        <x:v>75</x:v>
      </x:c>
      <x:c r="F19" s="126" t="n">
        <x:v>0.5</x:v>
      </x:c>
      <x:c r="G19" s="118" t="str">
        <x:v>30 min</x:v>
      </x:c>
      <x:c r="H19" s="128" t="n">
        <x:f aca="0">F19*Inputs!$B$19</x:f>
        <x:v>2</x:v>
      </x:c>
      <x:c r="I19" s="128" t="n">
        <x:f aca="0">F19*Inputs!$B$20</x:f>
        <x:v>1</x:v>
      </x:c>
      <x:c r="J19" s="128" t="n">
        <x:f aca="0">MIN(Inputs!$B$77,MAX(Inputs!$B$76,I19*Inputs!$B$75))</x:f>
        <x:v>0.5</x:v>
      </x:c>
      <x:c r="K19" s="128" t="n">
        <x:f aca="0">ROUND((Inputs!$B$70+(D19-Inputs!$B$68)*(Inputs!$B$71-Inputs!$B$70)/(Inputs!$B$69-Inputs!$B$68))*INDEX(Inputs!$C$87:$C$96,MATCH(F19,Inputs!$A$87:$A$96,1))*INDEX(Inputs!$B$100:$B$107,MATCH(AA19,Inputs!$A$100:$A$107,0))*(1+INDEX(Inputs!$B$38:$B$44,MATCH(C19,Inputs!$A$38:$A$44,0))*INDEX(Inputs!$D$100:$D$107,MATCH(AA19,Inputs!$A$100:$A$107,0))),1)</x:f>
        <x:v>143.5</x:v>
      </x:c>
      <x:c r="L19" s="128" t="n">
        <x:f aca="0">ROUND((Inputs!$B$72+(D19-Inputs!$B$68)*(Inputs!$B$73-Inputs!$B$72)/(Inputs!$B$69-Inputs!$B$68))*INDEX(Inputs!$D$87:$D$96,MATCH(F19,Inputs!$A$87:$A$96,1))*INDEX(Inputs!$C$100:$C$107,MATCH(AA19,Inputs!$A$100:$A$107,0))*(1+INDEX(Inputs!$B$38:$B$44,MATCH(C19,Inputs!$A$38:$A$44,0))*INDEX(Inputs!$E$100:$E$107,MATCH(AA19,Inputs!$A$100:$A$107,0))),1)</x:f>
        <x:v>42</x:v>
      </x:c>
      <x:c r="M19" s="127" t="n">
        <x:f aca="0">ROUND(L19*H19*Inputs!$B$74,0)</x:f>
        <x:v>7</x:v>
      </x:c>
      <x:c r="N19" s="127" t="n">
        <x:f aca="0">ROUND(E19+K19*H19,0)</x:f>
        <x:v>362</x:v>
      </x:c>
      <x:c r="O19" s="127" t="n">
        <x:f aca="0">MAX(1,ROUND(L19*H19-M19,0))</x:f>
        <x:v>77</x:v>
      </x:c>
      <x:c r="P19" s="127" t="n">
        <x:f aca="0">ROUND(E19+(N19-E19)*Inputs!$B$24,0)</x:f>
        <x:v>305</x:v>
      </x:c>
      <x:c r="Q19" s="127" t="n">
        <x:f aca="0">ROUND(E19+(N19-E19)*Inputs!$B$23,0)</x:f>
        <x:v>233</x:v>
      </x:c>
      <x:c r="R19" s="127" t="n">
        <x:f aca="0">ROUND(E19+(N19-E19)*Inputs!$B$22,0)</x:f>
        <x:v>147</x:v>
      </x:c>
      <x:c r="S19" s="127" t="n">
        <x:f aca="0">ROUND(O19*Inputs!$B$24,0)</x:f>
        <x:v>62</x:v>
      </x:c>
      <x:c r="T19" s="127" t="n">
        <x:f aca="0">ROUND(O19*Inputs!$B$23,0)</x:f>
        <x:v>42</x:v>
      </x:c>
      <x:c r="U19" s="127" t="n">
        <x:f>ROUND(O19*Inputs!$B$22,0)</x:f>
        <x:v>19</x:v>
      </x:c>
      <x:c r="V19" s="127" t="n">
        <x:f>N19-E19</x:f>
        <x:v>287</x:v>
      </x:c>
      <x:c r="W19" s="128" t="n">
        <x:f>ROUND(V19/H19,1)</x:f>
        <x:v>143.5</x:v>
      </x:c>
      <x:c r="X19" s="128" t="n">
        <x:f>ROUND((M19+O19)/H19,1)</x:f>
        <x:v>42</x:v>
      </x:c>
      <x:c r="Y19" s="128" t="n">
        <x:f>V19</x:f>
        <x:v>287</x:v>
      </x:c>
      <x:c r="Z19" s="128" t="n">
        <x:f>M19+O19</x:f>
        <x:v>84</x:v>
      </x:c>
      <x:c r="AA19" s="118" t="str">
        <x:v>Coin Specialist</x:v>
      </x:c>
      <x:c r="AB19" s="118" t="str">
        <x:v>30m rare coin specialist</x:v>
      </x:c>
      <x:c r="AC19" s="118" t="str">
        <x:f>IF(F19&lt;1,"Active",IF(F19&lt;12,"Balanced","Idle"))</x:f>
        <x:v>Active</x:v>
      </x:c>
      <x:c r="AD19" s="118" t="str">
        <x:f>IF(F19&lt;1,"Fast Fish",IF(F19&gt;=24,"Overnight","-"))</x:f>
        <x:v>Fast Fish</x:v>
      </x:c>
      <x:c r="AE19" s="118" t="str">
        <x:f>IF(W19&gt;(Inputs!$B$70+(D19-Inputs!$B$68)*(Inputs!$B$71-Inputs!$B$70)/(Inputs!$B$69-Inputs!$B$68))*1.30,"Above active frontier",IF(W19&lt;0,"Loss","OK"))</x:f>
        <x:v>OK</x:v>
      </x:c>
      <x:c r="AF19" s="118" t="str">
        <x:v>10-15 yr</x:v>
      </x:c>
      <x:c r="AG19" s="118" t="str">
        <x:v>1.5 yr</x:v>
      </x:c>
      <x:c r="AH19" s="118" t="str">
        <x:v>Fast rare | Rebalanced: target-rate role prevents one-fish dominance.</x:v>
      </x:c>
    </x:row>
    <x:row r="20" ht="15" hidden="0" customHeight="1">
      <x:c r="A20" s="118" t="str">
        <x:v>CF-19</x:v>
      </x:c>
      <x:c r="B20" s="118" t="str">
        <x:v>Flame Angelfish</x:v>
      </x:c>
      <x:c r="C20" s="118" t="str">
        <x:v>Rare</x:v>
      </x:c>
      <x:c r="D20" s="126" t="n">
        <x:v>29</x:v>
      </x:c>
      <x:c r="E20" s="127" t="n">
        <x:v>210</x:v>
      </x:c>
      <x:c r="F20" s="126" t="n">
        <x:v>12</x:v>
      </x:c>
      <x:c r="G20" s="118" t="str">
        <x:v>12 h</x:v>
      </x:c>
      <x:c r="H20" s="128" t="n">
        <x:f aca="0">F20*Inputs!$B$19</x:f>
        <x:v>48</x:v>
      </x:c>
      <x:c r="I20" s="128" t="n">
        <x:f aca="0">F20*Inputs!$B$20</x:f>
        <x:v>24</x:v>
      </x:c>
      <x:c r="J20" s="128" t="n">
        <x:f aca="0">MIN(Inputs!$B$77,MAX(Inputs!$B$76,I20*Inputs!$B$75))</x:f>
        <x:v>6</x:v>
      </x:c>
      <x:c r="K20" s="128" t="n">
        <x:f aca="0">ROUND((Inputs!$B$70+(D20-Inputs!$B$68)*(Inputs!$B$71-Inputs!$B$70)/(Inputs!$B$69-Inputs!$B$68))*INDEX(Inputs!$C$87:$C$96,MATCH(F20,Inputs!$A$87:$A$96,1))*INDEX(Inputs!$B$100:$B$107,MATCH(AA20,Inputs!$A$100:$A$107,0))*(1+INDEX(Inputs!$B$38:$B$44,MATCH(C20,Inputs!$A$38:$A$44,0))*INDEX(Inputs!$D$100:$D$107,MATCH(AA20,Inputs!$A$100:$A$107,0))),1)</x:f>
        <x:v>25.8</x:v>
      </x:c>
      <x:c r="L20" s="128" t="n">
        <x:f aca="0">ROUND((Inputs!$B$72+(D20-Inputs!$B$68)*(Inputs!$B$73-Inputs!$B$72)/(Inputs!$B$69-Inputs!$B$68))*INDEX(Inputs!$D$87:$D$96,MATCH(F20,Inputs!$A$87:$A$96,1))*INDEX(Inputs!$C$100:$C$107,MATCH(AA20,Inputs!$A$100:$A$107,0))*(1+INDEX(Inputs!$B$38:$B$44,MATCH(C20,Inputs!$A$38:$A$44,0))*INDEX(Inputs!$E$100:$E$107,MATCH(AA20,Inputs!$A$100:$A$107,0))),1)</x:f>
        <x:v>11.4</x:v>
      </x:c>
      <x:c r="M20" s="127" t="n">
        <x:f aca="0">ROUND(L20*H20*Inputs!$B$74,0)</x:f>
        <x:v>44</x:v>
      </x:c>
      <x:c r="N20" s="127" t="n">
        <x:f aca="0">ROUND(E20+K20*H20,0)</x:f>
        <x:v>1448</x:v>
      </x:c>
      <x:c r="O20" s="127" t="n">
        <x:f aca="0">MAX(1,ROUND(L20*H20-M20,0))</x:f>
        <x:v>503</x:v>
      </x:c>
      <x:c r="P20" s="127" t="n">
        <x:f aca="0">ROUND(E20+(N20-E20)*Inputs!$B$24,0)</x:f>
        <x:v>1200</x:v>
      </x:c>
      <x:c r="Q20" s="127" t="n">
        <x:f aca="0">ROUND(E20+(N20-E20)*Inputs!$B$23,0)</x:f>
        <x:v>891</x:v>
      </x:c>
      <x:c r="R20" s="127" t="n">
        <x:f aca="0">ROUND(E20+(N20-E20)*Inputs!$B$22,0)</x:f>
        <x:v>520</x:v>
      </x:c>
      <x:c r="S20" s="127" t="n">
        <x:f aca="0">ROUND(O20*Inputs!$B$24,0)</x:f>
        <x:v>402</x:v>
      </x:c>
      <x:c r="T20" s="127" t="n">
        <x:f aca="0">ROUND(O20*Inputs!$B$23,0)</x:f>
        <x:v>277</x:v>
      </x:c>
      <x:c r="U20" s="127" t="n">
        <x:f>ROUND(O20*Inputs!$B$22,0)</x:f>
        <x:v>126</x:v>
      </x:c>
      <x:c r="V20" s="127" t="n">
        <x:f>N20-E20</x:f>
        <x:v>1238</x:v>
      </x:c>
      <x:c r="W20" s="128" t="n">
        <x:f>ROUND(V20/H20,1)</x:f>
        <x:v>25.8</x:v>
      </x:c>
      <x:c r="X20" s="128" t="n">
        <x:f>ROUND((M20+O20)/H20,1)</x:f>
        <x:v>11.4</x:v>
      </x:c>
      <x:c r="Y20" s="128" t="n">
        <x:f>V20</x:f>
        <x:v>1238</x:v>
      </x:c>
      <x:c r="Z20" s="128" t="n">
        <x:f>M20+O20</x:f>
        <x:v>547</x:v>
      </x:c>
      <x:c r="AA20" s="118" t="str">
        <x:v>Coin Specialist</x:v>
      </x:c>
      <x:c r="AB20" s="118" t="str">
        <x:v>12h coin specialist</x:v>
      </x:c>
      <x:c r="AC20" s="118" t="str">
        <x:f>IF(F20&lt;1,"Active",IF(F20&lt;12,"Balanced","Idle"))</x:f>
        <x:v>Idle</x:v>
      </x:c>
      <x:c r="AD20" s="118" t="str">
        <x:f>IF(F20&lt;1,"Fast Fish",IF(F20&gt;=24,"Overnight","-"))</x:f>
        <x:v>-</x:v>
      </x:c>
      <x:c r="AE20" s="118" t="str">
        <x:f>IF(W20&gt;(Inputs!$B$70+(D20-Inputs!$B$68)*(Inputs!$B$71-Inputs!$B$70)/(Inputs!$B$69-Inputs!$B$68))*1.30,"Above active frontier",IF(W20&lt;0,"Loss","OK"))</x:f>
        <x:v>OK</x:v>
      </x:c>
      <x:c r="AF20" s="118" t="str">
        <x:v>5-7 yr</x:v>
      </x:c>
      <x:c r="AG20" s="118" t="str">
        <x:v>1.5 yr</x:v>
      </x:c>
      <x:c r="AH20" s="118" t="str"/>
    </x:row>
    <x:row r="21" ht="26.399999618530273" hidden="0" customHeight="1">
      <x:c r="A21" s="118" t="str">
        <x:v>CF-20</x:v>
      </x:c>
      <x:c r="B21" s="118" t="str">
        <x:v>Longhorn Cowfish</x:v>
      </x:c>
      <x:c r="C21" s="118" t="str">
        <x:v>Rare</x:v>
      </x:c>
      <x:c r="D21" s="126" t="n">
        <x:v>30</x:v>
      </x:c>
      <x:c r="E21" s="127" t="n">
        <x:v>300</x:v>
      </x:c>
      <x:c r="F21" s="126" t="n">
        <x:v>24</x:v>
      </x:c>
      <x:c r="G21" s="118" t="str">
        <x:v>24 h (1 d)</x:v>
      </x:c>
      <x:c r="H21" s="128" t="n">
        <x:f aca="0">F21*Inputs!$B$19</x:f>
        <x:v>96</x:v>
      </x:c>
      <x:c r="I21" s="128" t="n">
        <x:f aca="0">F21*Inputs!$B$20</x:f>
        <x:v>48</x:v>
      </x:c>
      <x:c r="J21" s="128" t="n">
        <x:f aca="0">MIN(Inputs!$B$77,MAX(Inputs!$B$76,I21*Inputs!$B$75))</x:f>
        <x:v>12</x:v>
      </x:c>
      <x:c r="K21" s="128" t="n">
        <x:f aca="0">ROUND((Inputs!$B$70+(D21-Inputs!$B$68)*(Inputs!$B$71-Inputs!$B$70)/(Inputs!$B$69-Inputs!$B$68))*INDEX(Inputs!$C$87:$C$96,MATCH(F21,Inputs!$A$87:$A$96,1))*INDEX(Inputs!$B$100:$B$107,MATCH(AA21,Inputs!$A$100:$A$107,0))*(1+INDEX(Inputs!$B$38:$B$44,MATCH(C21,Inputs!$A$38:$A$44,0))*INDEX(Inputs!$D$100:$D$107,MATCH(AA21,Inputs!$A$100:$A$107,0))),1)</x:f>
        <x:v>17.8</x:v>
      </x:c>
      <x:c r="L21" s="128" t="n">
        <x:f aca="0">ROUND((Inputs!$B$72+(D21-Inputs!$B$68)*(Inputs!$B$73-Inputs!$B$72)/(Inputs!$B$69-Inputs!$B$68))*INDEX(Inputs!$D$87:$D$96,MATCH(F21,Inputs!$A$87:$A$96,1))*INDEX(Inputs!$C$100:$C$107,MATCH(AA21,Inputs!$A$100:$A$107,0))*(1+INDEX(Inputs!$B$38:$B$44,MATCH(C21,Inputs!$A$38:$A$44,0))*INDEX(Inputs!$E$100:$E$107,MATCH(AA21,Inputs!$A$100:$A$107,0))),1)</x:f>
        <x:v>15.2</x:v>
      </x:c>
      <x:c r="M21" s="127" t="n">
        <x:f aca="0">ROUND(L21*H21*Inputs!$B$74,0)</x:f>
        <x:v>117</x:v>
      </x:c>
      <x:c r="N21" s="127" t="n">
        <x:f aca="0">ROUND(E21+K21*H21,0)</x:f>
        <x:v>2009</x:v>
      </x:c>
      <x:c r="O21" s="127" t="n">
        <x:f aca="0">MAX(1,ROUND(L21*H21-M21,0))</x:f>
        <x:v>1342</x:v>
      </x:c>
      <x:c r="P21" s="127" t="n">
        <x:f aca="0">ROUND(E21+(N21-E21)*Inputs!$B$24,0)</x:f>
        <x:v>1667</x:v>
      </x:c>
      <x:c r="Q21" s="127" t="n">
        <x:f aca="0">ROUND(E21+(N21-E21)*Inputs!$B$23,0)</x:f>
        <x:v>1240</x:v>
      </x:c>
      <x:c r="R21" s="127" t="n">
        <x:f aca="0">ROUND(E21+(N21-E21)*Inputs!$B$22,0)</x:f>
        <x:v>727</x:v>
      </x:c>
      <x:c r="S21" s="127" t="n">
        <x:f aca="0">ROUND(O21*Inputs!$B$24,0)</x:f>
        <x:v>1074</x:v>
      </x:c>
      <x:c r="T21" s="127" t="n">
        <x:f aca="0">ROUND(O21*Inputs!$B$23,0)</x:f>
        <x:v>738</x:v>
      </x:c>
      <x:c r="U21" s="127" t="n">
        <x:f>ROUND(O21*Inputs!$B$22,0)</x:f>
        <x:v>336</x:v>
      </x:c>
      <x:c r="V21" s="127" t="n">
        <x:f>N21-E21</x:f>
        <x:v>1709</x:v>
      </x:c>
      <x:c r="W21" s="128" t="n">
        <x:f>ROUND(V21/H21,1)</x:f>
        <x:v>17.8</x:v>
      </x:c>
      <x:c r="X21" s="128" t="n">
        <x:f>ROUND((M21+O21)/H21,1)</x:f>
        <x:v>15.2</x:v>
      </x:c>
      <x:c r="Y21" s="128" t="n">
        <x:f>V21</x:f>
        <x:v>1709</x:v>
      </x:c>
      <x:c r="Z21" s="128" t="n">
        <x:f>M21+O21</x:f>
        <x:v>1459</x:v>
      </x:c>
      <x:c r="AA21" s="118" t="str">
        <x:v>XP Specialist</x:v>
      </x:c>
      <x:c r="AB21" s="118" t="str">
        <x:v>24h idle XP specialist</x:v>
      </x:c>
      <x:c r="AC21" s="118" t="str">
        <x:f>IF(F21&lt;1,"Active",IF(F21&lt;12,"Balanced","Idle"))</x:f>
        <x:v>Idle</x:v>
      </x:c>
      <x:c r="AD21" s="118" t="str">
        <x:f>IF(F21&lt;1,"Fast Fish",IF(F21&gt;=24,"Overnight","-"))</x:f>
        <x:v>Overnight</x:v>
      </x:c>
      <x:c r="AE21" s="118" t="str">
        <x:f>IF(W21&gt;(Inputs!$B$70+(D21-Inputs!$B$68)*(Inputs!$B$71-Inputs!$B$70)/(Inputs!$B$69-Inputs!$B$68))*1.30,"Above active frontier",IF(W21&lt;0,"Loss","OK"))</x:f>
        <x:v>OK</x:v>
      </x:c>
      <x:c r="AF21" s="118" t="str">
        <x:v>8 yr</x:v>
      </x:c>
      <x:c r="AG21" s="118" t="str">
        <x:v>2 yr</x:v>
      </x:c>
      <x:c r="AH21" s="118" t="str">
        <x:v>FishVille classic (24h, 9x XP) | Rebalanced: target-rate role prevents one-fish dominance.</x:v>
      </x:c>
    </x:row>
    <x:row r="22" ht="26.399999618530273" hidden="0" customHeight="1">
      <x:c r="A22" s="118" t="str">
        <x:v>CF-21</x:v>
      </x:c>
      <x:c r="B22" s="118" t="str">
        <x:v>Foxface Rabbitfish</x:v>
      </x:c>
      <x:c r="C22" s="118" t="str">
        <x:v>Rare</x:v>
      </x:c>
      <x:c r="D22" s="126" t="n">
        <x:v>32</x:v>
      </x:c>
      <x:c r="E22" s="127" t="n">
        <x:v>85</x:v>
      </x:c>
      <x:c r="F22" s="126" t="n">
        <x:v>0.083</x:v>
      </x:c>
      <x:c r="G22" s="118" t="str">
        <x:v>5 min</x:v>
      </x:c>
      <x:c r="H22" s="128" t="n">
        <x:f aca="0">F22*Inputs!$B$19</x:f>
        <x:v>0.332</x:v>
      </x:c>
      <x:c r="I22" s="128" t="n">
        <x:f aca="0">F22*Inputs!$B$20</x:f>
        <x:v>0.166</x:v>
      </x:c>
      <x:c r="J22" s="128" t="n">
        <x:f aca="0">MIN(Inputs!$B$77,MAX(Inputs!$B$76,I22*Inputs!$B$75))</x:f>
        <x:v>0.5</x:v>
      </x:c>
      <x:c r="K22" s="128" t="n">
        <x:f aca="0">ROUND((Inputs!$B$70+(D22-Inputs!$B$68)*(Inputs!$B$71-Inputs!$B$70)/(Inputs!$B$69-Inputs!$B$68))*INDEX(Inputs!$C$87:$C$96,MATCH(F22,Inputs!$A$87:$A$96,1))*INDEX(Inputs!$B$100:$B$107,MATCH(AA22,Inputs!$A$100:$A$107,0))*(1+INDEX(Inputs!$B$38:$B$44,MATCH(C22,Inputs!$A$38:$A$44,0))*INDEX(Inputs!$D$100:$D$107,MATCH(AA22,Inputs!$A$100:$A$107,0))),1)</x:f>
        <x:v>416.7</x:v>
      </x:c>
      <x:c r="L22" s="128" t="n">
        <x:f aca="0">ROUND((Inputs!$B$72+(D22-Inputs!$B$68)*(Inputs!$B$73-Inputs!$B$72)/(Inputs!$B$69-Inputs!$B$68))*INDEX(Inputs!$D$87:$D$96,MATCH(F22,Inputs!$A$87:$A$96,1))*INDEX(Inputs!$C$100:$C$107,MATCH(AA22,Inputs!$A$100:$A$107,0))*(1+INDEX(Inputs!$B$38:$B$44,MATCH(C22,Inputs!$A$38:$A$44,0))*INDEX(Inputs!$E$100:$E$107,MATCH(AA22,Inputs!$A$100:$A$107,0))),1)</x:f>
        <x:v>91.1</x:v>
      </x:c>
      <x:c r="M22" s="127" t="n">
        <x:f aca="0">ROUND(L22*H22*Inputs!$B$74,0)</x:f>
        <x:v>2</x:v>
      </x:c>
      <x:c r="N22" s="127" t="n">
        <x:f aca="0">ROUND(E22+K22*H22,0)</x:f>
        <x:v>223</x:v>
      </x:c>
      <x:c r="O22" s="127" t="n">
        <x:f aca="0">MAX(1,ROUND(L22*H22-M22,0))</x:f>
        <x:v>28</x:v>
      </x:c>
      <x:c r="P22" s="127" t="n">
        <x:f aca="0">ROUND(E22+(N22-E22)*Inputs!$B$24,0)</x:f>
        <x:v>195</x:v>
      </x:c>
      <x:c r="Q22" s="127" t="n">
        <x:f aca="0">ROUND(E22+(N22-E22)*Inputs!$B$23,0)</x:f>
        <x:v>161</x:v>
      </x:c>
      <x:c r="R22" s="127" t="n">
        <x:f aca="0">ROUND(E22+(N22-E22)*Inputs!$B$22,0)</x:f>
        <x:v>120</x:v>
      </x:c>
      <x:c r="S22" s="127" t="n">
        <x:f aca="0">ROUND(O22*Inputs!$B$24,0)</x:f>
        <x:v>22</x:v>
      </x:c>
      <x:c r="T22" s="127" t="n">
        <x:f aca="0">ROUND(O22*Inputs!$B$23,0)</x:f>
        <x:v>15</x:v>
      </x:c>
      <x:c r="U22" s="127" t="n">
        <x:f>ROUND(O22*Inputs!$B$22,0)</x:f>
        <x:v>7</x:v>
      </x:c>
      <x:c r="V22" s="127" t="n">
        <x:f>N22-E22</x:f>
        <x:v>138</x:v>
      </x:c>
      <x:c r="W22" s="128" t="n">
        <x:f>ROUND(V22/H22,1)</x:f>
        <x:v>415.7</x:v>
      </x:c>
      <x:c r="X22" s="128" t="n">
        <x:f>ROUND((M22+O22)/H22,1)</x:f>
        <x:v>90.4</x:v>
      </x:c>
      <x:c r="Y22" s="128" t="n">
        <x:f>V22</x:f>
        <x:v>138</x:v>
      </x:c>
      <x:c r="Z22" s="128" t="n">
        <x:f>M22+O22</x:f>
        <x:v>30</x:v>
      </x:c>
      <x:c r="AA22" s="118" t="str">
        <x:v>Coin Specialist</x:v>
      </x:c>
      <x:c r="AB22" s="118" t="str">
        <x:v>late active coin specialist; not best XP</x:v>
      </x:c>
      <x:c r="AC22" s="118" t="str">
        <x:f>IF(F22&lt;1,"Active",IF(F22&lt;12,"Balanced","Idle"))</x:f>
        <x:v>Active</x:v>
      </x:c>
      <x:c r="AD22" s="118" t="str">
        <x:f>IF(F22&lt;1,"Fast Fish",IF(F22&gt;=24,"Overnight","-"))</x:f>
        <x:v>Fast Fish</x:v>
      </x:c>
      <x:c r="AE22" s="118" t="str">
        <x:f>IF(W22&gt;(Inputs!$B$70+(D22-Inputs!$B$68)*(Inputs!$B$71-Inputs!$B$70)/(Inputs!$B$69-Inputs!$B$68))*1.30,"Above active frontier",IF(W22&lt;0,"Loss","OK"))</x:f>
        <x:v>OK</x:v>
      </x:c>
      <x:c r="AF22" s="118" t="str">
        <x:v>12 yr</x:v>
      </x:c>
      <x:c r="AG22" s="118" t="str">
        <x:v>2 yr</x:v>
      </x:c>
      <x:c r="AH22" s="118" t="str">
        <x:v>Fast rare - grinder favorite | Rebalanced: target-rate role prevents one-fish dominance.</x:v>
      </x:c>
    </x:row>
    <x:row r="23" ht="15" hidden="0" customHeight="1">
      <x:c r="A23" s="118" t="str">
        <x:v>CF-22</x:v>
      </x:c>
      <x:c r="B23" s="118" t="str">
        <x:v>Picasso Triggerfish</x:v>
      </x:c>
      <x:c r="C23" s="118" t="str">
        <x:v>Rare</x:v>
      </x:c>
      <x:c r="D23" s="126" t="n">
        <x:v>33</x:v>
      </x:c>
      <x:c r="E23" s="127" t="n">
        <x:v>190</x:v>
      </x:c>
      <x:c r="F23" s="126" t="n">
        <x:v>6</x:v>
      </x:c>
      <x:c r="G23" s="118" t="str">
        <x:v>6 h</x:v>
      </x:c>
      <x:c r="H23" s="128" t="n">
        <x:f aca="0">F23*Inputs!$B$19</x:f>
        <x:v>24</x:v>
      </x:c>
      <x:c r="I23" s="128" t="n">
        <x:f aca="0">F23*Inputs!$B$20</x:f>
        <x:v>12</x:v>
      </x:c>
      <x:c r="J23" s="128" t="n">
        <x:f aca="0">MIN(Inputs!$B$77,MAX(Inputs!$B$76,I23*Inputs!$B$75))</x:f>
        <x:v>3</x:v>
      </x:c>
      <x:c r="K23" s="128" t="n">
        <x:f aca="0">ROUND((Inputs!$B$70+(D23-Inputs!$B$68)*(Inputs!$B$71-Inputs!$B$70)/(Inputs!$B$69-Inputs!$B$68))*INDEX(Inputs!$C$87:$C$96,MATCH(F23,Inputs!$A$87:$A$96,1))*INDEX(Inputs!$B$100:$B$107,MATCH(AA23,Inputs!$A$100:$A$107,0))*(1+INDEX(Inputs!$B$38:$B$44,MATCH(C23,Inputs!$A$38:$A$44,0))*INDEX(Inputs!$D$100:$D$107,MATCH(AA23,Inputs!$A$100:$A$107,0))),1)</x:f>
        <x:v>38.1</x:v>
      </x:c>
      <x:c r="L23" s="128" t="n">
        <x:f aca="0">ROUND((Inputs!$B$72+(D23-Inputs!$B$68)*(Inputs!$B$73-Inputs!$B$72)/(Inputs!$B$69-Inputs!$B$68))*INDEX(Inputs!$D$87:$D$96,MATCH(F23,Inputs!$A$87:$A$96,1))*INDEX(Inputs!$C$100:$C$107,MATCH(AA23,Inputs!$A$100:$A$107,0))*(1+INDEX(Inputs!$B$38:$B$44,MATCH(C23,Inputs!$A$38:$A$44,0))*INDEX(Inputs!$E$100:$E$107,MATCH(AA23,Inputs!$A$100:$A$107,0))),1)</x:f>
        <x:v>15.6</x:v>
      </x:c>
      <x:c r="M23" s="127" t="n">
        <x:f aca="0">ROUND(L23*H23*Inputs!$B$74,0)</x:f>
        <x:v>30</x:v>
      </x:c>
      <x:c r="N23" s="127" t="n">
        <x:f aca="0">ROUND(E23+K23*H23,0)</x:f>
        <x:v>1104</x:v>
      </x:c>
      <x:c r="O23" s="127" t="n">
        <x:f aca="0">MAX(1,ROUND(L23*H23-M23,0))</x:f>
        <x:v>344</x:v>
      </x:c>
      <x:c r="P23" s="127" t="n">
        <x:f aca="0">ROUND(E23+(N23-E23)*Inputs!$B$24,0)</x:f>
        <x:v>921</x:v>
      </x:c>
      <x:c r="Q23" s="127" t="n">
        <x:f aca="0">ROUND(E23+(N23-E23)*Inputs!$B$23,0)</x:f>
        <x:v>693</x:v>
      </x:c>
      <x:c r="R23" s="127" t="n">
        <x:f aca="0">ROUND(E23+(N23-E23)*Inputs!$B$22,0)</x:f>
        <x:v>419</x:v>
      </x:c>
      <x:c r="S23" s="127" t="n">
        <x:f aca="0">ROUND(O23*Inputs!$B$24,0)</x:f>
        <x:v>275</x:v>
      </x:c>
      <x:c r="T23" s="127" t="n">
        <x:f aca="0">ROUND(O23*Inputs!$B$23,0)</x:f>
        <x:v>189</x:v>
      </x:c>
      <x:c r="U23" s="127" t="n">
        <x:f>ROUND(O23*Inputs!$B$22,0)</x:f>
        <x:v>86</x:v>
      </x:c>
      <x:c r="V23" s="127" t="n">
        <x:f>N23-E23</x:f>
        <x:v>914</x:v>
      </x:c>
      <x:c r="W23" s="128" t="n">
        <x:f>ROUND(V23/H23,1)</x:f>
        <x:v>38.1</x:v>
      </x:c>
      <x:c r="X23" s="128" t="n">
        <x:f>ROUND((M23+O23)/H23,1)</x:f>
        <x:v>15.6</x:v>
      </x:c>
      <x:c r="Y23" s="128" t="n">
        <x:f>V23</x:f>
        <x:v>914</x:v>
      </x:c>
      <x:c r="Z23" s="128" t="n">
        <x:f>M23+O23</x:f>
        <x:v>374</x:v>
      </x:c>
      <x:c r="AA23" s="118" t="str">
        <x:v>Balanced</x:v>
      </x:c>
      <x:c r="AB23" s="118" t="str">
        <x:v>6h balanced rare with decor synergy</x:v>
      </x:c>
      <x:c r="AC23" s="118" t="str">
        <x:f>IF(F23&lt;1,"Active",IF(F23&lt;12,"Balanced","Idle"))</x:f>
        <x:v>Balanced</x:v>
      </x:c>
      <x:c r="AD23" s="118" t="str">
        <x:f>IF(F23&lt;1,"Fast Fish",IF(F23&gt;=24,"Overnight","-"))</x:f>
        <x:v>-</x:v>
      </x:c>
      <x:c r="AE23" s="118" t="str">
        <x:f>IF(W23&gt;(Inputs!$B$70+(D23-Inputs!$B$68)*(Inputs!$B$71-Inputs!$B$70)/(Inputs!$B$69-Inputs!$B$68))*1.30,"Above active frontier",IF(W23&lt;0,"Loss","OK"))</x:f>
        <x:v>OK</x:v>
      </x:c>
      <x:c r="AF23" s="118" t="str">
        <x:v>8-10 yr</x:v>
      </x:c>
      <x:c r="AG23" s="118" t="str">
        <x:v>2 yr</x:v>
      </x:c>
      <x:c r="AH23" s="118" t="str"/>
    </x:row>
    <x:row r="24" ht="15" hidden="0" customHeight="1">
      <x:c r="A24" s="118" t="str">
        <x:v>CF-23</x:v>
      </x:c>
      <x:c r="B24" s="118" t="str">
        <x:v>Discus</x:v>
      </x:c>
      <x:c r="C24" s="118" t="str">
        <x:v>Rare</x:v>
      </x:c>
      <x:c r="D24" s="126" t="n">
        <x:v>35</x:v>
      </x:c>
      <x:c r="E24" s="127" t="n">
        <x:v>390</x:v>
      </x:c>
      <x:c r="F24" s="126" t="n">
        <x:v>36</x:v>
      </x:c>
      <x:c r="G24" s="118" t="str">
        <x:v>36 h (1.5 d)</x:v>
      </x:c>
      <x:c r="H24" s="128" t="n">
        <x:f aca="0">F24*Inputs!$B$19</x:f>
        <x:v>144</x:v>
      </x:c>
      <x:c r="I24" s="128" t="n">
        <x:f aca="0">F24*Inputs!$B$20</x:f>
        <x:v>72</x:v>
      </x:c>
      <x:c r="J24" s="128" t="n">
        <x:f aca="0">MIN(Inputs!$B$77,MAX(Inputs!$B$76,I24*Inputs!$B$75))</x:f>
        <x:v>18</x:v>
      </x:c>
      <x:c r="K24" s="128" t="n">
        <x:f aca="0">ROUND((Inputs!$B$70+(D24-Inputs!$B$68)*(Inputs!$B$71-Inputs!$B$70)/(Inputs!$B$69-Inputs!$B$68))*INDEX(Inputs!$C$87:$C$96,MATCH(F24,Inputs!$A$87:$A$96,1))*INDEX(Inputs!$B$100:$B$107,MATCH(AA24,Inputs!$A$100:$A$107,0))*(1+INDEX(Inputs!$B$38:$B$44,MATCH(C24,Inputs!$A$38:$A$44,0))*INDEX(Inputs!$D$100:$D$107,MATCH(AA24,Inputs!$A$100:$A$107,0))),1)</x:f>
        <x:v>28</x:v>
      </x:c>
      <x:c r="L24" s="128" t="n">
        <x:f aca="0">ROUND((Inputs!$B$72+(D24-Inputs!$B$68)*(Inputs!$B$73-Inputs!$B$72)/(Inputs!$B$69-Inputs!$B$68))*INDEX(Inputs!$D$87:$D$96,MATCH(F24,Inputs!$A$87:$A$96,1))*INDEX(Inputs!$C$100:$C$107,MATCH(AA24,Inputs!$A$100:$A$107,0))*(1+INDEX(Inputs!$B$38:$B$44,MATCH(C24,Inputs!$A$38:$A$44,0))*INDEX(Inputs!$E$100:$E$107,MATCH(AA24,Inputs!$A$100:$A$107,0))),1)</x:f>
        <x:v>12.5</x:v>
      </x:c>
      <x:c r="M24" s="127" t="n">
        <x:f aca="0">ROUND(L24*H24*Inputs!$B$74,0)</x:f>
        <x:v>144</x:v>
      </x:c>
      <x:c r="N24" s="127" t="n">
        <x:f aca="0">ROUND(E24+K24*H24,0)</x:f>
        <x:v>4422</x:v>
      </x:c>
      <x:c r="O24" s="127" t="n">
        <x:f aca="0">MAX(1,ROUND(L24*H24-M24,0))</x:f>
        <x:v>1656</x:v>
      </x:c>
      <x:c r="P24" s="127" t="n">
        <x:f aca="0">ROUND(E24+(N24-E24)*Inputs!$B$24,0)</x:f>
        <x:v>3616</x:v>
      </x:c>
      <x:c r="Q24" s="127" t="n">
        <x:f aca="0">ROUND(E24+(N24-E24)*Inputs!$B$23,0)</x:f>
        <x:v>2608</x:v>
      </x:c>
      <x:c r="R24" s="127" t="n">
        <x:f aca="0">ROUND(E24+(N24-E24)*Inputs!$B$22,0)</x:f>
        <x:v>1398</x:v>
      </x:c>
      <x:c r="S24" s="127" t="n">
        <x:f aca="0">ROUND(O24*Inputs!$B$24,0)</x:f>
        <x:v>1325</x:v>
      </x:c>
      <x:c r="T24" s="127" t="n">
        <x:f aca="0">ROUND(O24*Inputs!$B$23,0)</x:f>
        <x:v>911</x:v>
      </x:c>
      <x:c r="U24" s="127" t="n">
        <x:f>ROUND(O24*Inputs!$B$22,0)</x:f>
        <x:v>414</x:v>
      </x:c>
      <x:c r="V24" s="127" t="n">
        <x:f>N24-E24</x:f>
        <x:v>4032</x:v>
      </x:c>
      <x:c r="W24" s="128" t="n">
        <x:f>ROUND(V24/H24,1)</x:f>
        <x:v>28</x:v>
      </x:c>
      <x:c r="X24" s="128" t="n">
        <x:f>ROUND((M24+O24)/H24,1)</x:f>
        <x:v>12.5</x:v>
      </x:c>
      <x:c r="Y24" s="128" t="n">
        <x:f>V24</x:f>
        <x:v>4032</x:v>
      </x:c>
      <x:c r="Z24" s="128" t="n">
        <x:f>M24+O24</x:f>
        <x:v>1800</x:v>
      </x:c>
      <x:c r="AA24" s="118" t="str">
        <x:v>Prestige</x:v>
      </x:c>
      <x:c r="AB24" s="118" t="str">
        <x:v>beauty / aquarium happiness anchor</x:v>
      </x:c>
      <x:c r="AC24" s="118" t="str">
        <x:f>IF(F24&lt;1,"Active",IF(F24&lt;12,"Balanced","Idle"))</x:f>
        <x:v>Idle</x:v>
      </x:c>
      <x:c r="AD24" s="118" t="str">
        <x:f>IF(F24&lt;1,"Fast Fish",IF(F24&gt;=24,"Overnight","-"))</x:f>
        <x:v>Overnight</x:v>
      </x:c>
      <x:c r="AE24" s="118" t="str">
        <x:f>IF(W24&gt;(Inputs!$B$70+(D24-Inputs!$B$68)*(Inputs!$B$71-Inputs!$B$70)/(Inputs!$B$69-Inputs!$B$68))*1.30,"Above active frontier",IF(W24&lt;0,"Loss","OK"))</x:f>
        <x:v>OK</x:v>
      </x:c>
      <x:c r="AF24" s="118" t="str">
        <x:v>10-15 yr</x:v>
      </x:c>
      <x:c r="AG24" s="118" t="str">
        <x:v>1.5 yr</x:v>
      </x:c>
      <x:c r="AH24" s="118" t="str"/>
    </x:row>
    <x:row r="25" ht="15" hidden="0" customHeight="1">
      <x:c r="A25" s="118" t="str">
        <x:v>CF-24</x:v>
      </x:c>
      <x:c r="B25" s="118" t="str">
        <x:v>Moorish Idol</x:v>
      </x:c>
      <x:c r="C25" s="118" t="str">
        <x:v>Epic</x:v>
      </x:c>
      <x:c r="D25" s="126" t="n">
        <x:v>36</x:v>
      </x:c>
      <x:c r="E25" s="127" t="n">
        <x:v>400</x:v>
      </x:c>
      <x:c r="F25" s="126" t="n">
        <x:v>16</x:v>
      </x:c>
      <x:c r="G25" s="118" t="str">
        <x:v>16 h</x:v>
      </x:c>
      <x:c r="H25" s="128" t="n">
        <x:f aca="0">F25*Inputs!$B$19</x:f>
        <x:v>64</x:v>
      </x:c>
      <x:c r="I25" s="128" t="n">
        <x:f aca="0">F25*Inputs!$B$20</x:f>
        <x:v>32</x:v>
      </x:c>
      <x:c r="J25" s="128" t="n">
        <x:f aca="0">MIN(Inputs!$B$77,MAX(Inputs!$B$76,I25*Inputs!$B$75))</x:f>
        <x:v>8</x:v>
      </x:c>
      <x:c r="K25" s="128" t="n">
        <x:f aca="0">ROUND((Inputs!$B$70+(D25-Inputs!$B$68)*(Inputs!$B$71-Inputs!$B$70)/(Inputs!$B$69-Inputs!$B$68))*INDEX(Inputs!$C$87:$C$96,MATCH(F25,Inputs!$A$87:$A$96,1))*INDEX(Inputs!$B$100:$B$107,MATCH(AA25,Inputs!$A$100:$A$107,0))*(1+INDEX(Inputs!$B$38:$B$44,MATCH(C25,Inputs!$A$38:$A$44,0))*INDEX(Inputs!$D$100:$D$107,MATCH(AA25,Inputs!$A$100:$A$107,0))),1)</x:f>
        <x:v>23.1</x:v>
      </x:c>
      <x:c r="L25" s="128" t="n">
        <x:f aca="0">ROUND((Inputs!$B$72+(D25-Inputs!$B$68)*(Inputs!$B$73-Inputs!$B$72)/(Inputs!$B$69-Inputs!$B$68))*INDEX(Inputs!$D$87:$D$96,MATCH(F25,Inputs!$A$87:$A$96,1))*INDEX(Inputs!$C$100:$C$107,MATCH(AA25,Inputs!$A$100:$A$107,0))*(1+INDEX(Inputs!$B$38:$B$44,MATCH(C25,Inputs!$A$38:$A$44,0))*INDEX(Inputs!$E$100:$E$107,MATCH(AA25,Inputs!$A$100:$A$107,0))),1)</x:f>
        <x:v>14.2</x:v>
      </x:c>
      <x:c r="M25" s="127" t="n">
        <x:f aca="0">ROUND(L25*H25*Inputs!$B$74,0)</x:f>
        <x:v>73</x:v>
      </x:c>
      <x:c r="N25" s="127" t="n">
        <x:f aca="0">ROUND(E25+K25*H25,0)</x:f>
        <x:v>1878</x:v>
      </x:c>
      <x:c r="O25" s="127" t="n">
        <x:f aca="0">MAX(1,ROUND(L25*H25-M25,0))</x:f>
        <x:v>836</x:v>
      </x:c>
      <x:c r="P25" s="127" t="n">
        <x:f aca="0">ROUND(E25+(N25-E25)*Inputs!$B$24,0)</x:f>
        <x:v>1582</x:v>
      </x:c>
      <x:c r="Q25" s="127" t="n">
        <x:f aca="0">ROUND(E25+(N25-E25)*Inputs!$B$23,0)</x:f>
        <x:v>1213</x:v>
      </x:c>
      <x:c r="R25" s="127" t="n">
        <x:f aca="0">ROUND(E25+(N25-E25)*Inputs!$B$22,0)</x:f>
        <x:v>770</x:v>
      </x:c>
      <x:c r="S25" s="127" t="n">
        <x:f aca="0">ROUND(O25*Inputs!$B$24,0)</x:f>
        <x:v>669</x:v>
      </x:c>
      <x:c r="T25" s="127" t="n">
        <x:f aca="0">ROUND(O25*Inputs!$B$23,0)</x:f>
        <x:v>460</x:v>
      </x:c>
      <x:c r="U25" s="127" t="n">
        <x:f>ROUND(O25*Inputs!$B$22,0)</x:f>
        <x:v>209</x:v>
      </x:c>
      <x:c r="V25" s="127" t="n">
        <x:f>N25-E25</x:f>
        <x:v>1478</x:v>
      </x:c>
      <x:c r="W25" s="128" t="n">
        <x:f>ROUND(V25/H25,1)</x:f>
        <x:v>23.1</x:v>
      </x:c>
      <x:c r="X25" s="128" t="n">
        <x:f>ROUND((M25+O25)/H25,1)</x:f>
        <x:v>14.2</x:v>
      </x:c>
      <x:c r="Y25" s="128" t="n">
        <x:f>V25</x:f>
        <x:v>1478</x:v>
      </x:c>
      <x:c r="Z25" s="128" t="n">
        <x:f>M25+O25</x:f>
        <x:v>909</x:v>
      </x:c>
      <x:c r="AA25" s="118" t="str">
        <x:v>Collection</x:v>
      </x:c>
      <x:c r="AB25" s="118" t="str">
        <x:v>epic reef collection gate</x:v>
      </x:c>
      <x:c r="AC25" s="118" t="str">
        <x:f>IF(F25&lt;1,"Active",IF(F25&lt;12,"Balanced","Idle"))</x:f>
        <x:v>Idle</x:v>
      </x:c>
      <x:c r="AD25" s="118" t="str">
        <x:f>IF(F25&lt;1,"Fast Fish",IF(F25&gt;=24,"Overnight","-"))</x:f>
        <x:v>-</x:v>
      </x:c>
      <x:c r="AE25" s="118" t="str">
        <x:f>IF(W25&gt;(Inputs!$B$70+(D25-Inputs!$B$68)*(Inputs!$B$71-Inputs!$B$70)/(Inputs!$B$69-Inputs!$B$68))*1.30,"Above active frontier",IF(W25&lt;0,"Loss","OK"))</x:f>
        <x:v>OK</x:v>
      </x:c>
      <x:c r="AF25" s="118" t="str">
        <x:v>10 yr</x:v>
      </x:c>
      <x:c r="AG25" s="118" t="str">
        <x:v>2 yr</x:v>
      </x:c>
      <x:c r="AH25" s="118" t="str">
        <x:v>First epic unlock</x:v>
      </x:c>
    </x:row>
    <x:row r="26" ht="26.399999618530273" hidden="0" customHeight="1">
      <x:c r="A26" s="118" t="str">
        <x:v>CF-25</x:v>
      </x:c>
      <x:c r="B26" s="118" t="str">
        <x:v>Blueline Triggerfish</x:v>
      </x:c>
      <x:c r="C26" s="118" t="str">
        <x:v>Rare</x:v>
      </x:c>
      <x:c r="D26" s="126" t="n">
        <x:v>38</x:v>
      </x:c>
      <x:c r="E26" s="127" t="n">
        <x:v>220</x:v>
      </x:c>
      <x:c r="F26" s="126" t="n">
        <x:v>5</x:v>
      </x:c>
      <x:c r="G26" s="118" t="str">
        <x:v>5 h</x:v>
      </x:c>
      <x:c r="H26" s="128" t="n">
        <x:f aca="0">F26*Inputs!$B$19</x:f>
        <x:v>20</x:v>
      </x:c>
      <x:c r="I26" s="128" t="n">
        <x:f aca="0">F26*Inputs!$B$20</x:f>
        <x:v>10</x:v>
      </x:c>
      <x:c r="J26" s="128" t="n">
        <x:f aca="0">MIN(Inputs!$B$77,MAX(Inputs!$B$76,I26*Inputs!$B$75))</x:f>
        <x:v>2.5</x:v>
      </x:c>
      <x:c r="K26" s="128" t="n">
        <x:f aca="0">ROUND((Inputs!$B$70+(D26-Inputs!$B$68)*(Inputs!$B$71-Inputs!$B$70)/(Inputs!$B$69-Inputs!$B$68))*INDEX(Inputs!$C$87:$C$96,MATCH(F26,Inputs!$A$87:$A$96,1))*INDEX(Inputs!$B$100:$B$107,MATCH(AA26,Inputs!$A$100:$A$107,0))*(1+INDEX(Inputs!$B$38:$B$44,MATCH(C26,Inputs!$A$38:$A$44,0))*INDEX(Inputs!$D$100:$D$107,MATCH(AA26,Inputs!$A$100:$A$107,0))),1)</x:f>
        <x:v>38.3</x:v>
      </x:c>
      <x:c r="L26" s="128" t="n">
        <x:f aca="0">ROUND((Inputs!$B$72+(D26-Inputs!$B$68)*(Inputs!$B$73-Inputs!$B$72)/(Inputs!$B$69-Inputs!$B$68))*INDEX(Inputs!$D$87:$D$96,MATCH(F26,Inputs!$A$87:$A$96,1))*INDEX(Inputs!$C$100:$C$107,MATCH(AA26,Inputs!$A$100:$A$107,0))*(1+INDEX(Inputs!$B$38:$B$44,MATCH(C26,Inputs!$A$38:$A$44,0))*INDEX(Inputs!$E$100:$E$107,MATCH(AA26,Inputs!$A$100:$A$107,0))),1)</x:f>
        <x:v>22.4</x:v>
      </x:c>
      <x:c r="M26" s="127" t="n">
        <x:f aca="0">ROUND(L26*H26*Inputs!$B$74,0)</x:f>
        <x:v>36</x:v>
      </x:c>
      <x:c r="N26" s="127" t="n">
        <x:f aca="0">ROUND(E26+K26*H26,0)</x:f>
        <x:v>986</x:v>
      </x:c>
      <x:c r="O26" s="127" t="n">
        <x:f aca="0">MAX(1,ROUND(L26*H26-M26,0))</x:f>
        <x:v>412</x:v>
      </x:c>
      <x:c r="P26" s="127" t="n">
        <x:f aca="0">ROUND(E26+(N26-E26)*Inputs!$B$24,0)</x:f>
        <x:v>833</x:v>
      </x:c>
      <x:c r="Q26" s="127" t="n">
        <x:f aca="0">ROUND(E26+(N26-E26)*Inputs!$B$23,0)</x:f>
        <x:v>641</x:v>
      </x:c>
      <x:c r="R26" s="127" t="n">
        <x:f aca="0">ROUND(E26+(N26-E26)*Inputs!$B$22,0)</x:f>
        <x:v>412</x:v>
      </x:c>
      <x:c r="S26" s="127" t="n">
        <x:f aca="0">ROUND(O26*Inputs!$B$24,0)</x:f>
        <x:v>330</x:v>
      </x:c>
      <x:c r="T26" s="127" t="n">
        <x:f aca="0">ROUND(O26*Inputs!$B$23,0)</x:f>
        <x:v>227</x:v>
      </x:c>
      <x:c r="U26" s="127" t="n">
        <x:f>ROUND(O26*Inputs!$B$22,0)</x:f>
        <x:v>103</x:v>
      </x:c>
      <x:c r="V26" s="127" t="n">
        <x:f>N26-E26</x:f>
        <x:v>766</x:v>
      </x:c>
      <x:c r="W26" s="128" t="n">
        <x:f>ROUND(V26/H26,1)</x:f>
        <x:v>38.3</x:v>
      </x:c>
      <x:c r="X26" s="128" t="n">
        <x:f>ROUND((M26+O26)/H26,1)</x:f>
        <x:v>22.4</x:v>
      </x:c>
      <x:c r="Y26" s="128" t="n">
        <x:f>V26</x:f>
        <x:v>766</x:v>
      </x:c>
      <x:c r="Z26" s="128" t="n">
        <x:f>M26+O26</x:f>
        <x:v>448</x:v>
      </x:c>
      <x:c r="AA26" s="118" t="str">
        <x:v>XP Specialist</x:v>
      </x:c>
      <x:c r="AB26" s="118" t="str">
        <x:v>5h XP-session FishVille classic</x:v>
      </x:c>
      <x:c r="AC26" s="118" t="str">
        <x:f>IF(F26&lt;1,"Active",IF(F26&lt;12,"Balanced","Idle"))</x:f>
        <x:v>Balanced</x:v>
      </x:c>
      <x:c r="AD26" s="118" t="str">
        <x:f>IF(F26&lt;1,"Fast Fish",IF(F26&gt;=24,"Overnight","-"))</x:f>
        <x:v>-</x:v>
      </x:c>
      <x:c r="AE26" s="118" t="str">
        <x:f>IF(W26&gt;(Inputs!$B$70+(D26-Inputs!$B$68)*(Inputs!$B$71-Inputs!$B$70)/(Inputs!$B$69-Inputs!$B$68))*1.30,"Above active frontier",IF(W26&lt;0,"Loss","OK"))</x:f>
        <x:v>OK</x:v>
      </x:c>
      <x:c r="AF26" s="118" t="str">
        <x:v>8-10 yr</x:v>
      </x:c>
      <x:c r="AG26" s="118" t="str">
        <x:v>2 yr</x:v>
      </x:c>
      <x:c r="AH26" s="118" t="str">
        <x:v>FishVille classic (5h) | Rebalanced: target-rate role prevents one-fish dominance.</x:v>
      </x:c>
    </x:row>
    <x:row r="27" ht="26.399999618530273" hidden="0" customHeight="1">
      <x:c r="A27" s="118" t="str">
        <x:v>CF-26</x:v>
      </x:c>
      <x:c r="B27" s="118" t="str">
        <x:v>Queen Angelfish</x:v>
      </x:c>
      <x:c r="C27" s="118" t="str">
        <x:v>Epic</x:v>
      </x:c>
      <x:c r="D27" s="126" t="n">
        <x:v>40</x:v>
      </x:c>
      <x:c r="E27" s="127" t="n">
        <x:v>700</x:v>
      </x:c>
      <x:c r="F27" s="126" t="n">
        <x:v>48</x:v>
      </x:c>
      <x:c r="G27" s="118" t="str">
        <x:v>48 h (2 d)</x:v>
      </x:c>
      <x:c r="H27" s="128" t="n">
        <x:f aca="0">F27*Inputs!$B$19</x:f>
        <x:v>192</x:v>
      </x:c>
      <x:c r="I27" s="128" t="n">
        <x:f aca="0">F27*Inputs!$B$20</x:f>
        <x:v>96</x:v>
      </x:c>
      <x:c r="J27" s="128" t="n">
        <x:f aca="0">MIN(Inputs!$B$77,MAX(Inputs!$B$76,I27*Inputs!$B$75))</x:f>
        <x:v>24</x:v>
      </x:c>
      <x:c r="K27" s="128" t="n">
        <x:f aca="0">ROUND((Inputs!$B$70+(D27-Inputs!$B$68)*(Inputs!$B$71-Inputs!$B$70)/(Inputs!$B$69-Inputs!$B$68))*INDEX(Inputs!$C$87:$C$96,MATCH(F27,Inputs!$A$87:$A$96,1))*INDEX(Inputs!$B$100:$B$107,MATCH(AA27,Inputs!$A$100:$A$107,0))*(1+INDEX(Inputs!$B$38:$B$44,MATCH(C27,Inputs!$A$38:$A$44,0))*INDEX(Inputs!$D$100:$D$107,MATCH(AA27,Inputs!$A$100:$A$107,0))),1)</x:f>
        <x:v>35.5</x:v>
      </x:c>
      <x:c r="L27" s="128" t="n">
        <x:f aca="0">ROUND((Inputs!$B$72+(D27-Inputs!$B$68)*(Inputs!$B$73-Inputs!$B$72)/(Inputs!$B$69-Inputs!$B$68))*INDEX(Inputs!$D$87:$D$96,MATCH(F27,Inputs!$A$87:$A$96,1))*INDEX(Inputs!$C$100:$C$107,MATCH(AA27,Inputs!$A$100:$A$107,0))*(1+INDEX(Inputs!$B$38:$B$44,MATCH(C27,Inputs!$A$38:$A$44,0))*INDEX(Inputs!$E$100:$E$107,MATCH(AA27,Inputs!$A$100:$A$107,0))),1)</x:f>
        <x:v>10.8</x:v>
      </x:c>
      <x:c r="M27" s="127" t="n">
        <x:f aca="0">ROUND(L27*H27*Inputs!$B$74,0)</x:f>
        <x:v>166</x:v>
      </x:c>
      <x:c r="N27" s="127" t="n">
        <x:f aca="0">ROUND(E27+K27*H27,0)</x:f>
        <x:v>7516</x:v>
      </x:c>
      <x:c r="O27" s="127" t="n">
        <x:f aca="0">MAX(1,ROUND(L27*H27-M27,0))</x:f>
        <x:v>1908</x:v>
      </x:c>
      <x:c r="P27" s="127" t="n">
        <x:f aca="0">ROUND(E27+(N27-E27)*Inputs!$B$24,0)</x:f>
        <x:v>6153</x:v>
      </x:c>
      <x:c r="Q27" s="127" t="n">
        <x:f aca="0">ROUND(E27+(N27-E27)*Inputs!$B$23,0)</x:f>
        <x:v>4449</x:v>
      </x:c>
      <x:c r="R27" s="127" t="n">
        <x:f aca="0">ROUND(E27+(N27-E27)*Inputs!$B$22,0)</x:f>
        <x:v>2404</x:v>
      </x:c>
      <x:c r="S27" s="127" t="n">
        <x:f aca="0">ROUND(O27*Inputs!$B$24,0)</x:f>
        <x:v>1526</x:v>
      </x:c>
      <x:c r="T27" s="127" t="n">
        <x:f aca="0">ROUND(O27*Inputs!$B$23,0)</x:f>
        <x:v>1049</x:v>
      </x:c>
      <x:c r="U27" s="127" t="n">
        <x:f>ROUND(O27*Inputs!$B$22,0)</x:f>
        <x:v>477</x:v>
      </x:c>
      <x:c r="V27" s="127" t="n">
        <x:f>N27-E27</x:f>
        <x:v>6816</x:v>
      </x:c>
      <x:c r="W27" s="128" t="n">
        <x:f>ROUND(V27/H27,1)</x:f>
        <x:v>35.5</x:v>
      </x:c>
      <x:c r="X27" s="128" t="n">
        <x:f>ROUND((M27+O27)/H27,1)</x:f>
        <x:v>10.8</x:v>
      </x:c>
      <x:c r="Y27" s="128" t="n">
        <x:f>V27</x:f>
        <x:v>6816</x:v>
      </x:c>
      <x:c r="Z27" s="128" t="n">
        <x:f>M27+O27</x:f>
        <x:v>2074</x:v>
      </x:c>
      <x:c r="AA27" s="118" t="str">
        <x:v>Payout</x:v>
      </x:c>
      <x:c r="AB27" s="118" t="str">
        <x:v>launch capstone lump payout</x:v>
      </x:c>
      <x:c r="AC27" s="118" t="str">
        <x:f>IF(F27&lt;1,"Active",IF(F27&lt;12,"Balanced","Idle"))</x:f>
        <x:v>Idle</x:v>
      </x:c>
      <x:c r="AD27" s="118" t="str">
        <x:f>IF(F27&lt;1,"Fast Fish",IF(F27&gt;=24,"Overnight","-"))</x:f>
        <x:v>Overnight</x:v>
      </x:c>
      <x:c r="AE27" s="118" t="str">
        <x:f>IF(W27&gt;(Inputs!$B$70+(D27-Inputs!$B$68)*(Inputs!$B$71-Inputs!$B$70)/(Inputs!$B$69-Inputs!$B$68))*1.30,"Above active frontier",IF(W27&lt;0,"Loss","OK"))</x:f>
        <x:v>OK</x:v>
      </x:c>
      <x:c r="AF27" s="118" t="str">
        <x:v>15-20 yr</x:v>
      </x:c>
      <x:c r="AG27" s="118" t="str">
        <x:v>3 yr</x:v>
      </x:c>
      <x:c r="AH27" s="118" t="str">
        <x:v>Launch capstone - Overnight Epic | Rebalanced: target-rate role prevents one-fish dominance.</x:v>
      </x:c>
    </x:row>
  </x:sheetData>
  <x:conditionalFormatting sqref="AE2:AE27">
    <x:cfRule type="expression" dxfId="2" priority="1">
      <x:formula>AE2="OK"</x:formula>
    </x:cfRule>
    <x:cfRule type="expression" dxfId="3" priority="2">
      <x:formula>AE2&lt;&gt;"OK"</x:formula>
    </x:cfRule>
  </x:conditionalFormatting>
  <x:dataValidations count="1">
    <x:dataValidation type="list" sqref="AA2:AA27">
      <x:formula1>Inputs!$A$100:$A$107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9" hidden="0" customWidth="1"/>
    <x:col min="2" max="2" width="26" hidden="0" customWidth="1"/>
    <x:col min="3" max="3" width="10" hidden="0" customWidth="1"/>
    <x:col min="4" max="4" width="12" hidden="0" customWidth="1"/>
    <x:col min="5" max="5" width="12" hidden="0" customWidth="1"/>
    <x:col min="6" max="6" width="13" hidden="0" customWidth="1"/>
    <x:col min="7" max="8" width="9" hidden="0" customWidth="1"/>
    <x:col min="9" max="9" width="8" hidden="0" customWidth="1"/>
    <x:col min="10" max="10" width="11" hidden="0" customWidth="1"/>
    <x:col min="11" max="15" width="10" hidden="0" customWidth="1"/>
    <x:col min="16" max="16" width="9" hidden="0" customWidth="1"/>
    <x:col min="17" max="17" width="10" hidden="0" customWidth="1"/>
    <x:col min="18" max="18" width="42" hidden="0" customWidth="1"/>
    <x:col min="19" max="19" width="20" hidden="0" customWidth="1"/>
    <x:col min="20" max="20" width="11" hidden="0" customWidth="1"/>
    <x:col min="21" max="21" width="16" hidden="0" customWidth="1"/>
    <x:col min="22" max="22" width="12" hidden="0" customWidth="1"/>
    <x:col min="23" max="23" width="18" hidden="0" customWidth="1"/>
    <x:col min="24" max="24" width="38" hidden="0" customWidth="1"/>
    <x:col min="25" max="25" width="14" hidden="0" customWidth="1"/>
    <x:col min="26" max="26" width="14" hidden="0" customWidth="1"/>
    <x:col min="27" max="27" width="44" hidden="0" customWidth="1"/>
  </x:cols>
  <x:sheetData>
    <x:row r="1" ht="50.400001525878906" hidden="0" customHeight="1">
      <x:c r="A1" s="96" t="str">
        <x:v>ID</x:v>
      </x:c>
      <x:c r="B1" s="96" t="str">
        <x:v>Fish</x:v>
      </x:c>
      <x:c r="C1" s="96" t="str">
        <x:v>Unlock Lvl</x:v>
      </x:c>
      <x:c r="D1" s="96" t="str">
        <x:v>Buy (pearls)</x:v>
      </x:c>
      <x:c r="E1" s="96" t="str">
        <x:v>Stage Time (hrs)</x:v>
      </x:c>
      <x:c r="F1" s="96" t="str">
        <x:v>Stage Time</x:v>
      </x:c>
      <x:c r="G1" s="96" t="str">
        <x:v>Adult In (hrs)</x:v>
      </x:c>
      <x:c r="H1" s="96" t="str">
        <x:v>Feed Window (hrs)</x:v>
      </x:c>
      <x:c r="I1" s="96" t="str">
        <x:v>Sick Grace (hrs)</x:v>
      </x:c>
      <x:c r="J1" s="96" t="str">
        <x:v>Buy XP</x:v>
      </x:c>
      <x:c r="K1" s="96" t="str">
        <x:v>Adult Sell (coins)</x:v>
      </x:c>
      <x:c r="L1" s="96" t="str">
        <x:v>Adult Sell XP</x:v>
      </x:c>
      <x:c r="M1" s="96" t="str">
        <x:v>Mature Sell (coins)</x:v>
      </x:c>
      <x:c r="N1" s="96" t="str">
        <x:v>Young Sell (coins)</x:v>
      </x:c>
      <x:c r="O1" s="96" t="str">
        <x:v>Junior Sell (coins)</x:v>
      </x:c>
      <x:c r="P1" s="96" t="str">
        <x:v>Mature Sell XP</x:v>
      </x:c>
      <x:c r="Q1" s="96" t="str">
        <x:v>Young Sell XP</x:v>
      </x:c>
      <x:c r="R1" s="96" t="str">
        <x:v>Junior Sell XP</x:v>
      </x:c>
      <x:c r="S1" s="96" t="str">
        <x:v>Coins/Pearl</x:v>
      </x:c>
      <x:c r="T1" s="96" t="str">
        <x:v>XP/Pearl</x:v>
      </x:c>
      <x:c r="U1" s="96" t="str">
        <x:v>Premium Role</x:v>
      </x:c>
      <x:c r="V1" s="96" t="str">
        <x:v>Playstyle</x:v>
      </x:c>
      <x:c r="W1" s="96" t="str">
        <x:v>Balance Flag</x:v>
      </x:c>
      <x:c r="X1" s="96" t="str">
        <x:v>Visual Hook (art direction)</x:v>
      </x:c>
      <x:c r="Y1" s="96" t="str">
        <x:v>Real Lifespan</x:v>
      </x:c>
      <x:c r="Z1" s="96" t="str">
        <x:v>Real Maturity</x:v>
      </x:c>
      <x:c r="AA1" s="96" t="str">
        <x:v>Notes</x:v>
      </x:c>
    </x:row>
    <x:row r="2" ht="26.399999618530273" hidden="0" customHeight="1">
      <x:c r="A2" s="118" t="str">
        <x:v>PF-01</x:v>
      </x:c>
      <x:c r="B2" s="118" t="str">
        <x:v>Bubble Eye Goldfish</x:v>
      </x:c>
      <x:c r="C2" s="126" t="n">
        <x:v>2</x:v>
      </x:c>
      <x:c r="D2" s="126" t="n">
        <x:v>1</x:v>
      </x:c>
      <x:c r="E2" s="126" t="n">
        <x:v>4</x:v>
      </x:c>
      <x:c r="F2" s="118" t="str">
        <x:v>4 h</x:v>
      </x:c>
      <x:c r="G2" s="127" t="n">
        <x:f aca="0">E2*Inputs!$B$19</x:f>
        <x:v>16</x:v>
      </x:c>
      <x:c r="H2" s="127" t="n">
        <x:f aca="0">E2*Inputs!$B$20</x:f>
        <x:v>8</x:v>
      </x:c>
      <x:c r="I2" s="127" t="n">
        <x:f aca="0">MIN(Inputs!$B$77,MAX(Inputs!$B$76,H2*Inputs!$B$75))</x:f>
        <x:v>2</x:v>
      </x:c>
      <x:c r="J2" s="127" t="n">
        <x:f aca="0">ROUND(D2*Inputs!$B$49,0)</x:f>
        <x:v>20</x:v>
      </x:c>
      <x:c r="K2" s="127" t="n">
        <x:f aca="0">ROUND(D2*Inputs!$B$47*INDEX(Inputs!$B$53:$B$56,MATCH(E2,Inputs!$A$53:$A$56,1))*INDEX(Inputs!$B$111:$B$116,MATCH(U2,Inputs!$A$111:$A$116,0)),0)</x:f>
        <x:v>580</x:v>
      </x:c>
      <x:c r="L2" s="127" t="n">
        <x:f aca="0">ROUND(D2*Inputs!$B$48*INDEX(Inputs!$B$53:$B$56,MATCH(E2,Inputs!$A$53:$A$56,1))*INDEX(Inputs!$C$111:$C$116,MATCH(U2,Inputs!$A$111:$A$116,0)),0)</x:f>
        <x:v>189</x:v>
      </x:c>
      <x:c r="M2" s="127" t="n">
        <x:f aca="0">ROUND(K2*Inputs!$B$24,0)</x:f>
        <x:v>464</x:v>
      </x:c>
      <x:c r="N2" s="127" t="n">
        <x:f aca="0">ROUND(K2*Inputs!$B$23,0)</x:f>
        <x:v>319</x:v>
      </x:c>
      <x:c r="O2" s="127" t="n">
        <x:f aca="0">ROUND(K2*Inputs!$B$22,0)</x:f>
        <x:v>145</x:v>
      </x:c>
      <x:c r="P2" s="127" t="n">
        <x:f aca="0">ROUND(L2*Inputs!$B$24,0)</x:f>
        <x:v>151</x:v>
      </x:c>
      <x:c r="Q2" s="127" t="n">
        <x:f aca="0">ROUND(L2*Inputs!$B$23,0)</x:f>
        <x:v>104</x:v>
      </x:c>
      <x:c r="R2" s="127" t="n">
        <x:f>ROUND(L2*Inputs!$B$22,0)</x:f>
        <x:v>47</x:v>
      </x:c>
      <x:c r="S2" s="127" t="n">
        <x:f>ROUND(K2/D2,0)</x:f>
        <x:v>580</x:v>
      </x:c>
      <x:c r="T2" s="127" t="n">
        <x:f>ROUND((J2+L2)/D2,0)</x:f>
        <x:v>209</x:v>
      </x:c>
      <x:c r="U2" s="118" t="str">
        <x:v>Tutorial</x:v>
      </x:c>
      <x:c r="V2" s="118" t="str">
        <x:f>IF(E2&lt;1,"Active",IF(E2&lt;12,"Balanced","Idle"))</x:f>
        <x:v>Balanced</x:v>
      </x:c>
      <x:c r="W2" s="118" t="str">
        <x:f>IF(S2&gt;1200,"Coin conversion too high",IF(T2&gt;360,"XP conversion high","OK"))</x:f>
        <x:v>OK</x:v>
      </x:c>
      <x:c r="X2" s="118" t="str">
        <x:v>Wobbling bubble cheeks - instantly adorable</x:v>
      </x:c>
      <x:c r="Y2" s="118" t="str">
        <x:v>10-15 yr</x:v>
      </x:c>
      <x:c r="Z2" s="118" t="str">
        <x:v>1-2 yr</x:v>
      </x:c>
      <x:c r="AA2" s="118" t="str">
        <x:v>Repeatable L2 tutorial purchase; soft sell value (0.65 coin weight, lowest Coins/Pearl in catalog) keeps repeat buys from Pearl-to-coin arbitrage.</x:v>
      </x:c>
    </x:row>
    <x:row r="3" ht="26.399999618530273" hidden="0" customHeight="1">
      <x:c r="A3" s="118" t="str">
        <x:v>PF-02</x:v>
      </x:c>
      <x:c r="B3" s="118" t="str">
        <x:v>Koi</x:v>
      </x:c>
      <x:c r="C3" s="126" t="n">
        <x:v>5</x:v>
      </x:c>
      <x:c r="D3" s="126" t="n">
        <x:v>3</x:v>
      </x:c>
      <x:c r="E3" s="126" t="n">
        <x:v>8</x:v>
      </x:c>
      <x:c r="F3" s="118" t="str">
        <x:v>8 h</x:v>
      </x:c>
      <x:c r="G3" s="127" t="n">
        <x:f aca="0">E3*Inputs!$B$19</x:f>
        <x:v>32</x:v>
      </x:c>
      <x:c r="H3" s="127" t="n">
        <x:f aca="0">E3*Inputs!$B$20</x:f>
        <x:v>16</x:v>
      </x:c>
      <x:c r="I3" s="127" t="n">
        <x:f aca="0">MIN(Inputs!$B$77,MAX(Inputs!$B$76,H3*Inputs!$B$75))</x:f>
        <x:v>4</x:v>
      </x:c>
      <x:c r="J3" s="127" t="n">
        <x:f aca="0">ROUND(D3*Inputs!$B$49,0)</x:f>
        <x:v>60</x:v>
      </x:c>
      <x:c r="K3" s="127" t="n">
        <x:f aca="0">ROUND(D3*Inputs!$B$47*INDEX(Inputs!$B$53:$B$56,MATCH(E3,Inputs!$A$53:$A$56,1))*INDEX(Inputs!$B$111:$B$116,MATCH(U3,Inputs!$A$111:$A$116,0)),0)</x:f>
        <x:v>2525</x:v>
      </x:c>
      <x:c r="L3" s="127" t="n">
        <x:f aca="0">ROUND(D3*Inputs!$B$48*INDEX(Inputs!$B$53:$B$56,MATCH(E3,Inputs!$A$53:$A$56,1))*INDEX(Inputs!$C$111:$C$116,MATCH(U3,Inputs!$A$111:$A$116,0)),0)</x:f>
        <x:v>683</x:v>
      </x:c>
      <x:c r="M3" s="127" t="n">
        <x:f aca="0">ROUND(K3*Inputs!$B$24,0)</x:f>
        <x:v>2020</x:v>
      </x:c>
      <x:c r="N3" s="127" t="n">
        <x:f aca="0">ROUND(K3*Inputs!$B$23,0)</x:f>
        <x:v>1389</x:v>
      </x:c>
      <x:c r="O3" s="127" t="n">
        <x:f aca="0">ROUND(K3*Inputs!$B$22,0)</x:f>
        <x:v>631</x:v>
      </x:c>
      <x:c r="P3" s="127" t="n">
        <x:f aca="0">ROUND(L3*Inputs!$B$24,0)</x:f>
        <x:v>546</x:v>
      </x:c>
      <x:c r="Q3" s="127" t="n">
        <x:f aca="0">ROUND(L3*Inputs!$B$23,0)</x:f>
        <x:v>376</x:v>
      </x:c>
      <x:c r="R3" s="127" t="n">
        <x:f>ROUND(L3*Inputs!$B$22,0)</x:f>
        <x:v>171</x:v>
      </x:c>
      <x:c r="S3" s="127" t="n">
        <x:f>ROUND(K3/D3,0)</x:f>
        <x:v>842</x:v>
      </x:c>
      <x:c r="T3" s="127" t="n">
        <x:f>ROUND((J3+L3)/D3,0)</x:f>
        <x:v>248</x:v>
      </x:c>
      <x:c r="U3" s="118" t="str">
        <x:v>Cosmetic</x:v>
      </x:c>
      <x:c r="V3" s="118" t="str">
        <x:f>IF(E3&lt;1,"Active",IF(E3&lt;12,"Balanced","Idle"))</x:f>
        <x:v>Balanced</x:v>
      </x:c>
      <x:c r="W3" s="118" t="str">
        <x:f>IF(S3&gt;1200,"Coin conversion too high",IF(T3&gt;360,"XP conversion high","OK"))</x:f>
        <x:v>OK</x:v>
      </x:c>
      <x:c r="X3" s="118" t="str">
        <x:v>Painted silk pattern, unique per fish</x:v>
      </x:c>
      <x:c r="Y3" s="118" t="str">
        <x:v>25-35 yr (record 200+)</x:v>
      </x:c>
      <x:c r="Z3" s="118" t="str">
        <x:v>2-3 yr</x:v>
      </x:c>
      <x:c r="AA3" s="118" t="str">
        <x:v>Iconic premium showpiece</x:v>
      </x:c>
    </x:row>
    <x:row r="4" ht="15" hidden="0" customHeight="1">
      <x:c r="A4" s="118" t="str">
        <x:v>PF-03</x:v>
      </x:c>
      <x:c r="B4" s="118" t="str">
        <x:v>Platinum Betta</x:v>
      </x:c>
      <x:c r="C4" s="126" t="n">
        <x:v>8</x:v>
      </x:c>
      <x:c r="D4" s="126" t="n">
        <x:v>4</x:v>
      </x:c>
      <x:c r="E4" s="126" t="n">
        <x:v>2</x:v>
      </x:c>
      <x:c r="F4" s="118" t="str">
        <x:v>2 h</x:v>
      </x:c>
      <x:c r="G4" s="127" t="n">
        <x:f aca="0">E4*Inputs!$B$19</x:f>
        <x:v>8</x:v>
      </x:c>
      <x:c r="H4" s="127" t="n">
        <x:f aca="0">E4*Inputs!$B$20</x:f>
        <x:v>4</x:v>
      </x:c>
      <x:c r="I4" s="127" t="n">
        <x:f aca="0">MIN(Inputs!$B$77,MAX(Inputs!$B$76,H4*Inputs!$B$75))</x:f>
        <x:v>1</x:v>
      </x:c>
      <x:c r="J4" s="127" t="n">
        <x:f aca="0">ROUND(D4*Inputs!$B$49,0)</x:f>
        <x:v>80</x:v>
      </x:c>
      <x:c r="K4" s="127" t="n">
        <x:f aca="0">ROUND(D4*Inputs!$B$47*INDEX(Inputs!$B$53:$B$56,MATCH(E4,Inputs!$A$53:$A$56,1))*INDEX(Inputs!$B$111:$B$116,MATCH(U4,Inputs!$A$111:$A$116,0)),0)</x:f>
        <x:v>2678</x:v>
      </x:c>
      <x:c r="L4" s="127" t="n">
        <x:f aca="0">ROUND(D4*Inputs!$B$48*INDEX(Inputs!$B$53:$B$56,MATCH(E4,Inputs!$A$53:$A$56,1))*INDEX(Inputs!$C$111:$C$116,MATCH(U4,Inputs!$A$111:$A$116,0)),0)</x:f>
        <x:v>1021</x:v>
      </x:c>
      <x:c r="M4" s="127" t="n">
        <x:f aca="0">ROUND(K4*Inputs!$B$24,0)</x:f>
        <x:v>2142</x:v>
      </x:c>
      <x:c r="N4" s="127" t="n">
        <x:f aca="0">ROUND(K4*Inputs!$B$23,0)</x:f>
        <x:v>1473</x:v>
      </x:c>
      <x:c r="O4" s="127" t="n">
        <x:f aca="0">ROUND(K4*Inputs!$B$22,0)</x:f>
        <x:v>670</x:v>
      </x:c>
      <x:c r="P4" s="127" t="n">
        <x:f aca="0">ROUND(L4*Inputs!$B$24,0)</x:f>
        <x:v>817</x:v>
      </x:c>
      <x:c r="Q4" s="127" t="n">
        <x:f aca="0">ROUND(L4*Inputs!$B$23,0)</x:f>
        <x:v>562</x:v>
      </x:c>
      <x:c r="R4" s="127" t="n">
        <x:f>ROUND(L4*Inputs!$B$22,0)</x:f>
        <x:v>255</x:v>
      </x:c>
      <x:c r="S4" s="127" t="n">
        <x:f>ROUND(K4/D4,0)</x:f>
        <x:v>670</x:v>
      </x:c>
      <x:c r="T4" s="127" t="n">
        <x:f>ROUND((J4+L4)/D4,0)</x:f>
        <x:v>275</x:v>
      </x:c>
      <x:c r="U4" s="118" t="str">
        <x:v>XP Cosmetic</x:v>
      </x:c>
      <x:c r="V4" s="118" t="str">
        <x:f>IF(E4&lt;1,"Active",IF(E4&lt;12,"Balanced","Idle"))</x:f>
        <x:v>Balanced</x:v>
      </x:c>
      <x:c r="W4" s="118" t="str">
        <x:f>IF(S4&gt;1200,"Coin conversion too high",IF(T4&gt;360,"XP conversion high","OK"))</x:f>
        <x:v>OK</x:v>
      </x:c>
      <x:c r="X4" s="118" t="str">
        <x:v>Metallic white fins trailing like a gown</x:v>
      </x:c>
      <x:c r="Y4" s="118" t="str">
        <x:v>3-5 yr</x:v>
      </x:c>
      <x:c r="Z4" s="118" t="str">
        <x:v>4 mo</x:v>
      </x:c>
      <x:c r="AA4" s="118" t="str">
        <x:v>Fast premium for active players</x:v>
      </x:c>
    </x:row>
    <x:row r="5" ht="15" hidden="0" customHeight="1">
      <x:c r="A5" s="118" t="str">
        <x:v>PF-04</x:v>
      </x:c>
      <x:c r="B5" s="118" t="str">
        <x:v>Mandarin Dragonet</x:v>
      </x:c>
      <x:c r="C5" s="126" t="n">
        <x:v>10</x:v>
      </x:c>
      <x:c r="D5" s="126" t="n">
        <x:v>3</x:v>
      </x:c>
      <x:c r="E5" s="126" t="n">
        <x:v>8</x:v>
      </x:c>
      <x:c r="F5" s="118" t="str">
        <x:v>8 h</x:v>
      </x:c>
      <x:c r="G5" s="127" t="n">
        <x:f aca="0">E5*Inputs!$B$19</x:f>
        <x:v>32</x:v>
      </x:c>
      <x:c r="H5" s="127" t="n">
        <x:f aca="0">E5*Inputs!$B$20</x:f>
        <x:v>16</x:v>
      </x:c>
      <x:c r="I5" s="127" t="n">
        <x:f aca="0">MIN(Inputs!$B$77,MAX(Inputs!$B$76,H5*Inputs!$B$75))</x:f>
        <x:v>4</x:v>
      </x:c>
      <x:c r="J5" s="127" t="n">
        <x:f aca="0">ROUND(D5*Inputs!$B$49,0)</x:f>
        <x:v>60</x:v>
      </x:c>
      <x:c r="K5" s="127" t="n">
        <x:f aca="0">ROUND(D5*Inputs!$B$47*INDEX(Inputs!$B$53:$B$56,MATCH(E5,Inputs!$A$53:$A$56,1))*INDEX(Inputs!$B$111:$B$116,MATCH(U5,Inputs!$A$111:$A$116,0)),0)</x:f>
        <x:v>2525</x:v>
      </x:c>
      <x:c r="L5" s="127" t="n">
        <x:f aca="0">ROUND(D5*Inputs!$B$48*INDEX(Inputs!$B$53:$B$56,MATCH(E5,Inputs!$A$53:$A$56,1))*INDEX(Inputs!$C$111:$C$116,MATCH(U5,Inputs!$A$111:$A$116,0)),0)</x:f>
        <x:v>683</x:v>
      </x:c>
      <x:c r="M5" s="127" t="n">
        <x:f aca="0">ROUND(K5*Inputs!$B$24,0)</x:f>
        <x:v>2020</x:v>
      </x:c>
      <x:c r="N5" s="127" t="n">
        <x:f aca="0">ROUND(K5*Inputs!$B$23,0)</x:f>
        <x:v>1389</x:v>
      </x:c>
      <x:c r="O5" s="127" t="n">
        <x:f aca="0">ROUND(K5*Inputs!$B$22,0)</x:f>
        <x:v>631</x:v>
      </x:c>
      <x:c r="P5" s="127" t="n">
        <x:f aca="0">ROUND(L5*Inputs!$B$24,0)</x:f>
        <x:v>546</x:v>
      </x:c>
      <x:c r="Q5" s="127" t="n">
        <x:f aca="0">ROUND(L5*Inputs!$B$23,0)</x:f>
        <x:v>376</x:v>
      </x:c>
      <x:c r="R5" s="127" t="n">
        <x:f>ROUND(L5*Inputs!$B$22,0)</x:f>
        <x:v>171</x:v>
      </x:c>
      <x:c r="S5" s="127" t="n">
        <x:f>ROUND(K5/D5,0)</x:f>
        <x:v>842</x:v>
      </x:c>
      <x:c r="T5" s="127" t="n">
        <x:f>ROUND((J5+L5)/D5,0)</x:f>
        <x:v>248</x:v>
      </x:c>
      <x:c r="U5" s="118" t="str">
        <x:v>Cosmetic</x:v>
      </x:c>
      <x:c r="V5" s="118" t="str">
        <x:f>IF(E5&lt;1,"Active",IF(E5&lt;12,"Balanced","Idle"))</x:f>
        <x:v>Balanced</x:v>
      </x:c>
      <x:c r="W5" s="118" t="str">
        <x:f>IF(S5&gt;1200,"Coin conversion too high",IF(T5&gt;360,"XP conversion high","OK"))</x:f>
        <x:v>OK</x:v>
      </x:c>
      <x:c r="X5" s="118" t="str">
        <x:v>Psychedelic orange-and-blue swirls</x:v>
      </x:c>
      <x:c r="Y5" s="118" t="str">
        <x:v>10-15 yr</x:v>
      </x:c>
      <x:c r="Z5" s="118" t="str">
        <x:v>1 yr</x:v>
      </x:c>
      <x:c r="AA5" s="118" t="str">
        <x:v>Most colorful reef fish alive</x:v>
      </x:c>
    </x:row>
    <x:row r="6" ht="15" hidden="0" customHeight="1">
      <x:c r="A6" s="118" t="str">
        <x:v>PF-05</x:v>
      </x:c>
      <x:c r="B6" s="118" t="str">
        <x:v>Axolotl</x:v>
      </x:c>
      <x:c r="C6" s="126" t="n">
        <x:v>12</x:v>
      </x:c>
      <x:c r="D6" s="126" t="n">
        <x:v>5</x:v>
      </x:c>
      <x:c r="E6" s="126" t="n">
        <x:v>12</x:v>
      </x:c>
      <x:c r="F6" s="118" t="str">
        <x:v>12 h</x:v>
      </x:c>
      <x:c r="G6" s="127" t="n">
        <x:f aca="0">E6*Inputs!$B$19</x:f>
        <x:v>48</x:v>
      </x:c>
      <x:c r="H6" s="127" t="n">
        <x:f aca="0">E6*Inputs!$B$20</x:f>
        <x:v>24</x:v>
      </x:c>
      <x:c r="I6" s="127" t="n">
        <x:f aca="0">MIN(Inputs!$B$77,MAX(Inputs!$B$76,H6*Inputs!$B$75))</x:f>
        <x:v>6</x:v>
      </x:c>
      <x:c r="J6" s="127" t="n">
        <x:f aca="0">ROUND(D6*Inputs!$B$49,0)</x:f>
        <x:v>100</x:v>
      </x:c>
      <x:c r="K6" s="127" t="n">
        <x:f aca="0">ROUND(D6*Inputs!$B$47*INDEX(Inputs!$B$53:$B$56,MATCH(E6,Inputs!$A$53:$A$56,1))*INDEX(Inputs!$B$111:$B$116,MATCH(U6,Inputs!$A$111:$A$116,0)),0)</x:f>
        <x:v>3974</x:v>
      </x:c>
      <x:c r="L6" s="127" t="n">
        <x:f aca="0">ROUND(D6*Inputs!$B$48*INDEX(Inputs!$B$53:$B$56,MATCH(E6,Inputs!$A$53:$A$56,1))*INDEX(Inputs!$C$111:$C$116,MATCH(U6,Inputs!$A$111:$A$116,0)),0)</x:f>
        <x:v>1089</x:v>
      </x:c>
      <x:c r="M6" s="127" t="n">
        <x:f aca="0">ROUND(K6*Inputs!$B$24,0)</x:f>
        <x:v>3179</x:v>
      </x:c>
      <x:c r="N6" s="127" t="n">
        <x:f aca="0">ROUND(K6*Inputs!$B$23,0)</x:f>
        <x:v>2186</x:v>
      </x:c>
      <x:c r="O6" s="127" t="n">
        <x:f aca="0">ROUND(K6*Inputs!$B$22,0)</x:f>
        <x:v>994</x:v>
      </x:c>
      <x:c r="P6" s="127" t="n">
        <x:f aca="0">ROUND(L6*Inputs!$B$24,0)</x:f>
        <x:v>871</x:v>
      </x:c>
      <x:c r="Q6" s="127" t="n">
        <x:f aca="0">ROUND(L6*Inputs!$B$23,0)</x:f>
        <x:v>599</x:v>
      </x:c>
      <x:c r="R6" s="127" t="n">
        <x:f>ROUND(L6*Inputs!$B$22,0)</x:f>
        <x:v>272</x:v>
      </x:c>
      <x:c r="S6" s="127" t="n">
        <x:f>ROUND(K6/D6,0)</x:f>
        <x:v>795</x:v>
      </x:c>
      <x:c r="T6" s="127" t="n">
        <x:f>ROUND((J6+L6)/D6,0)</x:f>
        <x:v>238</x:v>
      </x:c>
      <x:c r="U6" s="118" t="str">
        <x:v>Convenience</x:v>
      </x:c>
      <x:c r="V6" s="118" t="str">
        <x:f>IF(E6&lt;1,"Active",IF(E6&lt;12,"Balanced","Idle"))</x:f>
        <x:v>Idle</x:v>
      </x:c>
      <x:c r="W6" s="118" t="str">
        <x:f>IF(S6&gt;1200,"Coin conversion too high",IF(T6&gt;360,"XP conversion high","OK"))</x:f>
        <x:v>OK</x:v>
      </x:c>
      <x:c r="X6" s="118" t="str">
        <x:v>Pink smiling face with feathery gills</x:v>
      </x:c>
      <x:c r="Y6" s="118" t="str">
        <x:v>10-15 yr</x:v>
      </x:c>
      <x:c r="Z6" s="118" t="str">
        <x:v>1 yr</x:v>
      </x:c>
      <x:c r="AA6" s="118" t="str">
        <x:v>Beloved aquatic exotic</x:v>
      </x:c>
    </x:row>
    <x:row r="7" ht="15" hidden="0" customHeight="1">
      <x:c r="A7" s="118" t="str">
        <x:v>PF-06</x:v>
      </x:c>
      <x:c r="B7" s="118" t="str">
        <x:v>Flashlight Fish</x:v>
      </x:c>
      <x:c r="C7" s="126" t="n">
        <x:v>16</x:v>
      </x:c>
      <x:c r="D7" s="126" t="n">
        <x:v>7</x:v>
      </x:c>
      <x:c r="E7" s="126" t="n">
        <x:v>12</x:v>
      </x:c>
      <x:c r="F7" s="118" t="str">
        <x:v>12 h</x:v>
      </x:c>
      <x:c r="G7" s="127" t="n">
        <x:f aca="0">E7*Inputs!$B$19</x:f>
        <x:v>48</x:v>
      </x:c>
      <x:c r="H7" s="127" t="n">
        <x:f aca="0">E7*Inputs!$B$20</x:f>
        <x:v>24</x:v>
      </x:c>
      <x:c r="I7" s="127" t="n">
        <x:f aca="0">MIN(Inputs!$B$77,MAX(Inputs!$B$76,H7*Inputs!$B$75))</x:f>
        <x:v>6</x:v>
      </x:c>
      <x:c r="J7" s="127" t="n">
        <x:f aca="0">ROUND(D7*Inputs!$B$49,0)</x:f>
        <x:v>140</x:v>
      </x:c>
      <x:c r="K7" s="127" t="n">
        <x:f aca="0">ROUND(D7*Inputs!$B$47*INDEX(Inputs!$B$53:$B$56,MATCH(E7,Inputs!$A$53:$A$56,1))*INDEX(Inputs!$B$111:$B$116,MATCH(U7,Inputs!$A$111:$A$116,0)),0)</x:f>
        <x:v>5563</x:v>
      </x:c>
      <x:c r="L7" s="127" t="n">
        <x:f aca="0">ROUND(D7*Inputs!$B$48*INDEX(Inputs!$B$53:$B$56,MATCH(E7,Inputs!$A$53:$A$56,1))*INDEX(Inputs!$C$111:$C$116,MATCH(U7,Inputs!$A$111:$A$116,0)),0)</x:f>
        <x:v>1525</x:v>
      </x:c>
      <x:c r="M7" s="127" t="n">
        <x:f aca="0">ROUND(K7*Inputs!$B$24,0)</x:f>
        <x:v>4450</x:v>
      </x:c>
      <x:c r="N7" s="127" t="n">
        <x:f aca="0">ROUND(K7*Inputs!$B$23,0)</x:f>
        <x:v>3060</x:v>
      </x:c>
      <x:c r="O7" s="127" t="n">
        <x:f aca="0">ROUND(K7*Inputs!$B$22,0)</x:f>
        <x:v>1391</x:v>
      </x:c>
      <x:c r="P7" s="127" t="n">
        <x:f aca="0">ROUND(L7*Inputs!$B$24,0)</x:f>
        <x:v>1220</x:v>
      </x:c>
      <x:c r="Q7" s="127" t="n">
        <x:f aca="0">ROUND(L7*Inputs!$B$23,0)</x:f>
        <x:v>839</x:v>
      </x:c>
      <x:c r="R7" s="127" t="n">
        <x:f>ROUND(L7*Inputs!$B$22,0)</x:f>
        <x:v>381</x:v>
      </x:c>
      <x:c r="S7" s="127" t="n">
        <x:f>ROUND(K7/D7,0)</x:f>
        <x:v>795</x:v>
      </x:c>
      <x:c r="T7" s="127" t="n">
        <x:f>ROUND((J7+L7)/D7,0)</x:f>
        <x:v>238</x:v>
      </x:c>
      <x:c r="U7" s="118" t="str">
        <x:v>Convenience</x:v>
      </x:c>
      <x:c r="V7" s="118" t="str">
        <x:f>IF(E7&lt;1,"Active",IF(E7&lt;12,"Balanced","Idle"))</x:f>
        <x:v>Idle</x:v>
      </x:c>
      <x:c r="W7" s="118" t="str">
        <x:f>IF(S7&gt;1200,"Coin conversion too high",IF(T7&gt;360,"XP conversion high","OK"))</x:f>
        <x:v>OK</x:v>
      </x:c>
      <x:c r="X7" s="118" t="str">
        <x:v>Bioluminescent cheek lights that blink in the dark</x:v>
      </x:c>
      <x:c r="Y7" s="118" t="str">
        <x:v>4-5 yr</x:v>
      </x:c>
      <x:c r="Z7" s="118" t="str">
        <x:v>1 yr</x:v>
      </x:c>
      <x:c r="AA7" s="118" t="str">
        <x:v>Tank glows at night</x:v>
      </x:c>
    </x:row>
    <x:row r="8" ht="26.399999618530273" hidden="0" customHeight="1">
      <x:c r="A8" s="118" t="str">
        <x:v>PF-07</x:v>
      </x:c>
      <x:c r="B8" s="118" t="str">
        <x:v>Golden Arowana</x:v>
      </x:c>
      <x:c r="C8" s="126" t="n">
        <x:v>20</x:v>
      </x:c>
      <x:c r="D8" s="126" t="n">
        <x:v>8</x:v>
      </x:c>
      <x:c r="E8" s="126" t="n">
        <x:v>24</x:v>
      </x:c>
      <x:c r="F8" s="118" t="str">
        <x:v>24 h (1 d)</x:v>
      </x:c>
      <x:c r="G8" s="127" t="n">
        <x:f aca="0">E8*Inputs!$B$19</x:f>
        <x:v>96</x:v>
      </x:c>
      <x:c r="H8" s="127" t="n">
        <x:f aca="0">E8*Inputs!$B$20</x:f>
        <x:v>48</x:v>
      </x:c>
      <x:c r="I8" s="127" t="n">
        <x:f aca="0">MIN(Inputs!$B$77,MAX(Inputs!$B$76,H8*Inputs!$B$75))</x:f>
        <x:v>12</x:v>
      </x:c>
      <x:c r="J8" s="127" t="n">
        <x:f aca="0">ROUND(D8*Inputs!$B$49,0)</x:f>
        <x:v>160</x:v>
      </x:c>
      <x:c r="K8" s="127" t="n">
        <x:f aca="0">ROUND(D8*Inputs!$B$47*INDEX(Inputs!$B$53:$B$56,MATCH(E8,Inputs!$A$53:$A$56,1))*INDEX(Inputs!$B$111:$B$116,MATCH(U8,Inputs!$A$111:$A$116,0)),0)</x:f>
        <x:v>8024</x:v>
      </x:c>
      <x:c r="L8" s="127" t="n">
        <x:f aca="0">ROUND(D8*Inputs!$B$48*INDEX(Inputs!$B$53:$B$56,MATCH(E8,Inputs!$A$53:$A$56,1))*INDEX(Inputs!$C$111:$C$116,MATCH(U8,Inputs!$A$111:$A$116,0)),0)</x:f>
        <x:v>2039</x:v>
      </x:c>
      <x:c r="M8" s="127" t="n">
        <x:f aca="0">ROUND(K8*Inputs!$B$24,0)</x:f>
        <x:v>6419</x:v>
      </x:c>
      <x:c r="N8" s="127" t="n">
        <x:f aca="0">ROUND(K8*Inputs!$B$23,0)</x:f>
        <x:v>4413</x:v>
      </x:c>
      <x:c r="O8" s="127" t="n">
        <x:f aca="0">ROUND(K8*Inputs!$B$22,0)</x:f>
        <x:v>2006</x:v>
      </x:c>
      <x:c r="P8" s="127" t="n">
        <x:f aca="0">ROUND(L8*Inputs!$B$24,0)</x:f>
        <x:v>1631</x:v>
      </x:c>
      <x:c r="Q8" s="127" t="n">
        <x:f aca="0">ROUND(L8*Inputs!$B$23,0)</x:f>
        <x:v>1121</x:v>
      </x:c>
      <x:c r="R8" s="127" t="n">
        <x:f>ROUND(L8*Inputs!$B$22,0)</x:f>
        <x:v>510</x:v>
      </x:c>
      <x:c r="S8" s="127" t="n">
        <x:f>ROUND(K8/D8,0)</x:f>
        <x:v>1003</x:v>
      </x:c>
      <x:c r="T8" s="127" t="n">
        <x:f>ROUND((J8+L8)/D8,0)</x:f>
        <x:v>275</x:v>
      </x:c>
      <x:c r="U8" s="118" t="str">
        <x:v>Prestige</x:v>
      </x:c>
      <x:c r="V8" s="118" t="str">
        <x:f>IF(E8&lt;1,"Active",IF(E8&lt;12,"Balanced","Idle"))</x:f>
        <x:v>Idle</x:v>
      </x:c>
      <x:c r="W8" s="118" t="str">
        <x:f>IF(S8&gt;1200,"Coin conversion too high",IF(T8&gt;360,"XP conversion high","OK"))</x:f>
        <x:v>OK</x:v>
      </x:c>
      <x:c r="X8" s="118" t="str">
        <x:v>Gleaming dragon scales - Asian 'lucky' fish</x:v>
      </x:c>
      <x:c r="Y8" s="118" t="str">
        <x:v>10-20 yr</x:v>
      </x:c>
      <x:c r="Z8" s="118" t="str">
        <x:v>3-4 yr</x:v>
      </x:c>
      <x:c r="AA8" s="118" t="str">
        <x:v>Prestige fish | Premium trophy: cosmetic + XP/action, not best raw production.</x:v>
      </x:c>
    </x:row>
    <x:row r="9" ht="26.399999618530273" hidden="0" customHeight="1">
      <x:c r="A9" s="118" t="str">
        <x:v>PF-08</x:v>
      </x:c>
      <x:c r="B9" s="118" t="str">
        <x:v>Peppermint Angelfish</x:v>
      </x:c>
      <x:c r="C9" s="126" t="n">
        <x:v>25</x:v>
      </x:c>
      <x:c r="D9" s="126" t="n">
        <x:v>10</x:v>
      </x:c>
      <x:c r="E9" s="126" t="n">
        <x:v>36</x:v>
      </x:c>
      <x:c r="F9" s="118" t="str">
        <x:v>36 h (1.5 d)</x:v>
      </x:c>
      <x:c r="G9" s="127" t="n">
        <x:f aca="0">E9*Inputs!$B$19</x:f>
        <x:v>144</x:v>
      </x:c>
      <x:c r="H9" s="127" t="n">
        <x:f aca="0">E9*Inputs!$B$20</x:f>
        <x:v>72</x:v>
      </x:c>
      <x:c r="I9" s="127" t="n">
        <x:f aca="0">MIN(Inputs!$B$77,MAX(Inputs!$B$76,H9*Inputs!$B$75))</x:f>
        <x:v>18</x:v>
      </x:c>
      <x:c r="J9" s="127" t="n">
        <x:f aca="0">ROUND(D9*Inputs!$B$49,0)</x:f>
        <x:v>200</x:v>
      </x:c>
      <x:c r="K9" s="127" t="n">
        <x:f aca="0">ROUND(D9*Inputs!$B$47*INDEX(Inputs!$B$53:$B$56,MATCH(E9,Inputs!$A$53:$A$56,1))*INDEX(Inputs!$B$111:$B$116,MATCH(U9,Inputs!$A$111:$A$116,0)),0)</x:f>
        <x:v>10030</x:v>
      </x:c>
      <x:c r="L9" s="127" t="n">
        <x:f aca="0">ROUND(D9*Inputs!$B$48*INDEX(Inputs!$B$53:$B$56,MATCH(E9,Inputs!$A$53:$A$56,1))*INDEX(Inputs!$C$111:$C$116,MATCH(U9,Inputs!$A$111:$A$116,0)),0)</x:f>
        <x:v>2549</x:v>
      </x:c>
      <x:c r="M9" s="127" t="n">
        <x:f aca="0">ROUND(K9*Inputs!$B$24,0)</x:f>
        <x:v>8024</x:v>
      </x:c>
      <x:c r="N9" s="127" t="n">
        <x:f aca="0">ROUND(K9*Inputs!$B$23,0)</x:f>
        <x:v>5517</x:v>
      </x:c>
      <x:c r="O9" s="127" t="n">
        <x:f aca="0">ROUND(K9*Inputs!$B$22,0)</x:f>
        <x:v>2508</x:v>
      </x:c>
      <x:c r="P9" s="127" t="n">
        <x:f aca="0">ROUND(L9*Inputs!$B$24,0)</x:f>
        <x:v>2039</x:v>
      </x:c>
      <x:c r="Q9" s="127" t="n">
        <x:f aca="0">ROUND(L9*Inputs!$B$23,0)</x:f>
        <x:v>1402</x:v>
      </x:c>
      <x:c r="R9" s="127" t="n">
        <x:f>ROUND(L9*Inputs!$B$22,0)</x:f>
        <x:v>637</x:v>
      </x:c>
      <x:c r="S9" s="127" t="n">
        <x:f>ROUND(K9/D9,0)</x:f>
        <x:v>1003</x:v>
      </x:c>
      <x:c r="T9" s="127" t="n">
        <x:f>ROUND((J9+L9)/D9,0)</x:f>
        <x:v>275</x:v>
      </x:c>
      <x:c r="U9" s="118" t="str">
        <x:v>Prestige</x:v>
      </x:c>
      <x:c r="V9" s="118" t="str">
        <x:f>IF(E9&lt;1,"Active",IF(E9&lt;12,"Balanced","Idle"))</x:f>
        <x:v>Idle</x:v>
      </x:c>
      <x:c r="W9" s="118" t="str">
        <x:f>IF(S9&gt;1200,"Coin conversion too high",IF(T9&gt;360,"XP conversion high","OK"))</x:f>
        <x:v>OK</x:v>
      </x:c>
      <x:c r="X9" s="118" t="str">
        <x:v>Candy-cane stripes</x:v>
      </x:c>
      <x:c r="Y9" s="118" t="str">
        <x:v>10+ yr</x:v>
      </x:c>
      <x:c r="Z9" s="118" t="str">
        <x:v>2 yr</x:v>
      </x:c>
      <x:c r="AA9" s="118" t="str">
        <x:v>Real-world $30k rarity | Premium trophy: cosmetic + XP/action, not best raw production.</x:v>
      </x:c>
    </x:row>
    <x:row r="10" ht="26.399999618530273" hidden="0" customHeight="1">
      <x:c r="A10" s="118" t="str">
        <x:v>PF-09</x:v>
      </x:c>
      <x:c r="B10" s="118" t="str">
        <x:v>Black Diamond Stingray</x:v>
      </x:c>
      <x:c r="C10" s="126" t="n">
        <x:v>35</x:v>
      </x:c>
      <x:c r="D10" s="126" t="n">
        <x:v>15</x:v>
      </x:c>
      <x:c r="E10" s="126" t="n">
        <x:v>48</x:v>
      </x:c>
      <x:c r="F10" s="118" t="str">
        <x:v>48 h (2 d)</x:v>
      </x:c>
      <x:c r="G10" s="127" t="n">
        <x:f aca="0">E10*Inputs!$B$19</x:f>
        <x:v>192</x:v>
      </x:c>
      <x:c r="H10" s="127" t="n">
        <x:f aca="0">E10*Inputs!$B$20</x:f>
        <x:v>96</x:v>
      </x:c>
      <x:c r="I10" s="127" t="n">
        <x:f aca="0">MIN(Inputs!$B$77,MAX(Inputs!$B$76,H10*Inputs!$B$75))</x:f>
        <x:v>24</x:v>
      </x:c>
      <x:c r="J10" s="127" t="n">
        <x:f aca="0">ROUND(D10*Inputs!$B$49,0)</x:f>
        <x:v>300</x:v>
      </x:c>
      <x:c r="K10" s="127" t="n">
        <x:f aca="0">ROUND(D10*Inputs!$B$47*INDEX(Inputs!$B$53:$B$56,MATCH(E10,Inputs!$A$53:$A$56,1))*INDEX(Inputs!$B$111:$B$116,MATCH(U10,Inputs!$A$111:$A$116,0)),0)</x:f>
        <x:v>15045</x:v>
      </x:c>
      <x:c r="L10" s="127" t="n">
        <x:f aca="0">ROUND(D10*Inputs!$B$48*INDEX(Inputs!$B$53:$B$56,MATCH(E10,Inputs!$A$53:$A$56,1))*INDEX(Inputs!$C$111:$C$116,MATCH(U10,Inputs!$A$111:$A$116,0)),0)</x:f>
        <x:v>3823</x:v>
      </x:c>
      <x:c r="M10" s="127" t="n">
        <x:f aca="0">ROUND(K10*Inputs!$B$24,0)</x:f>
        <x:v>12036</x:v>
      </x:c>
      <x:c r="N10" s="127" t="n">
        <x:f aca="0">ROUND(K10*Inputs!$B$23,0)</x:f>
        <x:v>8275</x:v>
      </x:c>
      <x:c r="O10" s="127" t="n">
        <x:f aca="0">ROUND(K10*Inputs!$B$22,0)</x:f>
        <x:v>3761</x:v>
      </x:c>
      <x:c r="P10" s="127" t="n">
        <x:f aca="0">ROUND(L10*Inputs!$B$24,0)</x:f>
        <x:v>3058</x:v>
      </x:c>
      <x:c r="Q10" s="127" t="n">
        <x:f aca="0">ROUND(L10*Inputs!$B$23,0)</x:f>
        <x:v>2103</x:v>
      </x:c>
      <x:c r="R10" s="127" t="n">
        <x:f>ROUND(L10*Inputs!$B$22,0)</x:f>
        <x:v>956</x:v>
      </x:c>
      <x:c r="S10" s="127" t="n">
        <x:f>ROUND(K10/D10,0)</x:f>
        <x:v>1003</x:v>
      </x:c>
      <x:c r="T10" s="127" t="n">
        <x:f>ROUND((J10+L10)/D10,0)</x:f>
        <x:v>275</x:v>
      </x:c>
      <x:c r="U10" s="118" t="str">
        <x:v>Prestige</x:v>
      </x:c>
      <x:c r="V10" s="118" t="str">
        <x:f>IF(E10&lt;1,"Active",IF(E10&lt;12,"Balanced","Idle"))</x:f>
        <x:v>Idle</x:v>
      </x:c>
      <x:c r="W10" s="118" t="str">
        <x:f>IF(S10&gt;1200,"Coin conversion too high",IF(T10&gt;360,"XP conversion high","OK"))</x:f>
        <x:v>OK</x:v>
      </x:c>
      <x:c r="X10" s="118" t="str">
        <x:v>Galaxy-spotted black disc gliding on sand</x:v>
      </x:c>
      <x:c r="Y10" s="118" t="str">
        <x:v>15-25 yr</x:v>
      </x:c>
      <x:c r="Z10" s="118" t="str">
        <x:v>4-5 yr</x:v>
      </x:c>
      <x:c r="AA10" s="118" t="str">
        <x:v>Idle premium trophy | Premium trophy: cosmetic + XP/action, not best raw production.</x:v>
      </x:c>
    </x:row>
    <x:row r="11" ht="26.399999618530273" hidden="0" customHeight="1">
      <x:c r="A11" s="118" t="str">
        <x:v>PF-10</x:v>
      </x:c>
      <x:c r="B11" s="118" t="str">
        <x:v>Platinum Arowana</x:v>
      </x:c>
      <x:c r="C11" s="126" t="n">
        <x:v>40</x:v>
      </x:c>
      <x:c r="D11" s="126" t="n">
        <x:v>20</x:v>
      </x:c>
      <x:c r="E11" s="126" t="n">
        <x:v>60</x:v>
      </x:c>
      <x:c r="F11" s="118" t="str">
        <x:v>60 h (2.5 d)</x:v>
      </x:c>
      <x:c r="G11" s="127" t="n">
        <x:f aca="0">E11*Inputs!$B$19</x:f>
        <x:v>240</x:v>
      </x:c>
      <x:c r="H11" s="127" t="n">
        <x:f aca="0">E11*Inputs!$B$20</x:f>
        <x:v>120</x:v>
      </x:c>
      <x:c r="I11" s="127" t="n">
        <x:f aca="0">MIN(Inputs!$B$77,MAX(Inputs!$B$76,H11*Inputs!$B$75))</x:f>
        <x:v>24</x:v>
      </x:c>
      <x:c r="J11" s="127" t="n">
        <x:f aca="0">ROUND(D11*Inputs!$B$49,0)</x:f>
        <x:v>400</x:v>
      </x:c>
      <x:c r="K11" s="127" t="n">
        <x:f aca="0">ROUND(D11*Inputs!$B$47*INDEX(Inputs!$B$53:$B$56,MATCH(E11,Inputs!$A$53:$A$56,1))*INDEX(Inputs!$B$111:$B$116,MATCH(U11,Inputs!$A$111:$A$116,0)),0)</x:f>
        <x:v>22066</x:v>
      </x:c>
      <x:c r="L11" s="127" t="n">
        <x:f aca="0">ROUND(D11*Inputs!$B$48*INDEX(Inputs!$B$53:$B$56,MATCH(E11,Inputs!$A$53:$A$56,1))*INDEX(Inputs!$C$111:$C$116,MATCH(U11,Inputs!$A$111:$A$116,0)),0)</x:f>
        <x:v>5310</x:v>
      </x:c>
      <x:c r="M11" s="127" t="n">
        <x:f aca="0">ROUND(K11*Inputs!$B$24,0)</x:f>
        <x:v>17653</x:v>
      </x:c>
      <x:c r="N11" s="127" t="n">
        <x:f aca="0">ROUND(K11*Inputs!$B$23,0)</x:f>
        <x:v>12136</x:v>
      </x:c>
      <x:c r="O11" s="127" t="n">
        <x:f aca="0">ROUND(K11*Inputs!$B$22,0)</x:f>
        <x:v>5517</x:v>
      </x:c>
      <x:c r="P11" s="127" t="n">
        <x:f aca="0">ROUND(L11*Inputs!$B$24,0)</x:f>
        <x:v>4248</x:v>
      </x:c>
      <x:c r="Q11" s="127" t="n">
        <x:f aca="0">ROUND(L11*Inputs!$B$23,0)</x:f>
        <x:v>2921</x:v>
      </x:c>
      <x:c r="R11" s="127" t="n">
        <x:f>ROUND(L11*Inputs!$B$22,0)</x:f>
        <x:v>1328</x:v>
      </x:c>
      <x:c r="S11" s="127" t="n">
        <x:f>ROUND(K11/D11,0)</x:f>
        <x:v>1103</x:v>
      </x:c>
      <x:c r="T11" s="127" t="n">
        <x:f>ROUND((J11+L11)/D11,0)</x:f>
        <x:v>286</x:v>
      </x:c>
      <x:c r="U11" s="118" t="str">
        <x:v>Capstone Trophy</x:v>
      </x:c>
      <x:c r="V11" s="118" t="str">
        <x:f>IF(E11&lt;1,"Active",IF(E11&lt;12,"Balanced","Idle"))</x:f>
        <x:v>Idle</x:v>
      </x:c>
      <x:c r="W11" s="118" t="str">
        <x:f>IF(S11&gt;1200,"Coin conversion too high",IF(T11&gt;360,"XP conversion high","OK"))</x:f>
        <x:v>OK</x:v>
      </x:c>
      <x:c r="X11" s="118" t="str">
        <x:v>Pure-white dragon fish - one in a million</x:v>
      </x:c>
      <x:c r="Y11" s="118" t="str">
        <x:v>10-20 yr</x:v>
      </x:c>
      <x:c r="Z11" s="118" t="str">
        <x:v>3-4 yr</x:v>
      </x:c>
      <x:c r="AA11" s="118" t="str">
        <x:v>Real-world $400k fish - capstone | Premium trophy: cosmetic + XP/action, not best raw production.</x:v>
      </x:c>
    </x:row>
  </x:sheetData>
  <x:conditionalFormatting sqref="W2:W11">
    <x:cfRule type="expression" dxfId="4" priority="1">
      <x:formula>W2="OK"</x:formula>
    </x:cfRule>
    <x:cfRule type="expression" dxfId="5" priority="2">
      <x:formula>W2&lt;&gt;"OK"</x:formula>
    </x:cfRule>
  </x:conditionalFormatting>
  <x:dataValidations count="1">
    <x:dataValidation type="list" sqref="U2:U11">
      <x:formula1>Inputs!$A$111:$A$116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9" hidden="0" customWidth="1"/>
    <x:col min="2" max="2" width="26" hidden="0" customWidth="1"/>
    <x:col min="3" max="3" width="18" hidden="0" customWidth="1"/>
    <x:col min="4" max="4" width="16" hidden="0" customWidth="1"/>
    <x:col min="5" max="6" width="9" hidden="0" customWidth="1"/>
    <x:col min="7" max="7" width="8" hidden="0" customWidth="1"/>
    <x:col min="8" max="8" width="9" hidden="0" customWidth="1"/>
    <x:col min="9" max="9" width="10" hidden="0" customWidth="1"/>
    <x:col min="10" max="11" width="9" hidden="0" customWidth="1"/>
    <x:col min="12" max="12" width="8" hidden="0" customWidth="1"/>
    <x:col min="13" max="13" width="11" hidden="0" customWidth="1"/>
    <x:col min="14" max="14" width="10" hidden="0" customWidth="1"/>
    <x:col min="15" max="15" width="11" hidden="0" customWidth="1"/>
    <x:col min="16" max="16" width="10" hidden="0" customWidth="1"/>
    <x:col min="17" max="17" width="32" hidden="0" customWidth="1"/>
    <x:col min="5" max="5" width="10" hidden="0" customWidth="1"/>
    <x:col min="6" max="6" width="10" hidden="0" customWidth="1"/>
    <x:col min="26" max="26" width="48" hidden="0" customWidth="1"/>
  </x:cols>
  <x:sheetData>
    <x:row r="1" ht="50.400001525878906" hidden="0" customHeight="1">
      <x:c r="A1" s="96" t="str">
        <x:v>ID</x:v>
      </x:c>
      <x:c r="B1" s="96" t="str">
        <x:v>Fish</x:v>
      </x:c>
      <x:c r="C1" s="96" t="str">
        <x:v>Event</x:v>
      </x:c>
      <x:c r="D1" s="96" t="str">
        <x:v>Availability</x:v>
      </x:c>
      <x:c r="E1" s="96" t="str">
        <x:v>Unlock Lvl</x:v>
      </x:c>
      <x:c r="F1" s="96" t="str">
        <x:v>Currency</x:v>
      </x:c>
      <x:c r="G1" s="96" t="str">
        <x:v>Price</x:v>
      </x:c>
      <x:c r="H1" s="96" t="str">
        <x:v>Stage Time (hrs)</x:v>
      </x:c>
      <x:c r="I1" s="96" t="str">
        <x:v>Stage Time</x:v>
      </x:c>
      <x:c r="J1" s="96" t="str">
        <x:v>Adult In (hrs)</x:v>
      </x:c>
      <x:c r="K1" s="96" t="str">
        <x:v>Feed Window (hrs)</x:v>
      </x:c>
      <x:c r="L1" s="96" t="str">
        <x:v>Sick Grace (hrs)</x:v>
      </x:c>
      <x:c r="M1" s="96" t="str">
        <x:v>Target Coins/hr</x:v>
      </x:c>
      <x:c r="N1" s="96" t="str">
        <x:v>Target XP/hr</x:v>
      </x:c>
      <x:c r="O1" s="96" t="str">
        <x:v>Buy XP</x:v>
      </x:c>
      <x:c r="P1" s="96" t="str">
        <x:v>Adult Sell (coins)</x:v>
      </x:c>
      <x:c r="Q1" s="96" t="str">
        <x:v>Adult Sell XP</x:v>
      </x:c>
      <x:c r="R1" s="96" t="str">
        <x:v>Junior Sell (coins)</x:v>
      </x:c>
      <x:c r="S1" s="96" t="str">
        <x:v>Junior Sell XP</x:v>
      </x:c>
      <x:c r="T1" s="96" t="str">
        <x:v>Coins/Pearl</x:v>
      </x:c>
      <x:c r="U1" s="96" t="str">
        <x:v>XP/Pearl</x:v>
      </x:c>
      <x:c r="V1" s="96" t="str">
        <x:v>Coins/hr</x:v>
      </x:c>
      <x:c r="W1" s="96" t="str">
        <x:v>XP/hr</x:v>
      </x:c>
      <x:c r="X1" s="96" t="str">
        <x:v>Playstyle</x:v>
      </x:c>
      <x:c r="Y1" s="96" t="str">
        <x:v>Balance Flag</x:v>
      </x:c>
      <x:c r="Z1" s="96" t="str">
        <x:v>Notes</x:v>
      </x:c>
    </x:row>
    <x:row r="2" ht="26.399999618530273" hidden="0" customHeight="1">
      <x:c r="A2" s="118" t="str">
        <x:v>LE-01</x:v>
      </x:c>
      <x:c r="B2" s="118" t="str">
        <x:v>Heartfin Tetra</x:v>
      </x:c>
      <x:c r="C2" s="118" t="str">
        <x:v>Valentine's</x:v>
      </x:c>
      <x:c r="D2" s="118" t="str">
        <x:v>Feb 7-21</x:v>
      </x:c>
      <x:c r="E2" s="126" t="n">
        <x:v>5</x:v>
      </x:c>
      <x:c r="F2" s="126" t="str">
        <x:v>Coins</x:v>
      </x:c>
      <x:c r="G2" s="126" t="n">
        <x:v>500</x:v>
      </x:c>
      <x:c r="H2" s="126" t="n">
        <x:v>2</x:v>
      </x:c>
      <x:c r="I2" s="118" t="str">
        <x:v>2 h</x:v>
      </x:c>
      <x:c r="J2" s="121" t="n">
        <x:f aca="0">H2*Inputs!$B$19</x:f>
        <x:v>8</x:v>
      </x:c>
      <x:c r="K2" s="121" t="n">
        <x:f aca="0">H2*Inputs!$B$20</x:f>
        <x:v>4</x:v>
      </x:c>
      <x:c r="L2" s="121" t="n">
        <x:f aca="0">MIN(Inputs!$B$77,MAX(Inputs!$B$76,K2*Inputs!$B$75))</x:f>
        <x:v>1</x:v>
      </x:c>
      <x:c r="M2" s="121" t="n">
        <x:f aca="0">IF(F2="Coins",ROUND((Inputs!$B$70+(E2-Inputs!$B$68)*(Inputs!$B$71-Inputs!$B$70)/(Inputs!$B$69-Inputs!$B$68))*INDEX(Inputs!$C$87:$C$96,MATCH(H2,Inputs!$A$87:$A$96,1))*INDEX(Inputs!$B$100:$B$107,MATCH("Collection",Inputs!$A$100:$A$107,0))*(1+INDEX(Inputs!$B$38:$B$44,MATCH("Limited",Inputs!$A$38:$A$44,0))*INDEX(Inputs!$D$100:$D$107,MATCH("Collection",Inputs!$A$100:$A$107,0))),1),IF(F2="Pearls",ROUND(G2*Inputs!$B$47*INDEX(Inputs!$B$53:$B$56,MATCH(H2,Inputs!$A$53:$A$56,1))*Inputs!$B$58/J2,1),0))</x:f>
        <x:v>46.4</x:v>
      </x:c>
      <x:c r="N2" s="121" t="n">
        <x:f aca="0">IF(F2="Coins",ROUND((Inputs!$B$72+(E2-Inputs!$B$68)*(Inputs!$B$73-Inputs!$B$72)/(Inputs!$B$69-Inputs!$B$68))*INDEX(Inputs!$D$87:$D$96,MATCH(H2,Inputs!$A$87:$A$96,1))*INDEX(Inputs!$C$100:$C$107,MATCH("Collection",Inputs!$A$100:$A$107,0))*(1+INDEX(Inputs!$B$38:$B$44,MATCH("Limited",Inputs!$A$38:$A$44,0))*INDEX(Inputs!$E$100:$E$107,MATCH("Collection",Inputs!$A$100:$A$107,0))),1),IF(F2="Pearls",ROUND((G2*Inputs!$B$48*INDEX(Inputs!$B$53:$B$56,MATCH(H2,Inputs!$A$53:$A$56,1))*Inputs!$B$58+G2*Inputs!$B$49)/J2,1),IF(F2="Gift",ROUND(250/J2,1),0)))</x:f>
        <x:v>28</x:v>
      </x:c>
      <x:c r="O2" s="121" t="n">
        <x:f aca="0">IF(F2="Coins",ROUND(N2*J2*Inputs!$B$74,0),IF(F2="Pearls",ROUND(G2*Inputs!$B$49,0),0))</x:f>
        <x:v>18</x:v>
      </x:c>
      <x:c r="P2" s="121" t="n">
        <x:f aca="0">IF(F2="Coins",ROUND(G2+M2*J2,0),IF(F2="Pearls",ROUND(G2*Inputs!$B$47*INDEX(Inputs!$B$53:$B$56,MATCH(H2,Inputs!$A$53:$A$56,1))*Inputs!$B$58,0),0))</x:f>
        <x:v>871</x:v>
      </x:c>
      <x:c r="Q2" s="121" t="n">
        <x:f>IF(F2="Coins",MAX(1,ROUND(N2*J2-O2,0)),IF(F2="Pearls",ROUND(G2*Inputs!$B$48*INDEX(Inputs!$B$53:$B$56,MATCH(H2,Inputs!$A$53:$A$56,1))*Inputs!$B$58,0),IF(F2="Gift",250,0)))</x:f>
        <x:v>206</x:v>
      </x:c>
      <x:c r="R2" s="121" t="n">
        <x:f>IF(F2="Coins",ROUND(G2+(P2-G2)*Inputs!$B$22,0),ROUND(P2*Inputs!$B$22,0))</x:f>
        <x:v>593</x:v>
      </x:c>
      <x:c r="S2" s="121" t="n">
        <x:f>ROUND(Q2*Inputs!$B$22,0)</x:f>
        <x:v>52</x:v>
      </x:c>
      <x:c r="T2" s="127" t="n">
        <x:f>IF(F2="Pearls",ROUND(P2/G2,0),0)</x:f>
        <x:v>0</x:v>
      </x:c>
      <x:c r="U2" s="127" t="n">
        <x:f>IF(F2="Pearls",ROUND((O2+Q2)/G2,0),0)</x:f>
        <x:v>0</x:v>
      </x:c>
      <x:c r="V2" s="121" t="n">
        <x:f>IF(F2="Coins",ROUND((P2-G2)/J2,1),IF(F2="Pearls",ROUND(P2/J2,1),0))</x:f>
        <x:v>46.4</x:v>
      </x:c>
      <x:c r="W2" s="121" t="n">
        <x:f>ROUND((O2+Q2)/J2,1)</x:f>
        <x:v>28</x:v>
      </x:c>
      <x:c r="X2" s="118" t="str">
        <x:f>IF(H2&lt;1,"Active",IF(H2&lt;12,"Balanced","Idle"))</x:f>
        <x:v>Balanced</x:v>
      </x:c>
      <x:c r="Y2" s="118" t="str">
        <x:f>IF(F2="Gift","Free / non-resellable",IF(AND(F2="Pearls",T2&gt;1300),"Pearl conversion high","OK"))</x:f>
        <x:v>OK</x:v>
      </x:c>
      <x:c r="Z2" s="118" t="str">
        <x:v>F2P event entry; collection-first, capped near normal progression.</x:v>
      </x:c>
    </x:row>
    <x:row r="3" ht="15" hidden="0" customHeight="1">
      <x:c r="A3" s="118" t="str">
        <x:v>LE-02</x:v>
      </x:c>
      <x:c r="B3" s="118" t="str">
        <x:v>Emerald Cod</x:v>
      </x:c>
      <x:c r="C3" s="118" t="str">
        <x:v>St. Patrick's</x:v>
      </x:c>
      <x:c r="D3" s="118" t="str">
        <x:v>Mar 10-24</x:v>
      </x:c>
      <x:c r="E3" s="126" t="n">
        <x:v>10</x:v>
      </x:c>
      <x:c r="F3" s="126" t="str">
        <x:v>Coins</x:v>
      </x:c>
      <x:c r="G3" s="126" t="n">
        <x:v>800</x:v>
      </x:c>
      <x:c r="H3" s="126" t="n">
        <x:v>6</x:v>
      </x:c>
      <x:c r="I3" s="118" t="str">
        <x:v>6 h</x:v>
      </x:c>
      <x:c r="J3" s="121" t="n">
        <x:f aca="0">H3*Inputs!$B$19</x:f>
        <x:v>24</x:v>
      </x:c>
      <x:c r="K3" s="121" t="n">
        <x:f aca="0">H3*Inputs!$B$20</x:f>
        <x:v>12</x:v>
      </x:c>
      <x:c r="L3" s="121" t="n">
        <x:f aca="0">MIN(Inputs!$B$77,MAX(Inputs!$B$76,K3*Inputs!$B$75))</x:f>
        <x:v>3</x:v>
      </x:c>
      <x:c r="M3" s="121" t="n">
        <x:f aca="0">IF(F3="Coins",ROUND((Inputs!$B$70+(E3-Inputs!$B$68)*(Inputs!$B$71-Inputs!$B$70)/(Inputs!$B$69-Inputs!$B$68))*INDEX(Inputs!$C$87:$C$96,MATCH(H3,Inputs!$A$87:$A$96,1))*INDEX(Inputs!$B$100:$B$107,MATCH("Collection",Inputs!$A$100:$A$107,0))*(1+INDEX(Inputs!$B$38:$B$44,MATCH("Limited",Inputs!$A$38:$A$44,0))*INDEX(Inputs!$D$100:$D$107,MATCH("Collection",Inputs!$A$100:$A$107,0))),1),IF(F3="Pearls",ROUND(G3*Inputs!$B$47*INDEX(Inputs!$B$53:$B$56,MATCH(H3,Inputs!$A$53:$A$56,1))*Inputs!$B$58/J3,1),0))</x:f>
        <x:v>21.9</x:v>
      </x:c>
      <x:c r="N3" s="121" t="n">
        <x:f aca="0">IF(F3="Coins",ROUND((Inputs!$B$72+(E3-Inputs!$B$68)*(Inputs!$B$73-Inputs!$B$72)/(Inputs!$B$69-Inputs!$B$68))*INDEX(Inputs!$D$87:$D$96,MATCH(H3,Inputs!$A$87:$A$96,1))*INDEX(Inputs!$C$100:$C$107,MATCH("Collection",Inputs!$A$100:$A$107,0))*(1+INDEX(Inputs!$B$38:$B$44,MATCH("Limited",Inputs!$A$38:$A$44,0))*INDEX(Inputs!$E$100:$E$107,MATCH("Collection",Inputs!$A$100:$A$107,0))),1),IF(F3="Pearls",ROUND((G3*Inputs!$B$48*INDEX(Inputs!$B$53:$B$56,MATCH(H3,Inputs!$A$53:$A$56,1))*Inputs!$B$58+G3*Inputs!$B$49)/J3,1),IF(F3="Gift",ROUND(250/J3,1),0)))</x:f>
        <x:v>11</x:v>
      </x:c>
      <x:c r="O3" s="121" t="n">
        <x:f aca="0">IF(F3="Coins",ROUND(N3*J3*Inputs!$B$74,0),IF(F3="Pearls",ROUND(G3*Inputs!$B$49,0),0))</x:f>
        <x:v>21</x:v>
      </x:c>
      <x:c r="P3" s="121" t="n">
        <x:f aca="0">IF(F3="Coins",ROUND(G3+M3*J3,0),IF(F3="Pearls",ROUND(G3*Inputs!$B$47*INDEX(Inputs!$B$53:$B$56,MATCH(H3,Inputs!$A$53:$A$56,1))*Inputs!$B$58,0),0))</x:f>
        <x:v>1326</x:v>
      </x:c>
      <x:c r="Q3" s="121" t="n">
        <x:f>IF(F3="Coins",MAX(1,ROUND(N3*J3-O3,0)),IF(F3="Pearls",ROUND(G3*Inputs!$B$48*INDEX(Inputs!$B$53:$B$56,MATCH(H3,Inputs!$A$53:$A$56,1))*Inputs!$B$58,0),IF(F3="Gift",250,0)))</x:f>
        <x:v>243</x:v>
      </x:c>
      <x:c r="R3" s="121" t="n">
        <x:f>IF(F3="Coins",ROUND(G3+(P3-G3)*Inputs!$B$22,0),ROUND(P3*Inputs!$B$22,0))</x:f>
        <x:v>932</x:v>
      </x:c>
      <x:c r="S3" s="121" t="n">
        <x:f>ROUND(Q3*Inputs!$B$22,0)</x:f>
        <x:v>61</x:v>
      </x:c>
      <x:c r="T3" s="127" t="n">
        <x:f>IF(F3="Pearls",ROUND(P3/G3,0),0)</x:f>
        <x:v>0</x:v>
      </x:c>
      <x:c r="U3" s="127" t="n">
        <x:f>IF(F3="Pearls",ROUND((O3+Q3)/G3,0),0)</x:f>
        <x:v>0</x:v>
      </x:c>
      <x:c r="V3" s="121" t="n">
        <x:f>IF(F3="Coins",ROUND((P3-G3)/J3,1),IF(F3="Pearls",ROUND(P3/J3,1),0))</x:f>
        <x:v>21.9</x:v>
      </x:c>
      <x:c r="W3" s="121" t="n">
        <x:f>ROUND((O3+Q3)/J3,1)</x:f>
        <x:v>11</x:v>
      </x:c>
      <x:c r="X3" s="118" t="str">
        <x:f>IF(H3&lt;1,"Active",IF(H3&lt;12,"Balanced","Idle"))</x:f>
        <x:v>Balanced</x:v>
      </x:c>
      <x:c r="Y3" s="118" t="str">
        <x:f>IF(F3="Gift","Free / non-resellable",IF(AND(F3="Pearls",T3&gt;1300),"Pearl conversion high","OK"))</x:f>
        <x:v>OK</x:v>
      </x:c>
      <x:c r="Z3" s="118" t="str">
        <x:v>F2P event entry; modest boost only, not mandatory.</x:v>
      </x:c>
    </x:row>
    <x:row r="4" ht="15" hidden="0" customHeight="1">
      <x:c r="A4" s="118" t="str">
        <x:v>LE-03</x:v>
      </x:c>
      <x:c r="B4" s="118" t="str">
        <x:v>Sakura Goldfish</x:v>
      </x:c>
      <x:c r="C4" s="118" t="str">
        <x:v>Spring Blossom</x:v>
      </x:c>
      <x:c r="D4" s="118" t="str">
        <x:v>Apr 1-21</x:v>
      </x:c>
      <x:c r="E4" s="126" t="n">
        <x:v>8</x:v>
      </x:c>
      <x:c r="F4" s="126" t="str">
        <x:v>Pearls</x:v>
      </x:c>
      <x:c r="G4" s="126" t="n">
        <x:v>8</x:v>
      </x:c>
      <x:c r="H4" s="126" t="n">
        <x:v>10</x:v>
      </x:c>
      <x:c r="I4" s="118" t="str">
        <x:v>10 h</x:v>
      </x:c>
      <x:c r="J4" s="121" t="n">
        <x:f aca="0">H4*Inputs!$B$19</x:f>
        <x:v>40</x:v>
      </x:c>
      <x:c r="K4" s="121" t="n">
        <x:f aca="0">H4*Inputs!$B$20</x:f>
        <x:v>20</x:v>
      </x:c>
      <x:c r="L4" s="121" t="n">
        <x:f aca="0">MIN(Inputs!$B$77,MAX(Inputs!$B$76,K4*Inputs!$B$75))</x:f>
        <x:v>5</x:v>
      </x:c>
      <x:c r="M4" s="121" t="n">
        <x:f aca="0">IF(F4="Coins",ROUND((Inputs!$B$70+(E4-Inputs!$B$68)*(Inputs!$B$71-Inputs!$B$70)/(Inputs!$B$69-Inputs!$B$68))*INDEX(Inputs!$C$87:$C$96,MATCH(H4,Inputs!$A$87:$A$96,1))*INDEX(Inputs!$B$100:$B$107,MATCH("Collection",Inputs!$A$100:$A$107,0))*(1+INDEX(Inputs!$B$38:$B$44,MATCH("Limited",Inputs!$A$38:$A$44,0))*INDEX(Inputs!$D$100:$D$107,MATCH("Collection",Inputs!$A$100:$A$107,0))),1),IF(F4="Pearls",ROUND(G4*Inputs!$B$47*INDEX(Inputs!$B$53:$B$56,MATCH(H4,Inputs!$A$53:$A$56,1))*Inputs!$B$58/J4,1),0))</x:f>
        <x:v>202</x:v>
      </x:c>
      <x:c r="N4" s="121" t="n">
        <x:f aca="0">IF(F4="Coins",ROUND((Inputs!$B$72+(E4-Inputs!$B$68)*(Inputs!$B$73-Inputs!$B$72)/(Inputs!$B$69-Inputs!$B$68))*INDEX(Inputs!$D$87:$D$96,MATCH(H4,Inputs!$A$87:$A$96,1))*INDEX(Inputs!$C$100:$C$107,MATCH("Collection",Inputs!$A$100:$A$107,0))*(1+INDEX(Inputs!$B$38:$B$44,MATCH("Limited",Inputs!$A$38:$A$44,0))*INDEX(Inputs!$E$100:$E$107,MATCH("Collection",Inputs!$A$100:$A$107,0))),1),IF(F4="Pearls",ROUND((G4*Inputs!$B$48*INDEX(Inputs!$B$53:$B$56,MATCH(H4,Inputs!$A$53:$A$56,1))*Inputs!$B$58+G4*Inputs!$B$49)/J4,1),IF(F4="Gift",ROUND(250/J4,1),0)))</x:f>
        <x:v>46.8</x:v>
      </x:c>
      <x:c r="O4" s="121" t="n">
        <x:f aca="0">IF(F4="Coins",ROUND(N4*J4*Inputs!$B$74,0),IF(F4="Pearls",ROUND(G4*Inputs!$B$49,0),0))</x:f>
        <x:v>160</x:v>
      </x:c>
      <x:c r="P4" s="121" t="n">
        <x:f aca="0">IF(F4="Coins",ROUND(G4+M4*J4,0),IF(F4="Pearls",ROUND(G4*Inputs!$B$47*INDEX(Inputs!$B$53:$B$56,MATCH(H4,Inputs!$A$53:$A$56,1))*Inputs!$B$58,0),0))</x:f>
        <x:v>8078</x:v>
      </x:c>
      <x:c r="Q4" s="121" t="n">
        <x:f>IF(F4="Coins",MAX(1,ROUND(N4*J4-O4,0)),IF(F4="Pearls",ROUND(G4*Inputs!$B$48*INDEX(Inputs!$B$53:$B$56,MATCH(H4,Inputs!$A$53:$A$56,1))*Inputs!$B$58,0),IF(F4="Gift",250,0)))</x:f>
        <x:v>1711</x:v>
      </x:c>
      <x:c r="R4" s="121" t="n">
        <x:f>IF(F4="Coins",ROUND(G4+(P4-G4)*Inputs!$B$22,0),ROUND(P4*Inputs!$B$22,0))</x:f>
        <x:v>2020</x:v>
      </x:c>
      <x:c r="S4" s="121" t="n">
        <x:f>ROUND(Q4*Inputs!$B$22,0)</x:f>
        <x:v>428</x:v>
      </x:c>
      <x:c r="T4" s="127" t="n">
        <x:f>IF(F4="Pearls",ROUND(P4/G4,0),0)</x:f>
        <x:v>1010</x:v>
      </x:c>
      <x:c r="U4" s="127" t="n">
        <x:f>IF(F4="Pearls",ROUND((O4+Q4)/G4,0),0)</x:f>
        <x:v>234</x:v>
      </x:c>
      <x:c r="V4" s="121" t="n">
        <x:f>IF(F4="Coins",ROUND((P4-G4)/J4,1),IF(F4="Pearls",ROUND(P4/J4,1),0))</x:f>
        <x:v>202</x:v>
      </x:c>
      <x:c r="W4" s="121" t="n">
        <x:f>ROUND((O4+Q4)/J4,1)</x:f>
        <x:v>46.8</x:v>
      </x:c>
      <x:c r="X4" s="118" t="str">
        <x:f>IF(H4&lt;1,"Active",IF(H4&lt;12,"Balanced","Idle"))</x:f>
        <x:v>Balanced</x:v>
      </x:c>
      <x:c r="Y4" s="118" t="str">
        <x:f>IF(F4="Gift","Free / non-resellable",IF(AND(F4="Pearls",T4&gt;1300),"Pearl conversion high","OK"))</x:f>
        <x:v>OK</x:v>
      </x:c>
      <x:c r="Z4" s="118" t="str"/>
    </x:row>
    <x:row r="5" ht="15" hidden="0" customHeight="1">
      <x:c r="A5" s="118" t="str">
        <x:v>LE-04</x:v>
      </x:c>
      <x:c r="B5" s="118" t="str">
        <x:v>Firework Fish</x:v>
      </x:c>
      <x:c r="C5" s="118" t="str">
        <x:v>Summer Festival</x:v>
      </x:c>
      <x:c r="D5" s="118" t="str">
        <x:v>Jul 1-14</x:v>
      </x:c>
      <x:c r="E5" s="126" t="n">
        <x:v>10</x:v>
      </x:c>
      <x:c r="F5" s="126" t="str">
        <x:v>Pearls</x:v>
      </x:c>
      <x:c r="G5" s="126" t="n">
        <x:v>7</x:v>
      </x:c>
      <x:c r="H5" s="126" t="n">
        <x:v>6</x:v>
      </x:c>
      <x:c r="I5" s="118" t="str">
        <x:v>6 h</x:v>
      </x:c>
      <x:c r="J5" s="121" t="n">
        <x:f aca="0">H5*Inputs!$B$19</x:f>
        <x:v>24</x:v>
      </x:c>
      <x:c r="K5" s="121" t="n">
        <x:f aca="0">H5*Inputs!$B$20</x:f>
        <x:v>12</x:v>
      </x:c>
      <x:c r="L5" s="121" t="n">
        <x:f aca="0">MIN(Inputs!$B$77,MAX(Inputs!$B$76,K5*Inputs!$B$75))</x:f>
        <x:v>3</x:v>
      </x:c>
      <x:c r="M5" s="121" t="n">
        <x:f aca="0">IF(F5="Coins",ROUND((Inputs!$B$70+(E5-Inputs!$B$68)*(Inputs!$B$71-Inputs!$B$70)/(Inputs!$B$69-Inputs!$B$68))*INDEX(Inputs!$C$87:$C$96,MATCH(H5,Inputs!$A$87:$A$96,1))*INDEX(Inputs!$B$100:$B$107,MATCH("Collection",Inputs!$A$100:$A$107,0))*(1+INDEX(Inputs!$B$38:$B$44,MATCH("Limited",Inputs!$A$38:$A$44,0))*INDEX(Inputs!$D$100:$D$107,MATCH("Collection",Inputs!$A$100:$A$107,0))),1),IF(F5="Pearls",ROUND(G5*Inputs!$B$47*INDEX(Inputs!$B$53:$B$56,MATCH(H5,Inputs!$A$53:$A$56,1))*Inputs!$B$58/J5,1),0))</x:f>
        <x:v>281.1</x:v>
      </x:c>
      <x:c r="N5" s="121" t="n">
        <x:f aca="0">IF(F5="Coins",ROUND((Inputs!$B$72+(E5-Inputs!$B$68)*(Inputs!$B$73-Inputs!$B$72)/(Inputs!$B$69-Inputs!$B$68))*INDEX(Inputs!$D$87:$D$96,MATCH(H5,Inputs!$A$87:$A$96,1))*INDEX(Inputs!$C$100:$C$107,MATCH("Collection",Inputs!$A$100:$A$107,0))*(1+INDEX(Inputs!$B$38:$B$44,MATCH("Limited",Inputs!$A$38:$A$44,0))*INDEX(Inputs!$E$100:$E$107,MATCH("Collection",Inputs!$A$100:$A$107,0))),1),IF(F5="Pearls",ROUND((G5*Inputs!$B$48*INDEX(Inputs!$B$53:$B$56,MATCH(H5,Inputs!$A$53:$A$56,1))*Inputs!$B$58+G5*Inputs!$B$49)/J5,1),IF(F5="Gift",ROUND(250/J5,1),0)))</x:f>
        <x:v>65.4</x:v>
      </x:c>
      <x:c r="O5" s="121" t="n">
        <x:f aca="0">IF(F5="Coins",ROUND(N5*J5*Inputs!$B$74,0),IF(F5="Pearls",ROUND(G5*Inputs!$B$49,0),0))</x:f>
        <x:v>140</x:v>
      </x:c>
      <x:c r="P5" s="121" t="n">
        <x:f aca="0">IF(F5="Coins",ROUND(G5+M5*J5,0),IF(F5="Pearls",ROUND(G5*Inputs!$B$47*INDEX(Inputs!$B$53:$B$56,MATCH(H5,Inputs!$A$53:$A$56,1))*Inputs!$B$58,0),0))</x:f>
        <x:v>6747</x:v>
      </x:c>
      <x:c r="Q5" s="121" t="n">
        <x:f>IF(F5="Coins",MAX(1,ROUND(N5*J5-O5,0)),IF(F5="Pearls",ROUND(G5*Inputs!$B$48*INDEX(Inputs!$B$53:$B$56,MATCH(H5,Inputs!$A$53:$A$56,1))*Inputs!$B$58,0),IF(F5="Gift",250,0)))</x:f>
        <x:v>1429</x:v>
      </x:c>
      <x:c r="R5" s="121" t="n">
        <x:f>IF(F5="Coins",ROUND(G5+(P5-G5)*Inputs!$B$22,0),ROUND(P5*Inputs!$B$22,0))</x:f>
        <x:v>1687</x:v>
      </x:c>
      <x:c r="S5" s="121" t="n">
        <x:f>ROUND(Q5*Inputs!$B$22,0)</x:f>
        <x:v>357</x:v>
      </x:c>
      <x:c r="T5" s="127" t="n">
        <x:f>IF(F5="Pearls",ROUND(P5/G5,0),0)</x:f>
        <x:v>964</x:v>
      </x:c>
      <x:c r="U5" s="127" t="n">
        <x:f>IF(F5="Pearls",ROUND((O5+Q5)/G5,0),0)</x:f>
        <x:v>224</x:v>
      </x:c>
      <x:c r="V5" s="121" t="n">
        <x:f>IF(F5="Coins",ROUND((P5-G5)/J5,1),IF(F5="Pearls",ROUND(P5/J5,1),0))</x:f>
        <x:v>281.1</x:v>
      </x:c>
      <x:c r="W5" s="121" t="n">
        <x:f>ROUND((O5+Q5)/J5,1)</x:f>
        <x:v>65.4</x:v>
      </x:c>
      <x:c r="X5" s="118" t="str">
        <x:f>IF(H5&lt;1,"Active",IF(H5&lt;12,"Balanced","Idle"))</x:f>
        <x:v>Balanced</x:v>
      </x:c>
      <x:c r="Y5" s="118" t="str">
        <x:f>IF(F5="Gift","Free / non-resellable",IF(AND(F5="Pearls",T5&gt;1300),"Pearl conversion high","OK"))</x:f>
        <x:v>OK</x:v>
      </x:c>
      <x:c r="Z5" s="118" t="str"/>
    </x:row>
    <x:row r="6" ht="15" hidden="0" customHeight="1">
      <x:c r="A6" s="118" t="str">
        <x:v>LE-05</x:v>
      </x:c>
      <x:c r="B6" s="118" t="str">
        <x:v>Jack-o'-Lantern Puffer</x:v>
      </x:c>
      <x:c r="C6" s="118" t="str">
        <x:v>Halloween</x:v>
      </x:c>
      <x:c r="D6" s="118" t="str">
        <x:v>Oct 17-Nov 2</x:v>
      </x:c>
      <x:c r="E6" s="126" t="n">
        <x:v>12</x:v>
      </x:c>
      <x:c r="F6" s="126" t="str">
        <x:v>Pearls</x:v>
      </x:c>
      <x:c r="G6" s="126" t="n">
        <x:v>8</x:v>
      </x:c>
      <x:c r="H6" s="126" t="n">
        <x:v>12</x:v>
      </x:c>
      <x:c r="I6" s="118" t="str">
        <x:v>12 h</x:v>
      </x:c>
      <x:c r="J6" s="121" t="n">
        <x:f aca="0">H6*Inputs!$B$19</x:f>
        <x:v>48</x:v>
      </x:c>
      <x:c r="K6" s="121" t="n">
        <x:f aca="0">H6*Inputs!$B$20</x:f>
        <x:v>24</x:v>
      </x:c>
      <x:c r="L6" s="121" t="n">
        <x:f aca="0">MIN(Inputs!$B$77,MAX(Inputs!$B$76,K6*Inputs!$B$75))</x:f>
        <x:v>6</x:v>
      </x:c>
      <x:c r="M6" s="121" t="n">
        <x:f aca="0">IF(F6="Coins",ROUND((Inputs!$B$70+(E6-Inputs!$B$68)*(Inputs!$B$71-Inputs!$B$70)/(Inputs!$B$69-Inputs!$B$68))*INDEX(Inputs!$C$87:$C$96,MATCH(H6,Inputs!$A$87:$A$96,1))*INDEX(Inputs!$B$100:$B$107,MATCH("Collection",Inputs!$A$100:$A$107,0))*(1+INDEX(Inputs!$B$38:$B$44,MATCH("Limited",Inputs!$A$38:$A$44,0))*INDEX(Inputs!$D$100:$D$107,MATCH("Collection",Inputs!$A$100:$A$107,0))),1),IF(F6="Pearls",ROUND(G6*Inputs!$B$47*INDEX(Inputs!$B$53:$B$56,MATCH(H6,Inputs!$A$53:$A$56,1))*Inputs!$B$58/J6,1),0))</x:f>
        <x:v>168.3</x:v>
      </x:c>
      <x:c r="N6" s="121" t="n">
        <x:f aca="0">IF(F6="Coins",ROUND((Inputs!$B$72+(E6-Inputs!$B$68)*(Inputs!$B$73-Inputs!$B$72)/(Inputs!$B$69-Inputs!$B$68))*INDEX(Inputs!$D$87:$D$96,MATCH(H6,Inputs!$A$87:$A$96,1))*INDEX(Inputs!$C$100:$C$107,MATCH("Collection",Inputs!$A$100:$A$107,0))*(1+INDEX(Inputs!$B$38:$B$44,MATCH("Limited",Inputs!$A$38:$A$44,0))*INDEX(Inputs!$E$100:$E$107,MATCH("Collection",Inputs!$A$100:$A$107,0))),1),IF(F6="Pearls",ROUND((G6*Inputs!$B$48*INDEX(Inputs!$B$53:$B$56,MATCH(H6,Inputs!$A$53:$A$56,1))*Inputs!$B$58+G6*Inputs!$B$49)/J6,1),IF(F6="Gift",ROUND(250/J6,1),0)))</x:f>
        <x:v>39</x:v>
      </x:c>
      <x:c r="O6" s="121" t="n">
        <x:f aca="0">IF(F6="Coins",ROUND(N6*J6*Inputs!$B$74,0),IF(F6="Pearls",ROUND(G6*Inputs!$B$49,0),0))</x:f>
        <x:v>160</x:v>
      </x:c>
      <x:c r="P6" s="121" t="n">
        <x:f aca="0">IF(F6="Coins",ROUND(G6+M6*J6,0),IF(F6="Pearls",ROUND(G6*Inputs!$B$47*INDEX(Inputs!$B$53:$B$56,MATCH(H6,Inputs!$A$53:$A$56,1))*Inputs!$B$58,0),0))</x:f>
        <x:v>8078</x:v>
      </x:c>
      <x:c r="Q6" s="121" t="n">
        <x:f>IF(F6="Coins",MAX(1,ROUND(N6*J6-O6,0)),IF(F6="Pearls",ROUND(G6*Inputs!$B$48*INDEX(Inputs!$B$53:$B$56,MATCH(H6,Inputs!$A$53:$A$56,1))*Inputs!$B$58,0),IF(F6="Gift",250,0)))</x:f>
        <x:v>1711</x:v>
      </x:c>
      <x:c r="R6" s="121" t="n">
        <x:f>IF(F6="Coins",ROUND(G6+(P6-G6)*Inputs!$B$22,0),ROUND(P6*Inputs!$B$22,0))</x:f>
        <x:v>2020</x:v>
      </x:c>
      <x:c r="S6" s="121" t="n">
        <x:f>ROUND(Q6*Inputs!$B$22,0)</x:f>
        <x:v>428</x:v>
      </x:c>
      <x:c r="T6" s="127" t="n">
        <x:f>IF(F6="Pearls",ROUND(P6/G6,0),0)</x:f>
        <x:v>1010</x:v>
      </x:c>
      <x:c r="U6" s="127" t="n">
        <x:f>IF(F6="Pearls",ROUND((O6+Q6)/G6,0),0)</x:f>
        <x:v>234</x:v>
      </x:c>
      <x:c r="V6" s="121" t="n">
        <x:f>IF(F6="Coins",ROUND((P6-G6)/J6,1),IF(F6="Pearls",ROUND(P6/J6,1),0))</x:f>
        <x:v>168.3</x:v>
      </x:c>
      <x:c r="W6" s="121" t="n">
        <x:f>ROUND((O6+Q6)/J6,1)</x:f>
        <x:v>39</x:v>
      </x:c>
      <x:c r="X6" s="118" t="str">
        <x:f>IF(H6&lt;1,"Active",IF(H6&lt;12,"Balanced","Idle"))</x:f>
        <x:v>Idle</x:v>
      </x:c>
      <x:c r="Y6" s="118" t="str">
        <x:f>IF(F6="Gift","Free / non-resellable",IF(AND(F6="Pearls",T6&gt;1300),"Pearl conversion high","OK"))</x:f>
        <x:v>OK</x:v>
      </x:c>
      <x:c r="Z6" s="118" t="str"/>
    </x:row>
    <x:row r="7" ht="15" hidden="0" customHeight="1">
      <x:c r="A7" s="118" t="str">
        <x:v>LE-06</x:v>
      </x:c>
      <x:c r="B7" s="118" t="str">
        <x:v>Midnight Vampire Squid</x:v>
      </x:c>
      <x:c r="C7" s="118" t="str">
        <x:v>Halloween (ultra)</x:v>
      </x:c>
      <x:c r="D7" s="118" t="str">
        <x:v>Oct 24-31 only</x:v>
      </x:c>
      <x:c r="E7" s="126" t="n">
        <x:v>25</x:v>
      </x:c>
      <x:c r="F7" s="126" t="str">
        <x:v>Pearls</x:v>
      </x:c>
      <x:c r="G7" s="126" t="n">
        <x:v>20</x:v>
      </x:c>
      <x:c r="H7" s="126" t="n">
        <x:v>48</x:v>
      </x:c>
      <x:c r="I7" s="118" t="str">
        <x:v>48 h (2 d)</x:v>
      </x:c>
      <x:c r="J7" s="121" t="n">
        <x:f aca="0">H7*Inputs!$B$19</x:f>
        <x:v>192</x:v>
      </x:c>
      <x:c r="K7" s="121" t="n">
        <x:f aca="0">H7*Inputs!$B$20</x:f>
        <x:v>96</x:v>
      </x:c>
      <x:c r="L7" s="121" t="n">
        <x:f aca="0">MIN(Inputs!$B$77,MAX(Inputs!$B$76,K7*Inputs!$B$75))</x:f>
        <x:v>24</x:v>
      </x:c>
      <x:c r="M7" s="121" t="n">
        <x:f aca="0">IF(F7="Coins",ROUND((Inputs!$B$70+(E7-Inputs!$B$68)*(Inputs!$B$71-Inputs!$B$70)/(Inputs!$B$69-Inputs!$B$68))*INDEX(Inputs!$C$87:$C$96,MATCH(H7,Inputs!$A$87:$A$96,1))*INDEX(Inputs!$B$100:$B$107,MATCH("Collection",Inputs!$A$100:$A$107,0))*(1+INDEX(Inputs!$B$38:$B$44,MATCH("Limited",Inputs!$A$38:$A$44,0))*INDEX(Inputs!$D$100:$D$107,MATCH("Collection",Inputs!$A$100:$A$107,0))),1),IF(F7="Pearls",ROUND(G7*Inputs!$B$47*INDEX(Inputs!$B$53:$B$56,MATCH(H7,Inputs!$A$53:$A$56,1))*Inputs!$B$58/J7,1),0))</x:f>
        <x:v>112.8</x:v>
      </x:c>
      <x:c r="N7" s="121" t="n">
        <x:f aca="0">IF(F7="Coins",ROUND((Inputs!$B$72+(E7-Inputs!$B$68)*(Inputs!$B$73-Inputs!$B$72)/(Inputs!$B$69-Inputs!$B$68))*INDEX(Inputs!$D$87:$D$96,MATCH(H7,Inputs!$A$87:$A$96,1))*INDEX(Inputs!$C$100:$C$107,MATCH("Collection",Inputs!$A$100:$A$107,0))*(1+INDEX(Inputs!$B$38:$B$44,MATCH("Limited",Inputs!$A$38:$A$44,0))*INDEX(Inputs!$E$100:$E$107,MATCH("Collection",Inputs!$A$100:$A$107,0))),1),IF(F7="Pearls",ROUND((G7*Inputs!$B$48*INDEX(Inputs!$B$53:$B$56,MATCH(H7,Inputs!$A$53:$A$56,1))*Inputs!$B$58+G7*Inputs!$B$49)/J7,1),IF(F7="Gift",ROUND(250/J7,1),0)))</x:f>
        <x:v>26</x:v>
      </x:c>
      <x:c r="O7" s="121" t="n">
        <x:f aca="0">IF(F7="Coins",ROUND(N7*J7*Inputs!$B$74,0),IF(F7="Pearls",ROUND(G7*Inputs!$B$49,0),0))</x:f>
        <x:v>400</x:v>
      </x:c>
      <x:c r="P7" s="121" t="n">
        <x:f aca="0">IF(F7="Coins",ROUND(G7+M7*J7,0),IF(F7="Pearls",ROUND(G7*Inputs!$B$47*INDEX(Inputs!$B$53:$B$56,MATCH(H7,Inputs!$A$53:$A$56,1))*Inputs!$B$58,0),0))</x:f>
        <x:v>21665</x:v>
      </x:c>
      <x:c r="Q7" s="121" t="n">
        <x:f>IF(F7="Coins",MAX(1,ROUND(N7*J7-O7,0)),IF(F7="Pearls",ROUND(G7*Inputs!$B$48*INDEX(Inputs!$B$53:$B$56,MATCH(H7,Inputs!$A$53:$A$56,1))*Inputs!$B$58,0),IF(F7="Gift",250,0)))</x:f>
        <x:v>4588</x:v>
      </x:c>
      <x:c r="R7" s="121" t="n">
        <x:f>IF(F7="Coins",ROUND(G7+(P7-G7)*Inputs!$B$22,0),ROUND(P7*Inputs!$B$22,0))</x:f>
        <x:v>5416</x:v>
      </x:c>
      <x:c r="S7" s="121" t="n">
        <x:f>ROUND(Q7*Inputs!$B$22,0)</x:f>
        <x:v>1147</x:v>
      </x:c>
      <x:c r="T7" s="127" t="n">
        <x:f>IF(F7="Pearls",ROUND(P7/G7,0),0)</x:f>
        <x:v>1083</x:v>
      </x:c>
      <x:c r="U7" s="127" t="n">
        <x:f>IF(F7="Pearls",ROUND((O7+Q7)/G7,0),0)</x:f>
        <x:v>249</x:v>
      </x:c>
      <x:c r="V7" s="121" t="n">
        <x:f>IF(F7="Coins",ROUND((P7-G7)/J7,1),IF(F7="Pearls",ROUND(P7/J7,1),0))</x:f>
        <x:v>112.8</x:v>
      </x:c>
      <x:c r="W7" s="121" t="n">
        <x:f>ROUND((O7+Q7)/J7,1)</x:f>
        <x:v>26</x:v>
      </x:c>
      <x:c r="X7" s="118" t="str">
        <x:f>IF(H7&lt;1,"Active",IF(H7&lt;12,"Balanced","Idle"))</x:f>
        <x:v>Idle</x:v>
      </x:c>
      <x:c r="Y7" s="118" t="str">
        <x:f>IF(F7="Gift","Free / non-resellable",IF(AND(F7="Pearls",T7&gt;1300),"Pearl conversion high","OK"))</x:f>
        <x:v>OK</x:v>
      </x:c>
      <x:c r="Z7" s="118" t="str">
        <x:v>Rarest LE; 1-week window</x:v>
      </x:c>
    </x:row>
    <x:row r="8" ht="15" hidden="0" customHeight="1">
      <x:c r="A8" s="118" t="str">
        <x:v>LE-07</x:v>
      </x:c>
      <x:c r="B8" s="118" t="str">
        <x:v>Santa Clownfish</x:v>
      </x:c>
      <x:c r="C8" s="118" t="str">
        <x:v>Winterfest</x:v>
      </x:c>
      <x:c r="D8" s="118" t="str">
        <x:v>Dec 10-31</x:v>
      </x:c>
      <x:c r="E8" s="126" t="n">
        <x:v>5</x:v>
      </x:c>
      <x:c r="F8" s="126" t="str">
        <x:v>Pearls</x:v>
      </x:c>
      <x:c r="G8" s="126" t="n">
        <x:v>6</x:v>
      </x:c>
      <x:c r="H8" s="126" t="n">
        <x:v>8</x:v>
      </x:c>
      <x:c r="I8" s="118" t="str">
        <x:v>8 h</x:v>
      </x:c>
      <x:c r="J8" s="121" t="n">
        <x:f aca="0">H8*Inputs!$B$19</x:f>
        <x:v>32</x:v>
      </x:c>
      <x:c r="K8" s="121" t="n">
        <x:f aca="0">H8*Inputs!$B$20</x:f>
        <x:v>16</x:v>
      </x:c>
      <x:c r="L8" s="121" t="n">
        <x:f aca="0">MIN(Inputs!$B$77,MAX(Inputs!$B$76,K8*Inputs!$B$75))</x:f>
        <x:v>4</x:v>
      </x:c>
      <x:c r="M8" s="121" t="n">
        <x:f aca="0">IF(F8="Coins",ROUND((Inputs!$B$70+(E8-Inputs!$B$68)*(Inputs!$B$71-Inputs!$B$70)/(Inputs!$B$69-Inputs!$B$68))*INDEX(Inputs!$C$87:$C$96,MATCH(H8,Inputs!$A$87:$A$96,1))*INDEX(Inputs!$B$100:$B$107,MATCH("Collection",Inputs!$A$100:$A$107,0))*(1+INDEX(Inputs!$B$38:$B$44,MATCH("Limited",Inputs!$A$38:$A$44,0))*INDEX(Inputs!$D$100:$D$107,MATCH("Collection",Inputs!$A$100:$A$107,0))),1),IF(F8="Pearls",ROUND(G8*Inputs!$B$47*INDEX(Inputs!$B$53:$B$56,MATCH(H8,Inputs!$A$53:$A$56,1))*Inputs!$B$58/J8,1),0))</x:f>
        <x:v>189.3</x:v>
      </x:c>
      <x:c r="N8" s="121" t="n">
        <x:f aca="0">IF(F8="Coins",ROUND((Inputs!$B$72+(E8-Inputs!$B$68)*(Inputs!$B$73-Inputs!$B$72)/(Inputs!$B$69-Inputs!$B$68))*INDEX(Inputs!$D$87:$D$96,MATCH(H8,Inputs!$A$87:$A$96,1))*INDEX(Inputs!$C$100:$C$107,MATCH("Collection",Inputs!$A$100:$A$107,0))*(1+INDEX(Inputs!$B$38:$B$44,MATCH("Limited",Inputs!$A$38:$A$44,0))*INDEX(Inputs!$E$100:$E$107,MATCH("Collection",Inputs!$A$100:$A$107,0))),1),IF(F8="Pearls",ROUND((G8*Inputs!$B$48*INDEX(Inputs!$B$53:$B$56,MATCH(H8,Inputs!$A$53:$A$56,1))*Inputs!$B$58+G8*Inputs!$B$49)/J8,1),IF(F8="Gift",ROUND(250/J8,1),0)))</x:f>
        <x:v>43.8</x:v>
      </x:c>
      <x:c r="O8" s="121" t="n">
        <x:f aca="0">IF(F8="Coins",ROUND(N8*J8*Inputs!$B$74,0),IF(F8="Pearls",ROUND(G8*Inputs!$B$49,0),0))</x:f>
        <x:v>120</x:v>
      </x:c>
      <x:c r="P8" s="121" t="n">
        <x:f aca="0">IF(F8="Coins",ROUND(G8+M8*J8,0),IF(F8="Pearls",ROUND(G8*Inputs!$B$47*INDEX(Inputs!$B$53:$B$56,MATCH(H8,Inputs!$A$53:$A$56,1))*Inputs!$B$58,0),0))</x:f>
        <x:v>6059</x:v>
      </x:c>
      <x:c r="Q8" s="121" t="n">
        <x:f>IF(F8="Coins",MAX(1,ROUND(N8*J8-O8,0)),IF(F8="Pearls",ROUND(G8*Inputs!$B$48*INDEX(Inputs!$B$53:$B$56,MATCH(H8,Inputs!$A$53:$A$56,1))*Inputs!$B$58,0),IF(F8="Gift",250,0)))</x:f>
        <x:v>1283</x:v>
      </x:c>
      <x:c r="R8" s="121" t="n">
        <x:f>IF(F8="Coins",ROUND(G8+(P8-G8)*Inputs!$B$22,0),ROUND(P8*Inputs!$B$22,0))</x:f>
        <x:v>1515</x:v>
      </x:c>
      <x:c r="S8" s="121" t="n">
        <x:f>ROUND(Q8*Inputs!$B$22,0)</x:f>
        <x:v>321</x:v>
      </x:c>
      <x:c r="T8" s="127" t="n">
        <x:f>IF(F8="Pearls",ROUND(P8/G8,0),0)</x:f>
        <x:v>1010</x:v>
      </x:c>
      <x:c r="U8" s="127" t="n">
        <x:f>IF(F8="Pearls",ROUND((O8+Q8)/G8,0),0)</x:f>
        <x:v>234</x:v>
      </x:c>
      <x:c r="V8" s="121" t="n">
        <x:f>IF(F8="Coins",ROUND((P8-G8)/J8,1),IF(F8="Pearls",ROUND(P8/J8,1),0))</x:f>
        <x:v>189.3</x:v>
      </x:c>
      <x:c r="W8" s="121" t="n">
        <x:f>ROUND((O8+Q8)/J8,1)</x:f>
        <x:v>43.8</x:v>
      </x:c>
      <x:c r="X8" s="118" t="str">
        <x:f>IF(H8&lt;1,"Active",IF(H8&lt;12,"Balanced","Idle"))</x:f>
        <x:v>Balanced</x:v>
      </x:c>
      <x:c r="Y8" s="118" t="str">
        <x:f>IF(F8="Gift","Free / non-resellable",IF(AND(F8="Pearls",T8&gt;1300),"Pearl conversion high","OK"))</x:f>
        <x:v>OK</x:v>
      </x:c>
      <x:c r="Z8" s="118" t="str"/>
    </x:row>
    <x:row r="9" ht="15" hidden="0" customHeight="1">
      <x:c r="A9" s="118" t="str">
        <x:v>LE-08</x:v>
      </x:c>
      <x:c r="B9" s="118" t="str">
        <x:v>Frost Angelfish</x:v>
      </x:c>
      <x:c r="C9" s="118" t="str">
        <x:v>Winterfest</x:v>
      </x:c>
      <x:c r="D9" s="118" t="str">
        <x:v>Dec 10-Jan 6</x:v>
      </x:c>
      <x:c r="E9" s="126" t="n">
        <x:v>15</x:v>
      </x:c>
      <x:c r="F9" s="126" t="str">
        <x:v>Pearls</x:v>
      </x:c>
      <x:c r="G9" s="126" t="n">
        <x:v>9</x:v>
      </x:c>
      <x:c r="H9" s="126" t="n">
        <x:v>18</x:v>
      </x:c>
      <x:c r="I9" s="118" t="str">
        <x:v>18 h</x:v>
      </x:c>
      <x:c r="J9" s="121" t="n">
        <x:f aca="0">H9*Inputs!$B$19</x:f>
        <x:v>72</x:v>
      </x:c>
      <x:c r="K9" s="121" t="n">
        <x:f aca="0">H9*Inputs!$B$20</x:f>
        <x:v>36</x:v>
      </x:c>
      <x:c r="L9" s="121" t="n">
        <x:f aca="0">MIN(Inputs!$B$77,MAX(Inputs!$B$76,K9*Inputs!$B$75))</x:f>
        <x:v>9</x:v>
      </x:c>
      <x:c r="M9" s="121" t="n">
        <x:f aca="0">IF(F9="Coins",ROUND((Inputs!$B$70+(E9-Inputs!$B$68)*(Inputs!$B$71-Inputs!$B$70)/(Inputs!$B$69-Inputs!$B$68))*INDEX(Inputs!$C$87:$C$96,MATCH(H9,Inputs!$A$87:$A$96,1))*INDEX(Inputs!$B$100:$B$107,MATCH("Collection",Inputs!$A$100:$A$107,0))*(1+INDEX(Inputs!$B$38:$B$44,MATCH("Limited",Inputs!$A$38:$A$44,0))*INDEX(Inputs!$D$100:$D$107,MATCH("Collection",Inputs!$A$100:$A$107,0))),1),IF(F9="Pearls",ROUND(G9*Inputs!$B$47*INDEX(Inputs!$B$53:$B$56,MATCH(H9,Inputs!$A$53:$A$56,1))*Inputs!$B$58/J9,1),0))</x:f>
        <x:v>126.2</x:v>
      </x:c>
      <x:c r="N9" s="121" t="n">
        <x:f aca="0">IF(F9="Coins",ROUND((Inputs!$B$72+(E9-Inputs!$B$68)*(Inputs!$B$73-Inputs!$B$72)/(Inputs!$B$69-Inputs!$B$68))*INDEX(Inputs!$D$87:$D$96,MATCH(H9,Inputs!$A$87:$A$96,1))*INDEX(Inputs!$C$100:$C$107,MATCH("Collection",Inputs!$A$100:$A$107,0))*(1+INDEX(Inputs!$B$38:$B$44,MATCH("Limited",Inputs!$A$38:$A$44,0))*INDEX(Inputs!$E$100:$E$107,MATCH("Collection",Inputs!$A$100:$A$107,0))),1),IF(F9="Pearls",ROUND((G9*Inputs!$B$48*INDEX(Inputs!$B$53:$B$56,MATCH(H9,Inputs!$A$53:$A$56,1))*Inputs!$B$58+G9*Inputs!$B$49)/J9,1),IF(F9="Gift",ROUND(250/J9,1),0)))</x:f>
        <x:v>29.2</x:v>
      </x:c>
      <x:c r="O9" s="121" t="n">
        <x:f aca="0">IF(F9="Coins",ROUND(N9*J9*Inputs!$B$74,0),IF(F9="Pearls",ROUND(G9*Inputs!$B$49,0),0))</x:f>
        <x:v>180</x:v>
      </x:c>
      <x:c r="P9" s="121" t="n">
        <x:f aca="0">IF(F9="Coins",ROUND(G9+M9*J9,0),IF(F9="Pearls",ROUND(G9*Inputs!$B$47*INDEX(Inputs!$B$53:$B$56,MATCH(H9,Inputs!$A$53:$A$56,1))*Inputs!$B$58,0),0))</x:f>
        <x:v>9088</x:v>
      </x:c>
      <x:c r="Q9" s="121" t="n">
        <x:f>IF(F9="Coins",MAX(1,ROUND(N9*J9-O9,0)),IF(F9="Pearls",ROUND(G9*Inputs!$B$48*INDEX(Inputs!$B$53:$B$56,MATCH(H9,Inputs!$A$53:$A$56,1))*Inputs!$B$58,0),IF(F9="Gift",250,0)))</x:f>
        <x:v>1925</x:v>
      </x:c>
      <x:c r="R9" s="121" t="n">
        <x:f>IF(F9="Coins",ROUND(G9+(P9-G9)*Inputs!$B$22,0),ROUND(P9*Inputs!$B$22,0))</x:f>
        <x:v>2272</x:v>
      </x:c>
      <x:c r="S9" s="121" t="n">
        <x:f>ROUND(Q9*Inputs!$B$22,0)</x:f>
        <x:v>481</x:v>
      </x:c>
      <x:c r="T9" s="127" t="n">
        <x:f>IF(F9="Pearls",ROUND(P9/G9,0),0)</x:f>
        <x:v>1010</x:v>
      </x:c>
      <x:c r="U9" s="127" t="n">
        <x:f>IF(F9="Pearls",ROUND((O9+Q9)/G9,0),0)</x:f>
        <x:v>234</x:v>
      </x:c>
      <x:c r="V9" s="121" t="n">
        <x:f>IF(F9="Coins",ROUND((P9-G9)/J9,1),IF(F9="Pearls",ROUND(P9/J9,1),0))</x:f>
        <x:v>126.2</x:v>
      </x:c>
      <x:c r="W9" s="121" t="n">
        <x:f>ROUND((O9+Q9)/J9,1)</x:f>
        <x:v>29.2</x:v>
      </x:c>
      <x:c r="X9" s="118" t="str">
        <x:f>IF(H9&lt;1,"Active",IF(H9&lt;12,"Balanced","Idle"))</x:f>
        <x:v>Idle</x:v>
      </x:c>
      <x:c r="Y9" s="118" t="str">
        <x:f>IF(F9="Gift","Free / non-resellable",IF(AND(F9="Pearls",T9&gt;1300),"Pearl conversion high","OK"))</x:f>
        <x:v>OK</x:v>
      </x:c>
      <x:c r="Z9" s="118" t="str"/>
    </x:row>
    <x:row r="10" ht="15" hidden="0" customHeight="1">
      <x:c r="A10" s="118" t="str">
        <x:v>LE-09</x:v>
      </x:c>
      <x:c r="B10" s="118" t="str">
        <x:v>Golden Koi</x:v>
      </x:c>
      <x:c r="C10" s="118" t="str">
        <x:v>Lunar New Year</x:v>
      </x:c>
      <x:c r="D10" s="118" t="str">
        <x:v>Jan 25-Feb 8</x:v>
      </x:c>
      <x:c r="E10" s="126" t="n">
        <x:v>10</x:v>
      </x:c>
      <x:c r="F10" s="126" t="str">
        <x:v>Pearls</x:v>
      </x:c>
      <x:c r="G10" s="126" t="n">
        <x:v>10</x:v>
      </x:c>
      <x:c r="H10" s="126" t="n">
        <x:v>24</x:v>
      </x:c>
      <x:c r="I10" s="118" t="str">
        <x:v>24 h (1 d)</x:v>
      </x:c>
      <x:c r="J10" s="121" t="n">
        <x:f aca="0">H10*Inputs!$B$19</x:f>
        <x:v>96</x:v>
      </x:c>
      <x:c r="K10" s="121" t="n">
        <x:f aca="0">H10*Inputs!$B$20</x:f>
        <x:v>48</x:v>
      </x:c>
      <x:c r="L10" s="121" t="n">
        <x:f aca="0">MIN(Inputs!$B$77,MAX(Inputs!$B$76,K10*Inputs!$B$75))</x:f>
        <x:v>12</x:v>
      </x:c>
      <x:c r="M10" s="121" t="n">
        <x:f aca="0">IF(F10="Coins",ROUND((Inputs!$B$70+(E10-Inputs!$B$68)*(Inputs!$B$71-Inputs!$B$70)/(Inputs!$B$69-Inputs!$B$68))*INDEX(Inputs!$C$87:$C$96,MATCH(H10,Inputs!$A$87:$A$96,1))*INDEX(Inputs!$B$100:$B$107,MATCH("Collection",Inputs!$A$100:$A$107,0))*(1+INDEX(Inputs!$B$38:$B$44,MATCH("Limited",Inputs!$A$38:$A$44,0))*INDEX(Inputs!$D$100:$D$107,MATCH("Collection",Inputs!$A$100:$A$107,0))),1),IF(F10="Pearls",ROUND(G10*Inputs!$B$47*INDEX(Inputs!$B$53:$B$56,MATCH(H10,Inputs!$A$53:$A$56,1))*Inputs!$B$58/J10,1),0))</x:f>
        <x:v>112.8</x:v>
      </x:c>
      <x:c r="N10" s="121" t="n">
        <x:f aca="0">IF(F10="Coins",ROUND((Inputs!$B$72+(E10-Inputs!$B$68)*(Inputs!$B$73-Inputs!$B$72)/(Inputs!$B$69-Inputs!$B$68))*INDEX(Inputs!$D$87:$D$96,MATCH(H10,Inputs!$A$87:$A$96,1))*INDEX(Inputs!$C$100:$C$107,MATCH("Collection",Inputs!$A$100:$A$107,0))*(1+INDEX(Inputs!$B$38:$B$44,MATCH("Limited",Inputs!$A$38:$A$44,0))*INDEX(Inputs!$E$100:$E$107,MATCH("Collection",Inputs!$A$100:$A$107,0))),1),IF(F10="Pearls",ROUND((G10*Inputs!$B$48*INDEX(Inputs!$B$53:$B$56,MATCH(H10,Inputs!$A$53:$A$56,1))*Inputs!$B$58+G10*Inputs!$B$49)/J10,1),IF(F10="Gift",ROUND(250/J10,1),0)))</x:f>
        <x:v>26</x:v>
      </x:c>
      <x:c r="O10" s="121" t="n">
        <x:f aca="0">IF(F10="Coins",ROUND(N10*J10*Inputs!$B$74,0),IF(F10="Pearls",ROUND(G10*Inputs!$B$49,0),0))</x:f>
        <x:v>200</x:v>
      </x:c>
      <x:c r="P10" s="121" t="n">
        <x:f aca="0">IF(F10="Coins",ROUND(G10+M10*J10,0),IF(F10="Pearls",ROUND(G10*Inputs!$B$47*INDEX(Inputs!$B$53:$B$56,MATCH(H10,Inputs!$A$53:$A$56,1))*Inputs!$B$58,0),0))</x:f>
        <x:v>10832</x:v>
      </x:c>
      <x:c r="Q10" s="121" t="n">
        <x:f>IF(F10="Coins",MAX(1,ROUND(N10*J10-O10,0)),IF(F10="Pearls",ROUND(G10*Inputs!$B$48*INDEX(Inputs!$B$53:$B$56,MATCH(H10,Inputs!$A$53:$A$56,1))*Inputs!$B$58,0),IF(F10="Gift",250,0)))</x:f>
        <x:v>2294</x:v>
      </x:c>
      <x:c r="R10" s="121" t="n">
        <x:f>IF(F10="Coins",ROUND(G10+(P10-G10)*Inputs!$B$22,0),ROUND(P10*Inputs!$B$22,0))</x:f>
        <x:v>2708</x:v>
      </x:c>
      <x:c r="S10" s="121" t="n">
        <x:f>ROUND(Q10*Inputs!$B$22,0)</x:f>
        <x:v>574</x:v>
      </x:c>
      <x:c r="T10" s="127" t="n">
        <x:f>IF(F10="Pearls",ROUND(P10/G10,0),0)</x:f>
        <x:v>1083</x:v>
      </x:c>
      <x:c r="U10" s="127" t="n">
        <x:f>IF(F10="Pearls",ROUND((O10+Q10)/G10,0),0)</x:f>
        <x:v>249</x:v>
      </x:c>
      <x:c r="V10" s="121" t="n">
        <x:f>IF(F10="Coins",ROUND((P10-G10)/J10,1),IF(F10="Pearls",ROUND(P10/J10,1),0))</x:f>
        <x:v>112.8</x:v>
      </x:c>
      <x:c r="W10" s="121" t="n">
        <x:f>ROUND((O10+Q10)/J10,1)</x:f>
        <x:v>26</x:v>
      </x:c>
      <x:c r="X10" s="118" t="str">
        <x:f>IF(H10&lt;1,"Active",IF(H10&lt;12,"Balanced","Idle"))</x:f>
        <x:v>Idle</x:v>
      </x:c>
      <x:c r="Y10" s="118" t="str">
        <x:f>IF(F10="Gift","Free / non-resellable",IF(AND(F10="Pearls",T10&gt;1300),"Pearl conversion high","OK"))</x:f>
        <x:v>OK</x:v>
      </x:c>
      <x:c r="Z10" s="118" t="str">
        <x:v>Lunar trophy; no longer best pearl-to-coin conversion.</x:v>
      </x:c>
    </x:row>
    <x:row r="11" ht="39.599998474121094" hidden="0" customHeight="1">
      <x:c r="A11" s="118" t="str">
        <x:v>LE-10</x:v>
      </x:c>
      <x:c r="B11" s="118" t="str">
        <x:v>Anniversary Rainbowfish</x:v>
      </x:c>
      <x:c r="C11" s="118" t="str">
        <x:v>Game Anniversary</x:v>
      </x:c>
      <x:c r="D11" s="118" t="str">
        <x:v>1 week, yearly</x:v>
      </x:c>
      <x:c r="E11" s="126" t="n">
        <x:v>1</x:v>
      </x:c>
      <x:c r="F11" s="126" t="str">
        <x:v>Gift</x:v>
      </x:c>
      <x:c r="G11" s="126" t="n">
        <x:v>0</x:v>
      </x:c>
      <x:c r="H11" s="126" t="n">
        <x:v>36</x:v>
      </x:c>
      <x:c r="I11" s="118" t="str">
        <x:v>36 h (1.5 d)</x:v>
      </x:c>
      <x:c r="J11" s="121" t="n">
        <x:f aca="0">H11*Inputs!$B$19</x:f>
        <x:v>144</x:v>
      </x:c>
      <x:c r="K11" s="121" t="n">
        <x:f aca="0">H11*Inputs!$B$20</x:f>
        <x:v>72</x:v>
      </x:c>
      <x:c r="L11" s="121" t="n">
        <x:f aca="0">MIN(Inputs!$B$77,MAX(Inputs!$B$76,K11*Inputs!$B$75))</x:f>
        <x:v>18</x:v>
      </x:c>
      <x:c r="M11" s="121" t="n">
        <x:f aca="0">IF(F11="Coins",ROUND((Inputs!$B$70+(E11-Inputs!$B$68)*(Inputs!$B$71-Inputs!$B$70)/(Inputs!$B$69-Inputs!$B$68))*INDEX(Inputs!$C$87:$C$96,MATCH(H11,Inputs!$A$87:$A$96,1))*INDEX(Inputs!$B$100:$B$107,MATCH("Collection",Inputs!$A$100:$A$107,0))*(1+INDEX(Inputs!$B$38:$B$44,MATCH("Limited",Inputs!$A$38:$A$44,0))*INDEX(Inputs!$D$100:$D$107,MATCH("Collection",Inputs!$A$100:$A$107,0))),1),IF(F11="Pearls",ROUND(G11*Inputs!$B$47*INDEX(Inputs!$B$53:$B$56,MATCH(H11,Inputs!$A$53:$A$56,1))*Inputs!$B$58/J11,1),0))</x:f>
        <x:v>0</x:v>
      </x:c>
      <x:c r="N11" s="121" t="n">
        <x:f aca="0">IF(F11="Coins",ROUND((Inputs!$B$72+(E11-Inputs!$B$68)*(Inputs!$B$73-Inputs!$B$72)/(Inputs!$B$69-Inputs!$B$68))*INDEX(Inputs!$D$87:$D$96,MATCH(H11,Inputs!$A$87:$A$96,1))*INDEX(Inputs!$C$100:$C$107,MATCH("Collection",Inputs!$A$100:$A$107,0))*(1+INDEX(Inputs!$B$38:$B$44,MATCH("Limited",Inputs!$A$38:$A$44,0))*INDEX(Inputs!$E$100:$E$107,MATCH("Collection",Inputs!$A$100:$A$107,0))),1),IF(F11="Pearls",ROUND((G11*Inputs!$B$48*INDEX(Inputs!$B$53:$B$56,MATCH(H11,Inputs!$A$53:$A$56,1))*Inputs!$B$58+G11*Inputs!$B$49)/J11,1),IF(F11="Gift",ROUND(250/J11,1),0)))</x:f>
        <x:v>1.7</x:v>
      </x:c>
      <x:c r="O11" s="121" t="n">
        <x:f aca="0">IF(F11="Coins",ROUND(N11*J11*Inputs!$B$74,0),IF(F11="Pearls",ROUND(G11*Inputs!$B$49,0),0))</x:f>
        <x:v>0</x:v>
      </x:c>
      <x:c r="P11" s="121" t="n">
        <x:f aca="0">IF(F11="Coins",ROUND(G11+M11*J11,0),IF(F11="Pearls",ROUND(G11*Inputs!$B$47*INDEX(Inputs!$B$53:$B$56,MATCH(H11,Inputs!$A$53:$A$56,1))*Inputs!$B$58,0),0))</x:f>
        <x:v>0</x:v>
      </x:c>
      <x:c r="Q11" s="121" t="n">
        <x:f>IF(F11="Coins",MAX(1,ROUND(N11*J11-O11,0)),IF(F11="Pearls",ROUND(G11*Inputs!$B$48*INDEX(Inputs!$B$53:$B$56,MATCH(H11,Inputs!$A$53:$A$56,1))*Inputs!$B$58,0),IF(F11="Gift",250,0)))</x:f>
        <x:v>250</x:v>
      </x:c>
      <x:c r="R11" s="121" t="n">
        <x:f>IF(F11="Coins",ROUND(G11+(P11-G11)*Inputs!$B$22,0),ROUND(P11*Inputs!$B$22,0))</x:f>
        <x:v>0</x:v>
      </x:c>
      <x:c r="S11" s="121" t="n">
        <x:f>ROUND(Q11*Inputs!$B$22,0)</x:f>
        <x:v>63</x:v>
      </x:c>
      <x:c r="T11" s="127" t="n">
        <x:f>IF(F11="Pearls",ROUND(P11/G11,0),0)</x:f>
        <x:v>0</x:v>
      </x:c>
      <x:c r="U11" s="127" t="n">
        <x:f>IF(F11="Pearls",ROUND((O11+Q11)/G11,0),0)</x:f>
        <x:v>0</x:v>
      </x:c>
      <x:c r="V11" s="121" t="n">
        <x:f>IF(F11="Coins",ROUND((P11-G11)/J11,1),IF(F11="Pearls",ROUND(P11/J11,1),0))</x:f>
        <x:v>0</x:v>
      </x:c>
      <x:c r="W11" s="121" t="n">
        <x:f>ROUND((O11+Q11)/J11,1)</x:f>
        <x:v>1.7</x:v>
      </x:c>
      <x:c r="X11" s="118" t="str">
        <x:f>IF(H11&lt;1,"Active",IF(H11&lt;12,"Balanced","Idle"))</x:f>
        <x:v>Idle</x:v>
      </x:c>
      <x:c r="Y11" s="118" t="str">
        <x:f>IF(F11="Gift","Free / non-resellable",IF(AND(F11="Pearls",T11&gt;1300),"Pearl conversion high","OK"))</x:f>
        <x:v>Free / non-resellable</x:v>
      </x:c>
      <x:c r="Z11" s="118" t="str">
        <x:v>Free anniversary claim; non-resellable gift version to avoid free coin farming.</x:v>
      </x:c>
    </x:row>
  </x:sheetData>
  <x:conditionalFormatting sqref="Y2:Y11">
    <x:cfRule type="expression" dxfId="6" priority="1">
      <x:formula>Y2="OK"</x:formula>
    </x:cfRule>
    <x:cfRule type="expression" dxfId="7" priority="2">
      <x:formula>Y2&lt;&gt;"OK"</x:formula>
    </x:cfRule>
  </x:conditionalFormatting>
  <x:dataValidations count="1">
    <x:dataValidation type="list" sqref="F2:F11">
      <x:formula1>"Coins,Pearls,Gift"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7" hidden="0" customWidth="1"/>
    <x:col min="2" max="2" width="10" hidden="0" customWidth="1"/>
    <x:col min="3" max="3" width="26" hidden="0" customWidth="1"/>
    <x:col min="4" max="4" width="11" hidden="0" customWidth="1"/>
    <x:col min="5" max="5" width="18" hidden="0" customWidth="1"/>
    <x:col min="6" max="6" width="32" hidden="0" customWidth="1"/>
    <x:col min="7" max="7" width="18" hidden="0" customWidth="1"/>
    <x:col min="8" max="8" width="11" hidden="0" customWidth="1"/>
    <x:col min="9" max="9" width="22" hidden="0" customWidth="1"/>
    <x:col min="10" max="10" width="38" hidden="0" customWidth="1"/>
  </x:cols>
  <x:sheetData>
    <x:row r="1" ht="17.350000381469727" hidden="0">
      <x:c r="A1" s="4" t="s">
        <x:v>0</x:v>
      </x:c>
    </x:row>
    <x:row r="3" ht="30" hidden="0" customHeight="1">
      <x:c r="A3" s="22" t="s">
        <x:v>1</x:v>
      </x:c>
      <x:c r="B3" s="22" t="s">
        <x:v>2</x:v>
      </x:c>
      <x:c r="C3" s="22" t="s">
        <x:v>3</x:v>
      </x:c>
      <x:c r="D3" s="22" t="s">
        <x:v>4</x:v>
      </x:c>
      <x:c r="E3" s="22" t="s">
        <x:v>5</x:v>
      </x:c>
      <x:c r="F3" s="22" t="s">
        <x:v>6</x:v>
      </x:c>
      <x:c r="G3" s="22" t="s">
        <x:v>7</x:v>
      </x:c>
      <x:c r="H3" s="22" t="s">
        <x:v>8</x:v>
      </x:c>
      <x:c r="I3" s="22" t="s">
        <x:v>9</x:v>
      </x:c>
      <x:c r="J3" s="22" t="s">
        <x:v>10</x:v>
      </x:c>
    </x:row>
    <x:row r="4" ht="15" hidden="0" customHeight="1">
      <x:c r="A4" s="23" t="n">
        <x:v>1</x:v>
      </x:c>
      <x:c r="B4" s="13" t="s">
        <x:v>11</x:v>
      </x:c>
      <x:c r="C4" s="13" t="s">
        <x:v>12</x:v>
      </x:c>
      <x:c r="D4" s="13" t="s">
        <x:v>13</x:v>
      </x:c>
      <x:c r="E4" s="136" t="s">
        <x:v>14</x:v>
      </x:c>
      <x:c r="F4" s="136" t="s">
        <x:v>15</x:v>
      </x:c>
      <x:c r="G4" s="13" t="s">
        <x:v>15</x:v>
      </x:c>
      <x:c r="H4" s="13" t="s">
        <x:v>16</x:v>
      </x:c>
      <x:c r="I4" s="13" t="s">
        <x:v>15</x:v>
      </x:c>
      <x:c r="J4" s="13" t="s">
        <x:v>17</x:v>
      </x:c>
    </x:row>
    <x:row r="5" ht="15" hidden="0" customHeight="1">
      <x:c r="A5" s="23" t="n">
        <x:v>2</x:v>
      </x:c>
      <x:c r="B5" s="13" t="s">
        <x:v>11</x:v>
      </x:c>
      <x:c r="C5" s="13" t="s">
        <x:v>18</x:v>
      </x:c>
      <x:c r="D5" s="13" t="s">
        <x:v>13</x:v>
      </x:c>
      <x:c r="E5" s="136" t="s">
        <x:v>19</x:v>
      </x:c>
      <x:c r="F5" s="136" t="str">
        <x:v>Bubble Eye Goldfish [one-time tutorial]</x:v>
      </x:c>
      <x:c r="G5" s="13" t="s">
        <x:v>15</x:v>
      </x:c>
      <x:c r="H5" s="13" t="s">
        <x:v>20</x:v>
      </x:c>
      <x:c r="I5" s="13" t="s">
        <x:v>15</x:v>
      </x:c>
      <x:c r="J5" s="13" t="s">
        <x:v>17</x:v>
      </x:c>
    </x:row>
    <x:row r="6" ht="15" hidden="0" customHeight="1">
      <x:c r="A6" s="23" t="n">
        <x:v>3</x:v>
      </x:c>
      <x:c r="B6" s="13" t="s">
        <x:v>11</x:v>
      </x:c>
      <x:c r="C6" s="13" t="s">
        <x:v>21</x:v>
      </x:c>
      <x:c r="D6" s="13" t="s">
        <x:v>15</x:v>
      </x:c>
      <x:c r="E6" s="136" t="s">
        <x:v>15</x:v>
      </x:c>
      <x:c r="F6" s="136" t="s">
        <x:v>15</x:v>
      </x:c>
      <x:c r="G6" s="13" t="s">
        <x:v>15</x:v>
      </x:c>
      <x:c r="H6" s="13" t="s">
        <x:v>22</x:v>
      </x:c>
      <x:c r="I6" s="13" t="s">
        <x:v>15</x:v>
      </x:c>
      <x:c r="J6" s="13" t="s">
        <x:v>17</x:v>
      </x:c>
    </x:row>
    <x:row r="7" ht="15" hidden="0" customHeight="1">
      <x:c r="A7" s="23" t="n">
        <x:v>4</x:v>
      </x:c>
      <x:c r="B7" s="13" t="s">
        <x:v>11</x:v>
      </x:c>
      <x:c r="C7" s="13" t="s">
        <x:v>23</x:v>
      </x:c>
      <x:c r="D7" s="13" t="s">
        <x:v>13</x:v>
      </x:c>
      <x:c r="E7" s="136" t="s">
        <x:v>24</x:v>
      </x:c>
      <x:c r="F7" s="136" t="s">
        <x:v>15</x:v>
      </x:c>
      <x:c r="G7" s="13" t="s">
        <x:v>25</x:v>
      </x:c>
      <x:c r="H7" s="13" t="s">
        <x:v>26</x:v>
      </x:c>
      <x:c r="I7" s="13" t="s">
        <x:v>15</x:v>
      </x:c>
      <x:c r="J7" s="13" t="s">
        <x:v>17</x:v>
      </x:c>
    </x:row>
    <x:row r="8" ht="15" hidden="0" customHeight="1">
      <x:c r="A8" s="23" t="n">
        <x:v>5</x:v>
      </x:c>
      <x:c r="B8" s="13" t="s">
        <x:v>11</x:v>
      </x:c>
      <x:c r="C8" s="13" t="s">
        <x:v>21</x:v>
      </x:c>
      <x:c r="D8" s="13" t="s">
        <x:v>15</x:v>
      </x:c>
      <x:c r="E8" s="136" t="s">
        <x:v>15</x:v>
      </x:c>
      <x:c r="F8" s="136" t="s">
        <x:v>27</x:v>
      </x:c>
      <x:c r="G8" s="13" t="s">
        <x:v>15</x:v>
      </x:c>
      <x:c r="H8" s="13" t="s">
        <x:v>28</x:v>
      </x:c>
      <x:c r="I8" s="13" t="s">
        <x:v>29</x:v>
      </x:c>
      <x:c r="J8" s="13" t="s">
        <x:v>17</x:v>
      </x:c>
    </x:row>
    <x:row r="9" ht="15" hidden="0" customHeight="1">
      <x:c r="A9" s="23" t="n">
        <x:v>6</x:v>
      </x:c>
      <x:c r="B9" s="13" t="s">
        <x:v>30</x:v>
      </x:c>
      <x:c r="C9" s="13" t="s">
        <x:v>31</x:v>
      </x:c>
      <x:c r="D9" s="13" t="s">
        <x:v>13</x:v>
      </x:c>
      <x:c r="E9" s="136" t="s">
        <x:v>32</x:v>
      </x:c>
      <x:c r="F9" s="136" t="s">
        <x:v>15</x:v>
      </x:c>
      <x:c r="G9" s="13" t="s">
        <x:v>15</x:v>
      </x:c>
      <x:c r="H9" s="13" t="s">
        <x:v>33</x:v>
      </x:c>
      <x:c r="I9" s="13" t="s">
        <x:v>15</x:v>
      </x:c>
      <x:c r="J9" s="13" t="s">
        <x:v>34</x:v>
      </x:c>
    </x:row>
    <x:row r="10" ht="15" hidden="0" customHeight="1">
      <x:c r="A10" s="23" t="n">
        <x:v>7</x:v>
      </x:c>
      <x:c r="B10" s="13" t="s">
        <x:v>30</x:v>
      </x:c>
      <x:c r="C10" s="13" t="s">
        <x:v>21</x:v>
      </x:c>
      <x:c r="D10" s="13" t="s">
        <x:v>15</x:v>
      </x:c>
      <x:c r="E10" s="136" t="s">
        <x:v>15</x:v>
      </x:c>
      <x:c r="F10" s="136" t="s">
        <x:v>15</x:v>
      </x:c>
      <x:c r="G10" s="13" t="s">
        <x:v>35</x:v>
      </x:c>
      <x:c r="H10" s="13" t="s">
        <x:v>36</x:v>
      </x:c>
      <x:c r="I10" s="13" t="s">
        <x:v>15</x:v>
      </x:c>
      <x:c r="J10" s="13" t="s">
        <x:v>34</x:v>
      </x:c>
    </x:row>
    <x:row r="11" ht="15" hidden="0" customHeight="1">
      <x:c r="A11" s="23" t="n">
        <x:v>8</x:v>
      </x:c>
      <x:c r="B11" s="13" t="s">
        <x:v>30</x:v>
      </x:c>
      <x:c r="C11" s="13" t="s">
        <x:v>37</x:v>
      </x:c>
      <x:c r="D11" s="13" t="s">
        <x:v>38</x:v>
      </x:c>
      <x:c r="E11" s="136" t="s">
        <x:v>39</x:v>
      </x:c>
      <x:c r="F11" s="136" t="s">
        <x:v>40</x:v>
      </x:c>
      <x:c r="G11" s="13" t="s">
        <x:v>15</x:v>
      </x:c>
      <x:c r="H11" s="13" t="s">
        <x:v>16</x:v>
      </x:c>
      <x:c r="I11" s="13" t="s">
        <x:v>15</x:v>
      </x:c>
      <x:c r="J11" s="13" t="s">
        <x:v>34</x:v>
      </x:c>
    </x:row>
    <x:row r="12" ht="15" hidden="0" customHeight="1">
      <x:c r="A12" s="23" t="n">
        <x:v>9</x:v>
      </x:c>
      <x:c r="B12" s="13" t="s">
        <x:v>30</x:v>
      </x:c>
      <x:c r="C12" s="13" t="s">
        <x:v>21</x:v>
      </x:c>
      <x:c r="D12" s="13" t="s">
        <x:v>15</x:v>
      </x:c>
      <x:c r="E12" s="136" t="s">
        <x:v>15</x:v>
      </x:c>
      <x:c r="F12" s="136" t="s">
        <x:v>15</x:v>
      </x:c>
      <x:c r="G12" s="13" t="s">
        <x:v>15</x:v>
      </x:c>
      <x:c r="H12" s="13" t="s">
        <x:v>20</x:v>
      </x:c>
      <x:c r="I12" s="13" t="s">
        <x:v>15</x:v>
      </x:c>
      <x:c r="J12" s="13" t="s">
        <x:v>34</x:v>
      </x:c>
    </x:row>
    <x:row r="13" ht="15" hidden="0" customHeight="1">
      <x:c r="A13" s="23" t="n">
        <x:v>10</x:v>
      </x:c>
      <x:c r="B13" s="13" t="s">
        <x:v>30</x:v>
      </x:c>
      <x:c r="C13" s="13" t="s">
        <x:v>21</x:v>
      </x:c>
      <x:c r="D13" s="13" t="s">
        <x:v>15</x:v>
      </x:c>
      <x:c r="E13" s="136" t="s">
        <x:v>15</x:v>
      </x:c>
      <x:c r="F13" s="136" t="s">
        <x:v>41</x:v>
      </x:c>
      <x:c r="G13" s="13" t="s">
        <x:v>42</x:v>
      </x:c>
      <x:c r="H13" s="13" t="s">
        <x:v>22</x:v>
      </x:c>
      <x:c r="I13" s="13" t="s">
        <x:v>15</x:v>
      </x:c>
      <x:c r="J13" s="13" t="s">
        <x:v>34</x:v>
      </x:c>
    </x:row>
    <x:row r="14" ht="15" hidden="0" customHeight="1">
      <x:c r="A14" s="23" t="n">
        <x:v>11</x:v>
      </x:c>
      <x:c r="B14" s="13" t="s">
        <x:v>43</x:v>
      </x:c>
      <x:c r="C14" s="13" t="s">
        <x:v>44</x:v>
      </x:c>
      <x:c r="D14" s="13" t="s">
        <x:v>38</x:v>
      </x:c>
      <x:c r="E14" s="136" t="s">
        <x:v>45</x:v>
      </x:c>
      <x:c r="F14" s="136" t="s">
        <x:v>15</x:v>
      </x:c>
      <x:c r="G14" s="13" t="s">
        <x:v>15</x:v>
      </x:c>
      <x:c r="H14" s="13" t="s">
        <x:v>26</x:v>
      </x:c>
      <x:c r="I14" s="13" t="s">
        <x:v>15</x:v>
      </x:c>
      <x:c r="J14" s="13" t="s">
        <x:v>46</x:v>
      </x:c>
    </x:row>
    <x:row r="15" ht="15" hidden="0" customHeight="1">
      <x:c r="A15" s="23" t="n">
        <x:v>12</x:v>
      </x:c>
      <x:c r="B15" s="13" t="s">
        <x:v>43</x:v>
      </x:c>
      <x:c r="C15" s="13" t="s">
        <x:v>47</x:v>
      </x:c>
      <x:c r="D15" s="13" t="s">
        <x:v>13</x:v>
      </x:c>
      <x:c r="E15" s="136" t="s">
        <x:v>48</x:v>
      </x:c>
      <x:c r="F15" s="136" t="s">
        <x:v>49</x:v>
      </x:c>
      <x:c r="G15" s="13" t="s">
        <x:v>15</x:v>
      </x:c>
      <x:c r="H15" s="13" t="s">
        <x:v>28</x:v>
      </x:c>
      <x:c r="I15" s="13" t="s">
        <x:v>50</x:v>
      </x:c>
      <x:c r="J15" s="13" t="s">
        <x:v>46</x:v>
      </x:c>
    </x:row>
    <x:row r="16" ht="15" hidden="0" customHeight="1">
      <x:c r="A16" s="23" t="n">
        <x:v>13</x:v>
      </x:c>
      <x:c r="B16" s="13" t="s">
        <x:v>43</x:v>
      </x:c>
      <x:c r="C16" s="13" t="s">
        <x:v>21</x:v>
      </x:c>
      <x:c r="D16" s="13" t="s">
        <x:v>15</x:v>
      </x:c>
      <x:c r="E16" s="136" t="s">
        <x:v>15</x:v>
      </x:c>
      <x:c r="F16" s="136" t="s">
        <x:v>15</x:v>
      </x:c>
      <x:c r="G16" s="13" t="s">
        <x:v>51</x:v>
      </x:c>
      <x:c r="H16" s="13" t="s">
        <x:v>33</x:v>
      </x:c>
      <x:c r="I16" s="13" t="s">
        <x:v>15</x:v>
      </x:c>
      <x:c r="J16" s="13" t="s">
        <x:v>46</x:v>
      </x:c>
    </x:row>
    <x:row r="17" ht="15" hidden="0" customHeight="1">
      <x:c r="A17" s="23" t="n">
        <x:v>14</x:v>
      </x:c>
      <x:c r="B17" s="13" t="s">
        <x:v>43</x:v>
      </x:c>
      <x:c r="C17" s="13" t="s">
        <x:v>52</x:v>
      </x:c>
      <x:c r="D17" s="13" t="s">
        <x:v>38</x:v>
      </x:c>
      <x:c r="E17" s="136" t="s">
        <x:v>19</x:v>
      </x:c>
      <x:c r="F17" s="136" t="s">
        <x:v>15</x:v>
      </x:c>
      <x:c r="G17" s="13" t="s">
        <x:v>15</x:v>
      </x:c>
      <x:c r="H17" s="13" t="s">
        <x:v>36</x:v>
      </x:c>
      <x:c r="I17" s="13" t="s">
        <x:v>15</x:v>
      </x:c>
      <x:c r="J17" s="13" t="s">
        <x:v>46</x:v>
      </x:c>
    </x:row>
    <x:row r="18" ht="15" hidden="0" customHeight="1">
      <x:c r="A18" s="23" t="n">
        <x:v>15</x:v>
      </x:c>
      <x:c r="B18" s="13" t="s">
        <x:v>43</x:v>
      </x:c>
      <x:c r="C18" s="13" t="s">
        <x:v>53</x:v>
      </x:c>
      <x:c r="D18" s="13" t="s">
        <x:v>38</x:v>
      </x:c>
      <x:c r="E18" s="136" t="s">
        <x:v>54</x:v>
      </x:c>
      <x:c r="F18" s="136" t="s">
        <x:v>15</x:v>
      </x:c>
      <x:c r="G18" s="13" t="s">
        <x:v>15</x:v>
      </x:c>
      <x:c r="H18" s="13" t="s">
        <x:v>16</x:v>
      </x:c>
      <x:c r="I18" s="13" t="s">
        <x:v>15</x:v>
      </x:c>
      <x:c r="J18" s="13" t="s">
        <x:v>46</x:v>
      </x:c>
    </x:row>
    <x:row r="19" ht="15" hidden="0" customHeight="1">
      <x:c r="A19" s="23" t="n">
        <x:v>16</x:v>
      </x:c>
      <x:c r="B19" s="13" t="s">
        <x:v>43</x:v>
      </x:c>
      <x:c r="C19" s="13" t="s">
        <x:v>55</x:v>
      </x:c>
      <x:c r="D19" s="13" t="s">
        <x:v>38</x:v>
      </x:c>
      <x:c r="E19" s="136" t="s">
        <x:v>56</x:v>
      </x:c>
      <x:c r="F19" s="136" t="s">
        <x:v>57</x:v>
      </x:c>
      <x:c r="G19" s="13" t="s">
        <x:v>58</x:v>
      </x:c>
      <x:c r="H19" s="13" t="s">
        <x:v>20</x:v>
      </x:c>
      <x:c r="I19" s="13" t="s">
        <x:v>15</x:v>
      </x:c>
      <x:c r="J19" s="13" t="s">
        <x:v>46</x:v>
      </x:c>
    </x:row>
    <x:row r="20" ht="15" hidden="0" customHeight="1">
      <x:c r="A20" s="23" t="n">
        <x:v>17</x:v>
      </x:c>
      <x:c r="B20" s="13" t="s">
        <x:v>43</x:v>
      </x:c>
      <x:c r="C20" s="13" t="s">
        <x:v>59</x:v>
      </x:c>
      <x:c r="D20" s="13" t="s">
        <x:v>38</x:v>
      </x:c>
      <x:c r="E20" s="136" t="s">
        <x:v>60</x:v>
      </x:c>
      <x:c r="F20" s="136" t="s">
        <x:v>15</x:v>
      </x:c>
      <x:c r="G20" s="13" t="s">
        <x:v>15</x:v>
      </x:c>
      <x:c r="H20" s="13" t="s">
        <x:v>22</x:v>
      </x:c>
      <x:c r="I20" s="13" t="s">
        <x:v>15</x:v>
      </x:c>
      <x:c r="J20" s="13" t="s">
        <x:v>46</x:v>
      </x:c>
    </x:row>
    <x:row r="21" ht="15" hidden="0" customHeight="1">
      <x:c r="A21" s="23" t="n">
        <x:v>18</x:v>
      </x:c>
      <x:c r="B21" s="13" t="s">
        <x:v>43</x:v>
      </x:c>
      <x:c r="C21" s="13" t="s">
        <x:v>21</x:v>
      </x:c>
      <x:c r="D21" s="13" t="s">
        <x:v>15</x:v>
      </x:c>
      <x:c r="E21" s="136" t="s">
        <x:v>15</x:v>
      </x:c>
      <x:c r="F21" s="136" t="s">
        <x:v>15</x:v>
      </x:c>
      <x:c r="G21" s="13" t="s">
        <x:v>15</x:v>
      </x:c>
      <x:c r="H21" s="13" t="s">
        <x:v>26</x:v>
      </x:c>
      <x:c r="I21" s="13" t="s">
        <x:v>61</x:v>
      </x:c>
      <x:c r="J21" s="13" t="s">
        <x:v>46</x:v>
      </x:c>
    </x:row>
    <x:row r="22" ht="15" hidden="0" customHeight="1">
      <x:c r="A22" s="23" t="n">
        <x:v>19</x:v>
      </x:c>
      <x:c r="B22" s="13" t="s">
        <x:v>43</x:v>
      </x:c>
      <x:c r="C22" s="13" t="s">
        <x:v>21</x:v>
      </x:c>
      <x:c r="D22" s="13" t="s">
        <x:v>15</x:v>
      </x:c>
      <x:c r="E22" s="136" t="s">
        <x:v>15</x:v>
      </x:c>
      <x:c r="F22" s="136" t="s">
        <x:v>15</x:v>
      </x:c>
      <x:c r="G22" s="13" t="s">
        <x:v>62</x:v>
      </x:c>
      <x:c r="H22" s="13" t="s">
        <x:v>28</x:v>
      </x:c>
      <x:c r="I22" s="13" t="s">
        <x:v>15</x:v>
      </x:c>
      <x:c r="J22" s="13" t="s">
        <x:v>46</x:v>
      </x:c>
    </x:row>
    <x:row r="23" ht="15" hidden="0" customHeight="1">
      <x:c r="A23" s="23" t="n">
        <x:v>20</x:v>
      </x:c>
      <x:c r="B23" s="13" t="s">
        <x:v>43</x:v>
      </x:c>
      <x:c r="C23" s="13" t="s">
        <x:v>63</x:v>
      </x:c>
      <x:c r="D23" s="13" t="s">
        <x:v>38</x:v>
      </x:c>
      <x:c r="E23" s="136" t="s">
        <x:v>39</x:v>
      </x:c>
      <x:c r="F23" s="136" t="s">
        <x:v>64</x:v>
      </x:c>
      <x:c r="G23" s="13" t="s">
        <x:v>15</x:v>
      </x:c>
      <x:c r="H23" s="13" t="s">
        <x:v>33</x:v>
      </x:c>
      <x:c r="I23" s="13" t="s">
        <x:v>15</x:v>
      </x:c>
      <x:c r="J23" s="13" t="s">
        <x:v>46</x:v>
      </x:c>
    </x:row>
    <x:row r="24" ht="15" hidden="0" customHeight="1">
      <x:c r="A24" s="23" t="n">
        <x:v>21</x:v>
      </x:c>
      <x:c r="B24" s="13" t="s">
        <x:v>65</x:v>
      </x:c>
      <x:c r="C24" s="13" t="s">
        <x:v>21</x:v>
      </x:c>
      <x:c r="D24" s="13" t="s">
        <x:v>15</x:v>
      </x:c>
      <x:c r="E24" s="136" t="s">
        <x:v>15</x:v>
      </x:c>
      <x:c r="F24" s="136" t="s">
        <x:v>15</x:v>
      </x:c>
      <x:c r="G24" s="13" t="s">
        <x:v>15</x:v>
      </x:c>
      <x:c r="H24" s="13" t="s">
        <x:v>36</x:v>
      </x:c>
      <x:c r="I24" s="13" t="s">
        <x:v>15</x:v>
      </x:c>
      <x:c r="J24" s="13" t="s">
        <x:v>66</x:v>
      </x:c>
    </x:row>
    <x:row r="25" ht="15" hidden="0" customHeight="1">
      <x:c r="A25" s="23" t="n">
        <x:v>22</x:v>
      </x:c>
      <x:c r="B25" s="13" t="s">
        <x:v>65</x:v>
      </x:c>
      <x:c r="C25" s="13" t="s">
        <x:v>67</x:v>
      </x:c>
      <x:c r="D25" s="13" t="s">
        <x:v>68</x:v>
      </x:c>
      <x:c r="E25" s="136" t="s">
        <x:v>69</x:v>
      </x:c>
      <x:c r="F25" s="136" t="s">
        <x:v>15</x:v>
      </x:c>
      <x:c r="G25" s="13" t="s">
        <x:v>70</x:v>
      </x:c>
      <x:c r="H25" s="13" t="s">
        <x:v>16</x:v>
      </x:c>
      <x:c r="I25" s="13" t="s">
        <x:v>15</x:v>
      </x:c>
      <x:c r="J25" s="13" t="s">
        <x:v>66</x:v>
      </x:c>
    </x:row>
    <x:row r="26" ht="15" hidden="0" customHeight="1">
      <x:c r="A26" s="23" t="n">
        <x:v>23</x:v>
      </x:c>
      <x:c r="B26" s="13" t="s">
        <x:v>65</x:v>
      </x:c>
      <x:c r="C26" s="13" t="s">
        <x:v>21</x:v>
      </x:c>
      <x:c r="D26" s="13" t="s">
        <x:v>15</x:v>
      </x:c>
      <x:c r="E26" s="136" t="s">
        <x:v>15</x:v>
      </x:c>
      <x:c r="F26" s="136" t="s">
        <x:v>15</x:v>
      </x:c>
      <x:c r="G26" s="13" t="s">
        <x:v>15</x:v>
      </x:c>
      <x:c r="H26" s="13" t="s">
        <x:v>20</x:v>
      </x:c>
      <x:c r="I26" s="13" t="s">
        <x:v>15</x:v>
      </x:c>
      <x:c r="J26" s="13" t="s">
        <x:v>66</x:v>
      </x:c>
    </x:row>
    <x:row r="27" ht="15" hidden="0" customHeight="1">
      <x:c r="A27" s="23" t="n">
        <x:v>24</x:v>
      </x:c>
      <x:c r="B27" s="13" t="s">
        <x:v>65</x:v>
      </x:c>
      <x:c r="C27" s="13" t="s">
        <x:v>71</x:v>
      </x:c>
      <x:c r="D27" s="13" t="s">
        <x:v>68</x:v>
      </x:c>
      <x:c r="E27" s="136" t="s">
        <x:v>48</x:v>
      </x:c>
      <x:c r="F27" s="136" t="s">
        <x:v>15</x:v>
      </x:c>
      <x:c r="G27" s="13" t="s">
        <x:v>15</x:v>
      </x:c>
      <x:c r="H27" s="13" t="s">
        <x:v>22</x:v>
      </x:c>
      <x:c r="I27" s="13" t="s">
        <x:v>15</x:v>
      </x:c>
      <x:c r="J27" s="13" t="s">
        <x:v>66</x:v>
      </x:c>
    </x:row>
    <x:row r="28" ht="15" hidden="0" customHeight="1">
      <x:c r="A28" s="23" t="n">
        <x:v>25</x:v>
      </x:c>
      <x:c r="B28" s="13" t="s">
        <x:v>65</x:v>
      </x:c>
      <x:c r="C28" s="13" t="s">
        <x:v>21</x:v>
      </x:c>
      <x:c r="D28" s="13" t="s">
        <x:v>15</x:v>
      </x:c>
      <x:c r="E28" s="136" t="s">
        <x:v>15</x:v>
      </x:c>
      <x:c r="F28" s="136" t="s">
        <x:v>72</x:v>
      </x:c>
      <x:c r="G28" s="13" t="s">
        <x:v>73</x:v>
      </x:c>
      <x:c r="H28" s="13" t="s">
        <x:v>26</x:v>
      </x:c>
      <x:c r="I28" s="13" t="s">
        <x:v>15</x:v>
      </x:c>
      <x:c r="J28" s="13" t="s">
        <x:v>66</x:v>
      </x:c>
    </x:row>
    <x:row r="29" ht="15" hidden="0" customHeight="1">
      <x:c r="A29" s="23" t="n">
        <x:v>26</x:v>
      </x:c>
      <x:c r="B29" s="13" t="s">
        <x:v>65</x:v>
      </x:c>
      <x:c r="C29" s="13" t="s">
        <x:v>74</x:v>
      </x:c>
      <x:c r="D29" s="13" t="s">
        <x:v>68</x:v>
      </x:c>
      <x:c r="E29" s="136" t="s">
        <x:v>19</x:v>
      </x:c>
      <x:c r="F29" s="136" t="s">
        <x:v>15</x:v>
      </x:c>
      <x:c r="G29" s="13" t="s">
        <x:v>15</x:v>
      </x:c>
      <x:c r="H29" s="13" t="s">
        <x:v>28</x:v>
      </x:c>
      <x:c r="I29" s="13" t="s">
        <x:v>15</x:v>
      </x:c>
      <x:c r="J29" s="13" t="s">
        <x:v>66</x:v>
      </x:c>
    </x:row>
    <x:row r="30" ht="15" hidden="0" customHeight="1">
      <x:c r="A30" s="23" t="n">
        <x:v>27</x:v>
      </x:c>
      <x:c r="B30" s="13" t="s">
        <x:v>65</x:v>
      </x:c>
      <x:c r="C30" s="13" t="s">
        <x:v>21</x:v>
      </x:c>
      <x:c r="D30" s="13" t="s">
        <x:v>15</x:v>
      </x:c>
      <x:c r="E30" s="136" t="s">
        <x:v>15</x:v>
      </x:c>
      <x:c r="F30" s="136" t="s">
        <x:v>15</x:v>
      </x:c>
      <x:c r="G30" s="13" t="s">
        <x:v>15</x:v>
      </x:c>
      <x:c r="H30" s="13" t="s">
        <x:v>33</x:v>
      </x:c>
      <x:c r="I30" s="13" t="s">
        <x:v>75</x:v>
      </x:c>
      <x:c r="J30" s="13" t="s">
        <x:v>66</x:v>
      </x:c>
    </x:row>
    <x:row r="31" ht="15" hidden="0" customHeight="1">
      <x:c r="A31" s="23" t="n">
        <x:v>28</x:v>
      </x:c>
      <x:c r="B31" s="13" t="s">
        <x:v>65</x:v>
      </x:c>
      <x:c r="C31" s="13" t="s">
        <x:v>21</x:v>
      </x:c>
      <x:c r="D31" s="13" t="s">
        <x:v>15</x:v>
      </x:c>
      <x:c r="E31" s="136" t="s">
        <x:v>15</x:v>
      </x:c>
      <x:c r="F31" s="136" t="s">
        <x:v>15</x:v>
      </x:c>
      <x:c r="G31" s="13" t="s">
        <x:v>76</x:v>
      </x:c>
      <x:c r="H31" s="13" t="s">
        <x:v>36</x:v>
      </x:c>
      <x:c r="I31" s="13" t="s">
        <x:v>15</x:v>
      </x:c>
      <x:c r="J31" s="13" t="s">
        <x:v>66</x:v>
      </x:c>
    </x:row>
    <x:row r="32" ht="15" hidden="0" customHeight="1">
      <x:c r="A32" s="23" t="n">
        <x:v>29</x:v>
      </x:c>
      <x:c r="B32" s="13" t="s">
        <x:v>65</x:v>
      </x:c>
      <x:c r="C32" s="13" t="s">
        <x:v>77</x:v>
      </x:c>
      <x:c r="D32" s="13" t="s">
        <x:v>68</x:v>
      </x:c>
      <x:c r="E32" s="136" t="s">
        <x:v>56</x:v>
      </x:c>
      <x:c r="F32" s="136" t="s">
        <x:v>15</x:v>
      </x:c>
      <x:c r="G32" s="13" t="s">
        <x:v>15</x:v>
      </x:c>
      <x:c r="H32" s="13" t="s">
        <x:v>16</x:v>
      </x:c>
      <x:c r="I32" s="13" t="s">
        <x:v>15</x:v>
      </x:c>
      <x:c r="J32" s="13" t="s">
        <x:v>66</x:v>
      </x:c>
    </x:row>
    <x:row r="33" ht="15" hidden="0" customHeight="1">
      <x:c r="A33" s="23" t="n">
        <x:v>30</x:v>
      </x:c>
      <x:c r="B33" s="13" t="s">
        <x:v>65</x:v>
      </x:c>
      <x:c r="C33" s="13" t="s">
        <x:v>78</x:v>
      </x:c>
      <x:c r="D33" s="13" t="s">
        <x:v>68</x:v>
      </x:c>
      <x:c r="E33" s="136" t="s">
        <x:v>60</x:v>
      </x:c>
      <x:c r="F33" s="136" t="s">
        <x:v>15</x:v>
      </x:c>
      <x:c r="G33" s="13" t="s">
        <x:v>15</x:v>
      </x:c>
      <x:c r="H33" s="13" t="s">
        <x:v>20</x:v>
      </x:c>
      <x:c r="I33" s="13" t="s">
        <x:v>15</x:v>
      </x:c>
      <x:c r="J33" s="13" t="s">
        <x:v>66</x:v>
      </x:c>
    </x:row>
    <x:row r="34" ht="15" hidden="0" customHeight="1">
      <x:c r="A34" s="23" t="n">
        <x:v>31</x:v>
      </x:c>
      <x:c r="B34" s="13" t="s">
        <x:v>65</x:v>
      </x:c>
      <x:c r="C34" s="13" t="s">
        <x:v>21</x:v>
      </x:c>
      <x:c r="D34" s="13" t="s">
        <x:v>15</x:v>
      </x:c>
      <x:c r="E34" s="136" t="s">
        <x:v>15</x:v>
      </x:c>
      <x:c r="F34" s="136" t="s">
        <x:v>15</x:v>
      </x:c>
      <x:c r="G34" s="13" t="s">
        <x:v>79</x:v>
      </x:c>
      <x:c r="H34" s="13" t="s">
        <x:v>22</x:v>
      </x:c>
      <x:c r="I34" s="13" t="s">
        <x:v>15</x:v>
      </x:c>
      <x:c r="J34" s="13" t="s">
        <x:v>66</x:v>
      </x:c>
    </x:row>
    <x:row r="35" ht="15" hidden="0" customHeight="1">
      <x:c r="A35" s="23" t="n">
        <x:v>32</x:v>
      </x:c>
      <x:c r="B35" s="13" t="s">
        <x:v>65</x:v>
      </x:c>
      <x:c r="C35" s="13" t="s">
        <x:v>80</x:v>
      </x:c>
      <x:c r="D35" s="13" t="s">
        <x:v>68</x:v>
      </x:c>
      <x:c r="E35" s="136" t="s">
        <x:v>24</x:v>
      </x:c>
      <x:c r="F35" s="136" t="s">
        <x:v>15</x:v>
      </x:c>
      <x:c r="G35" s="13" t="s">
        <x:v>15</x:v>
      </x:c>
      <x:c r="H35" s="13" t="s">
        <x:v>26</x:v>
      </x:c>
      <x:c r="I35" s="13" t="s">
        <x:v>15</x:v>
      </x:c>
      <x:c r="J35" s="13" t="s">
        <x:v>66</x:v>
      </x:c>
    </x:row>
    <x:row r="36" ht="15" hidden="0" customHeight="1">
      <x:c r="A36" s="23" t="n">
        <x:v>33</x:v>
      </x:c>
      <x:c r="B36" s="13" t="s">
        <x:v>65</x:v>
      </x:c>
      <x:c r="C36" s="13" t="s">
        <x:v>81</x:v>
      </x:c>
      <x:c r="D36" s="13" t="s">
        <x:v>68</x:v>
      </x:c>
      <x:c r="E36" s="136" t="s">
        <x:v>32</x:v>
      </x:c>
      <x:c r="F36" s="136" t="s">
        <x:v>15</x:v>
      </x:c>
      <x:c r="G36" s="13" t="s">
        <x:v>15</x:v>
      </x:c>
      <x:c r="H36" s="13" t="s">
        <x:v>28</x:v>
      </x:c>
      <x:c r="I36" s="13" t="s">
        <x:v>15</x:v>
      </x:c>
      <x:c r="J36" s="13" t="s">
        <x:v>66</x:v>
      </x:c>
    </x:row>
    <x:row r="37" ht="15" hidden="0" customHeight="1">
      <x:c r="A37" s="23" t="n">
        <x:v>34</x:v>
      </x:c>
      <x:c r="B37" s="13" t="s">
        <x:v>65</x:v>
      </x:c>
      <x:c r="C37" s="13" t="s">
        <x:v>21</x:v>
      </x:c>
      <x:c r="D37" s="13" t="s">
        <x:v>15</x:v>
      </x:c>
      <x:c r="E37" s="136" t="s">
        <x:v>15</x:v>
      </x:c>
      <x:c r="F37" s="136" t="s">
        <x:v>15</x:v>
      </x:c>
      <x:c r="G37" s="13" t="s">
        <x:v>82</x:v>
      </x:c>
      <x:c r="H37" s="13" t="s">
        <x:v>33</x:v>
      </x:c>
      <x:c r="I37" s="13" t="s">
        <x:v>15</x:v>
      </x:c>
      <x:c r="J37" s="13" t="s">
        <x:v>66</x:v>
      </x:c>
    </x:row>
    <x:row r="38" ht="15" hidden="0" customHeight="1">
      <x:c r="A38" s="23" t="n">
        <x:v>35</x:v>
      </x:c>
      <x:c r="B38" s="13" t="s">
        <x:v>65</x:v>
      </x:c>
      <x:c r="C38" s="13" t="s">
        <x:v>83</x:v>
      </x:c>
      <x:c r="D38" s="13" t="s">
        <x:v>68</x:v>
      </x:c>
      <x:c r="E38" s="136" t="s">
        <x:v>84</x:v>
      </x:c>
      <x:c r="F38" s="136" t="s">
        <x:v>85</x:v>
      </x:c>
      <x:c r="G38" s="13" t="s">
        <x:v>15</x:v>
      </x:c>
      <x:c r="H38" s="13" t="s">
        <x:v>36</x:v>
      </x:c>
      <x:c r="I38" s="13" t="s">
        <x:v>15</x:v>
      </x:c>
      <x:c r="J38" s="13" t="s">
        <x:v>66</x:v>
      </x:c>
    </x:row>
    <x:row r="39" ht="15" hidden="0" customHeight="1">
      <x:c r="A39" s="23" t="n">
        <x:v>36</x:v>
      </x:c>
      <x:c r="B39" s="13" t="s">
        <x:v>86</x:v>
      </x:c>
      <x:c r="C39" s="13" t="s">
        <x:v>87</x:v>
      </x:c>
      <x:c r="D39" s="13" t="s">
        <x:v>88</x:v>
      </x:c>
      <x:c r="E39" s="136" t="s">
        <x:v>39</x:v>
      </x:c>
      <x:c r="F39" s="136" t="s">
        <x:v>15</x:v>
      </x:c>
      <x:c r="G39" s="13" t="s">
        <x:v>15</x:v>
      </x:c>
      <x:c r="H39" s="13" t="s">
        <x:v>16</x:v>
      </x:c>
      <x:c r="I39" s="13" t="s">
        <x:v>89</x:v>
      </x:c>
      <x:c r="J39" s="13" t="s">
        <x:v>90</x:v>
      </x:c>
    </x:row>
    <x:row r="40" ht="15" hidden="0" customHeight="1">
      <x:c r="A40" s="23" t="n">
        <x:v>37</x:v>
      </x:c>
      <x:c r="B40" s="13" t="s">
        <x:v>86</x:v>
      </x:c>
      <x:c r="C40" s="13" t="s">
        <x:v>21</x:v>
      </x:c>
      <x:c r="D40" s="13" t="s">
        <x:v>15</x:v>
      </x:c>
      <x:c r="E40" s="136" t="s">
        <x:v>15</x:v>
      </x:c>
      <x:c r="F40" s="136" t="s">
        <x:v>15</x:v>
      </x:c>
      <x:c r="G40" s="13" t="s">
        <x:v>91</x:v>
      </x:c>
      <x:c r="H40" s="13" t="s">
        <x:v>20</x:v>
      </x:c>
      <x:c r="I40" s="13" t="s">
        <x:v>15</x:v>
      </x:c>
      <x:c r="J40" s="13" t="s">
        <x:v>90</x:v>
      </x:c>
    </x:row>
    <x:row r="41" ht="15" hidden="0" customHeight="1">
      <x:c r="A41" s="23" t="n">
        <x:v>38</x:v>
      </x:c>
      <x:c r="B41" s="13" t="s">
        <x:v>86</x:v>
      </x:c>
      <x:c r="C41" s="13" t="s">
        <x:v>92</x:v>
      </x:c>
      <x:c r="D41" s="13" t="s">
        <x:v>68</x:v>
      </x:c>
      <x:c r="E41" s="136" t="s">
        <x:v>93</x:v>
      </x:c>
      <x:c r="F41" s="136" t="s">
        <x:v>15</x:v>
      </x:c>
      <x:c r="G41" s="13" t="s">
        <x:v>15</x:v>
      </x:c>
      <x:c r="H41" s="13" t="s">
        <x:v>22</x:v>
      </x:c>
      <x:c r="I41" s="13" t="s">
        <x:v>15</x:v>
      </x:c>
      <x:c r="J41" s="13" t="s">
        <x:v>90</x:v>
      </x:c>
    </x:row>
    <x:row r="42" ht="15" hidden="0" customHeight="1">
      <x:c r="A42" s="23" t="n">
        <x:v>39</x:v>
      </x:c>
      <x:c r="B42" s="13" t="s">
        <x:v>86</x:v>
      </x:c>
      <x:c r="C42" s="13" t="s">
        <x:v>21</x:v>
      </x:c>
      <x:c r="D42" s="13" t="s">
        <x:v>15</x:v>
      </x:c>
      <x:c r="E42" s="136" t="s">
        <x:v>15</x:v>
      </x:c>
      <x:c r="F42" s="136" t="s">
        <x:v>15</x:v>
      </x:c>
      <x:c r="G42" s="13" t="s">
        <x:v>15</x:v>
      </x:c>
      <x:c r="H42" s="13" t="s">
        <x:v>26</x:v>
      </x:c>
      <x:c r="I42" s="13" t="s">
        <x:v>15</x:v>
      </x:c>
      <x:c r="J42" s="13" t="s">
        <x:v>90</x:v>
      </x:c>
    </x:row>
    <x:row r="43" ht="15" hidden="0" customHeight="1">
      <x:c r="A43" s="23" t="n">
        <x:v>40</x:v>
      </x:c>
      <x:c r="B43" s="13" t="s">
        <x:v>86</x:v>
      </x:c>
      <x:c r="C43" s="13" t="s">
        <x:v>94</x:v>
      </x:c>
      <x:c r="D43" s="13" t="s">
        <x:v>88</x:v>
      </x:c>
      <x:c r="E43" s="136" t="s">
        <x:v>48</x:v>
      </x:c>
      <x:c r="F43" s="136" t="s">
        <x:v>95</x:v>
      </x:c>
      <x:c r="G43" s="13" t="s">
        <x:v>96</x:v>
      </x:c>
      <x:c r="H43" s="13" t="s">
        <x:v>28</x:v>
      </x:c>
      <x:c r="I43" s="13" t="s">
        <x:v>15</x:v>
      </x:c>
      <x:c r="J43" s="13" t="s">
        <x:v>90</x:v>
      </x:c>
    </x:row>
    <x:row r="45" ht="24" hidden="0" customHeight="1">
      <x:c r="A45" s="135" t="s">
        <x:v>97</x:v>
      </x:c>
      <x:c r="B45" s="133"/>
      <x:c r="C45" s="133"/>
      <x:c r="D45" s="133"/>
      <x:c r="E45" s="133"/>
      <x:c r="F45" s="133"/>
      <x:c r="G45" s="133"/>
      <x:c r="H45" s="133"/>
      <x:c r="I45" s="133"/>
      <x:c r="J45" s="133"/>
    </x:row>
  </x:sheetData>
  <x:mergeCells>
    <x:mergeCell ref="A45:J4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8" hidden="0" customWidth="1"/>
    <x:col min="2" max="4" width="10" hidden="0" customWidth="1"/>
    <x:col min="5" max="5" width="16" hidden="0" customWidth="1"/>
    <x:col min="6" max="6" width="20" hidden="0" customWidth="1"/>
    <x:col min="7" max="7" width="26" hidden="0" customWidth="1"/>
    <x:col min="8" max="8" width="42" hidden="0" customWidth="1"/>
    <x:col min="9" max="9" width="48" hidden="0" customWidth="1"/>
    <x:col min="2" max="2" width="10" hidden="0" customWidth="1"/>
    <x:col min="3" max="3" width="10" hidden="0" customWidth="1"/>
    <x:col min="4" max="4" width="10" hidden="0" customWidth="1"/>
  </x:cols>
  <x:sheetData>
    <x:row r="1" ht="22.5" hidden="0" customHeight="1">
      <x:c r="A1" s="132" t="str">
        <x:v>TANK CAPACITY &amp; SOCIAL EXPANSION — friend path OR solo Gift Token path</x:v>
      </x:c>
      <x:c r="B1" s="132"/>
      <x:c r="C1" s="132"/>
      <x:c r="D1" s="132"/>
      <x:c r="E1" s="132"/>
      <x:c r="F1" s="132"/>
      <x:c r="G1" s="132"/>
      <x:c r="H1" s="132"/>
      <x:c r="I1" s="132"/>
    </x:row>
    <x:row r="2" ht="15" hidden="0" customHeight="1">
      <x:c r="A2" s="118"/>
      <x:c r="B2" s="118"/>
      <x:c r="C2" s="118"/>
      <x:c r="D2" s="118"/>
      <x:c r="E2" s="118"/>
      <x:c r="F2" s="118"/>
      <x:c r="G2" s="118"/>
      <x:c r="H2" s="118"/>
      <x:c r="I2" s="118"/>
    </x:row>
    <x:row r="3" ht="15" hidden="0" customHeight="1">
      <x:c r="A3" s="88" t="str">
        <x:v>Tank</x:v>
      </x:c>
      <x:c r="B3" s="88" t="str">
        <x:v>Unlock Lvl</x:v>
      </x:c>
      <x:c r="C3" s="88" t="str">
        <x:v>Base Slots</x:v>
      </x:c>
      <x:c r="D3" s="88" t="str">
        <x:v>Max Slots</x:v>
      </x:c>
      <x:c r="E3" s="88" t="str">
        <x:v>Expansion Steps</x:v>
      </x:c>
      <x:c r="F3" s="88" t="str">
        <x:v>Friend Assist Path</x:v>
      </x:c>
      <x:c r="G3" s="88" t="str">
        <x:v>Solo Material Path (Gift Tokens)</x:v>
      </x:c>
      <x:c r="H3" s="88" t="str">
        <x:v>Coin Costs</x:v>
      </x:c>
      <x:c r="I3" s="88" t="str">
        <x:v>Design Note</x:v>
      </x:c>
    </x:row>
    <x:row r="4" ht="15" hidden="0" customHeight="1">
      <x:c r="A4" s="118" t="n">
        <x:v>1</x:v>
      </x:c>
      <x:c r="B4" s="118" t="n">
        <x:v>1</x:v>
      </x:c>
      <x:c r="C4" s="118" t="n">
        <x:v>10</x:v>
      </x:c>
      <x:c r="D4" s="118" t="n">
        <x:f aca="0">Inputs!$B$63</x:f>
        <x:v>40</x:v>
      </x:c>
      <x:c r="E4" s="118" t="str">
        <x:v>10/20/30/40</x:v>
      </x:c>
      <x:c r="F4" s="118" t="str">
        <x:v>0/2/4/6 friends</x:v>
      </x:c>
      <x:c r="G4" s="118" t="str">
        <x:v>0/5/10/15</x:v>
      </x:c>
      <x:c r="H4" s="118" t="str">
        <x:v>0 / 250 / 750 / 1,500</x:v>
      </x:c>
      <x:c r="I4" s="118" t="str">
        <x:v>Tutorial tank; cheap enough for first-session expression</x:v>
      </x:c>
    </x:row>
    <x:row r="5" ht="15" hidden="0" customHeight="1">
      <x:c r="A5" s="118" t="n">
        <x:v>2</x:v>
      </x:c>
      <x:c r="B5" s="118" t="n">
        <x:v>7</x:v>
      </x:c>
      <x:c r="C5" s="118" t="n">
        <x:v>10</x:v>
      </x:c>
      <x:c r="D5" s="118" t="n">
        <x:f aca="0">Inputs!$B$63</x:f>
        <x:v>40</x:v>
      </x:c>
      <x:c r="E5" s="118" t="str">
        <x:v>10/20/30/40</x:v>
      </x:c>
      <x:c r="F5" s="118" t="str">
        <x:v>3/5/7/9</x:v>
      </x:c>
      <x:c r="G5" s="118" t="str">
        <x:v>10/15/20/25</x:v>
      </x:c>
      <x:c r="H5" s="118" t="str">
        <x:v>2,500 / 6,000 / 12,000 / 22,000</x:v>
      </x:c>
      <x:c r="I5" s="118" t="str">
        <x:v>Second production lane; costs about early-game commitment</x:v>
      </x:c>
    </x:row>
    <x:row r="6" ht="15" hidden="0" customHeight="1">
      <x:c r="A6" s="118" t="n">
        <x:v>3</x:v>
      </x:c>
      <x:c r="B6" s="118" t="n">
        <x:v>16</x:v>
      </x:c>
      <x:c r="C6" s="118" t="n">
        <x:v>10</x:v>
      </x:c>
      <x:c r="D6" s="118" t="n">
        <x:f aca="0">Inputs!$B$63</x:f>
        <x:v>40</x:v>
      </x:c>
      <x:c r="E6" s="118" t="str">
        <x:v>10/20/30/40</x:v>
      </x:c>
      <x:c r="F6" s="118" t="str">
        <x:v>5/7/10/12</x:v>
      </x:c>
      <x:c r="G6" s="118" t="str">
        <x:v>20/30/40/55</x:v>
      </x:c>
      <x:c r="H6" s="118" t="str">
        <x:v>12,000 / 28,000 / 52,000 / 85,000</x:v>
      </x:c>
      <x:c r="I6" s="118" t="str">
        <x:v>Pre-mid-game capacity milestone</x:v>
      </x:c>
    </x:row>
    <x:row r="7" ht="15" hidden="0" customHeight="1">
      <x:c r="A7" s="118" t="n">
        <x:v>4</x:v>
      </x:c>
      <x:c r="B7" s="118" t="n">
        <x:v>25</x:v>
      </x:c>
      <x:c r="C7" s="118" t="n">
        <x:v>10</x:v>
      </x:c>
      <x:c r="D7" s="118" t="n">
        <x:f aca="0">Inputs!$B$63</x:f>
        <x:v>40</x:v>
      </x:c>
      <x:c r="E7" s="118" t="str">
        <x:v>10/20/30/40</x:v>
      </x:c>
      <x:c r="F7" s="118" t="str">
        <x:v>7/10/13/16</x:v>
      </x:c>
      <x:c r="G7" s="118" t="str">
        <x:v>35/50/70/95</x:v>
      </x:c>
      <x:c r="H7" s="118" t="str">
        <x:v>40,000 / 80,000 / 140,000 / 220,000</x:v>
      </x:c>
      <x:c r="I7" s="118" t="str">
        <x:v>Mid-game capacity; meaningful coin sink</x:v>
      </x:c>
    </x:row>
    <x:row r="8" ht="15" hidden="0" customHeight="1">
      <x:c r="A8" s="118" t="n">
        <x:v>5</x:v>
      </x:c>
      <x:c r="B8" s="118" t="n">
        <x:v>34</x:v>
      </x:c>
      <x:c r="C8" s="118" t="n">
        <x:v>10</x:v>
      </x:c>
      <x:c r="D8" s="118" t="n">
        <x:f aca="0">Inputs!$B$63</x:f>
        <x:v>40</x:v>
      </x:c>
      <x:c r="E8" s="118" t="str">
        <x:v>10/20/30/40</x:v>
      </x:c>
      <x:c r="F8" s="118" t="str">
        <x:v>10/14/18/22</x:v>
      </x:c>
      <x:c r="G8" s="118" t="str">
        <x:v>60/85/115/150</x:v>
      </x:c>
      <x:c r="H8" s="118" t="str">
        <x:v>110,000 / 220,000 / 380,000 / 600,000</x:v>
      </x:c>
      <x:c r="I8" s="118" t="str">
        <x:v>No longer buyable in &lt;1 hour of optimized Foxface output</x:v>
      </x:c>
    </x:row>
    <x:row r="9" ht="15" hidden="0" customHeight="1">
      <x:c r="A9" s="118" t="n">
        <x:v>6</x:v>
      </x:c>
      <x:c r="B9" s="118" t="n">
        <x:v>43</x:v>
      </x:c>
      <x:c r="C9" s="118" t="n">
        <x:v>10</x:v>
      </x:c>
      <x:c r="D9" s="118" t="n">
        <x:f aca="0">Inputs!$B$63</x:f>
        <x:v>40</x:v>
      </x:c>
      <x:c r="E9" s="118" t="str">
        <x:v>10/20/30/40</x:v>
      </x:c>
      <x:c r="F9" s="118" t="str">
        <x:v>13/18/23/28</x:v>
      </x:c>
      <x:c r="G9" s="118" t="str">
        <x:v>90/125/170/220</x:v>
      </x:c>
      <x:c r="H9" s="118" t="str">
        <x:v>250,000 / 500,000 / 850,000 / 1,300,000</x:v>
      </x:c>
      <x:c r="I9" s="118" t="str">
        <x:v>Post-launch long-term capacity</x:v>
      </x:c>
    </x:row>
    <x:row r="10" ht="15" hidden="0" customHeight="1">
      <x:c r="A10" s="118" t="n">
        <x:v>7</x:v>
      </x:c>
      <x:c r="B10" s="118" t="n">
        <x:v>52</x:v>
      </x:c>
      <x:c r="C10" s="118" t="n">
        <x:v>10</x:v>
      </x:c>
      <x:c r="D10" s="118" t="n">
        <x:f aca="0">Inputs!$B$63</x:f>
        <x:v>40</x:v>
      </x:c>
      <x:c r="E10" s="118" t="str">
        <x:v>10/20/30/40</x:v>
      </x:c>
      <x:c r="F10" s="118" t="str">
        <x:v>16/22/28/34</x:v>
      </x:c>
      <x:c r="G10" s="118" t="str">
        <x:v>130/180/240/310</x:v>
      </x:c>
      <x:c r="H10" s="118" t="str">
        <x:v>600,000 / 1,100,000 / 1,800,000 / 2,700,000</x:v>
      </x:c>
      <x:c r="I10" s="118" t="str">
        <x:v>Prestige tank; friendship materially discounts friction</x:v>
      </x:c>
    </x:row>
    <x:row r="11" ht="15" hidden="0" customHeight="1">
      <x:c r="A11" s="118" t="n">
        <x:v>8</x:v>
      </x:c>
      <x:c r="B11" s="118" t="n">
        <x:v>61</x:v>
      </x:c>
      <x:c r="C11" s="118" t="n">
        <x:v>10</x:v>
      </x:c>
      <x:c r="D11" s="118" t="n">
        <x:f aca="0">Inputs!$B$63</x:f>
        <x:v>40</x:v>
      </x:c>
      <x:c r="E11" s="118" t="str">
        <x:v>10/20/30/40</x:v>
      </x:c>
      <x:c r="F11" s="118" t="str">
        <x:v>20/28/36/44</x:v>
      </x:c>
      <x:c r="G11" s="118" t="str">
        <x:v>190/260/350/460</x:v>
      </x:c>
      <x:c r="H11" s="118" t="str">
        <x:v>1,300,000 / 2,400,000 / 3,800,000 / 5,500,000</x:v>
      </x:c>
      <x:c r="I11" s="118" t="str">
        <x:v>Endgame expansion; Large Tank 8 caps at L70</x:v>
      </x:c>
    </x:row>
    <x:row r="12" ht="15" hidden="0" customHeight="1">
      <x:c r="A12" s="118"/>
      <x:c r="B12" s="118"/>
      <x:c r="C12" s="118"/>
      <x:c r="D12" s="118"/>
      <x:c r="E12" s="118"/>
      <x:c r="F12" s="118"/>
      <x:c r="G12" s="118"/>
      <x:c r="H12" s="118"/>
      <x:c r="I12" s="118"/>
    </x:row>
    <x:row r="13" ht="24" hidden="0" customHeight="1">
      <x:c r="A13" s="133" t="str">
        <x:v>Pricing is now scaled as a real coin sink; fish purchases are working capital, not a permanent sink.</x:v>
      </x:c>
      <x:c r="B13" s="133"/>
      <x:c r="C13" s="133"/>
      <x:c r="D13" s="133"/>
      <x:c r="E13" s="133"/>
      <x:c r="F13" s="133"/>
      <x:c r="G13" s="133"/>
      <x:c r="H13" s="133"/>
      <x:c r="I13" s="133"/>
    </x:row>
  </x:sheetData>
  <x:mergeCells>
    <x:mergeCell ref="A1:I1"/>
    <x:mergeCell ref="A13:I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6" hidden="0" customWidth="1"/>
    <x:col min="2" max="2" width="16" hidden="0" customWidth="1"/>
    <x:col min="3" max="3" width="30" hidden="0" customWidth="1"/>
    <x:col min="4" max="4" width="38" hidden="0" customWidth="1"/>
    <x:col min="5" max="5" width="24" hidden="0" customWidth="1"/>
    <x:col min="6" max="6" width="26" hidden="0" customWidth="1"/>
    <x:col min="7" max="7" width="20" hidden="0" customWidth="1"/>
  </x:cols>
  <x:sheetData>
    <x:row r="1" ht="17.350000381469727" hidden="0">
      <x:c r="A1" s="4" t="s">
        <x:v>98</x:v>
      </x:c>
    </x:row>
    <x:row r="3" ht="30" hidden="0" customHeight="1">
      <x:c r="A3" s="22" t="s">
        <x:v>99</x:v>
      </x:c>
      <x:c r="B3" s="22" t="s">
        <x:v>100</x:v>
      </x:c>
      <x:c r="C3" s="22" t="s">
        <x:v>101</x:v>
      </x:c>
      <x:c r="D3" s="22" t="s">
        <x:v>102</x:v>
      </x:c>
      <x:c r="E3" s="22" t="s">
        <x:v>103</x:v>
      </x:c>
      <x:c r="F3" s="22" t="s">
        <x:v>104</x:v>
      </x:c>
      <x:c r="G3" s="22" t="s">
        <x:v>105</x:v>
      </x:c>
    </x:row>
    <x:row r="4" ht="23.850000381469727" hidden="0">
      <x:c r="A4" s="23" t="n">
        <x:v>1</x:v>
      </x:c>
      <x:c r="B4" s="13" t="s">
        <x:v>106</x:v>
      </x:c>
      <x:c r="C4" s="26" t="s">
        <x:v>107</x:v>
      </x:c>
      <x:c r="D4" s="26" t="s">
        <x:v>108</x:v>
      </x:c>
      <x:c r="E4" s="13" t="s">
        <x:v>109</x:v>
      </x:c>
      <x:c r="F4" s="13" t="s">
        <x:v>110</x:v>
      </x:c>
      <x:c r="G4" s="13" t="s">
        <x:v>111</x:v>
      </x:c>
    </x:row>
    <x:row r="5" ht="15" hidden="0">
      <x:c r="A5" s="23" t="n">
        <x:v>2</x:v>
      </x:c>
      <x:c r="B5" s="13" t="s">
        <x:v>112</x:v>
      </x:c>
      <x:c r="C5" s="26" t="s">
        <x:v>113</x:v>
      </x:c>
      <x:c r="D5" s="26" t="s">
        <x:v>114</x:v>
      </x:c>
      <x:c r="E5" s="13" t="s">
        <x:v>115</x:v>
      </x:c>
      <x:c r="F5" s="13" t="s">
        <x:v>116</x:v>
      </x:c>
      <x:c r="G5" s="13" t="s">
        <x:v>117</x:v>
      </x:c>
    </x:row>
    <x:row r="6" ht="23.850000381469727" hidden="0">
      <x:c r="A6" s="23" t="n">
        <x:v>3</x:v>
      </x:c>
      <x:c r="B6" s="13" t="s">
        <x:v>118</x:v>
      </x:c>
      <x:c r="C6" s="26" t="s">
        <x:v>119</x:v>
      </x:c>
      <x:c r="D6" s="26" t="s">
        <x:v>120</x:v>
      </x:c>
      <x:c r="E6" s="13" t="s">
        <x:v>121</x:v>
      </x:c>
      <x:c r="F6" s="13" t="s">
        <x:v>122</x:v>
      </x:c>
      <x:c r="G6" s="13" t="s">
        <x:v>123</x:v>
      </x:c>
    </x:row>
    <x:row r="7" ht="15" hidden="0">
      <x:c r="A7" s="23" t="n">
        <x:v>4</x:v>
      </x:c>
      <x:c r="B7" s="13" t="s">
        <x:v>124</x:v>
      </x:c>
      <x:c r="C7" s="26" t="s">
        <x:v>125</x:v>
      </x:c>
      <x:c r="D7" s="26" t="s">
        <x:v>126</x:v>
      </x:c>
      <x:c r="E7" s="13" t="s">
        <x:v>127</x:v>
      </x:c>
      <x:c r="F7" s="13" t="s">
        <x:v>128</x:v>
      </x:c>
      <x:c r="G7" s="13" t="s">
        <x:v>129</x:v>
      </x:c>
    </x:row>
    <x:row r="8" ht="15" hidden="0">
      <x:c r="A8" s="23" t="n">
        <x:v>5</x:v>
      </x:c>
      <x:c r="B8" s="13" t="s">
        <x:v>130</x:v>
      </x:c>
      <x:c r="C8" s="26" t="s">
        <x:v>131</x:v>
      </x:c>
      <x:c r="D8" s="26" t="s">
        <x:v>132</x:v>
      </x:c>
      <x:c r="E8" s="13" t="s">
        <x:v>133</x:v>
      </x:c>
      <x:c r="F8" s="13" t="s">
        <x:v>134</x:v>
      </x:c>
      <x:c r="G8" s="13" t="s">
        <x:v>135</x:v>
      </x:c>
    </x:row>
    <x:row r="9" ht="15" hidden="0">
      <x:c r="A9" s="23" t="n">
        <x:v>6</x:v>
      </x:c>
      <x:c r="B9" s="13" t="s">
        <x:v>136</x:v>
      </x:c>
      <x:c r="C9" s="26" t="s">
        <x:v>137</x:v>
      </x:c>
      <x:c r="D9" s="26" t="s">
        <x:v>138</x:v>
      </x:c>
      <x:c r="E9" s="13" t="s">
        <x:v>139</x:v>
      </x:c>
      <x:c r="F9" s="13" t="s">
        <x:v>140</x:v>
      </x:c>
      <x:c r="G9" s="13" t="s">
        <x:v>141</x:v>
      </x:c>
    </x:row>
    <x:row r="10" ht="15" hidden="0">
      <x:c r="A10" s="23" t="n">
        <x:v>7</x:v>
      </x:c>
      <x:c r="B10" s="13" t="s">
        <x:v>142</x:v>
      </x:c>
      <x:c r="C10" s="26" t="s">
        <x:v>143</x:v>
      </x:c>
      <x:c r="D10" s="26" t="s">
        <x:v>144</x:v>
      </x:c>
      <x:c r="E10" s="13" t="s">
        <x:v>145</x:v>
      </x:c>
      <x:c r="F10" s="13" t="s">
        <x:v>146</x:v>
      </x:c>
      <x:c r="G10" s="13" t="s">
        <x:v>147</x:v>
      </x:c>
    </x:row>
    <x:row r="11" ht="15" hidden="0">
      <x:c r="A11" s="23" t="n">
        <x:v>8</x:v>
      </x:c>
      <x:c r="B11" s="13" t="s">
        <x:v>148</x:v>
      </x:c>
      <x:c r="C11" s="26" t="s">
        <x:v>149</x:v>
      </x:c>
      <x:c r="D11" s="26" t="s">
        <x:v>150</x:v>
      </x:c>
      <x:c r="E11" s="13" t="s">
        <x:v>151</x:v>
      </x:c>
      <x:c r="F11" s="13" t="s">
        <x:v>152</x:v>
      </x:c>
      <x:c r="G11" s="13" t="s">
        <x:v>153</x:v>
      </x:c>
    </x:row>
    <x:row r="12" ht="15" hidden="0">
      <x:c r="A12" s="23" t="n">
        <x:v>9</x:v>
      </x:c>
      <x:c r="B12" s="13" t="s">
        <x:v>154</x:v>
      </x:c>
      <x:c r="C12" s="26" t="s">
        <x:v>155</x:v>
      </x:c>
      <x:c r="D12" s="26" t="s">
        <x:v>156</x:v>
      </x:c>
      <x:c r="E12" s="13" t="s">
        <x:v>157</x:v>
      </x:c>
      <x:c r="F12" s="13" t="s">
        <x:v>158</x:v>
      </x:c>
      <x:c r="G12" s="13" t="s">
        <x:v>159</x:v>
      </x:c>
    </x:row>
    <x:row r="13" ht="15" hidden="0">
      <x:c r="A13" s="23" t="n">
        <x:v>10</x:v>
      </x:c>
      <x:c r="B13" s="13" t="s">
        <x:v>160</x:v>
      </x:c>
      <x:c r="C13" s="26" t="s">
        <x:v>161</x:v>
      </x:c>
      <x:c r="D13" s="26" t="s">
        <x:v>162</x:v>
      </x:c>
      <x:c r="E13" s="13" t="s">
        <x:v>163</x:v>
      </x:c>
      <x:c r="F13" s="13" t="s">
        <x:v>164</x:v>
      </x:c>
      <x:c r="G13" s="13" t="s">
        <x:v>165</x:v>
      </x:c>
    </x:row>
    <x:row r="14" ht="15" hidden="0">
      <x:c r="A14" s="23" t="n">
        <x:v>11</x:v>
      </x:c>
      <x:c r="B14" s="13" t="s">
        <x:v>166</x:v>
      </x:c>
      <x:c r="C14" s="26" t="s">
        <x:v>167</x:v>
      </x:c>
      <x:c r="D14" s="26" t="s">
        <x:v>168</x:v>
      </x:c>
      <x:c r="E14" s="13" t="s">
        <x:v>169</x:v>
      </x:c>
      <x:c r="F14" s="13" t="s">
        <x:v>170</x:v>
      </x:c>
      <x:c r="G14" s="13" t="s">
        <x:v>171</x:v>
      </x:c>
    </x:row>
    <x:row r="15" ht="23.850000381469727" hidden="0">
      <x:c r="A15" s="23" t="n">
        <x:v>12</x:v>
      </x:c>
      <x:c r="B15" s="13" t="s">
        <x:v>172</x:v>
      </x:c>
      <x:c r="C15" s="26" t="s">
        <x:v>173</x:v>
      </x:c>
      <x:c r="D15" s="26" t="s">
        <x:v>174</x:v>
      </x:c>
      <x:c r="E15" s="13" t="s">
        <x:v>175</x:v>
      </x:c>
      <x:c r="F15" s="13" t="s">
        <x:v>176</x:v>
      </x:c>
      <x:c r="G15" s="13" t="s">
        <x:v>177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4" hidden="0" customWidth="1"/>
    <x:col min="2" max="2" width="24" hidden="0" customWidth="1"/>
    <x:col min="3" max="3" width="36" hidden="0" customWidth="1"/>
    <x:col min="4" max="4" width="34" hidden="0" customWidth="1"/>
    <x:col min="5" max="6" width="10" hidden="0" customWidth="1"/>
    <x:col min="7" max="7" width="48" hidden="0" customWidth="1"/>
    <x:col min="5" max="5" width="12" hidden="0" customWidth="1"/>
    <x:col min="6" max="6" width="10" hidden="0" customWidth="1"/>
  </x:cols>
  <x:sheetData>
    <x:row r="1" ht="22.5" hidden="0" customHeight="1">
      <x:c r="A1" s="132" t="str">
        <x:v>QUEST, MISSION &amp; LIVE-OPS LAYER — rewards scale from Quest Scaling sheet</x:v>
      </x:c>
      <x:c r="B1" s="132"/>
      <x:c r="C1" s="132"/>
      <x:c r="D1" s="132"/>
      <x:c r="E1" s="132"/>
      <x:c r="F1" s="132"/>
      <x:c r="G1" s="132"/>
    </x:row>
    <x:row r="2" ht="15" hidden="0" customHeight="1">
      <x:c r="A2" s="118"/>
      <x:c r="B2" s="118"/>
      <x:c r="C2" s="118"/>
      <x:c r="D2" s="118"/>
      <x:c r="E2" s="118"/>
      <x:c r="F2" s="118"/>
      <x:c r="G2" s="118"/>
    </x:row>
    <x:row r="3" ht="15" hidden="0" customHeight="1">
      <x:c r="A3" s="88" t="str">
        <x:v>Cadence</x:v>
      </x:c>
      <x:c r="B3" s="88" t="str">
        <x:v>Quest / System</x:v>
      </x:c>
      <x:c r="C3" s="88" t="str">
        <x:v>Player Requirement</x:v>
      </x:c>
      <x:c r="D3" s="88" t="str">
        <x:v>Reward</x:v>
      </x:c>
      <x:c r="E3" s="88" t="str">
        <x:v>Unlock</x:v>
      </x:c>
      <x:c r="F3" s="88" t="str">
        <x:v>Reset</x:v>
      </x:c>
      <x:c r="G3" s="88" t="str">
        <x:v>Design Role</x:v>
      </x:c>
    </x:row>
    <x:row r="4" ht="26.399999618530273" hidden="0" customHeight="1">
      <x:c r="A4" s="118" t="str">
        <x:v>Daily</x:v>
      </x:c>
      <x:c r="B4" s="118" t="str">
        <x:v>Feed Caretaker</x:v>
      </x:c>
      <x:c r="C4" s="118" t="str">
        <x:v>Feed 8 fish before any become sick</x:v>
      </x:c>
      <x:c r="D4" s="118" t="str">
        <x:v>25% of daily XP pool + coins; see Quest Scaling</x:v>
      </x:c>
      <x:c r="E4" s="118" t="str">
        <x:v>L2+</x:v>
      </x:c>
      <x:c r="F4" s="118" t="str">
        <x:v>Daily</x:v>
      </x:c>
      <x:c r="G4" s="118" t="str">
        <x:v>Reinforces care loop; reduces death churn</x:v>
      </x:c>
    </x:row>
    <x:row r="5" ht="26.399999618530273" hidden="0" customHeight="1">
      <x:c r="A5" s="118" t="str">
        <x:v>Daily</x:v>
      </x:c>
      <x:c r="B5" s="118" t="str">
        <x:v>Junior Seller</x:v>
      </x:c>
      <x:c r="C5" s="118" t="str">
        <x:v>Raise and sell 2 fish at Junior or better</x:v>
      </x:c>
      <x:c r="D5" s="118" t="str">
        <x:v>28% of daily XP pool + coins; see Quest Scaling</x:v>
      </x:c>
      <x:c r="E5" s="118" t="str">
        <x:v>L2+</x:v>
      </x:c>
      <x:c r="F5" s="118" t="str">
        <x:v>Daily</x:v>
      </x:c>
      <x:c r="G5" s="118" t="str">
        <x:v>Teaches early-sell option using stage-specific XP</x:v>
      </x:c>
    </x:row>
    <x:row r="6" ht="26.399999618530273" hidden="0" customHeight="1">
      <x:c r="A6" s="118" t="str">
        <x:v>Daily</x:v>
      </x:c>
      <x:c r="B6" s="118" t="str">
        <x:v>Adult Harvest</x:v>
      </x:c>
      <x:c r="C6" s="118" t="str">
        <x:v>Sell 1 Adult fish</x:v>
      </x:c>
      <x:c r="D6" s="118" t="str">
        <x:v>32% of daily XP pool + coins; see Quest Scaling</x:v>
      </x:c>
      <x:c r="E6" s="118" t="str">
        <x:v>L3+</x:v>
      </x:c>
      <x:c r="F6" s="118" t="str">
        <x:v>Daily</x:v>
      </x:c>
      <x:c r="G6" s="118" t="str">
        <x:v>Main loop reward without replacing fish economy</x:v>
      </x:c>
    </x:row>
    <x:row r="7" ht="15" hidden="0" customHeight="1">
      <x:c r="A7" s="118" t="str">
        <x:v>Daily</x:v>
      </x:c>
      <x:c r="B7" s="118" t="str">
        <x:v>Tank Stylist</x:v>
      </x:c>
      <x:c r="C7" s="118" t="str">
        <x:v>Buy or place 1 plant/decor item</x:v>
      </x:c>
      <x:c r="D7" s="118" t="str">
        <x:v>Remaining daily XP pool + decor score</x:v>
      </x:c>
      <x:c r="E7" s="118" t="str">
        <x:v>L3+</x:v>
      </x:c>
      <x:c r="F7" s="118" t="str">
        <x:v>Daily</x:v>
      </x:c>
      <x:c r="G7" s="118" t="str">
        <x:v>Supports cosmetic economy</x:v>
      </x:c>
    </x:row>
    <x:row r="8" ht="15" hidden="0" customHeight="1">
      <x:c r="A8" s="118" t="str">
        <x:v>Weekly</x:v>
      </x:c>
      <x:c r="B8" s="118" t="str">
        <x:v>Collection Chapter</x:v>
      </x:c>
      <x:c r="C8" s="118" t="str">
        <x:v>Complete 5 fish entries in a themed collection</x:v>
      </x:c>
      <x:c r="D8" s="118" t="str">
        <x:v>~45% of next-level XP + Pearls/event egg</x:v>
      </x:c>
      <x:c r="E8" s="118" t="str">
        <x:v>L8+</x:v>
      </x:c>
      <x:c r="F8" s="118" t="str">
        <x:v>Weekly</x:v>
      </x:c>
      <x:c r="G8" s="118" t="str">
        <x:v>Medium-term collection goal</x:v>
      </x:c>
    </x:row>
    <x:row r="9" ht="15" hidden="0" customHeight="1">
      <x:c r="A9" s="118" t="str">
        <x:v>Weekly</x:v>
      </x:c>
      <x:c r="B9" s="118" t="str">
        <x:v>Neighbor Helper</x:v>
      </x:c>
      <x:c r="C9" s="118" t="str">
        <x:v>Send/receive 5 gifts or use NPC tickets</x:v>
      </x:c>
      <x:c r="D9" s="118" t="str">
        <x:v>Gift Tokens + Coins</x:v>
      </x:c>
      <x:c r="E9" s="118" t="str">
        <x:v>L5+</x:v>
      </x:c>
      <x:c r="F9" s="118" t="str">
        <x:v>Weekly</x:v>
      </x:c>
      <x:c r="G9" s="118" t="str">
        <x:v>Social without hard friend walls</x:v>
      </x:c>
    </x:row>
    <x:row r="10" ht="15" hidden="0" customHeight="1">
      <x:c r="A10" s="118" t="str">
        <x:v>Achievement</x:v>
      </x:c>
      <x:c r="B10" s="118" t="str">
        <x:v>Species Mastery</x:v>
      </x:c>
      <x:c r="C10" s="118" t="str">
        <x:v>Raise a species to Adult 5/25/100 times</x:v>
      </x:c>
      <x:c r="D10" s="118" t="str">
        <x:v>Badge + XP + statue decor</x:v>
      </x:c>
      <x:c r="E10" s="118" t="str">
        <x:v>All</x:v>
      </x:c>
      <x:c r="F10" s="118" t="str">
        <x:v>Permanent</x:v>
      </x:c>
      <x:c r="G10" s="118" t="str">
        <x:v>Depth without changing fish math</x:v>
      </x:c>
    </x:row>
    <x:row r="11" ht="15" hidden="0" customHeight="1">
      <x:c r="A11" s="118" t="str">
        <x:v>Achievement</x:v>
      </x:c>
      <x:c r="B11" s="118" t="str">
        <x:v>Decorator</x:v>
      </x:c>
      <x:c r="C11" s="118" t="str">
        <x:v>Reach decor score thresholds</x:v>
      </x:c>
      <x:c r="D11" s="118" t="str">
        <x:v>Cosmetic titles + backgrounds</x:v>
      </x:c>
      <x:c r="E11" s="118" t="str">
        <x:v>L3+</x:v>
      </x:c>
      <x:c r="F11" s="118" t="str">
        <x:v>Permanent</x:v>
      </x:c>
      <x:c r="G11" s="118" t="str">
        <x:v>Decor as progression expression</x:v>
      </x:c>
    </x:row>
    <x:row r="12" ht="26.399999618530273" hidden="0" customHeight="1">
      <x:c r="A12" s="118" t="str">
        <x:v>Live Ops</x:v>
      </x:c>
      <x:c r="B12" s="118" t="str">
        <x:v>Daily Egg Basket</x:v>
      </x:c>
      <x:c r="C12" s="118" t="str">
        <x:v>Claim a random egg every 24h; tables rotate weekly</x:v>
      </x:c>
      <x:c r="D12" s="118" t="str">
        <x:v>Random fish egg; retired fish chance; no economy-breaking resale</x:v>
      </x:c>
      <x:c r="E12" s="118" t="str">
        <x:v>L6+</x:v>
      </x:c>
      <x:c r="F12" s="118" t="str">
        <x:v>Daily</x:v>
      </x:c>
      <x:c r="G12" s="118" t="str">
        <x:v>FishVille retired-fish Egg Basket concept</x:v>
      </x:c>
    </x:row>
    <x:row r="13" ht="15" hidden="0" customHeight="1">
      <x:c r="A13" s="118" t="str">
        <x:v>Live Ops</x:v>
      </x:c>
      <x:c r="B13" s="118" t="str">
        <x:v>Limited Fish Window</x:v>
      </x:c>
      <x:c r="C13" s="118" t="str">
        <x:v>LE fish appears per Limited Edition calendar</x:v>
      </x:c>
      <x:c r="D13" s="118" t="str">
        <x:v>Limited catalog entry; capped advantage</x:v>
      </x:c>
      <x:c r="E13" s="118" t="str">
        <x:v>L per fish</x:v>
      </x:c>
      <x:c r="F13" s="118" t="str">
        <x:v>Event</x:v>
      </x:c>
      <x:c r="G13" s="118" t="str">
        <x:v>Mirrors 7-day limited pattern without mandatory power creep</x:v>
      </x:c>
    </x:row>
  </x:sheetData>
  <x:mergeCells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0" hidden="0" customWidth="1"/>
    <x:col min="2" max="2" width="18" hidden="0" customWidth="1"/>
    <x:col min="3" max="4" width="42" hidden="0" customWidth="1"/>
    <x:col min="5" max="5" width="48" hidden="0" customWidth="1"/>
    <x:col min="6" max="6" width="16" hidden="0" customWidth="1"/>
    <x:col min="3" max="3" width="48" hidden="0" customWidth="1"/>
    <x:col min="4" max="4" width="48" hidden="0" customWidth="1"/>
  </x:cols>
  <x:sheetData>
    <x:row r="1" ht="22.5" hidden="0" customHeight="1">
      <x:c r="A1" s="132" t="str">
        <x:v>CURRENCY &amp; RESOURCE SYSTEM — sources, sinks, guardrails</x:v>
      </x:c>
      <x:c r="B1" s="132"/>
      <x:c r="C1" s="132"/>
      <x:c r="D1" s="132"/>
      <x:c r="E1" s="132"/>
      <x:c r="F1" s="132"/>
    </x:row>
    <x:row r="2" ht="15" hidden="0" customHeight="1">
      <x:c r="A2" s="118"/>
      <x:c r="B2" s="118"/>
      <x:c r="C2" s="118"/>
      <x:c r="D2" s="118"/>
      <x:c r="E2" s="118"/>
      <x:c r="F2" s="118"/>
    </x:row>
    <x:row r="3" ht="15" hidden="0" customHeight="1">
      <x:c r="A3" s="88" t="str">
        <x:v>Currency / Resource</x:v>
      </x:c>
      <x:c r="B3" s="88" t="str">
        <x:v>Type</x:v>
      </x:c>
      <x:c r="C3" s="88" t="str">
        <x:v>Sources</x:v>
      </x:c>
      <x:c r="D3" s="88" t="str">
        <x:v>Sinks</x:v>
      </x:c>
      <x:c r="E3" s="88" t="str">
        <x:v>Guardrails</x:v>
      </x:c>
      <x:c r="F3" s="88" t="str">
        <x:v>Role</x:v>
      </x:c>
    </x:row>
    <x:row r="4" ht="26.399999618530273" hidden="0" customHeight="1">
      <x:c r="A4" s="118" t="str">
        <x:v>Coins</x:v>
      </x:c>
      <x:c r="B4" s="118" t="str">
        <x:v>Soft currency</x:v>
      </x:c>
      <x:c r="C4" s="118" t="str">
        <x:v>Sell fish; quests; daily bonus; friend visits; achievements; collections</x:v>
      </x:c>
      <x:c r="D4" s="118" t="str">
        <x:v>Coin fish; plants; decor; tanks; capacity; basic food; recurring maintenance</x:v>
      </x:c>
      <x:c r="E4" s="118" t="str">
        <x:v>No bankruptcy in first 3 sessions; adult loops are net-positive but sinks absorb long-term surplus</x:v>
      </x:c>
      <x:c r="F4" s="118" t="str">
        <x:v>Primary</x:v>
      </x:c>
    </x:row>
    <x:row r="5" ht="39.599998474121094" hidden="0" customHeight="1">
      <x:c r="A5" s="118" t="str">
        <x:v>Pearls</x:v>
      </x:c>
      <x:c r="B5" s="118" t="str">
        <x:v>Premium currency</x:v>
      </x:c>
      <x:c r="C5" s="118" t="str">
        <x:v>Level-up grants; events; IAP; offers</x:v>
      </x:c>
      <x:c r="D5" s="118" t="str">
        <x:v>Premium cosmetics; speed-ups; event eggs; premium gifts</x:v>
      </x:c>
      <x:c r="E5" s="118" t="str">
        <x:v>Never required for core growth, levels or basic capacity; premium fish are capped convenience/collection, not dominant production</x:v>
      </x:c>
      <x:c r="F5" s="118" t="str">
        <x:v>Monetization</x:v>
      </x:c>
    </x:row>
    <x:row r="6" ht="26.399999618530273" hidden="0" customHeight="1">
      <x:c r="A6" s="118" t="str">
        <x:v>XP</x:v>
      </x:c>
      <x:c r="B6" s="118" t="str">
        <x:v>Progress currency</x:v>
      </x:c>
      <x:c r="C6" s="118" t="str">
        <x:v>Buy fish; sell fish at stage-specific XP values; buy plants/decor; quests; social; collections</x:v>
      </x:c>
      <x:c r="D6" s="118" t="str">
        <x:v>Levels only; cannot be spent</x:v>
      </x:c>
      <x:c r="E6" s="118" t="str">
        <x:v>Every session moves the bar; daily quests scale to 8-12% of next-level XP after tutorial</x:v>
      </x:c>
      <x:c r="F6" s="118" t="str">
        <x:v>Progression</x:v>
      </x:c>
    </x:row>
    <x:row r="7" ht="26.399999618530273" hidden="0" customHeight="1">
      <x:c r="A7" s="118" t="str">
        <x:v>Tank Slots</x:v>
      </x:c>
      <x:c r="B7" s="118" t="str">
        <x:v>Capacity</x:v>
      </x:c>
      <x:c r="C7" s="118" t="str">
        <x:v>Start 10; upgrades via Coins, levels, Gift Tokens/friends, optional discounts</x:v>
      </x:c>
      <x:c r="D7" s="118" t="str">
        <x:v>Expansion purchases</x:v>
      </x:c>
      <x:c r="E7" s="118" t="str">
        <x:v>Capacity is the main production scaler, so tank prices scale with realistic daily income</x:v>
      </x:c>
      <x:c r="F7" s="118" t="str">
        <x:v>Production</x:v>
      </x:c>
    </x:row>
    <x:row r="8" ht="15" hidden="0" customHeight="1">
      <x:c r="A8" s="118" t="str">
        <x:v>Gift Tokens</x:v>
      </x:c>
      <x:c r="B8" s="118" t="str">
        <x:v>Social material</x:v>
      </x:c>
      <x:c r="C8" s="118" t="str">
        <x:v>Daily friend gifts; NPC helper; quest rewards</x:v>
      </x:c>
      <x:c r="D8" s="118" t="str">
        <x:v>Social fish; event egg crafting; capacity discounts</x:v>
      </x:c>
      <x:c r="E8" s="118" t="str">
        <x:v>Solo Gift Token alternative keeps single players viable</x:v>
      </x:c>
      <x:c r="F8" s="118" t="str">
        <x:v>Social</x:v>
      </x:c>
    </x:row>
    <x:row r="9" ht="15" hidden="0" customHeight="1">
      <x:c r="A9" s="118" t="str">
        <x:v>Decor Score</x:v>
      </x:c>
      <x:c r="B9" s="118" t="str">
        <x:v>Meta score</x:v>
      </x:c>
      <x:c r="C9" s="118" t="str">
        <x:v>Place decorations/plants/environments</x:v>
      </x:c>
      <x:c r="D9" s="118" t="str">
        <x:v>Cosmetic titles; showcases; weekly contests</x:v>
      </x:c>
      <x:c r="E9" s="118" t="str">
        <x:v>Decoupled from power to prevent mandatory clutter</x:v>
      </x:c>
      <x:c r="F9" s="118" t="str">
        <x:v>Expression</x:v>
      </x:c>
    </x:row>
    <x:row r="10" ht="26.399999618530273" hidden="0" customHeight="1">
      <x:c r="A10" s="118" t="str">
        <x:v>Event Eggs</x:v>
      </x:c>
      <x:c r="B10" s="118" t="str">
        <x:v>Limited collectible</x:v>
      </x:c>
      <x:c r="C10" s="118" t="str">
        <x:v>Daily egg basket; event quests; gift chains</x:v>
      </x:c>
      <x:c r="D10" s="118" t="str">
        <x:v>Hatch limited/retired fish</x:v>
      </x:c>
      <x:c r="E10" s="118" t="str">
        <x:v>Rotating return-reasons without breaking core economy; LE fish capped near normal frontier</x:v>
      </x:c>
      <x:c r="F10" s="118" t="str">
        <x:v>Live Ops</x:v>
      </x:c>
    </x:row>
  </x:sheetData>
  <x:mergeCells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34" hidden="0" customWidth="1"/>
    <x:col min="2" max="2" width="16" hidden="0" customWidth="1"/>
    <x:col min="3" max="3" width="32" hidden="0" customWidth="1"/>
    <x:col min="4" max="4" width="50" hidden="0" customWidth="1"/>
  </x:cols>
  <x:sheetData>
    <x:row r="1" ht="22.5" hidden="0" customHeight="1">
      <x:c r="A1" s="132" t="str">
        <x:v>BALANCING DASHBOARD — updated target-rate economy</x:v>
      </x:c>
      <x:c r="B1" s="132"/>
      <x:c r="C1" s="132"/>
      <x:c r="D1" s="132"/>
    </x:row>
    <x:row r="2" ht="15" hidden="0" customHeight="1">
      <x:c r="A2" s="118"/>
      <x:c r="B2" s="118"/>
      <x:c r="C2" s="118"/>
      <x:c r="D2" s="118"/>
    </x:row>
    <x:row r="3" ht="15" hidden="0" customHeight="1">
      <x:c r="A3" s="88" t="str">
        <x:v>KPI</x:v>
      </x:c>
      <x:c r="B3" s="88" t="str">
        <x:v>Value</x:v>
      </x:c>
      <x:c r="C3" s="88" t="str">
        <x:v>Design Target</x:v>
      </x:c>
      <x:c r="D3" s="88" t="str">
        <x:v>Status / Interpretation</x:v>
      </x:c>
    </x:row>
    <x:row r="4" ht="15" hidden="0" customHeight="1">
      <x:c r="A4" s="118" t="str">
        <x:v>Starting Coins</x:v>
      </x:c>
      <x:c r="B4" s="118" t="n">
        <x:f aca="0">Inputs!$B$6</x:f>
        <x:v>250</x:v>
      </x:c>
      <x:c r="C4" s="118" t="str">
        <x:v>250, enough for first loop</x:v>
      </x:c>
      <x:c r="D4" s="118" t="str">
        <x:v>Low-friction first session</x:v>
      </x:c>
    </x:row>
    <x:row r="5" ht="15" hidden="0" customHeight="1">
      <x:c r="A5" s="118" t="str">
        <x:v>Starting Pearls</x:v>
      </x:c>
      <x:c r="B5" s="118" t="n">
        <x:f aca="0">Inputs!$B$7</x:f>
        <x:v>0</x:v>
      </x:c>
      <x:c r="C5" s="118" t="str">
        <x:v>0 at install; Level 2 grants 1</x:v>
      </x:c>
      <x:c r="D5" s="118" t="str">
        <x:v>Prevents early Pearl-to-coin arbitrage</x:v>
      </x:c>
    </x:row>
    <x:row r="6" ht="15" hidden="0" customHeight="1">
      <x:c r="A6" s="118" t="str">
        <x:v>XP to reach Level 2</x:v>
      </x:c>
      <x:c r="B6" s="118" t="n">
        <x:f aca="0">'XP Curve'!G5</x:f>
        <x:v>80</x:v>
      </x:c>
      <x:c r="C6" s="118" t="str">
        <x:v>Reachable inside tutorial</x:v>
      </x:c>
      <x:c r="D6" s="118" t="str">
        <x:v>Onboarding delivers first level-up</x:v>
      </x:c>
    </x:row>
    <x:row r="7" ht="15" hidden="0" customHeight="1">
      <x:c r="A7" s="118" t="str">
        <x:v>XP to reach Level 10</x:v>
      </x:c>
      <x:c r="B7" s="118" t="n">
        <x:f aca="0">'XP Curve'!G13</x:f>
        <x:v>8030</x:v>
      </x:c>
      <x:c r="C7" s="118" t="str">
        <x:v>Day 1-2 for active players</x:v>
      </x:c>
      <x:c r="D7" s="118" t="str">
        <x:v>Early hook pacing</x:v>
      </x:c>
    </x:row>
    <x:row r="8" ht="15" hidden="0" customHeight="1">
      <x:c r="A8" s="118" t="str">
        <x:v>XP to reach Level 30</x:v>
      </x:c>
      <x:c r="B8" s="118" t="n">
        <x:f aca="0">'XP Curve'!G33</x:f>
        <x:v>354460</x:v>
      </x:c>
      <x:c r="C8" s="118" t="str">
        <x:v>Multi-week goal</x:v>
      </x:c>
      <x:c r="D8" s="118" t="str">
        <x:v>Medium-term retention</x:v>
      </x:c>
    </x:row>
    <x:row r="9" ht="15" hidden="0" customHeight="1">
      <x:c r="A9" s="118" t="str">
        <x:v>XP to reach Level 70</x:v>
      </x:c>
      <x:c r="B9" s="118" t="n">
        <x:f aca="0">'XP Curve'!G73</x:f>
        <x:v>6333050</x:v>
      </x:c>
      <x:c r="C9" s="118" t="str">
        <x:v>Months-long aspiration</x:v>
      </x:c>
      <x:c r="D9" s="118" t="str">
        <x:v>Endgame prestige</x:v>
      </x:c>
    </x:row>
    <x:row r="10" ht="15" hidden="0" customHeight="1">
      <x:c r="A10" s="118" t="str">
        <x:v>L10/L11 delta ratio</x:v>
      </x:c>
      <x:c r="B10" s="120" t="n">
        <x:f aca="0">ROUND('XP Curve'!F14/'XP Curve'!F13,2)</x:f>
        <x:v>1.3</x:v>
      </x:c>
      <x:c r="C10" s="118" t="str">
        <x:v>~1.0-1.3</x:v>
      </x:c>
      <x:c r="D10" s="118" t="str">
        <x:v>Smoothed early-to-habit transition</x:v>
      </x:c>
    </x:row>
    <x:row r="11" ht="15" hidden="0" customHeight="1">
      <x:c r="A11" s="118" t="str">
        <x:v>L31/L30 delta ratio</x:v>
      </x:c>
      <x:c r="B11" s="120" t="n">
        <x:f aca="0">ROUND('XP Curve'!F34/'XP Curve'!F33,2)</x:f>
        <x:v>1.11</x:v>
      </x:c>
      <x:c r="C11" s="118" t="str">
        <x:v>~1.0-1.4</x:v>
      </x:c>
      <x:c r="D11" s="118" t="str">
        <x:v>Confirms XP wall stays fixed</x:v>
      </x:c>
    </x:row>
    <x:row r="12" ht="15" hidden="0" customHeight="1">
      <x:c r="A12" s="118" t="str">
        <x:v>Coin fish in catalog</x:v>
      </x:c>
      <x:c r="B12" s="118" t="n">
        <x:f aca="0">COUNTA('Coin Fish'!A2:A27)</x:f>
        <x:v>26</x:v>
      </x:c>
      <x:c r="C12" s="118" t="str">
        <x:v>26 at launch</x:v>
      </x:c>
      <x:c r="D12" s="118" t="str">
        <x:v>Store breadth</x:v>
      </x:c>
    </x:row>
    <x:row r="13" ht="15" hidden="0" customHeight="1">
      <x:c r="A13" s="118" t="str">
        <x:v>Premium fish in catalog</x:v>
      </x:c>
      <x:c r="B13" s="118" t="n">
        <x:f aca="0">COUNTA('Premium Fish'!A2:A11)</x:f>
        <x:v>10</x:v>
      </x:c>
      <x:c r="C13" s="118" t="str">
        <x:v>10 at launch</x:v>
      </x:c>
      <x:c r="D13" s="118" t="str">
        <x:v>Monetization breadth</x:v>
      </x:c>
    </x:row>
    <x:row r="14" ht="15" hidden="0" customHeight="1">
      <x:c r="A14" s="118" t="str">
        <x:v>Limited fish in calendar</x:v>
      </x:c>
      <x:c r="B14" s="118" t="n">
        <x:f aca="0">COUNTA('Limited Edition'!A2:A11)</x:f>
        <x:v>10</x:v>
      </x:c>
      <x:c r="C14" s="118" t="str">
        <x:v>8-12 across year</x:v>
      </x:c>
      <x:c r="D14" s="118" t="str">
        <x:v>Live-ops coverage</x:v>
      </x:c>
    </x:row>
    <x:row r="15" ht="15" hidden="0" customHeight="1">
      <x:c r="A15" s="118" t="str">
        <x:v>Active / Balanced / Idle fish</x:v>
      </x:c>
      <x:c r="B15" s="118" t="str">
        <x:f aca="0">COUNTIF('Coin Fish'!AC2:AC27,"Active")&amp;" / "&amp;COUNTIF('Coin Fish'!AC2:AC27,"Balanced")&amp;" / "&amp;COUNTIF('Coin Fish'!AC2:AC27,"Idle")</x:f>
        <x:v>6 / 6 / 14</x:v>
      </x:c>
      <x:c r="C15" s="118" t="str">
        <x:v>All playstyles present</x:v>
      </x:c>
      <x:c r="D15" s="118" t="str">
        <x:v>Schedule-choice model preserved</x:v>
      </x:c>
    </x:row>
    <x:row r="16" ht="15" hidden="0" customHeight="1">
      <x:c r="A16" s="118" t="str">
        <x:v>Max coin fish coins/hr</x:v>
      </x:c>
      <x:c r="B16" s="121" t="n">
        <x:f aca="0">ROUND(MAX('Coin Fish'!W2:W27),1)</x:f>
        <x:v>415.7</x:v>
      </x:c>
      <x:c r="C16" s="118" t="str">
        <x:v>≤700 at L70 frontier</x:v>
      </x:c>
      <x:c r="D16" s="118" t="str">
        <x:v>Prevents high-level fast-fish runaway</x:v>
      </x:c>
    </x:row>
    <x:row r="17" ht="15" hidden="0" customHeight="1">
      <x:c r="A17" s="118" t="str">
        <x:v>Foxface Rabbitfish coins/hr</x:v>
      </x:c>
      <x:c r="B17" s="121" t="n">
        <x:f aca="0">ROUND(INDEX('Coin Fish'!W2:W27,MATCH("Foxface Rabbitfish",'Coin Fish'!B2:B27,0)),1)</x:f>
        <x:v>415.7</x:v>
      </x:c>
      <x:c r="C17" s="118" t="str">
        <x:v>~360-430</x:v>
      </x:c>
      <x:c r="D17" s="118" t="str">
        <x:v>Late active coin specialist, not universal best</x:v>
      </x:c>
    </x:row>
    <x:row r="18" ht="15" hidden="0" customHeight="1">
      <x:c r="A18" s="118" t="str">
        <x:v>Queen Angelfish coins/hr</x:v>
      </x:c>
      <x:c r="B18" s="121" t="n">
        <x:f aca="0">ROUND(INDEX('Coin Fish'!W2:W27,MATCH("Queen Angelfish",'Coin Fish'!B2:B27,0)),1)</x:f>
        <x:v>35.5</x:v>
      </x:c>
      <x:c r="C18" s="118" t="str">
        <x:v>Low hourly, high action value</x:v>
      </x:c>
      <x:c r="D18" s="118" t="str">
        <x:v>Capstone lump payout fantasy</x:v>
      </x:c>
    </x:row>
    <x:row r="19" ht="15" hidden="0" customHeight="1">
      <x:c r="A19" s="118" t="str">
        <x:v>Avg active coins/hr</x:v>
      </x:c>
      <x:c r="B19" s="121" t="n">
        <x:f aca="0">ROUND(AVERAGEIF('Coin Fish'!AC2:AC27,"Active",'Coin Fish'!W2:W27),1)</x:f>
        <x:v>187.3</x:v>
      </x:c>
      <x:c r="C19" s="118" t="str">
        <x:v>&gt; idle average</x:v>
      </x:c>
      <x:c r="D19" s="118" t="str">
        <x:v>FishVille-like active bonus</x:v>
      </x:c>
    </x:row>
    <x:row r="20" ht="15" hidden="0" customHeight="1">
      <x:c r="A20" s="118" t="str">
        <x:v>Avg idle coins/hr</x:v>
      </x:c>
      <x:c r="B20" s="121" t="n">
        <x:f>ROUND(AVERAGEIF('Coin Fish'!AC2:AC27,"Idle",'Coin Fish'!W2:W27),1)</x:f>
        <x:v>20</x:v>
      </x:c>
      <x:c r="C20" s="118" t="str">
        <x:v>Lower hourly, high convenience</x:v>
      </x:c>
      <x:c r="D20" s="118" t="str">
        <x:v>Idle players served</x:v>
      </x:c>
    </x:row>
    <x:row r="21" ht="15" hidden="0" customHeight="1">
      <x:c r="A21" s="118" t="str">
        <x:v>Best premium coins/Pearl</x:v>
      </x:c>
      <x:c r="B21" s="121" t="n">
        <x:f>ROUND(MAX('Premium Fish'!S2:S11),0)</x:f>
        <x:v>1103</x:v>
      </x:c>
      <x:c r="C21" s="118" t="str">
        <x:v>≤1,200</x:v>
      </x:c>
      <x:c r="D21" s="118" t="str">
        <x:v>Premium capped to cosmetic/convenience</x:v>
      </x:c>
    </x:row>
    <x:row r="22" ht="15" hidden="0" customHeight="1">
      <x:c r="A22" s="118" t="str">
        <x:v>Best LE pearl conversion</x:v>
      </x:c>
      <x:c r="B22" s="121" t="n">
        <x:f>ROUND(MAX('Limited Edition'!T2:T11),0)</x:f>
        <x:v>1083</x:v>
      </x:c>
      <x:c r="C22" s="118" t="str">
        <x:v>≤1,300</x:v>
      </x:c>
      <x:c r="D22" s="118" t="str">
        <x:v>Limited fish cannot bypass premium cap</x:v>
      </x:c>
    </x:row>
    <x:row r="23" ht="26.399999618530273" hidden="0" customHeight="1">
      <x:c r="A23" s="118" t="str">
        <x:v>Heartfin Tetra coins/hr</x:v>
      </x:c>
      <x:c r="B23" s="121" t="n">
        <x:f>ROUND(INDEX('Limited Edition'!V2:V11,MATCH("Heartfin Tetra",'Limited Edition'!B2:B11,0)),1)</x:f>
        <x:v>46.4</x:v>
      </x:c>
      <x:c r="C23" s="118" t="str">
        <x:v>≤15% above comparable normal event frontier</x:v>
      </x:c>
      <x:c r="D23" s="118" t="str">
        <x:v>F2P event fish no longer mandatory exploit</x:v>
      </x:c>
    </x:row>
    <x:row r="24" ht="15" hidden="0" customHeight="1">
      <x:c r="A24" s="118" t="str">
        <x:v>Estimated core days to Level 70</x:v>
      </x:c>
      <x:c r="B24" s="121" t="n">
        <x:f>ROUND('Economy Simulation'!K73,0)</x:f>
        <x:v>251</x:v>
      </x:c>
      <x:c r="C24" s="118" t="str">
        <x:v>~230-270 days directional</x:v>
      </x:c>
      <x:c r="D24" s="118" t="str">
        <x:v>Simulation-driven pacing</x:v>
      </x:c>
    </x:row>
    <x:row r="25" ht="15" hidden="0" customHeight="1">
      <x:c r="A25" s="118" t="str">
        <x:v>Tank 5 full cost / L34 daily income</x:v>
      </x:c>
      <x:c r="B25" s="121" t="n">
        <x:f>ROUND((110000+220000+380000+600000)/INDEX('Economy Simulation'!G4:G73,MATCH(34,'Economy Simulation'!A4:A73,0)),1)</x:f>
        <x:v>20.7</x:v>
      </x:c>
      <x:c r="C25" s="118" t="str">
        <x:v>Several days, not minutes</x:v>
      </x:c>
      <x:c r="D25" s="118" t="str">
        <x:v>Tank costs now act as real sinks</x:v>
      </x:c>
    </x:row>
    <x:row r="26" ht="15" hidden="0" customHeight="1">
      <x:c r="A26" s="118" t="str">
        <x:v>Daily XP pool at Level 30</x:v>
      </x:c>
      <x:c r="B26" s="122" t="n">
        <x:f>ROUND(INDEX('Quest Scaling'!C4:C72,MATCH(30,'Quest Scaling'!A4:A72,0))/INDEX('Quest Scaling'!B4:B72,MATCH(30,'Quest Scaling'!A4:A72,0)),2)</x:f>
        <x:v>0.1</x:v>
      </x:c>
      <x:c r="C26" s="118" t="str">
        <x:v>8-12% of next level</x:v>
      </x:c>
      <x:c r="D26" s="118" t="str">
        <x:v>Quest Scaling no longer becomes irrelevant</x:v>
      </x:c>
    </x:row>
  </x:sheetData>
  <x:mergeCells>
    <x:mergeCell ref="A1:D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34" hidden="0" customWidth="1"/>
    <x:col min="2" max="2" width="12" hidden="0" customWidth="1"/>
    <x:col min="3" max="3" width="26" hidden="0" customWidth="1"/>
    <x:col min="4" max="4" width="12" hidden="0" customWidth="1"/>
    <x:col min="5" max="5" width="12" hidden="0" customWidth="1"/>
    <x:col min="6" max="6" width="14" hidden="0" customWidth="1"/>
    <x:col min="7" max="7" width="12" hidden="0" customWidth="1"/>
    <x:col min="8" max="8" width="18" hidden="0" customWidth="1"/>
    <x:col min="9" max="9" width="14" hidden="0" customWidth="1"/>
    <x:col min="10" max="10" width="14" hidden="0" customWidth="1"/>
    <x:col min="11" max="11" width="54" hidden="0" customWidth="1"/>
  </x:cols>
  <x:sheetData>
    <x:row r="1" ht="22.5" hidden="0" customHeight="1">
      <x:c r="A1" s="132" t="str">
        <x:v>POST-LAUNCH FISH ROADMAP — target-rate guardrails added</x:v>
      </x:c>
      <x:c r="B1" s="132"/>
      <x:c r="C1" s="132"/>
      <x:c r="D1" s="132"/>
      <x:c r="E1" s="132"/>
      <x:c r="F1" s="132"/>
      <x:c r="G1" s="132"/>
      <x:c r="H1" s="132"/>
      <x:c r="I1" s="132"/>
      <x:c r="J1" s="132"/>
      <x:c r="K1" s="132"/>
    </x:row>
    <x:row r="2" ht="15" hidden="0" customHeight="1">
      <x:c r="A2" s="118"/>
      <x:c r="B2" s="118"/>
      <x:c r="C2" s="118"/>
      <x:c r="D2" s="118"/>
      <x:c r="E2" s="118"/>
      <x:c r="F2" s="118"/>
      <x:c r="G2" s="118"/>
      <x:c r="H2" s="118"/>
      <x:c r="I2" s="118"/>
      <x:c r="J2" s="118"/>
      <x:c r="K2" s="118"/>
    </x:row>
    <x:row r="3" ht="26.399999618530273" hidden="0" customHeight="1">
      <x:c r="A3" s="88" t="str">
        <x:v>Wave</x:v>
      </x:c>
      <x:c r="B3" s="88" t="str">
        <x:v>Suggested Lvl</x:v>
      </x:c>
      <x:c r="C3" s="88" t="str">
        <x:v>Fish</x:v>
      </x:c>
      <x:c r="D3" s="88" t="str">
        <x:v>Rarity</x:v>
      </x:c>
      <x:c r="E3" s="88" t="str">
        <x:v>Stage Time (hrs)</x:v>
      </x:c>
      <x:c r="F3" s="88" t="str">
        <x:v>Stage Time</x:v>
      </x:c>
      <x:c r="G3" s="88" t="str">
        <x:v>Est. Buy</x:v>
      </x:c>
      <x:c r="H3" s="88" t="str">
        <x:v>Suggested Role</x:v>
      </x:c>
      <x:c r="I3" s="88" t="str">
        <x:v>Target Coins/hr</x:v>
      </x:c>
      <x:c r="J3" s="88" t="str">
        <x:v>Target XP/hr</x:v>
      </x:c>
      <x:c r="K3" s="88" t="str">
        <x:v>Balance Note</x:v>
      </x:c>
    </x:row>
    <x:row r="4" ht="26.399999618530273" hidden="0" customHeight="1">
      <x:c r="A4" s="118" t="str">
        <x:v>Wave 1 - Content Refresh (fills launch crate levels)</x:v>
      </x:c>
      <x:c r="B4" s="118" t="n">
        <x:v>3</x:v>
      </x:c>
      <x:c r="C4" s="118" t="str">
        <x:v>Cherry Barb</x:v>
      </x:c>
      <x:c r="D4" s="118" t="str">
        <x:v>Common</x:v>
      </x:c>
      <x:c r="E4" s="126" t="n">
        <x:v>4</x:v>
      </x:c>
      <x:c r="F4" s="118" t="str">
        <x:v>4 h</x:v>
      </x:c>
      <x:c r="G4" s="118" t="n">
        <x:v>40</x:v>
      </x:c>
      <x:c r="H4" s="118" t="str">
        <x:v>Balanced</x:v>
      </x:c>
      <x:c r="I4" s="128" t="n">
        <x:f>IF(D4="Premium","",ROUND((Inputs!$B$70+(B4-Inputs!$B$68)*(Inputs!$B$71-Inputs!$B$70)/(Inputs!$B$69-Inputs!$B$68))*INDEX(Inputs!$C$87:$C$96,MATCH(E4,Inputs!$A$87:$A$96,1))*INDEX(Inputs!$B$100:$B$107,MATCH(H4,Inputs!$A$100:$A$107,0))*(1+INDEX(Inputs!$B$38:$B$44,MATCH(D4,Inputs!$A$38:$A$44,0))*INDEX(Inputs!$D$100:$D$107,MATCH(H4,Inputs!$A$100:$A$107,0))),1))</x:f>
        <x:v>21.2</x:v>
      </x:c>
      <x:c r="J4" s="128" t="n">
        <x:f>IF(D4="Premium","",ROUND((Inputs!$B$72+(B4-Inputs!$B$68)*(Inputs!$B$73-Inputs!$B$72)/(Inputs!$B$69-Inputs!$B$68))*INDEX(Inputs!$D$87:$D$96,MATCH(E4,Inputs!$A$87:$A$96,1))*INDEX(Inputs!$C$100:$C$107,MATCH(H4,Inputs!$A$100:$A$107,0))*(1+INDEX(Inputs!$B$38:$B$44,MATCH(D4,Inputs!$A$38:$A$44,0))*INDEX(Inputs!$E$100:$E$107,MATCH(H4,Inputs!$A$100:$A$107,0))),1))</x:f>
        <x:v>10</x:v>
      </x:c>
      <x:c r="K4" s="118" t="str">
        <x:v>Formula preview: target rates before activating live sheet.</x:v>
      </x:c>
    </x:row>
    <x:row r="5" ht="26.399999618530273" hidden="0" customHeight="1">
      <x:c r="A5" s="118" t="str">
        <x:v>Wave 1 - Content Refresh (fills launch crate levels)</x:v>
      </x:c>
      <x:c r="B5" s="118" t="n">
        <x:v>5</x:v>
      </x:c>
      <x:c r="C5" s="118" t="str">
        <x:v>White Cloud Minnow</x:v>
      </x:c>
      <x:c r="D5" s="118" t="str">
        <x:v>Common</x:v>
      </x:c>
      <x:c r="E5" s="126" t="n">
        <x:v>12</x:v>
      </x:c>
      <x:c r="F5" s="118" t="str">
        <x:v>12 h</x:v>
      </x:c>
      <x:c r="G5" s="118" t="n">
        <x:v>75</x:v>
      </x:c>
      <x:c r="H5" s="118" t="str">
        <x:v>Balanced</x:v>
      </x:c>
      <x:c r="I5" s="128" t="n">
        <x:f>IF(D5="Premium","",ROUND((Inputs!$B$70+(B5-Inputs!$B$68)*(Inputs!$B$71-Inputs!$B$70)/(Inputs!$B$69-Inputs!$B$68))*INDEX(Inputs!$C$87:$C$96,MATCH(E5,Inputs!$A$87:$A$96,1))*INDEX(Inputs!$B$100:$B$107,MATCH(H5,Inputs!$A$100:$A$107,0))*(1+INDEX(Inputs!$B$38:$B$44,MATCH(D5,Inputs!$A$38:$A$44,0))*INDEX(Inputs!$D$100:$D$107,MATCH(H5,Inputs!$A$100:$A$107,0))),1))</x:f>
        <x:v>13.8</x:v>
      </x:c>
      <x:c r="J5" s="128" t="n">
        <x:f>IF(D5="Premium","",ROUND((Inputs!$B$72+(B5-Inputs!$B$68)*(Inputs!$B$73-Inputs!$B$72)/(Inputs!$B$69-Inputs!$B$68))*INDEX(Inputs!$D$87:$D$96,MATCH(E5,Inputs!$A$87:$A$96,1))*INDEX(Inputs!$C$100:$C$107,MATCH(H5,Inputs!$A$100:$A$107,0))*(1+INDEX(Inputs!$B$38:$B$44,MATCH(D5,Inputs!$A$38:$A$44,0))*INDEX(Inputs!$E$100:$E$107,MATCH(H5,Inputs!$A$100:$A$107,0))),1))</x:f>
        <x:v>8.5</x:v>
      </x:c>
      <x:c r="K5" s="118" t="str">
        <x:v>Formula preview: target rates before activating live sheet.</x:v>
      </x:c>
    </x:row>
    <x:row r="6" ht="26.399999618530273" hidden="0" customHeight="1">
      <x:c r="A6" s="118" t="str">
        <x:v>Wave 1 - Content Refresh (fills launch crate levels)</x:v>
      </x:c>
      <x:c r="B6" s="118" t="n">
        <x:v>7</x:v>
      </x:c>
      <x:c r="C6" s="118" t="str">
        <x:v>Swordtail</x:v>
      </x:c>
      <x:c r="D6" s="118" t="str">
        <x:v>Common</x:v>
      </x:c>
      <x:c r="E6" s="126" t="n">
        <x:v>24</x:v>
      </x:c>
      <x:c r="F6" s="118" t="str">
        <x:v>24 h (1 d)</x:v>
      </x:c>
      <x:c r="G6" s="118" t="n">
        <x:v>110</x:v>
      </x:c>
      <x:c r="H6" s="118" t="str">
        <x:v>Convenience</x:v>
      </x:c>
      <x:c r="I6" s="128" t="n">
        <x:f>IF(D6="Premium","",ROUND((Inputs!$B$70+(B6-Inputs!$B$68)*(Inputs!$B$71-Inputs!$B$70)/(Inputs!$B$69-Inputs!$B$68))*INDEX(Inputs!$C$87:$C$96,MATCH(E6,Inputs!$A$87:$A$96,1))*INDEX(Inputs!$B$100:$B$107,MATCH(H6,Inputs!$A$100:$A$107,0))*(1+INDEX(Inputs!$B$38:$B$44,MATCH(D6,Inputs!$A$38:$A$44,0))*INDEX(Inputs!$D$100:$D$107,MATCH(H6,Inputs!$A$100:$A$107,0))),1))</x:f>
        <x:v>11.7</x:v>
      </x:c>
      <x:c r="J6" s="128" t="n">
        <x:f>IF(D6="Premium","",ROUND((Inputs!$B$72+(B6-Inputs!$B$68)*(Inputs!$B$73-Inputs!$B$72)/(Inputs!$B$69-Inputs!$B$68))*INDEX(Inputs!$D$87:$D$96,MATCH(E6,Inputs!$A$87:$A$96,1))*INDEX(Inputs!$C$100:$C$107,MATCH(H6,Inputs!$A$100:$A$107,0))*(1+INDEX(Inputs!$B$38:$B$44,MATCH(D6,Inputs!$A$38:$A$44,0))*INDEX(Inputs!$E$100:$E$107,MATCH(H6,Inputs!$A$100:$A$107,0))),1))</x:f>
        <x:v>8.5</x:v>
      </x:c>
      <x:c r="K6" s="118" t="str">
        <x:v>Formula preview: target rates before activating live sheet.</x:v>
      </x:c>
    </x:row>
    <x:row r="7" ht="26.399999618530273" hidden="0" customHeight="1">
      <x:c r="A7" s="118" t="str">
        <x:v>Wave 1 - Content Refresh (fills launch crate levels)</x:v>
      </x:c>
      <x:c r="B7" s="118" t="n">
        <x:v>9</x:v>
      </x:c>
      <x:c r="C7" s="118" t="str">
        <x:v>Royal Gramma</x:v>
      </x:c>
      <x:c r="D7" s="118" t="str">
        <x:v>Uncommon</x:v>
      </x:c>
      <x:c r="E7" s="126" t="n">
        <x:v>1</x:v>
      </x:c>
      <x:c r="F7" s="118" t="str">
        <x:v>1 h</x:v>
      </x:c>
      <x:c r="G7" s="118" t="n">
        <x:v>35</x:v>
      </x:c>
      <x:c r="H7" s="118" t="str">
        <x:v>Balanced</x:v>
      </x:c>
      <x:c r="I7" s="128" t="n">
        <x:f>IF(D7="Premium","",ROUND((Inputs!$B$70+(B7-Inputs!$B$68)*(Inputs!$B$71-Inputs!$B$70)/(Inputs!$B$69-Inputs!$B$68))*INDEX(Inputs!$C$87:$C$96,MATCH(E7,Inputs!$A$87:$A$96,1))*INDEX(Inputs!$B$100:$B$107,MATCH(H7,Inputs!$A$100:$A$107,0))*(1+INDEX(Inputs!$B$38:$B$44,MATCH(D7,Inputs!$A$38:$A$44,0))*INDEX(Inputs!$D$100:$D$107,MATCH(H7,Inputs!$A$100:$A$107,0))),1))</x:f>
        <x:v>90.5</x:v>
      </x:c>
      <x:c r="J7" s="128" t="n">
        <x:f>IF(D7="Premium","",ROUND((Inputs!$B$72+(B7-Inputs!$B$68)*(Inputs!$B$73-Inputs!$B$72)/(Inputs!$B$69-Inputs!$B$68))*INDEX(Inputs!$D$87:$D$96,MATCH(E7,Inputs!$A$87:$A$96,1))*INDEX(Inputs!$C$100:$C$107,MATCH(H7,Inputs!$A$100:$A$107,0))*(1+INDEX(Inputs!$B$38:$B$44,MATCH(D7,Inputs!$A$38:$A$44,0))*INDEX(Inputs!$E$100:$E$107,MATCH(H7,Inputs!$A$100:$A$107,0))),1))</x:f>
        <x:v>35.6</x:v>
      </x:c>
      <x:c r="K7" s="118" t="str">
        <x:v>Formula preview: target rates before activating live sheet.</x:v>
      </x:c>
    </x:row>
    <x:row r="8" ht="26.399999618530273" hidden="0" customHeight="1">
      <x:c r="A8" s="118" t="str">
        <x:v>Wave 1 - Content Refresh (fills launch crate levels)</x:v>
      </x:c>
      <x:c r="B8" s="118" t="n">
        <x:v>10</x:v>
      </x:c>
      <x:c r="C8" s="118" t="str">
        <x:v>Dwarf Gourami</x:v>
      </x:c>
      <x:c r="D8" s="118" t="str">
        <x:v>Uncommon</x:v>
      </x:c>
      <x:c r="E8" s="126" t="n">
        <x:v>36</x:v>
      </x:c>
      <x:c r="F8" s="118" t="str">
        <x:v>36 h (1.5 d)</x:v>
      </x:c>
      <x:c r="G8" s="118" t="n">
        <x:v>170</x:v>
      </x:c>
      <x:c r="H8" s="118" t="str">
        <x:v>Payout</x:v>
      </x:c>
      <x:c r="I8" s="128" t="n">
        <x:f>IF(D8="Premium","",ROUND((Inputs!$B$70+(B8-Inputs!$B$68)*(Inputs!$B$71-Inputs!$B$70)/(Inputs!$B$69-Inputs!$B$68))*INDEX(Inputs!$C$87:$C$96,MATCH(E8,Inputs!$A$87:$A$96,1))*INDEX(Inputs!$B$100:$B$107,MATCH(H8,Inputs!$A$100:$A$107,0))*(1+INDEX(Inputs!$B$38:$B$44,MATCH(D8,Inputs!$A$38:$A$44,0))*INDEX(Inputs!$D$100:$D$107,MATCH(H8,Inputs!$A$100:$A$107,0))),1))</x:f>
        <x:v>18.3</x:v>
      </x:c>
      <x:c r="J8" s="128" t="n">
        <x:f>IF(D8="Premium","",ROUND((Inputs!$B$72+(B8-Inputs!$B$68)*(Inputs!$B$73-Inputs!$B$72)/(Inputs!$B$69-Inputs!$B$68))*INDEX(Inputs!$D$87:$D$96,MATCH(E8,Inputs!$A$87:$A$96,1))*INDEX(Inputs!$C$100:$C$107,MATCH(H8,Inputs!$A$100:$A$107,0))*(1+INDEX(Inputs!$B$38:$B$44,MATCH(D8,Inputs!$A$38:$A$44,0))*INDEX(Inputs!$E$100:$E$107,MATCH(H8,Inputs!$A$100:$A$107,0))),1))</x:f>
        <x:v>7.6</x:v>
      </x:c>
      <x:c r="K8" s="118" t="str">
        <x:v>Formula preview: target rates before activating live sheet.</x:v>
      </x:c>
    </x:row>
    <x:row r="9" ht="26.399999618530273" hidden="0" customHeight="1">
      <x:c r="A9" s="118" t="str">
        <x:v>Wave 1 - Content Refresh (fills launch crate levels)</x:v>
      </x:c>
      <x:c r="B9" s="118" t="n">
        <x:v>13</x:v>
      </x:c>
      <x:c r="C9" s="118" t="str">
        <x:v>Corydoras Catfish</x:v>
      </x:c>
      <x:c r="D9" s="118" t="str">
        <x:v>Common</x:v>
      </x:c>
      <x:c r="E9" s="126" t="n">
        <x:v>20</x:v>
      </x:c>
      <x:c r="F9" s="118" t="str">
        <x:v>20 h</x:v>
      </x:c>
      <x:c r="G9" s="118" t="n">
        <x:v>130</x:v>
      </x:c>
      <x:c r="H9" s="118" t="str">
        <x:v>Balanced</x:v>
      </x:c>
      <x:c r="I9" s="128" t="n">
        <x:f>IF(D9="Premium","",ROUND((Inputs!$B$70+(B9-Inputs!$B$68)*(Inputs!$B$71-Inputs!$B$70)/(Inputs!$B$69-Inputs!$B$68))*INDEX(Inputs!$C$87:$C$96,MATCH(E9,Inputs!$A$87:$A$96,1))*INDEX(Inputs!$B$100:$B$107,MATCH(H9,Inputs!$A$100:$A$107,0))*(1+INDEX(Inputs!$B$38:$B$44,MATCH(D9,Inputs!$A$38:$A$44,0))*INDEX(Inputs!$D$100:$D$107,MATCH(H9,Inputs!$A$100:$A$107,0))),1))</x:f>
        <x:v>16.8</x:v>
      </x:c>
      <x:c r="J9" s="128" t="n">
        <x:f>IF(D9="Premium","",ROUND((Inputs!$B$72+(B9-Inputs!$B$68)*(Inputs!$B$73-Inputs!$B$72)/(Inputs!$B$69-Inputs!$B$68))*INDEX(Inputs!$D$87:$D$96,MATCH(E9,Inputs!$A$87:$A$96,1))*INDEX(Inputs!$C$100:$C$107,MATCH(H9,Inputs!$A$100:$A$107,0))*(1+INDEX(Inputs!$B$38:$B$44,MATCH(D9,Inputs!$A$38:$A$44,0))*INDEX(Inputs!$E$100:$E$107,MATCH(H9,Inputs!$A$100:$A$107,0))),1))</x:f>
        <x:v>9.8</x:v>
      </x:c>
      <x:c r="K9" s="118" t="str">
        <x:v>Formula preview: target rates before activating live sheet.</x:v>
      </x:c>
    </x:row>
    <x:row r="10" ht="26.399999618530273" hidden="0" customHeight="1">
      <x:c r="A10" s="118" t="str">
        <x:v>Wave 1 - Content Refresh (fills launch crate levels)</x:v>
      </x:c>
      <x:c r="B10" s="118" t="n">
        <x:v>18</x:v>
      </x:c>
      <x:c r="C10" s="118" t="str">
        <x:v>Siamese Fighting Fish</x:v>
      </x:c>
      <x:c r="D10" s="118" t="str">
        <x:v>Uncommon</x:v>
      </x:c>
      <x:c r="E10" s="126" t="n">
        <x:v>0.083</x:v>
      </x:c>
      <x:c r="F10" s="118" t="str">
        <x:v>5 min</x:v>
      </x:c>
      <x:c r="G10" s="118" t="n">
        <x:v>35</x:v>
      </x:c>
      <x:c r="H10" s="118" t="str">
        <x:v>Coin Specialist</x:v>
      </x:c>
      <x:c r="I10" s="128" t="n">
        <x:f>IF(D10="Premium","",ROUND((Inputs!$B$70+(B10-Inputs!$B$68)*(Inputs!$B$71-Inputs!$B$70)/(Inputs!$B$69-Inputs!$B$68))*INDEX(Inputs!$C$87:$C$96,MATCH(E10,Inputs!$A$87:$A$96,1))*INDEX(Inputs!$B$100:$B$107,MATCH(H10,Inputs!$A$100:$A$107,0))*(1+INDEX(Inputs!$B$38:$B$44,MATCH(D10,Inputs!$A$38:$A$44,0))*INDEX(Inputs!$D$100:$D$107,MATCH(H10,Inputs!$A$100:$A$107,0))),1))</x:f>
        <x:v>313.8</x:v>
      </x:c>
      <x:c r="J10" s="128" t="n">
        <x:f>IF(D10="Premium","",ROUND((Inputs!$B$72+(B10-Inputs!$B$68)*(Inputs!$B$73-Inputs!$B$72)/(Inputs!$B$69-Inputs!$B$68))*INDEX(Inputs!$D$87:$D$96,MATCH(E10,Inputs!$A$87:$A$96,1))*INDEX(Inputs!$C$100:$C$107,MATCH(H10,Inputs!$A$100:$A$107,0))*(1+INDEX(Inputs!$B$38:$B$44,MATCH(D10,Inputs!$A$38:$A$44,0))*INDEX(Inputs!$E$100:$E$107,MATCH(H10,Inputs!$A$100:$A$107,0))),1))</x:f>
        <x:v>74.3</x:v>
      </x:c>
      <x:c r="K10" s="118" t="str">
        <x:v>Fast fish | Formula preview: target rates before activating live sheet.</x:v>
      </x:c>
    </x:row>
    <x:row r="11" ht="26.399999618530273" hidden="0" customHeight="1">
      <x:c r="A11" s="118" t="str">
        <x:v>Wave 1 - Content Refresh (fills launch crate levels)</x:v>
      </x:c>
      <x:c r="B11" s="118" t="n">
        <x:v>19</x:v>
      </x:c>
      <x:c r="C11" s="118" t="str">
        <x:v>Firefish Goby</x:v>
      </x:c>
      <x:c r="D11" s="118" t="str">
        <x:v>Uncommon</x:v>
      </x:c>
      <x:c r="E11" s="126" t="n">
        <x:v>6</x:v>
      </x:c>
      <x:c r="F11" s="118" t="str">
        <x:v>6 h</x:v>
      </x:c>
      <x:c r="G11" s="118" t="n">
        <x:v>110</x:v>
      </x:c>
      <x:c r="H11" s="118" t="str">
        <x:v>Balanced</x:v>
      </x:c>
      <x:c r="I11" s="128" t="n">
        <x:f>IF(D11="Premium","",ROUND((Inputs!$B$70+(B11-Inputs!$B$68)*(Inputs!$B$71-Inputs!$B$70)/(Inputs!$B$69-Inputs!$B$68))*INDEX(Inputs!$C$87:$C$96,MATCH(E11,Inputs!$A$87:$A$96,1))*INDEX(Inputs!$B$100:$B$107,MATCH(H11,Inputs!$A$100:$A$107,0))*(1+INDEX(Inputs!$B$38:$B$44,MATCH(D11,Inputs!$A$38:$A$44,0))*INDEX(Inputs!$D$100:$D$107,MATCH(H11,Inputs!$A$100:$A$107,0))),1))</x:f>
        <x:v>29.6</x:v>
      </x:c>
      <x:c r="J11" s="128" t="n">
        <x:f>IF(D11="Premium","",ROUND((Inputs!$B$72+(B11-Inputs!$B$68)*(Inputs!$B$73-Inputs!$B$72)/(Inputs!$B$69-Inputs!$B$68))*INDEX(Inputs!$D$87:$D$96,MATCH(E11,Inputs!$A$87:$A$96,1))*INDEX(Inputs!$C$100:$C$107,MATCH(H11,Inputs!$A$100:$A$107,0))*(1+INDEX(Inputs!$B$38:$B$44,MATCH(D11,Inputs!$A$38:$A$44,0))*INDEX(Inputs!$E$100:$E$107,MATCH(H11,Inputs!$A$100:$A$107,0))),1))</x:f>
        <x:v>12.6</x:v>
      </x:c>
      <x:c r="K11" s="118" t="str">
        <x:v>Formula preview: target rates before activating live sheet.</x:v>
      </x:c>
    </x:row>
    <x:row r="12" ht="26.399999618530273" hidden="0" customHeight="1">
      <x:c r="A12" s="118" t="str">
        <x:v>Wave 1 - Content Refresh (fills launch crate levels)</x:v>
      </x:c>
      <x:c r="B12" s="118" t="n">
        <x:v>21</x:v>
      </x:c>
      <x:c r="C12" s="118" t="str">
        <x:v>Kuhli Loach</x:v>
      </x:c>
      <x:c r="D12" s="118" t="str">
        <x:v>Common</x:v>
      </x:c>
      <x:c r="E12" s="126" t="n">
        <x:v>36</x:v>
      </x:c>
      <x:c r="F12" s="118" t="str">
        <x:v>36 h (1.5 d)</x:v>
      </x:c>
      <x:c r="G12" s="118" t="n">
        <x:v>210</x:v>
      </x:c>
      <x:c r="H12" s="118" t="str">
        <x:v>Payout</x:v>
      </x:c>
      <x:c r="I12" s="128" t="n">
        <x:f>IF(D12="Premium","",ROUND((Inputs!$B$70+(B12-Inputs!$B$68)*(Inputs!$B$71-Inputs!$B$70)/(Inputs!$B$69-Inputs!$B$68))*INDEX(Inputs!$C$87:$C$96,MATCH(E12,Inputs!$A$87:$A$96,1))*INDEX(Inputs!$B$100:$B$107,MATCH(H12,Inputs!$A$100:$A$107,0))*(1+INDEX(Inputs!$B$38:$B$44,MATCH(D12,Inputs!$A$38:$A$44,0))*INDEX(Inputs!$D$100:$D$107,MATCH(H12,Inputs!$A$100:$A$107,0))),1))</x:f>
        <x:v>22.4</x:v>
      </x:c>
      <x:c r="J12" s="128" t="n">
        <x:f>IF(D12="Premium","",ROUND((Inputs!$B$72+(B12-Inputs!$B$68)*(Inputs!$B$73-Inputs!$B$72)/(Inputs!$B$69-Inputs!$B$68))*INDEX(Inputs!$D$87:$D$96,MATCH(E12,Inputs!$A$87:$A$96,1))*INDEX(Inputs!$C$100:$C$107,MATCH(H12,Inputs!$A$100:$A$107,0))*(1+INDEX(Inputs!$B$38:$B$44,MATCH(D12,Inputs!$A$38:$A$44,0))*INDEX(Inputs!$E$100:$E$107,MATCH(H12,Inputs!$A$100:$A$107,0))),1))</x:f>
        <x:v>9</x:v>
      </x:c>
      <x:c r="K12" s="118" t="str">
        <x:v>Overnight common | Formula preview: target rates before activating live sheet.</x:v>
      </x:c>
    </x:row>
    <x:row r="13" ht="26.399999618530273" hidden="0" customHeight="1">
      <x:c r="A13" s="118" t="str">
        <x:v>Wave 1 - Content Refresh (fills launch crate levels)</x:v>
      </x:c>
      <x:c r="B13" s="118" t="n">
        <x:v>23</x:v>
      </x:c>
      <x:c r="C13" s="118" t="str">
        <x:v>Freshwater Angelfish</x:v>
      </x:c>
      <x:c r="D13" s="118" t="str">
        <x:v>Uncommon</x:v>
      </x:c>
      <x:c r="E13" s="126" t="n">
        <x:v>8</x:v>
      </x:c>
      <x:c r="F13" s="118" t="str">
        <x:v>8 h</x:v>
      </x:c>
      <x:c r="G13" s="118" t="n">
        <x:v>130</x:v>
      </x:c>
      <x:c r="H13" s="118" t="str">
        <x:v>Balanced</x:v>
      </x:c>
      <x:c r="I13" s="128" t="n">
        <x:f>IF(D13="Premium","",ROUND((Inputs!$B$70+(B13-Inputs!$B$68)*(Inputs!$B$71-Inputs!$B$70)/(Inputs!$B$69-Inputs!$B$68))*INDEX(Inputs!$C$87:$C$96,MATCH(E13,Inputs!$A$87:$A$96,1))*INDEX(Inputs!$B$100:$B$107,MATCH(H13,Inputs!$A$100:$A$107,0))*(1+INDEX(Inputs!$B$38:$B$44,MATCH(D13,Inputs!$A$38:$A$44,0))*INDEX(Inputs!$D$100:$D$107,MATCH(H13,Inputs!$A$100:$A$107,0))),1))</x:f>
        <x:v>28.7</x:v>
      </x:c>
      <x:c r="J13" s="128" t="n">
        <x:f>IF(D13="Premium","",ROUND((Inputs!$B$72+(B13-Inputs!$B$68)*(Inputs!$B$73-Inputs!$B$72)/(Inputs!$B$69-Inputs!$B$68))*INDEX(Inputs!$D$87:$D$96,MATCH(E13,Inputs!$A$87:$A$96,1))*INDEX(Inputs!$C$100:$C$107,MATCH(H13,Inputs!$A$100:$A$107,0))*(1+INDEX(Inputs!$B$38:$B$44,MATCH(D13,Inputs!$A$38:$A$44,0))*INDEX(Inputs!$E$100:$E$107,MATCH(H13,Inputs!$A$100:$A$107,0))),1))</x:f>
        <x:v>12.5</x:v>
      </x:c>
      <x:c r="K13" s="118" t="str">
        <x:v>Formula preview: target rates before activating live sheet.</x:v>
      </x:c>
    </x:row>
    <x:row r="14" ht="26.399999618530273" hidden="0" customHeight="1">
      <x:c r="A14" s="118" t="str">
        <x:v>Wave 1 - Content Refresh (fills launch crate levels)</x:v>
      </x:c>
      <x:c r="B14" s="118" t="n">
        <x:v>25</x:v>
      </x:c>
      <x:c r="C14" s="118" t="str">
        <x:v>Bicolor Blenny</x:v>
      </x:c>
      <x:c r="D14" s="118" t="str">
        <x:v>Uncommon</x:v>
      </x:c>
      <x:c r="E14" s="126" t="n">
        <x:v>1</x:v>
      </x:c>
      <x:c r="F14" s="118" t="str">
        <x:v>1 h</x:v>
      </x:c>
      <x:c r="G14" s="118" t="n">
        <x:v>55</x:v>
      </x:c>
      <x:c r="H14" s="118" t="str">
        <x:v>Balanced</x:v>
      </x:c>
      <x:c r="I14" s="128" t="n">
        <x:f>IF(D14="Premium","",ROUND((Inputs!$B$70+(B14-Inputs!$B$68)*(Inputs!$B$71-Inputs!$B$70)/(Inputs!$B$69-Inputs!$B$68))*INDEX(Inputs!$C$87:$C$96,MATCH(E14,Inputs!$A$87:$A$96,1))*INDEX(Inputs!$B$100:$B$107,MATCH(H14,Inputs!$A$100:$A$107,0))*(1+INDEX(Inputs!$B$38:$B$44,MATCH(D14,Inputs!$A$38:$A$44,0))*INDEX(Inputs!$D$100:$D$107,MATCH(H14,Inputs!$A$100:$A$107,0))),1))</x:f>
        <x:v>125.7</x:v>
      </x:c>
      <x:c r="J14" s="128" t="n">
        <x:f>IF(D14="Premium","",ROUND((Inputs!$B$72+(B14-Inputs!$B$68)*(Inputs!$B$73-Inputs!$B$72)/(Inputs!$B$69-Inputs!$B$68))*INDEX(Inputs!$D$87:$D$96,MATCH(E14,Inputs!$A$87:$A$96,1))*INDEX(Inputs!$C$100:$C$107,MATCH(H14,Inputs!$A$100:$A$107,0))*(1+INDEX(Inputs!$B$38:$B$44,MATCH(D14,Inputs!$A$38:$A$44,0))*INDEX(Inputs!$E$100:$E$107,MATCH(H14,Inputs!$A$100:$A$107,0))),1))</x:f>
        <x:v>46.1</x:v>
      </x:c>
      <x:c r="K14" s="118" t="str">
        <x:v>Formula preview: target rates before activating live sheet.</x:v>
      </x:c>
    </x:row>
    <x:row r="15" ht="26.399999618530273" hidden="0" customHeight="1">
      <x:c r="A15" s="118" t="str">
        <x:v>Wave 1 - Content Refresh (fills launch crate levels)</x:v>
      </x:c>
      <x:c r="B15" s="118" t="n">
        <x:v>27</x:v>
      </x:c>
      <x:c r="C15" s="118" t="str">
        <x:v>Royal Dottyback</x:v>
      </x:c>
      <x:c r="D15" s="118" t="str">
        <x:v>Uncommon</x:v>
      </x:c>
      <x:c r="E15" s="126" t="n">
        <x:v>4</x:v>
      </x:c>
      <x:c r="F15" s="118" t="str">
        <x:v>4 h</x:v>
      </x:c>
      <x:c r="G15" s="118" t="n">
        <x:v>110</x:v>
      </x:c>
      <x:c r="H15" s="118" t="str">
        <x:v>Balanced</x:v>
      </x:c>
      <x:c r="I15" s="128" t="n">
        <x:f>IF(D15="Premium","",ROUND((Inputs!$B$70+(B15-Inputs!$B$68)*(Inputs!$B$71-Inputs!$B$70)/(Inputs!$B$69-Inputs!$B$68))*INDEX(Inputs!$C$87:$C$96,MATCH(E15,Inputs!$A$87:$A$96,1))*INDEX(Inputs!$B$100:$B$107,MATCH(H15,Inputs!$A$100:$A$107,0))*(1+INDEX(Inputs!$B$38:$B$44,MATCH(D15,Inputs!$A$38:$A$44,0))*INDEX(Inputs!$D$100:$D$107,MATCH(H15,Inputs!$A$100:$A$107,0))),1))</x:f>
        <x:v>35.9</x:v>
      </x:c>
      <x:c r="J15" s="128" t="n">
        <x:f>IF(D15="Premium","",ROUND((Inputs!$B$72+(B15-Inputs!$B$68)*(Inputs!$B$73-Inputs!$B$72)/(Inputs!$B$69-Inputs!$B$68))*INDEX(Inputs!$D$87:$D$96,MATCH(E15,Inputs!$A$87:$A$96,1))*INDEX(Inputs!$C$100:$C$107,MATCH(H15,Inputs!$A$100:$A$107,0))*(1+INDEX(Inputs!$B$38:$B$44,MATCH(D15,Inputs!$A$38:$A$44,0))*INDEX(Inputs!$E$100:$E$107,MATCH(H15,Inputs!$A$100:$A$107,0))),1))</x:f>
        <x:v>15.2</x:v>
      </x:c>
      <x:c r="K15" s="118" t="str">
        <x:v>Formula preview: target rates before activating live sheet.</x:v>
      </x:c>
    </x:row>
    <x:row r="16" ht="26.399999618530273" hidden="0" customHeight="1">
      <x:c r="A16" s="118" t="str">
        <x:v>Wave 1 - Content Refresh (fills launch crate levels)</x:v>
      </x:c>
      <x:c r="B16" s="118" t="n">
        <x:v>28</x:v>
      </x:c>
      <x:c r="C16" s="118" t="str">
        <x:v>Golden Puffer</x:v>
      </x:c>
      <x:c r="D16" s="118" t="str">
        <x:v>Rare</x:v>
      </x:c>
      <x:c r="E16" s="126" t="n">
        <x:v>4</x:v>
      </x:c>
      <x:c r="F16" s="118" t="str">
        <x:v>4 h</x:v>
      </x:c>
      <x:c r="G16" s="118" t="n">
        <x:v>130</x:v>
      </x:c>
      <x:c r="H16" s="118" t="str">
        <x:v>Collection</x:v>
      </x:c>
      <x:c r="I16" s="128" t="n">
        <x:f>IF(D16="Premium","",ROUND((Inputs!$B$70+(B16-Inputs!$B$68)*(Inputs!$B$71-Inputs!$B$70)/(Inputs!$B$69-Inputs!$B$68))*INDEX(Inputs!$C$87:$C$96,MATCH(E16,Inputs!$A$87:$A$96,1))*INDEX(Inputs!$B$100:$B$107,MATCH(H16,Inputs!$A$100:$A$107,0))*(1+INDEX(Inputs!$B$38:$B$44,MATCH(D16,Inputs!$A$38:$A$44,0))*INDEX(Inputs!$D$100:$D$107,MATCH(H16,Inputs!$A$100:$A$107,0))),1))</x:f>
        <x:v>32.8</x:v>
      </x:c>
      <x:c r="J16" s="128" t="n">
        <x:f>IF(D16="Premium","",ROUND((Inputs!$B$72+(B16-Inputs!$B$68)*(Inputs!$B$73-Inputs!$B$72)/(Inputs!$B$69-Inputs!$B$68))*INDEX(Inputs!$D$87:$D$96,MATCH(E16,Inputs!$A$87:$A$96,1))*INDEX(Inputs!$C$100:$C$107,MATCH(H16,Inputs!$A$100:$A$107,0))*(1+INDEX(Inputs!$B$38:$B$44,MATCH(D16,Inputs!$A$38:$A$44,0))*INDEX(Inputs!$E$100:$E$107,MATCH(H16,Inputs!$A$100:$A$107,0))),1))</x:f>
        <x:v>15.6</x:v>
      </x:c>
      <x:c r="K16" s="118" t="str">
        <x:v>Formula preview: target rates before activating live sheet.</x:v>
      </x:c>
    </x:row>
    <x:row r="17" ht="26.399999618530273" hidden="0" customHeight="1">
      <x:c r="A17" s="118" t="str">
        <x:v>Wave 1 - Content Refresh (fills launch crate levels)</x:v>
      </x:c>
      <x:c r="B17" s="118" t="n">
        <x:v>31</x:v>
      </x:c>
      <x:c r="C17" s="118" t="str">
        <x:v>Longnose Hawkfish</x:v>
      </x:c>
      <x:c r="D17" s="118" t="str">
        <x:v>Uncommon</x:v>
      </x:c>
      <x:c r="E17" s="126" t="n">
        <x:v>24</x:v>
      </x:c>
      <x:c r="F17" s="118" t="str">
        <x:v>24 h (1 d)</x:v>
      </x:c>
      <x:c r="G17" s="118" t="n">
        <x:v>260</x:v>
      </x:c>
      <x:c r="H17" s="118" t="str">
        <x:v>Convenience</x:v>
      </x:c>
      <x:c r="I17" s="128" t="n">
        <x:f>IF(D17="Premium","",ROUND((Inputs!$B$70+(B17-Inputs!$B$68)*(Inputs!$B$71-Inputs!$B$70)/(Inputs!$B$69-Inputs!$B$68))*INDEX(Inputs!$C$87:$C$96,MATCH(E17,Inputs!$A$87:$A$96,1))*INDEX(Inputs!$B$100:$B$107,MATCH(H17,Inputs!$A$100:$A$107,0))*(1+INDEX(Inputs!$B$38:$B$44,MATCH(D17,Inputs!$A$38:$A$44,0))*INDEX(Inputs!$D$100:$D$107,MATCH(H17,Inputs!$A$100:$A$107,0))),1))</x:f>
        <x:v>19</x:v>
      </x:c>
      <x:c r="J17" s="128" t="n">
        <x:f>IF(D17="Premium","",ROUND((Inputs!$B$72+(B17-Inputs!$B$68)*(Inputs!$B$73-Inputs!$B$72)/(Inputs!$B$69-Inputs!$B$68))*INDEX(Inputs!$D$87:$D$96,MATCH(E17,Inputs!$A$87:$A$96,1))*INDEX(Inputs!$C$100:$C$107,MATCH(H17,Inputs!$A$100:$A$107,0))*(1+INDEX(Inputs!$B$38:$B$44,MATCH(D17,Inputs!$A$38:$A$44,0))*INDEX(Inputs!$E$100:$E$107,MATCH(H17,Inputs!$A$100:$A$107,0))),1))</x:f>
        <x:v>12.9</x:v>
      </x:c>
      <x:c r="K17" s="118" t="str">
        <x:v>Formula preview: target rates before activating live sheet.</x:v>
      </x:c>
    </x:row>
    <x:row r="18" ht="26.399999618530273" hidden="0" customHeight="1">
      <x:c r="A18" s="118" t="str">
        <x:v>Wave 1 - Content Refresh (fills launch crate levels)</x:v>
      </x:c>
      <x:c r="B18" s="118" t="n">
        <x:v>31</x:v>
      </x:c>
      <x:c r="C18" s="118" t="str">
        <x:v>Velvet Damselfish</x:v>
      </x:c>
      <x:c r="D18" s="118" t="str">
        <x:v>Rare</x:v>
      </x:c>
      <x:c r="E18" s="126" t="n">
        <x:v>0.083</x:v>
      </x:c>
      <x:c r="F18" s="118" t="str">
        <x:v>5 min</x:v>
      </x:c>
      <x:c r="G18" s="118" t="n">
        <x:v>85</x:v>
      </x:c>
      <x:c r="H18" s="118" t="str">
        <x:v>Coin Specialist</x:v>
      </x:c>
      <x:c r="I18" s="128" t="n">
        <x:f>IF(D18="Premium","",ROUND((Inputs!$B$70+(B18-Inputs!$B$68)*(Inputs!$B$71-Inputs!$B$70)/(Inputs!$B$69-Inputs!$B$68))*INDEX(Inputs!$C$87:$C$96,MATCH(E18,Inputs!$A$87:$A$96,1))*INDEX(Inputs!$B$100:$B$107,MATCH(H18,Inputs!$A$100:$A$107,0))*(1+INDEX(Inputs!$B$38:$B$44,MATCH(D18,Inputs!$A$38:$A$44,0))*INDEX(Inputs!$D$100:$D$107,MATCH(H18,Inputs!$A$100:$A$107,0))),1))</x:f>
        <x:v>410.2</x:v>
      </x:c>
      <x:c r="J18" s="128" t="n">
        <x:f>IF(D18="Premium","",ROUND((Inputs!$B$72+(B18-Inputs!$B$68)*(Inputs!$B$73-Inputs!$B$72)/(Inputs!$B$69-Inputs!$B$68))*INDEX(Inputs!$D$87:$D$96,MATCH(E18,Inputs!$A$87:$A$96,1))*INDEX(Inputs!$C$100:$C$107,MATCH(H18,Inputs!$A$100:$A$107,0))*(1+INDEX(Inputs!$B$38:$B$44,MATCH(D18,Inputs!$A$38:$A$44,0))*INDEX(Inputs!$E$100:$E$107,MATCH(H18,Inputs!$A$100:$A$107,0))),1))</x:f>
        <x:v>89.9</x:v>
      </x:c>
      <x:c r="K18" s="118" t="str">
        <x:v>Fast rare | Formula preview: target rates before activating live sheet.</x:v>
      </x:c>
    </x:row>
    <x:row r="19" ht="26.399999618530273" hidden="0" customHeight="1">
      <x:c r="A19" s="118" t="str">
        <x:v>Wave 1 - Content Refresh (fills launch crate levels)</x:v>
      </x:c>
      <x:c r="B19" s="118" t="n">
        <x:v>34</x:v>
      </x:c>
      <x:c r="C19" s="118" t="str">
        <x:v>Sunburst Anthias</x:v>
      </x:c>
      <x:c r="D19" s="118" t="str">
        <x:v>Rare</x:v>
      </x:c>
      <x:c r="E19" s="126" t="n">
        <x:v>6</x:v>
      </x:c>
      <x:c r="F19" s="118" t="str">
        <x:v>6 h</x:v>
      </x:c>
      <x:c r="G19" s="118" t="n">
        <x:v>180</x:v>
      </x:c>
      <x:c r="H19" s="118" t="str">
        <x:v>Collection</x:v>
      </x:c>
      <x:c r="I19" s="128" t="n">
        <x:f>IF(D19="Premium","",ROUND((Inputs!$B$70+(B19-Inputs!$B$68)*(Inputs!$B$71-Inputs!$B$70)/(Inputs!$B$69-Inputs!$B$68))*INDEX(Inputs!$C$87:$C$96,MATCH(E19,Inputs!$A$87:$A$96,1))*INDEX(Inputs!$B$100:$B$107,MATCH(H19,Inputs!$A$100:$A$107,0))*(1+INDEX(Inputs!$B$38:$B$44,MATCH(D19,Inputs!$A$38:$A$44,0))*INDEX(Inputs!$D$100:$D$107,MATCH(H19,Inputs!$A$100:$A$107,0))),1))</x:f>
        <x:v>34.4</x:v>
      </x:c>
      <x:c r="J19" s="128" t="n">
        <x:f>IF(D19="Premium","",ROUND((Inputs!$B$72+(B19-Inputs!$B$68)*(Inputs!$B$73-Inputs!$B$72)/(Inputs!$B$69-Inputs!$B$68))*INDEX(Inputs!$D$87:$D$96,MATCH(E19,Inputs!$A$87:$A$96,1))*INDEX(Inputs!$C$100:$C$107,MATCH(H19,Inputs!$A$100:$A$107,0))*(1+INDEX(Inputs!$B$38:$B$44,MATCH(D19,Inputs!$A$38:$A$44,0))*INDEX(Inputs!$E$100:$E$107,MATCH(H19,Inputs!$A$100:$A$107,0))),1))</x:f>
        <x:v>15.8</x:v>
      </x:c>
      <x:c r="K19" s="118" t="str">
        <x:v>Formula preview: target rates before activating live sheet.</x:v>
      </x:c>
    </x:row>
    <x:row r="20" ht="26.399999618530273" hidden="0" customHeight="1">
      <x:c r="A20" s="118" t="str">
        <x:v>Wave 1 - Content Refresh (fills launch crate levels)</x:v>
      </x:c>
      <x:c r="B20" s="118" t="n">
        <x:v>34</x:v>
      </x:c>
      <x:c r="C20" s="118" t="str">
        <x:v>Copperband Butterflyfish</x:v>
      </x:c>
      <x:c r="D20" s="118" t="str">
        <x:v>Rare</x:v>
      </x:c>
      <x:c r="E20" s="126" t="n">
        <x:v>8</x:v>
      </x:c>
      <x:c r="F20" s="118" t="str">
        <x:v>8 h</x:v>
      </x:c>
      <x:c r="G20" s="118" t="n">
        <x:v>200</x:v>
      </x:c>
      <x:c r="H20" s="118" t="str">
        <x:v>Collection</x:v>
      </x:c>
      <x:c r="I20" s="128" t="n">
        <x:f>IF(D20="Premium","",ROUND((Inputs!$B$70+(B20-Inputs!$B$68)*(Inputs!$B$71-Inputs!$B$70)/(Inputs!$B$69-Inputs!$B$68))*INDEX(Inputs!$C$87:$C$96,MATCH(E20,Inputs!$A$87:$A$96,1))*INDEX(Inputs!$B$100:$B$107,MATCH(H20,Inputs!$A$100:$A$107,0))*(1+INDEX(Inputs!$B$38:$B$44,MATCH(D20,Inputs!$A$38:$A$44,0))*INDEX(Inputs!$D$100:$D$107,MATCH(H20,Inputs!$A$100:$A$107,0))),1))</x:f>
        <x:v>30.9</x:v>
      </x:c>
      <x:c r="J20" s="128" t="n">
        <x:f>IF(D20="Premium","",ROUND((Inputs!$B$72+(B20-Inputs!$B$68)*(Inputs!$B$73-Inputs!$B$72)/(Inputs!$B$69-Inputs!$B$68))*INDEX(Inputs!$D$87:$D$96,MATCH(E20,Inputs!$A$87:$A$96,1))*INDEX(Inputs!$C$100:$C$107,MATCH(H20,Inputs!$A$100:$A$107,0))*(1+INDEX(Inputs!$B$38:$B$44,MATCH(D20,Inputs!$A$38:$A$44,0))*INDEX(Inputs!$E$100:$E$107,MATCH(H20,Inputs!$A$100:$A$107,0))),1))</x:f>
        <x:v>14.8</x:v>
      </x:c>
      <x:c r="K20" s="118" t="str">
        <x:v>Formula preview: target rates before activating live sheet.</x:v>
      </x:c>
    </x:row>
    <x:row r="21" ht="26.399999618530273" hidden="0" customHeight="1">
      <x:c r="A21" s="118" t="str">
        <x:v>Wave 1 - Content Refresh (fills launch crate levels)</x:v>
      </x:c>
      <x:c r="B21" s="118" t="n">
        <x:v>37</x:v>
      </x:c>
      <x:c r="C21" s="118" t="str">
        <x:v>Bluedot Jawfish</x:v>
      </x:c>
      <x:c r="D21" s="118" t="str">
        <x:v>Rare</x:v>
      </x:c>
      <x:c r="E21" s="126" t="n">
        <x:v>24</x:v>
      </x:c>
      <x:c r="F21" s="118" t="str">
        <x:v>24 h (1 d)</x:v>
      </x:c>
      <x:c r="G21" s="118" t="n">
        <x:v>340</x:v>
      </x:c>
      <x:c r="H21" s="118" t="str">
        <x:v>Convenience</x:v>
      </x:c>
      <x:c r="I21" s="128" t="n">
        <x:f>IF(D21="Premium","",ROUND((Inputs!$B$70+(B21-Inputs!$B$68)*(Inputs!$B$71-Inputs!$B$70)/(Inputs!$B$69-Inputs!$B$68))*INDEX(Inputs!$C$87:$C$96,MATCH(E21,Inputs!$A$87:$A$96,1))*INDEX(Inputs!$B$100:$B$107,MATCH(H21,Inputs!$A$100:$A$107,0))*(1+INDEX(Inputs!$B$38:$B$44,MATCH(D21,Inputs!$A$38:$A$44,0))*INDEX(Inputs!$D$100:$D$107,MATCH(H21,Inputs!$A$100:$A$107,0))),1))</x:f>
        <x:v>20.9</x:v>
      </x:c>
      <x:c r="J21" s="128" t="n">
        <x:f>IF(D21="Premium","",ROUND((Inputs!$B$72+(B21-Inputs!$B$68)*(Inputs!$B$73-Inputs!$B$72)/(Inputs!$B$69-Inputs!$B$68))*INDEX(Inputs!$D$87:$D$96,MATCH(E21,Inputs!$A$87:$A$96,1))*INDEX(Inputs!$C$100:$C$107,MATCH(H21,Inputs!$A$100:$A$107,0))*(1+INDEX(Inputs!$B$38:$B$44,MATCH(D21,Inputs!$A$38:$A$44,0))*INDEX(Inputs!$E$100:$E$107,MATCH(H21,Inputs!$A$100:$A$107,0))),1))</x:f>
        <x:v>14.3</x:v>
      </x:c>
      <x:c r="K21" s="118" t="str">
        <x:v>Formula preview: target rates before activating live sheet.</x:v>
      </x:c>
    </x:row>
    <x:row r="22" ht="26.399999618530273" hidden="0" customHeight="1">
      <x:c r="A22" s="118" t="str">
        <x:v>Wave 1 - Content Refresh (fills launch crate levels)</x:v>
      </x:c>
      <x:c r="B22" s="118" t="n">
        <x:v>37</x:v>
      </x:c>
      <x:c r="C22" s="118" t="str">
        <x:v>Emperor Angelfish</x:v>
      </x:c>
      <x:c r="D22" s="118" t="str">
        <x:v>Rare</x:v>
      </x:c>
      <x:c r="E22" s="126" t="n">
        <x:v>20</x:v>
      </x:c>
      <x:c r="F22" s="118" t="str">
        <x:v>20 h</x:v>
      </x:c>
      <x:c r="G22" s="118" t="n">
        <x:v>320</x:v>
      </x:c>
      <x:c r="H22" s="118" t="str">
        <x:v>Collection</x:v>
      </x:c>
      <x:c r="I22" s="128" t="n">
        <x:f>IF(D22="Premium","",ROUND((Inputs!$B$70+(B22-Inputs!$B$68)*(Inputs!$B$71-Inputs!$B$70)/(Inputs!$B$69-Inputs!$B$68))*INDEX(Inputs!$C$87:$C$96,MATCH(E22,Inputs!$A$87:$A$96,1))*INDEX(Inputs!$B$100:$B$107,MATCH(H22,Inputs!$A$100:$A$107,0))*(1+INDEX(Inputs!$B$38:$B$44,MATCH(D22,Inputs!$A$38:$A$44,0))*INDEX(Inputs!$D$100:$D$107,MATCH(H22,Inputs!$A$100:$A$107,0))),1))</x:f>
        <x:v>23.4</x:v>
      </x:c>
      <x:c r="J22" s="128" t="n">
        <x:f>IF(D22="Premium","",ROUND((Inputs!$B$72+(B22-Inputs!$B$68)*(Inputs!$B$73-Inputs!$B$72)/(Inputs!$B$69-Inputs!$B$68))*INDEX(Inputs!$D$87:$D$96,MATCH(E22,Inputs!$A$87:$A$96,1))*INDEX(Inputs!$C$100:$C$107,MATCH(H22,Inputs!$A$100:$A$107,0))*(1+INDEX(Inputs!$B$38:$B$44,MATCH(D22,Inputs!$A$38:$A$44,0))*INDEX(Inputs!$E$100:$E$107,MATCH(H22,Inputs!$A$100:$A$107,0))),1))</x:f>
        <x:v>14.2</x:v>
      </x:c>
      <x:c r="K22" s="118" t="str">
        <x:v>Formula preview: target rates before activating live sheet.</x:v>
      </x:c>
    </x:row>
    <x:row r="23" ht="26.399999618530273" hidden="0" customHeight="1">
      <x:c r="A23" s="118" t="str">
        <x:v>Wave 1 - Content Refresh (fills launch crate levels)</x:v>
      </x:c>
      <x:c r="B23" s="118" t="n">
        <x:v>39</x:v>
      </x:c>
      <x:c r="C23" s="118" t="str">
        <x:v>Harlequin Tuskfish</x:v>
      </x:c>
      <x:c r="D23" s="118" t="str">
        <x:v>Rare</x:v>
      </x:c>
      <x:c r="E23" s="126" t="n">
        <x:v>0.5</x:v>
      </x:c>
      <x:c r="F23" s="118" t="str">
        <x:v>30 min</x:v>
      </x:c>
      <x:c r="G23" s="118" t="n">
        <x:v>120</x:v>
      </x:c>
      <x:c r="H23" s="118" t="str">
        <x:v>Coin Specialist</x:v>
      </x:c>
      <x:c r="I23" s="128" t="n">
        <x:f>IF(D23="Premium","",ROUND((Inputs!$B$70+(B23-Inputs!$B$68)*(Inputs!$B$71-Inputs!$B$70)/(Inputs!$B$69-Inputs!$B$68))*INDEX(Inputs!$C$87:$C$96,MATCH(E23,Inputs!$A$87:$A$96,1))*INDEX(Inputs!$B$100:$B$107,MATCH(H23,Inputs!$A$100:$A$107,0))*(1+INDEX(Inputs!$B$38:$B$44,MATCH(D23,Inputs!$A$38:$A$44,0))*INDEX(Inputs!$D$100:$D$107,MATCH(H23,Inputs!$A$100:$A$107,0))),1))</x:f>
        <x:v>175.6</x:v>
      </x:c>
      <x:c r="J23" s="128" t="n">
        <x:f>IF(D23="Premium","",ROUND((Inputs!$B$72+(B23-Inputs!$B$68)*(Inputs!$B$73-Inputs!$B$72)/(Inputs!$B$69-Inputs!$B$68))*INDEX(Inputs!$D$87:$D$96,MATCH(E23,Inputs!$A$87:$A$96,1))*INDEX(Inputs!$C$100:$C$107,MATCH(H23,Inputs!$A$100:$A$107,0))*(1+INDEX(Inputs!$B$38:$B$44,MATCH(D23,Inputs!$A$38:$A$44,0))*INDEX(Inputs!$E$100:$E$107,MATCH(H23,Inputs!$A$100:$A$107,0))),1))</x:f>
        <x:v>49.7</x:v>
      </x:c>
      <x:c r="K23" s="118" t="str">
        <x:v>Fast rare | Formula preview: target rates before activating live sheet.</x:v>
      </x:c>
    </x:row>
    <x:row r="24" ht="26.399999618530273" hidden="0" customHeight="1">
      <x:c r="A24" s="118" t="str">
        <x:v>Wave 1 - Content Refresh (fills launch crate levels)</x:v>
      </x:c>
      <x:c r="B24" s="118" t="n">
        <x:v>40</x:v>
      </x:c>
      <x:c r="C24" s="118" t="str">
        <x:v>Blue Tang</x:v>
      </x:c>
      <x:c r="D24" s="118" t="str">
        <x:v>Rare</x:v>
      </x:c>
      <x:c r="E24" s="126" t="n">
        <x:v>48</x:v>
      </x:c>
      <x:c r="F24" s="118" t="str">
        <x:v>48 h (2 d)</x:v>
      </x:c>
      <x:c r="G24" s="118" t="n">
        <x:v>490</x:v>
      </x:c>
      <x:c r="H24" s="118" t="str">
        <x:v>Payout</x:v>
      </x:c>
      <x:c r="I24" s="128" t="n">
        <x:f>IF(D24="Premium","",ROUND((Inputs!$B$70+(B24-Inputs!$B$68)*(Inputs!$B$71-Inputs!$B$70)/(Inputs!$B$69-Inputs!$B$68))*INDEX(Inputs!$C$87:$C$96,MATCH(E24,Inputs!$A$87:$A$96,1))*INDEX(Inputs!$B$100:$B$107,MATCH(H24,Inputs!$A$100:$A$107,0))*(1+INDEX(Inputs!$B$38:$B$44,MATCH(D24,Inputs!$A$38:$A$44,0))*INDEX(Inputs!$D$100:$D$107,MATCH(H24,Inputs!$A$100:$A$107,0))),1))</x:f>
        <x:v>34.5</x:v>
      </x:c>
      <x:c r="J24" s="128" t="n">
        <x:f>IF(D24="Premium","",ROUND((Inputs!$B$72+(B24-Inputs!$B$68)*(Inputs!$B$73-Inputs!$B$72)/(Inputs!$B$69-Inputs!$B$68))*INDEX(Inputs!$D$87:$D$96,MATCH(E24,Inputs!$A$87:$A$96,1))*INDEX(Inputs!$C$100:$C$107,MATCH(H24,Inputs!$A$100:$A$107,0))*(1+INDEX(Inputs!$B$38:$B$44,MATCH(D24,Inputs!$A$38:$A$44,0))*INDEX(Inputs!$E$100:$E$107,MATCH(H24,Inputs!$A$100:$A$107,0))),1))</x:f>
        <x:v>10.7</x:v>
      </x:c>
      <x:c r="K24" s="118" t="str">
        <x:v>Formula preview: target rates before activating live sheet.</x:v>
      </x:c>
    </x:row>
    <x:row r="25" ht="26.399999618530273" hidden="0" customHeight="1">
      <x:c r="A25" s="118" t="str">
        <x:v>Wave 2 - Premium Showcase (pearl fish drops)</x:v>
      </x:c>
      <x:c r="B25" s="118" t="n">
        <x:v>5</x:v>
      </x:c>
      <x:c r="C25" s="118" t="str">
        <x:v>Golden Seahorse</x:v>
      </x:c>
      <x:c r="D25" s="118" t="str">
        <x:v>Premium</x:v>
      </x:c>
      <x:c r="E25" s="126" t="n">
        <x:v>4</x:v>
      </x:c>
      <x:c r="F25" s="118" t="str">
        <x:v>4 h</x:v>
      </x:c>
      <x:c r="G25" s="118" t="str">
        <x:v>see note</x:v>
      </x:c>
      <x:c r="H25" s="118" t="str">
        <x:v>Premium Showcase</x:v>
      </x:c>
      <x:c r="I25" s="128" t="str">
        <x:f>IF(D25="Premium","",ROUND((Inputs!$B$70+(B25-Inputs!$B$68)*(Inputs!$B$71-Inputs!$B$70)/(Inputs!$B$69-Inputs!$B$68))*INDEX(Inputs!$C$87:$C$96,MATCH(E25,Inputs!$A$87:$A$96,1))*INDEX(Inputs!$B$100:$B$107,MATCH(H25,Inputs!$A$100:$A$107,0))*(1+INDEX(Inputs!$B$38:$B$44,MATCH(D25,Inputs!$A$38:$A$44,0))*INDEX(Inputs!$D$100:$D$107,MATCH(H25,Inputs!$A$100:$A$107,0))),1))</x:f>
      </x:c>
      <x:c r="J25" s="128" t="str">
        <x:f>IF(D25="Premium","",ROUND((Inputs!$B$72+(B25-Inputs!$B$68)*(Inputs!$B$73-Inputs!$B$72)/(Inputs!$B$69-Inputs!$B$68))*INDEX(Inputs!$D$87:$D$96,MATCH(E25,Inputs!$A$87:$A$96,1))*INDEX(Inputs!$C$100:$C$107,MATCH(H25,Inputs!$A$100:$A$107,0))*(1+INDEX(Inputs!$B$38:$B$44,MATCH(D25,Inputs!$A$38:$A$44,0))*INDEX(Inputs!$E$100:$E$107,MATCH(H25,Inputs!$A$100:$A$107,0))),1))</x:f>
      </x:c>
      <x:c r="K25" s="118" t="str">
        <x:v>2 pearls - living jewelry</x:v>
      </x:c>
    </x:row>
    <x:row r="26" ht="26.399999618530273" hidden="0" customHeight="1">
      <x:c r="A26" s="118" t="str">
        <x:v>Wave 2 - Premium Showcase (pearl fish drops)</x:v>
      </x:c>
      <x:c r="B26" s="118" t="n">
        <x:v>8</x:v>
      </x:c>
      <x:c r="C26" s="118" t="str">
        <x:v>Glass Catfish</x:v>
      </x:c>
      <x:c r="D26" s="118" t="str">
        <x:v>Premium</x:v>
      </x:c>
      <x:c r="E26" s="126" t="n">
        <x:v>6</x:v>
      </x:c>
      <x:c r="F26" s="118" t="str">
        <x:v>6 h</x:v>
      </x:c>
      <x:c r="G26" s="118" t="str">
        <x:v>see note</x:v>
      </x:c>
      <x:c r="H26" s="118" t="str">
        <x:v>Premium Showcase</x:v>
      </x:c>
      <x:c r="I26" s="128" t="str">
        <x:f>IF(D26="Premium","",ROUND((Inputs!$B$70+(B26-Inputs!$B$68)*(Inputs!$B$71-Inputs!$B$70)/(Inputs!$B$69-Inputs!$B$68))*INDEX(Inputs!$C$87:$C$96,MATCH(E26,Inputs!$A$87:$A$96,1))*INDEX(Inputs!$B$100:$B$107,MATCH(H26,Inputs!$A$100:$A$107,0))*(1+INDEX(Inputs!$B$38:$B$44,MATCH(D26,Inputs!$A$38:$A$44,0))*INDEX(Inputs!$D$100:$D$107,MATCH(H26,Inputs!$A$100:$A$107,0))),1))</x:f>
      </x:c>
      <x:c r="J26" s="128" t="str">
        <x:f>IF(D26="Premium","",ROUND((Inputs!$B$72+(B26-Inputs!$B$68)*(Inputs!$B$73-Inputs!$B$72)/(Inputs!$B$69-Inputs!$B$68))*INDEX(Inputs!$D$87:$D$96,MATCH(E26,Inputs!$A$87:$A$96,1))*INDEX(Inputs!$C$100:$C$107,MATCH(H26,Inputs!$A$100:$A$107,0))*(1+INDEX(Inputs!$B$38:$B$44,MATCH(D26,Inputs!$A$38:$A$44,0))*INDEX(Inputs!$E$100:$E$107,MATCH(H26,Inputs!$A$100:$A$107,0))),1))</x:f>
      </x:c>
      <x:c r="K26" s="118" t="str">
        <x:v>2 pearls - fully transparent body</x:v>
      </x:c>
    </x:row>
    <x:row r="27" ht="26.399999618530273" hidden="0" customHeight="1">
      <x:c r="A27" s="118" t="str">
        <x:v>Wave 2 - Premium Showcase (pearl fish drops)</x:v>
      </x:c>
      <x:c r="B27" s="118" t="n">
        <x:v>15</x:v>
      </x:c>
      <x:c r="C27" s="118" t="str">
        <x:v>Ornate Ghost Pipefish</x:v>
      </x:c>
      <x:c r="D27" s="118" t="str">
        <x:v>Premium</x:v>
      </x:c>
      <x:c r="E27" s="126" t="n">
        <x:v>10</x:v>
      </x:c>
      <x:c r="F27" s="118" t="str">
        <x:v>10 h</x:v>
      </x:c>
      <x:c r="G27" s="118" t="str">
        <x:v>see note</x:v>
      </x:c>
      <x:c r="H27" s="118" t="str">
        <x:v>Premium Showcase</x:v>
      </x:c>
      <x:c r="I27" s="128" t="str">
        <x:f>IF(D27="Premium","",ROUND((Inputs!$B$70+(B27-Inputs!$B$68)*(Inputs!$B$71-Inputs!$B$70)/(Inputs!$B$69-Inputs!$B$68))*INDEX(Inputs!$C$87:$C$96,MATCH(E27,Inputs!$A$87:$A$96,1))*INDEX(Inputs!$B$100:$B$107,MATCH(H27,Inputs!$A$100:$A$107,0))*(1+INDEX(Inputs!$B$38:$B$44,MATCH(D27,Inputs!$A$38:$A$44,0))*INDEX(Inputs!$D$100:$D$107,MATCH(H27,Inputs!$A$100:$A$107,0))),1))</x:f>
      </x:c>
      <x:c r="J27" s="128" t="str">
        <x:f>IF(D27="Premium","",ROUND((Inputs!$B$72+(B27-Inputs!$B$68)*(Inputs!$B$73-Inputs!$B$72)/(Inputs!$B$69-Inputs!$B$68))*INDEX(Inputs!$D$87:$D$96,MATCH(E27,Inputs!$A$87:$A$96,1))*INDEX(Inputs!$C$100:$C$107,MATCH(H27,Inputs!$A$100:$A$107,0))*(1+INDEX(Inputs!$B$38:$B$44,MATCH(D27,Inputs!$A$38:$A$44,0))*INDEX(Inputs!$E$100:$E$107,MATCH(H27,Inputs!$A$100:$A$107,0))),1))</x:f>
      </x:c>
      <x:c r="K27" s="118" t="str">
        <x:v>4 pearls - harlequin drifting twig</x:v>
      </x:c>
    </x:row>
    <x:row r="28" ht="26.399999618530273" hidden="0" customHeight="1">
      <x:c r="A28" s="118" t="str">
        <x:v>Wave 2 - Premium Showcase (pearl fish drops)</x:v>
      </x:c>
      <x:c r="B28" s="118" t="n">
        <x:v>18</x:v>
      </x:c>
      <x:c r="C28" s="118" t="str">
        <x:v>Ribbon Eel</x:v>
      </x:c>
      <x:c r="D28" s="118" t="str">
        <x:v>Premium</x:v>
      </x:c>
      <x:c r="E28" s="126" t="n">
        <x:v>18</x:v>
      </x:c>
      <x:c r="F28" s="118" t="str">
        <x:v>18 h</x:v>
      </x:c>
      <x:c r="G28" s="118" t="str">
        <x:v>see note</x:v>
      </x:c>
      <x:c r="H28" s="118" t="str">
        <x:v>Premium Showcase</x:v>
      </x:c>
      <x:c r="I28" s="128" t="str">
        <x:f>IF(D28="Premium","",ROUND((Inputs!$B$70+(B28-Inputs!$B$68)*(Inputs!$B$71-Inputs!$B$70)/(Inputs!$B$69-Inputs!$B$68))*INDEX(Inputs!$C$87:$C$96,MATCH(E28,Inputs!$A$87:$A$96,1))*INDEX(Inputs!$B$100:$B$107,MATCH(H28,Inputs!$A$100:$A$107,0))*(1+INDEX(Inputs!$B$38:$B$44,MATCH(D28,Inputs!$A$38:$A$44,0))*INDEX(Inputs!$D$100:$D$107,MATCH(H28,Inputs!$A$100:$A$107,0))),1))</x:f>
      </x:c>
      <x:c r="J28" s="128" t="str">
        <x:f>IF(D28="Premium","",ROUND((Inputs!$B$72+(B28-Inputs!$B$68)*(Inputs!$B$73-Inputs!$B$72)/(Inputs!$B$69-Inputs!$B$68))*INDEX(Inputs!$D$87:$D$96,MATCH(E28,Inputs!$A$87:$A$96,1))*INDEX(Inputs!$C$100:$C$107,MATCH(H28,Inputs!$A$100:$A$107,0))*(1+INDEX(Inputs!$B$38:$B$44,MATCH(D28,Inputs!$A$38:$A$44,0))*INDEX(Inputs!$E$100:$E$107,MATCH(H28,Inputs!$A$100:$A$107,0))),1))</x:f>
      </x:c>
      <x:c r="K28" s="118" t="str">
        <x:v>6 pearls - electric blue ribbon</x:v>
      </x:c>
    </x:row>
    <x:row r="29" ht="26.399999618530273" hidden="0" customHeight="1">
      <x:c r="A29" s="118" t="str">
        <x:v>Wave 2 - Premium Showcase (pearl fish drops)</x:v>
      </x:c>
      <x:c r="B29" s="118" t="n">
        <x:v>22</x:v>
      </x:c>
      <x:c r="C29" s="118" t="str">
        <x:v>Clown Frogfish</x:v>
      </x:c>
      <x:c r="D29" s="118" t="str">
        <x:v>Premium</x:v>
      </x:c>
      <x:c r="E29" s="126" t="n">
        <x:v>30</x:v>
      </x:c>
      <x:c r="F29" s="118" t="str">
        <x:v>30 h (1.25 d)</x:v>
      </x:c>
      <x:c r="G29" s="118" t="str">
        <x:v>see note</x:v>
      </x:c>
      <x:c r="H29" s="118" t="str">
        <x:v>Premium Showcase</x:v>
      </x:c>
      <x:c r="I29" s="128" t="str">
        <x:f>IF(D29="Premium","",ROUND((Inputs!$B$70+(B29-Inputs!$B$68)*(Inputs!$B$71-Inputs!$B$70)/(Inputs!$B$69-Inputs!$B$68))*INDEX(Inputs!$C$87:$C$96,MATCH(E29,Inputs!$A$87:$A$96,1))*INDEX(Inputs!$B$100:$B$107,MATCH(H29,Inputs!$A$100:$A$107,0))*(1+INDEX(Inputs!$B$38:$B$44,MATCH(D29,Inputs!$A$38:$A$44,0))*INDEX(Inputs!$D$100:$D$107,MATCH(H29,Inputs!$A$100:$A$107,0))),1))</x:f>
      </x:c>
      <x:c r="J29" s="128" t="str">
        <x:f>IF(D29="Premium","",ROUND((Inputs!$B$72+(B29-Inputs!$B$68)*(Inputs!$B$73-Inputs!$B$72)/(Inputs!$B$69-Inputs!$B$68))*INDEX(Inputs!$D$87:$D$96,MATCH(E29,Inputs!$A$87:$A$96,1))*INDEX(Inputs!$C$100:$C$107,MATCH(H29,Inputs!$A$100:$A$107,0))*(1+INDEX(Inputs!$B$38:$B$44,MATCH(D29,Inputs!$A$38:$A$44,0))*INDEX(Inputs!$E$100:$E$107,MATCH(H29,Inputs!$A$100:$A$107,0))),1))</x:f>
      </x:c>
      <x:c r="K29" s="118" t="str">
        <x:v>9 pearls - coral-mimic that walks on fins</x:v>
      </x:c>
    </x:row>
    <x:row r="30" ht="26.399999618530273" hidden="0" customHeight="1">
      <x:c r="A30" s="118" t="str">
        <x:v>Wave 2 - Premium Showcase (pearl fish drops)</x:v>
      </x:c>
      <x:c r="B30" s="118" t="n">
        <x:v>28</x:v>
      </x:c>
      <x:c r="C30" s="118" t="str">
        <x:v>Leafy Seadragon</x:v>
      </x:c>
      <x:c r="D30" s="118" t="str">
        <x:v>Premium</x:v>
      </x:c>
      <x:c r="E30" s="126" t="n">
        <x:v>3</x:v>
      </x:c>
      <x:c r="F30" s="118" t="str">
        <x:v>3 h</x:v>
      </x:c>
      <x:c r="G30" s="118" t="str">
        <x:v>see note</x:v>
      </x:c>
      <x:c r="H30" s="118" t="str">
        <x:v>Premium Showcase</x:v>
      </x:c>
      <x:c r="I30" s="128" t="str">
        <x:f>IF(D30="Premium","",ROUND((Inputs!$B$70+(B30-Inputs!$B$68)*(Inputs!$B$71-Inputs!$B$70)/(Inputs!$B$69-Inputs!$B$68))*INDEX(Inputs!$C$87:$C$96,MATCH(E30,Inputs!$A$87:$A$96,1))*INDEX(Inputs!$B$100:$B$107,MATCH(H30,Inputs!$A$100:$A$107,0))*(1+INDEX(Inputs!$B$38:$B$44,MATCH(D30,Inputs!$A$38:$A$44,0))*INDEX(Inputs!$D$100:$D$107,MATCH(H30,Inputs!$A$100:$A$107,0))),1))</x:f>
      </x:c>
      <x:c r="J30" s="128" t="str">
        <x:f>IF(D30="Premium","",ROUND((Inputs!$B$72+(B30-Inputs!$B$68)*(Inputs!$B$73-Inputs!$B$72)/(Inputs!$B$69-Inputs!$B$68))*INDEX(Inputs!$D$87:$D$96,MATCH(E30,Inputs!$A$87:$A$96,1))*INDEX(Inputs!$C$100:$C$107,MATCH(H30,Inputs!$A$100:$A$107,0))*(1+INDEX(Inputs!$B$38:$B$44,MATCH(D30,Inputs!$A$38:$A$44,0))*INDEX(Inputs!$E$100:$E$107,MATCH(H30,Inputs!$A$100:$A$107,0))),1))</x:f>
      </x:c>
      <x:c r="K30" s="118" t="str">
        <x:v>11 pearls - living seaweed; fast premium</x:v>
      </x:c>
    </x:row>
    <x:row r="31" ht="26.399999618530273" hidden="0" customHeight="1">
      <x:c r="A31" s="118" t="str">
        <x:v>Wave 2 - Premium Showcase (pearl fish drops)</x:v>
      </x:c>
      <x:c r="B31" s="118" t="n">
        <x:v>30</x:v>
      </x:c>
      <x:c r="C31" s="118" t="str">
        <x:v>Peacock Mantis Shrimp</x:v>
      </x:c>
      <x:c r="D31" s="118" t="str">
        <x:v>Premium</x:v>
      </x:c>
      <x:c r="E31" s="126" t="n">
        <x:v>48</x:v>
      </x:c>
      <x:c r="F31" s="118" t="str">
        <x:v>48 h (2 d)</x:v>
      </x:c>
      <x:c r="G31" s="118" t="str">
        <x:v>see note</x:v>
      </x:c>
      <x:c r="H31" s="118" t="str">
        <x:v>Premium Showcase</x:v>
      </x:c>
      <x:c r="I31" s="128" t="str">
        <x:f>IF(D31="Premium","",ROUND((Inputs!$B$70+(B31-Inputs!$B$68)*(Inputs!$B$71-Inputs!$B$70)/(Inputs!$B$69-Inputs!$B$68))*INDEX(Inputs!$C$87:$C$96,MATCH(E31,Inputs!$A$87:$A$96,1))*INDEX(Inputs!$B$100:$B$107,MATCH(H31,Inputs!$A$100:$A$107,0))*(1+INDEX(Inputs!$B$38:$B$44,MATCH(D31,Inputs!$A$38:$A$44,0))*INDEX(Inputs!$D$100:$D$107,MATCH(H31,Inputs!$A$100:$A$107,0))),1))</x:f>
      </x:c>
      <x:c r="J31" s="128" t="str">
        <x:f>IF(D31="Premium","",ROUND((Inputs!$B$72+(B31-Inputs!$B$68)*(Inputs!$B$73-Inputs!$B$72)/(Inputs!$B$69-Inputs!$B$68))*INDEX(Inputs!$D$87:$D$96,MATCH(E31,Inputs!$A$87:$A$96,1))*INDEX(Inputs!$C$100:$C$107,MATCH(H31,Inputs!$A$100:$A$107,0))*(1+INDEX(Inputs!$B$38:$B$44,MATCH(D31,Inputs!$A$38:$A$44,0))*INDEX(Inputs!$E$100:$E$107,MATCH(H31,Inputs!$A$100:$A$107,0))),1))</x:f>
      </x:c>
      <x:c r="K31" s="118" t="str">
        <x:v>12 pearls - full-rainbow armor</x:v>
      </x:c>
    </x:row>
    <x:row r="32" ht="15" hidden="0" customHeight="1">
      <x:c r="A32" s="118" t="str">
        <x:v>Wave 3 - Epic Expansion (L41-55)</x:v>
      </x:c>
      <x:c r="B32" s="118" t="n">
        <x:v>45</x:v>
      </x:c>
      <x:c r="C32" s="118" t="str">
        <x:v>Sailfin Tang</x:v>
      </x:c>
      <x:c r="D32" s="118" t="str">
        <x:v>Epic</x:v>
      </x:c>
      <x:c r="E32" s="126" t="n">
        <x:v>36</x:v>
      </x:c>
      <x:c r="F32" s="118" t="str">
        <x:v>36 h (1.5 d)</x:v>
      </x:c>
      <x:c r="G32" s="118" t="n">
        <x:v>560</x:v>
      </x:c>
      <x:c r="H32" s="118" t="str">
        <x:v>Payout</x:v>
      </x:c>
      <x:c r="I32" s="128" t="n">
        <x:f>IF(D32="Premium","",ROUND((Inputs!$B$70+(B32-Inputs!$B$68)*(Inputs!$B$71-Inputs!$B$70)/(Inputs!$B$69-Inputs!$B$68))*INDEX(Inputs!$C$87:$C$96,MATCH(E32,Inputs!$A$87:$A$96,1))*INDEX(Inputs!$B$100:$B$107,MATCH(H32,Inputs!$A$100:$A$107,0))*(1+INDEX(Inputs!$B$38:$B$44,MATCH(D32,Inputs!$A$38:$A$44,0))*INDEX(Inputs!$D$100:$D$107,MATCH(H32,Inputs!$A$100:$A$107,0))),1))</x:f>
        <x:v>35.4</x:v>
      </x:c>
      <x:c r="J32" s="128" t="n">
        <x:f>IF(D32="Premium","",ROUND((Inputs!$B$72+(B32-Inputs!$B$68)*(Inputs!$B$73-Inputs!$B$72)/(Inputs!$B$69-Inputs!$B$68))*INDEX(Inputs!$D$87:$D$96,MATCH(E32,Inputs!$A$87:$A$96,1))*INDEX(Inputs!$C$100:$C$107,MATCH(H32,Inputs!$A$100:$A$107,0))*(1+INDEX(Inputs!$B$38:$B$44,MATCH(D32,Inputs!$A$38:$A$44,0))*INDEX(Inputs!$E$100:$E$107,MATCH(H32,Inputs!$A$100:$A$107,0))),1))</x:f>
        <x:v>12.6</x:v>
      </x:c>
      <x:c r="K32" s="118" t="str">
        <x:v>Formula preview: target rates before activating live sheet.</x:v>
      </x:c>
    </x:row>
    <x:row r="33" ht="15" hidden="0" customHeight="1">
      <x:c r="A33" s="118" t="str">
        <x:v>Wave 3 - Epic Expansion (L41-55)</x:v>
      </x:c>
      <x:c r="B33" s="118" t="n">
        <x:v>46</x:v>
      </x:c>
      <x:c r="C33" s="118" t="str">
        <x:v>Orchid Dottyback</x:v>
      </x:c>
      <x:c r="D33" s="118" t="str">
        <x:v>Epic</x:v>
      </x:c>
      <x:c r="E33" s="126" t="n">
        <x:v>1</x:v>
      </x:c>
      <x:c r="F33" s="118" t="str">
        <x:v>1 h</x:v>
      </x:c>
      <x:c r="G33" s="118" t="n">
        <x:v>170</x:v>
      </x:c>
      <x:c r="H33" s="118" t="str">
        <x:v>Coin Specialist</x:v>
      </x:c>
      <x:c r="I33" s="128" t="n">
        <x:f>IF(D33="Premium","",ROUND((Inputs!$B$70+(B33-Inputs!$B$68)*(Inputs!$B$71-Inputs!$B$70)/(Inputs!$B$69-Inputs!$B$68))*INDEX(Inputs!$C$87:$C$96,MATCH(E33,Inputs!$A$87:$A$96,1))*INDEX(Inputs!$B$100:$B$107,MATCH(H33,Inputs!$A$100:$A$107,0))*(1+INDEX(Inputs!$B$38:$B$44,MATCH(D33,Inputs!$A$38:$A$44,0))*INDEX(Inputs!$D$100:$D$107,MATCH(H33,Inputs!$A$100:$A$107,0))),1))</x:f>
        <x:v>200</x:v>
      </x:c>
      <x:c r="J33" s="128" t="n">
        <x:f>IF(D33="Premium","",ROUND((Inputs!$B$72+(B33-Inputs!$B$68)*(Inputs!$B$73-Inputs!$B$72)/(Inputs!$B$69-Inputs!$B$68))*INDEX(Inputs!$D$87:$D$96,MATCH(E33,Inputs!$A$87:$A$96,1))*INDEX(Inputs!$C$100:$C$107,MATCH(H33,Inputs!$A$100:$A$107,0))*(1+INDEX(Inputs!$B$38:$B$44,MATCH(D33,Inputs!$A$38:$A$44,0))*INDEX(Inputs!$E$100:$E$107,MATCH(H33,Inputs!$A$100:$A$107,0))),1))</x:f>
        <x:v>54.1</x:v>
      </x:c>
      <x:c r="K33" s="118" t="str">
        <x:v>Fast epic | Formula preview: target rates before activating live sheet.</x:v>
      </x:c>
    </x:row>
    <x:row r="34" ht="15" hidden="0" customHeight="1">
      <x:c r="A34" s="118" t="str">
        <x:v>Wave 3 - Epic Expansion (L41-55)</x:v>
      </x:c>
      <x:c r="B34" s="118" t="n">
        <x:v>47</x:v>
      </x:c>
      <x:c r="C34" s="118" t="str">
        <x:v>Volitan Lionfish</x:v>
      </x:c>
      <x:c r="D34" s="118" t="str">
        <x:v>Epic</x:v>
      </x:c>
      <x:c r="E34" s="126" t="n">
        <x:v>8</x:v>
      </x:c>
      <x:c r="F34" s="118" t="str">
        <x:v>8 h</x:v>
      </x:c>
      <x:c r="G34" s="118" t="n">
        <x:v>300</x:v>
      </x:c>
      <x:c r="H34" s="118" t="str">
        <x:v>Balanced</x:v>
      </x:c>
      <x:c r="I34" s="128" t="n">
        <x:f>IF(D34="Premium","",ROUND((Inputs!$B$70+(B34-Inputs!$B$68)*(Inputs!$B$71-Inputs!$B$70)/(Inputs!$B$69-Inputs!$B$68))*INDEX(Inputs!$C$87:$C$96,MATCH(E34,Inputs!$A$87:$A$96,1))*INDEX(Inputs!$B$100:$B$107,MATCH(H34,Inputs!$A$100:$A$107,0))*(1+INDEX(Inputs!$B$38:$B$44,MATCH(D34,Inputs!$A$38:$A$44,0))*INDEX(Inputs!$D$100:$D$107,MATCH(H34,Inputs!$A$100:$A$107,0))),1))</x:f>
        <x:v>42</x:v>
      </x:c>
      <x:c r="J34" s="128" t="n">
        <x:f>IF(D34="Premium","",ROUND((Inputs!$B$72+(B34-Inputs!$B$68)*(Inputs!$B$73-Inputs!$B$72)/(Inputs!$B$69-Inputs!$B$68))*INDEX(Inputs!$D$87:$D$96,MATCH(E34,Inputs!$A$87:$A$96,1))*INDEX(Inputs!$C$100:$C$107,MATCH(H34,Inputs!$A$100:$A$107,0))*(1+INDEX(Inputs!$B$38:$B$44,MATCH(D34,Inputs!$A$38:$A$44,0))*INDEX(Inputs!$E$100:$E$107,MATCH(H34,Inputs!$A$100:$A$107,0))),1))</x:f>
        <x:v>17.3</x:v>
      </x:c>
      <x:c r="K34" s="118" t="str">
        <x:v>Formula preview: target rates before activating live sheet.</x:v>
      </x:c>
    </x:row>
    <x:row r="35" ht="15" hidden="0" customHeight="1">
      <x:c r="A35" s="118" t="str">
        <x:v>Wave 3 - Epic Expansion (L41-55)</x:v>
      </x:c>
      <x:c r="B35" s="118" t="n">
        <x:v>48</x:v>
      </x:c>
      <x:c r="C35" s="118" t="str">
        <x:v>Flowerhorn Cichlid</x:v>
      </x:c>
      <x:c r="D35" s="118" t="str">
        <x:v>Epic</x:v>
      </x:c>
      <x:c r="E35" s="126" t="n">
        <x:v>20</x:v>
      </x:c>
      <x:c r="F35" s="118" t="str">
        <x:v>20 h</x:v>
      </x:c>
      <x:c r="G35" s="118" t="n">
        <x:v>450</x:v>
      </x:c>
      <x:c r="H35" s="118" t="str">
        <x:v>Balanced</x:v>
      </x:c>
      <x:c r="I35" s="128" t="n">
        <x:f>IF(D35="Premium","",ROUND((Inputs!$B$70+(B35-Inputs!$B$68)*(Inputs!$B$71-Inputs!$B$70)/(Inputs!$B$69-Inputs!$B$68))*INDEX(Inputs!$C$87:$C$96,MATCH(E35,Inputs!$A$87:$A$96,1))*INDEX(Inputs!$B$100:$B$107,MATCH(H35,Inputs!$A$100:$A$107,0))*(1+INDEX(Inputs!$B$38:$B$44,MATCH(D35,Inputs!$A$38:$A$44,0))*INDEX(Inputs!$D$100:$D$107,MATCH(H35,Inputs!$A$100:$A$107,0))),1))</x:f>
        <x:v>30.7</x:v>
      </x:c>
      <x:c r="J35" s="128" t="n">
        <x:f>IF(D35="Premium","",ROUND((Inputs!$B$72+(B35-Inputs!$B$68)*(Inputs!$B$73-Inputs!$B$72)/(Inputs!$B$69-Inputs!$B$68))*INDEX(Inputs!$D$87:$D$96,MATCH(E35,Inputs!$A$87:$A$96,1))*INDEX(Inputs!$C$100:$C$107,MATCH(H35,Inputs!$A$100:$A$107,0))*(1+INDEX(Inputs!$B$38:$B$44,MATCH(D35,Inputs!$A$38:$A$44,0))*INDEX(Inputs!$E$100:$E$107,MATCH(H35,Inputs!$A$100:$A$107,0))),1))</x:f>
        <x:v>16.2</x:v>
      </x:c>
      <x:c r="K35" s="118" t="str">
        <x:v>Formula preview: target rates before activating live sheet.</x:v>
      </x:c>
    </x:row>
    <x:row r="36" ht="15" hidden="0" customHeight="1">
      <x:c r="A36" s="118" t="str">
        <x:v>Wave 3 - Epic Expansion (L41-55)</x:v>
      </x:c>
      <x:c r="B36" s="118" t="n">
        <x:v>50</x:v>
      </x:c>
      <x:c r="C36" s="118" t="str">
        <x:v>Threadfin Butterflyfish</x:v>
      </x:c>
      <x:c r="D36" s="118" t="str">
        <x:v>Epic</x:v>
      </x:c>
      <x:c r="E36" s="126" t="n">
        <x:v>0.5</x:v>
      </x:c>
      <x:c r="F36" s="118" t="str">
        <x:v>30 min</x:v>
      </x:c>
      <x:c r="G36" s="118" t="n">
        <x:v>160</x:v>
      </x:c>
      <x:c r="H36" s="118" t="str">
        <x:v>Coin Specialist</x:v>
      </x:c>
      <x:c r="I36" s="128" t="n">
        <x:f>IF(D36="Premium","",ROUND((Inputs!$B$70+(B36-Inputs!$B$68)*(Inputs!$B$71-Inputs!$B$70)/(Inputs!$B$69-Inputs!$B$68))*INDEX(Inputs!$C$87:$C$96,MATCH(E36,Inputs!$A$87:$A$96,1))*INDEX(Inputs!$B$100:$B$107,MATCH(H36,Inputs!$A$100:$A$107,0))*(1+INDEX(Inputs!$B$38:$B$44,MATCH(D36,Inputs!$A$38:$A$44,0))*INDEX(Inputs!$D$100:$D$107,MATCH(H36,Inputs!$A$100:$A$107,0))),1))</x:f>
        <x:v>210.3</x:v>
      </x:c>
      <x:c r="J36" s="128" t="n">
        <x:f>IF(D36="Premium","",ROUND((Inputs!$B$72+(B36-Inputs!$B$68)*(Inputs!$B$73-Inputs!$B$72)/(Inputs!$B$69-Inputs!$B$68))*INDEX(Inputs!$D$87:$D$96,MATCH(E36,Inputs!$A$87:$A$96,1))*INDEX(Inputs!$C$100:$C$107,MATCH(H36,Inputs!$A$100:$A$107,0))*(1+INDEX(Inputs!$B$38:$B$44,MATCH(D36,Inputs!$A$38:$A$44,0))*INDEX(Inputs!$E$100:$E$107,MATCH(H36,Inputs!$A$100:$A$107,0))),1))</x:f>
        <x:v>56.4</x:v>
      </x:c>
      <x:c r="K36" s="118" t="str">
        <x:v>Fast epic | Formula preview: target rates before activating live sheet.</x:v>
      </x:c>
    </x:row>
    <x:row r="37" ht="15" hidden="0" customHeight="1">
      <x:c r="A37" s="118" t="str">
        <x:v>Wave 3 - Epic Expansion (L41-55)</x:v>
      </x:c>
      <x:c r="B37" s="118" t="n">
        <x:v>51</x:v>
      </x:c>
      <x:c r="C37" s="118" t="str">
        <x:v>Unicorn Tang</x:v>
      </x:c>
      <x:c r="D37" s="118" t="str">
        <x:v>Epic</x:v>
      </x:c>
      <x:c r="E37" s="126" t="n">
        <x:v>4</x:v>
      </x:c>
      <x:c r="F37" s="118" t="str">
        <x:v>4 h</x:v>
      </x:c>
      <x:c r="G37" s="118" t="n">
        <x:v>240</x:v>
      </x:c>
      <x:c r="H37" s="118" t="str">
        <x:v>Balanced</x:v>
      </x:c>
      <x:c r="I37" s="128" t="n">
        <x:f>IF(D37="Premium","",ROUND((Inputs!$B$70+(B37-Inputs!$B$68)*(Inputs!$B$71-Inputs!$B$70)/(Inputs!$B$69-Inputs!$B$68))*INDEX(Inputs!$C$87:$C$96,MATCH(E37,Inputs!$A$87:$A$96,1))*INDEX(Inputs!$B$100:$B$107,MATCH(H37,Inputs!$A$100:$A$107,0))*(1+INDEX(Inputs!$B$38:$B$44,MATCH(D37,Inputs!$A$38:$A$44,0))*INDEX(Inputs!$D$100:$D$107,MATCH(H37,Inputs!$A$100:$A$107,0))),1))</x:f>
        <x:v>51.5</x:v>
      </x:c>
      <x:c r="J37" s="128" t="n">
        <x:f>IF(D37="Premium","",ROUND((Inputs!$B$72+(B37-Inputs!$B$68)*(Inputs!$B$73-Inputs!$B$72)/(Inputs!$B$69-Inputs!$B$68))*INDEX(Inputs!$D$87:$D$96,MATCH(E37,Inputs!$A$87:$A$96,1))*INDEX(Inputs!$C$100:$C$107,MATCH(H37,Inputs!$A$100:$A$107,0))*(1+INDEX(Inputs!$B$38:$B$44,MATCH(D37,Inputs!$A$38:$A$44,0))*INDEX(Inputs!$E$100:$E$107,MATCH(H37,Inputs!$A$100:$A$107,0))),1))</x:f>
        <x:v>20.6</x:v>
      </x:c>
      <x:c r="K37" s="118" t="str">
        <x:v>Formula preview: target rates before activating live sheet.</x:v>
      </x:c>
    </x:row>
    <x:row r="38" ht="15" hidden="0" customHeight="1">
      <x:c r="A38" s="118" t="str">
        <x:v>Wave 3 - Epic Expansion (L41-55)</x:v>
      </x:c>
      <x:c r="B38" s="118" t="n">
        <x:v>52</x:v>
      </x:c>
      <x:c r="C38" s="118" t="str">
        <x:v>Weedy Seadragon</x:v>
      </x:c>
      <x:c r="D38" s="118" t="str">
        <x:v>Epic</x:v>
      </x:c>
      <x:c r="E38" s="126" t="n">
        <x:v>12</x:v>
      </x:c>
      <x:c r="F38" s="118" t="str">
        <x:v>12 h</x:v>
      </x:c>
      <x:c r="G38" s="118" t="n">
        <x:v>390</x:v>
      </x:c>
      <x:c r="H38" s="118" t="str">
        <x:v>Balanced</x:v>
      </x:c>
      <x:c r="I38" s="128" t="n">
        <x:f>IF(D38="Premium","",ROUND((Inputs!$B$70+(B38-Inputs!$B$68)*(Inputs!$B$71-Inputs!$B$70)/(Inputs!$B$69-Inputs!$B$68))*INDEX(Inputs!$C$87:$C$96,MATCH(E38,Inputs!$A$87:$A$96,1))*INDEX(Inputs!$B$100:$B$107,MATCH(H38,Inputs!$A$100:$A$107,0))*(1+INDEX(Inputs!$B$38:$B$44,MATCH(D38,Inputs!$A$38:$A$44,0))*INDEX(Inputs!$D$100:$D$107,MATCH(H38,Inputs!$A$100:$A$107,0))),1))</x:f>
        <x:v>32.3</x:v>
      </x:c>
      <x:c r="J38" s="128" t="n">
        <x:f>IF(D38="Premium","",ROUND((Inputs!$B$72+(B38-Inputs!$B$68)*(Inputs!$B$73-Inputs!$B$72)/(Inputs!$B$69-Inputs!$B$68))*INDEX(Inputs!$D$87:$D$96,MATCH(E38,Inputs!$A$87:$A$96,1))*INDEX(Inputs!$C$100:$C$107,MATCH(H38,Inputs!$A$100:$A$107,0))*(1+INDEX(Inputs!$B$38:$B$44,MATCH(D38,Inputs!$A$38:$A$44,0))*INDEX(Inputs!$E$100:$E$107,MATCH(H38,Inputs!$A$100:$A$107,0))),1))</x:f>
        <x:v>16.9</x:v>
      </x:c>
      <x:c r="K38" s="118" t="str">
        <x:v>Formula preview: target rates before activating live sheet.</x:v>
      </x:c>
    </x:row>
    <x:row r="39" ht="15" hidden="0" customHeight="1">
      <x:c r="A39" s="118" t="str">
        <x:v>Wave 3 - Epic Expansion (L41-55)</x:v>
      </x:c>
      <x:c r="B39" s="118" t="n">
        <x:v>53</x:v>
      </x:c>
      <x:c r="C39" s="118" t="str">
        <x:v>Clown Triggerfish</x:v>
      </x:c>
      <x:c r="D39" s="118" t="str">
        <x:v>Epic</x:v>
      </x:c>
      <x:c r="E39" s="126" t="n">
        <x:v>24</x:v>
      </x:c>
      <x:c r="F39" s="118" t="str">
        <x:v>24 h (1 d)</x:v>
      </x:c>
      <x:c r="G39" s="118" t="n">
        <x:v>530</x:v>
      </x:c>
      <x:c r="H39" s="118" t="str">
        <x:v>Convenience</x:v>
      </x:c>
      <x:c r="I39" s="128" t="n">
        <x:f>IF(D39="Premium","",ROUND((Inputs!$B$70+(B39-Inputs!$B$68)*(Inputs!$B$71-Inputs!$B$70)/(Inputs!$B$69-Inputs!$B$68))*INDEX(Inputs!$C$87:$C$96,MATCH(E39,Inputs!$A$87:$A$96,1))*INDEX(Inputs!$B$100:$B$107,MATCH(H39,Inputs!$A$100:$A$107,0))*(1+INDEX(Inputs!$B$38:$B$44,MATCH(D39,Inputs!$A$38:$A$44,0))*INDEX(Inputs!$D$100:$D$107,MATCH(H39,Inputs!$A$100:$A$107,0))),1))</x:f>
        <x:v>25.8</x:v>
      </x:c>
      <x:c r="J39" s="128" t="n">
        <x:f>IF(D39="Premium","",ROUND((Inputs!$B$72+(B39-Inputs!$B$68)*(Inputs!$B$73-Inputs!$B$72)/(Inputs!$B$69-Inputs!$B$68))*INDEX(Inputs!$D$87:$D$96,MATCH(E39,Inputs!$A$87:$A$96,1))*INDEX(Inputs!$C$100:$C$107,MATCH(H39,Inputs!$A$100:$A$107,0))*(1+INDEX(Inputs!$B$38:$B$44,MATCH(D39,Inputs!$A$38:$A$44,0))*INDEX(Inputs!$E$100:$E$107,MATCH(H39,Inputs!$A$100:$A$107,0))),1))</x:f>
        <x:v>17.6</x:v>
      </x:c>
      <x:c r="K39" s="118" t="str">
        <x:v>Formula preview: target rates before activating live sheet.</x:v>
      </x:c>
    </x:row>
    <x:row r="40" ht="26.399999618530273" hidden="0" customHeight="1">
      <x:c r="A40" s="118" t="str">
        <x:v>Wave 3 - Epic Expansion (L41-55)</x:v>
      </x:c>
      <x:c r="B40" s="118" t="n">
        <x:v>54</x:v>
      </x:c>
      <x:c r="C40" s="118" t="str">
        <x:v>Moon Jellyfish</x:v>
      </x:c>
      <x:c r="D40" s="118" t="str">
        <x:v>Epic</x:v>
      </x:c>
      <x:c r="E40" s="126" t="n">
        <x:v>0.083</x:v>
      </x:c>
      <x:c r="F40" s="118" t="str">
        <x:v>5 min</x:v>
      </x:c>
      <x:c r="G40" s="118" t="n">
        <x:v>130</x:v>
      </x:c>
      <x:c r="H40" s="118" t="str">
        <x:v>Coin Specialist</x:v>
      </x:c>
      <x:c r="I40" s="128" t="n">
        <x:f>IF(D40="Premium","",ROUND((Inputs!$B$70+(B40-Inputs!$B$68)*(Inputs!$B$71-Inputs!$B$70)/(Inputs!$B$69-Inputs!$B$68))*INDEX(Inputs!$C$87:$C$96,MATCH(E40,Inputs!$A$87:$A$96,1))*INDEX(Inputs!$B$100:$B$107,MATCH(H40,Inputs!$A$100:$A$107,0))*(1+INDEX(Inputs!$B$38:$B$44,MATCH(D40,Inputs!$A$38:$A$44,0))*INDEX(Inputs!$D$100:$D$107,MATCH(H40,Inputs!$A$100:$A$107,0))),1))</x:f>
        <x:v>580.2</x:v>
      </x:c>
      <x:c r="J40" s="128" t="n">
        <x:f>IF(D40="Premium","",ROUND((Inputs!$B$72+(B40-Inputs!$B$68)*(Inputs!$B$73-Inputs!$B$72)/(Inputs!$B$69-Inputs!$B$68))*INDEX(Inputs!$D$87:$D$96,MATCH(E40,Inputs!$A$87:$A$96,1))*INDEX(Inputs!$C$100:$C$107,MATCH(H40,Inputs!$A$100:$A$107,0))*(1+INDEX(Inputs!$B$38:$B$44,MATCH(D40,Inputs!$A$38:$A$44,0))*INDEX(Inputs!$E$100:$E$107,MATCH(H40,Inputs!$A$100:$A$107,0))),1))</x:f>
        <x:v>117.6</x:v>
      </x:c>
      <x:c r="K40" s="118" t="str">
        <x:v>Fast epic - exotic invertebrate | Formula preview: target rates before activating live sheet.</x:v>
      </x:c>
    </x:row>
    <x:row r="41" ht="15" hidden="0" customHeight="1">
      <x:c r="A41" s="118" t="str">
        <x:v>Wave 3 - Epic Expansion (L41-55)</x:v>
      </x:c>
      <x:c r="B41" s="118" t="n">
        <x:v>55</x:v>
      </x:c>
      <x:c r="C41" s="118" t="str">
        <x:v>Zebra Moray Eel</x:v>
      </x:c>
      <x:c r="D41" s="118" t="str">
        <x:v>Epic</x:v>
      </x:c>
      <x:c r="E41" s="126" t="n">
        <x:v>6</x:v>
      </x:c>
      <x:c r="F41" s="118" t="str">
        <x:v>6 h</x:v>
      </x:c>
      <x:c r="G41" s="118" t="n">
        <x:v>300</x:v>
      </x:c>
      <x:c r="H41" s="118" t="str">
        <x:v>Balanced</x:v>
      </x:c>
      <x:c r="I41" s="128" t="n">
        <x:f>IF(D41="Premium","",ROUND((Inputs!$B$70+(B41-Inputs!$B$68)*(Inputs!$B$71-Inputs!$B$70)/(Inputs!$B$69-Inputs!$B$68))*INDEX(Inputs!$C$87:$C$96,MATCH(E41,Inputs!$A$87:$A$96,1))*INDEX(Inputs!$B$100:$B$107,MATCH(H41,Inputs!$A$100:$A$107,0))*(1+INDEX(Inputs!$B$38:$B$44,MATCH(D41,Inputs!$A$38:$A$44,0))*INDEX(Inputs!$D$100:$D$107,MATCH(H41,Inputs!$A$100:$A$107,0))),1))</x:f>
        <x:v>51.4</x:v>
      </x:c>
      <x:c r="J41" s="128" t="n">
        <x:f>IF(D41="Premium","",ROUND((Inputs!$B$72+(B41-Inputs!$B$68)*(Inputs!$B$73-Inputs!$B$72)/(Inputs!$B$69-Inputs!$B$68))*INDEX(Inputs!$D$87:$D$96,MATCH(E41,Inputs!$A$87:$A$96,1))*INDEX(Inputs!$C$100:$C$107,MATCH(H41,Inputs!$A$100:$A$107,0))*(1+INDEX(Inputs!$B$38:$B$44,MATCH(D41,Inputs!$A$38:$A$44,0))*INDEX(Inputs!$E$100:$E$107,MATCH(H41,Inputs!$A$100:$A$107,0))),1))</x:f>
        <x:v>20.2</x:v>
      </x:c>
      <x:c r="K41" s="118" t="str">
        <x:v>Formula preview: target rates before activating live sheet.</x:v>
      </x:c>
    </x:row>
    <x:row r="42" ht="15" hidden="0" customHeight="1">
      <x:c r="A42" s="118" t="str">
        <x:v>Wave 4 - Deep Waters (L56-60)</x:v>
      </x:c>
      <x:c r="B42" s="118" t="n">
        <x:v>56</x:v>
      </x:c>
      <x:c r="C42" s="118" t="str">
        <x:v>Dragon Moray</x:v>
      </x:c>
      <x:c r="D42" s="118" t="str">
        <x:v>Epic</x:v>
      </x:c>
      <x:c r="E42" s="126" t="n">
        <x:v>16</x:v>
      </x:c>
      <x:c r="F42" s="118" t="str">
        <x:v>16 h</x:v>
      </x:c>
      <x:c r="G42" s="118" t="n">
        <x:v>460</x:v>
      </x:c>
      <x:c r="H42" s="118" t="str">
        <x:v>Balanced</x:v>
      </x:c>
      <x:c r="I42" s="128" t="n">
        <x:f>IF(D42="Premium","",ROUND((Inputs!$B$70+(B42-Inputs!$B$68)*(Inputs!$B$71-Inputs!$B$70)/(Inputs!$B$69-Inputs!$B$68))*INDEX(Inputs!$C$87:$C$96,MATCH(E42,Inputs!$A$87:$A$96,1))*INDEX(Inputs!$B$100:$B$107,MATCH(H42,Inputs!$A$100:$A$107,0))*(1+INDEX(Inputs!$B$38:$B$44,MATCH(D42,Inputs!$A$38:$A$44,0))*INDEX(Inputs!$D$100:$D$107,MATCH(H42,Inputs!$A$100:$A$107,0))),1))</x:f>
        <x:v>33.8</x:v>
      </x:c>
      <x:c r="J42" s="128" t="n">
        <x:f>IF(D42="Premium","",ROUND((Inputs!$B$72+(B42-Inputs!$B$68)*(Inputs!$B$73-Inputs!$B$72)/(Inputs!$B$69-Inputs!$B$68))*INDEX(Inputs!$D$87:$D$96,MATCH(E42,Inputs!$A$87:$A$96,1))*INDEX(Inputs!$C$100:$C$107,MATCH(H42,Inputs!$A$100:$A$107,0))*(1+INDEX(Inputs!$B$38:$B$44,MATCH(D42,Inputs!$A$38:$A$44,0))*INDEX(Inputs!$E$100:$E$107,MATCH(H42,Inputs!$A$100:$A$107,0))),1))</x:f>
        <x:v>17.6</x:v>
      </x:c>
      <x:c r="K42" s="118" t="str">
        <x:v>Formula preview: target rates before activating live sheet.</x:v>
      </x:c>
    </x:row>
    <x:row r="43" ht="26.399999618530273" hidden="0" customHeight="1">
      <x:c r="A43" s="118" t="str">
        <x:v>Wave 4 - Deep Waters (L56-60)</x:v>
      </x:c>
      <x:c r="B43" s="118" t="n">
        <x:v>57</x:v>
      </x:c>
      <x:c r="C43" s="118" t="str">
        <x:v>Humphead Wrasse</x:v>
      </x:c>
      <x:c r="D43" s="118" t="str">
        <x:v>Epic</x:v>
      </x:c>
      <x:c r="E43" s="126" t="n">
        <x:v>36</x:v>
      </x:c>
      <x:c r="F43" s="118" t="str">
        <x:v>36 h (1.5 d)</x:v>
      </x:c>
      <x:c r="G43" s="118" t="n">
        <x:v>660</x:v>
      </x:c>
      <x:c r="H43" s="118" t="str">
        <x:v>Payout</x:v>
      </x:c>
      <x:c r="I43" s="128" t="n">
        <x:f>IF(D43="Premium","",ROUND((Inputs!$B$70+(B43-Inputs!$B$68)*(Inputs!$B$71-Inputs!$B$70)/(Inputs!$B$69-Inputs!$B$68))*INDEX(Inputs!$C$87:$C$96,MATCH(E43,Inputs!$A$87:$A$96,1))*INDEX(Inputs!$B$100:$B$107,MATCH(H43,Inputs!$A$100:$A$107,0))*(1+INDEX(Inputs!$B$38:$B$44,MATCH(D43,Inputs!$A$38:$A$44,0))*INDEX(Inputs!$D$100:$D$107,MATCH(H43,Inputs!$A$100:$A$107,0))),1))</x:f>
        <x:v>40.9</x:v>
      </x:c>
      <x:c r="J43" s="128" t="n">
        <x:f>IF(D43="Premium","",ROUND((Inputs!$B$72+(B43-Inputs!$B$68)*(Inputs!$B$73-Inputs!$B$72)/(Inputs!$B$69-Inputs!$B$68))*INDEX(Inputs!$D$87:$D$96,MATCH(E43,Inputs!$A$87:$A$96,1))*INDEX(Inputs!$C$100:$C$107,MATCH(H43,Inputs!$A$100:$A$107,0))*(1+INDEX(Inputs!$B$38:$B$44,MATCH(D43,Inputs!$A$38:$A$44,0))*INDEX(Inputs!$E$100:$E$107,MATCH(H43,Inputs!$A$100:$A$107,0))),1))</x:f>
        <x:v>14.3</x:v>
      </x:c>
      <x:c r="K43" s="118" t="str">
        <x:v>Slow-maturing giant | Formula preview: target rates before activating live sheet.</x:v>
      </x:c>
    </x:row>
    <x:row r="44" ht="15" hidden="0" customHeight="1">
      <x:c r="A44" s="118" t="str">
        <x:v>Wave 4 - Deep Waters (L56-60)</x:v>
      </x:c>
      <x:c r="B44" s="118" t="n">
        <x:v>58</x:v>
      </x:c>
      <x:c r="C44" s="118" t="str">
        <x:v>Pearlscale Angelfish</x:v>
      </x:c>
      <x:c r="D44" s="118" t="str">
        <x:v>Epic</x:v>
      </x:c>
      <x:c r="E44" s="126" t="n">
        <x:v>1</x:v>
      </x:c>
      <x:c r="F44" s="118" t="str">
        <x:v>1 h</x:v>
      </x:c>
      <x:c r="G44" s="118" t="n">
        <x:v>220</x:v>
      </x:c>
      <x:c r="H44" s="118" t="str">
        <x:v>Coin Specialist</x:v>
      </x:c>
      <x:c r="I44" s="128" t="n">
        <x:f>IF(D44="Premium","",ROUND((Inputs!$B$70+(B44-Inputs!$B$68)*(Inputs!$B$71-Inputs!$B$70)/(Inputs!$B$69-Inputs!$B$68))*INDEX(Inputs!$C$87:$C$96,MATCH(E44,Inputs!$A$87:$A$96,1))*INDEX(Inputs!$B$100:$B$107,MATCH(H44,Inputs!$A$100:$A$107,0))*(1+INDEX(Inputs!$B$38:$B$44,MATCH(D44,Inputs!$A$38:$A$44,0))*INDEX(Inputs!$D$100:$D$107,MATCH(H44,Inputs!$A$100:$A$107,0))),1))</x:f>
        <x:v>230.7</x:v>
      </x:c>
      <x:c r="J44" s="128" t="n">
        <x:f>IF(D44="Premium","",ROUND((Inputs!$B$72+(B44-Inputs!$B$68)*(Inputs!$B$73-Inputs!$B$72)/(Inputs!$B$69-Inputs!$B$68))*INDEX(Inputs!$D$87:$D$96,MATCH(E44,Inputs!$A$87:$A$96,1))*INDEX(Inputs!$C$100:$C$107,MATCH(H44,Inputs!$A$100:$A$107,0))*(1+INDEX(Inputs!$B$38:$B$44,MATCH(D44,Inputs!$A$38:$A$44,0))*INDEX(Inputs!$E$100:$E$107,MATCH(H44,Inputs!$A$100:$A$107,0))),1))</x:f>
        <x:v>61.2</x:v>
      </x:c>
      <x:c r="K44" s="118" t="str">
        <x:v>Fast epic | Formula preview: target rates before activating live sheet.</x:v>
      </x:c>
    </x:row>
    <x:row r="45" ht="15" hidden="0" customHeight="1">
      <x:c r="A45" s="118" t="str">
        <x:v>Wave 4 - Deep Waters (L56-60)</x:v>
      </x:c>
      <x:c r="B45" s="118" t="n">
        <x:v>59</x:v>
      </x:c>
      <x:c r="C45" s="118" t="str">
        <x:v>Emperor Snapper</x:v>
      </x:c>
      <x:c r="D45" s="118" t="str">
        <x:v>Epic</x:v>
      </x:c>
      <x:c r="E45" s="126" t="n">
        <x:v>8</x:v>
      </x:c>
      <x:c r="F45" s="118" t="str">
        <x:v>8 h</x:v>
      </x:c>
      <x:c r="G45" s="118" t="n">
        <x:v>360</x:v>
      </x:c>
      <x:c r="H45" s="118" t="str">
        <x:v>Balanced</x:v>
      </x:c>
      <x:c r="I45" s="128" t="n">
        <x:f>IF(D45="Premium","",ROUND((Inputs!$B$70+(B45-Inputs!$B$68)*(Inputs!$B$71-Inputs!$B$70)/(Inputs!$B$69-Inputs!$B$68))*INDEX(Inputs!$C$87:$C$96,MATCH(E45,Inputs!$A$87:$A$96,1))*INDEX(Inputs!$B$100:$B$107,MATCH(H45,Inputs!$A$100:$A$107,0))*(1+INDEX(Inputs!$B$38:$B$44,MATCH(D45,Inputs!$A$38:$A$44,0))*INDEX(Inputs!$D$100:$D$107,MATCH(H45,Inputs!$A$100:$A$107,0))),1))</x:f>
        <x:v>48.4</x:v>
      </x:c>
      <x:c r="J45" s="128" t="n">
        <x:f>IF(D45="Premium","",ROUND((Inputs!$B$72+(B45-Inputs!$B$68)*(Inputs!$B$73-Inputs!$B$72)/(Inputs!$B$69-Inputs!$B$68))*INDEX(Inputs!$D$87:$D$96,MATCH(E45,Inputs!$A$87:$A$96,1))*INDEX(Inputs!$C$100:$C$107,MATCH(H45,Inputs!$A$100:$A$107,0))*(1+INDEX(Inputs!$B$38:$B$44,MATCH(D45,Inputs!$A$38:$A$44,0))*INDEX(Inputs!$E$100:$E$107,MATCH(H45,Inputs!$A$100:$A$107,0))),1))</x:f>
        <x:v>19.6</x:v>
      </x:c>
      <x:c r="K45" s="118" t="str">
        <x:v>Formula preview: target rates before activating live sheet.</x:v>
      </x:c>
    </x:row>
    <x:row r="46" ht="15" hidden="0" customHeight="1">
      <x:c r="A46" s="118" t="str">
        <x:v>Wave 4 - Deep Waters (L56-60)</x:v>
      </x:c>
      <x:c r="B46" s="118" t="n">
        <x:v>60</x:v>
      </x:c>
      <x:c r="C46" s="118" t="str">
        <x:v>Giant Grouper</x:v>
      </x:c>
      <x:c r="D46" s="118" t="str">
        <x:v>Epic</x:v>
      </x:c>
      <x:c r="E46" s="126" t="n">
        <x:v>20</x:v>
      </x:c>
      <x:c r="F46" s="118" t="str">
        <x:v>20 h</x:v>
      </x:c>
      <x:c r="G46" s="118" t="n">
        <x:v>540</x:v>
      </x:c>
      <x:c r="H46" s="118" t="str">
        <x:v>Balanced</x:v>
      </x:c>
      <x:c r="I46" s="128" t="n">
        <x:f>IF(D46="Premium","",ROUND((Inputs!$B$70+(B46-Inputs!$B$68)*(Inputs!$B$71-Inputs!$B$70)/(Inputs!$B$69-Inputs!$B$68))*INDEX(Inputs!$C$87:$C$96,MATCH(E46,Inputs!$A$87:$A$96,1))*INDEX(Inputs!$B$100:$B$107,MATCH(H46,Inputs!$A$100:$A$107,0))*(1+INDEX(Inputs!$B$38:$B$44,MATCH(D46,Inputs!$A$38:$A$44,0))*INDEX(Inputs!$D$100:$D$107,MATCH(H46,Inputs!$A$100:$A$107,0))),1))</x:f>
        <x:v>35.3</x:v>
      </x:c>
      <x:c r="J46" s="128" t="n">
        <x:f>IF(D46="Premium","",ROUND((Inputs!$B$72+(B46-Inputs!$B$68)*(Inputs!$B$73-Inputs!$B$72)/(Inputs!$B$69-Inputs!$B$68))*INDEX(Inputs!$D$87:$D$96,MATCH(E46,Inputs!$A$87:$A$96,1))*INDEX(Inputs!$C$100:$C$107,MATCH(H46,Inputs!$A$100:$A$107,0))*(1+INDEX(Inputs!$B$38:$B$44,MATCH(D46,Inputs!$A$38:$A$44,0))*INDEX(Inputs!$E$100:$E$107,MATCH(H46,Inputs!$A$100:$A$107,0))),1))</x:f>
        <x:v>18.3</x:v>
      </x:c>
      <x:c r="K46" s="118" t="str">
        <x:v>Formula preview: target rates before activating live sheet.</x:v>
      </x:c>
    </x:row>
    <x:row r="47" ht="26.399999618530273" hidden="0" customHeight="1">
      <x:c r="A47" s="118" t="str">
        <x:v>Wave 5 - Legendary Tier (L61-70)</x:v>
      </x:c>
      <x:c r="B47" s="118" t="n">
        <x:v>61</x:v>
      </x:c>
      <x:c r="C47" s="118" t="str">
        <x:v>Crystal Seahorse</x:v>
      </x:c>
      <x:c r="D47" s="118" t="str">
        <x:v>Legendary</x:v>
      </x:c>
      <x:c r="E47" s="126" t="n">
        <x:v>48</x:v>
      </x:c>
      <x:c r="F47" s="118" t="str">
        <x:v>48 h (2 d)</x:v>
      </x:c>
      <x:c r="G47" s="118" t="n">
        <x:v>990</x:v>
      </x:c>
      <x:c r="H47" s="118" t="str">
        <x:v>Payout</x:v>
      </x:c>
      <x:c r="I47" s="128" t="n">
        <x:f>IF(D47="Premium","",ROUND((Inputs!$B$70+(B47-Inputs!$B$68)*(Inputs!$B$71-Inputs!$B$70)/(Inputs!$B$69-Inputs!$B$68))*INDEX(Inputs!$C$87:$C$96,MATCH(E47,Inputs!$A$87:$A$96,1))*INDEX(Inputs!$B$100:$B$107,MATCH(H47,Inputs!$A$100:$A$107,0))*(1+INDEX(Inputs!$B$38:$B$44,MATCH(D47,Inputs!$A$38:$A$44,0))*INDEX(Inputs!$D$100:$D$107,MATCH(H47,Inputs!$A$100:$A$107,0))),1))</x:f>
        <x:v>47.1</x:v>
      </x:c>
      <x:c r="J47" s="128" t="n">
        <x:f>IF(D47="Premium","",ROUND((Inputs!$B$72+(B47-Inputs!$B$68)*(Inputs!$B$73-Inputs!$B$72)/(Inputs!$B$69-Inputs!$B$68))*INDEX(Inputs!$D$87:$D$96,MATCH(E47,Inputs!$A$87:$A$96,1))*INDEX(Inputs!$C$100:$C$107,MATCH(H47,Inputs!$A$100:$A$107,0))*(1+INDEX(Inputs!$B$38:$B$44,MATCH(D47,Inputs!$A$38:$A$44,0))*INDEX(Inputs!$E$100:$E$107,MATCH(H47,Inputs!$A$100:$A$107,0))),1))</x:f>
        <x:v>13.7</x:v>
      </x:c>
      <x:c r="K47" s="118" t="str">
        <x:v>Legendary marathon | Formula preview: target rates before activating live sheet.</x:v>
      </x:c>
    </x:row>
    <x:row r="48" ht="26.399999618530273" hidden="0" customHeight="1">
      <x:c r="A48" s="118" t="str">
        <x:v>Wave 5 - Legendary Tier (L61-70)</x:v>
      </x:c>
      <x:c r="B48" s="118" t="n">
        <x:v>62</x:v>
      </x:c>
      <x:c r="C48" s="118" t="str">
        <x:v>Celestial Tang</x:v>
      </x:c>
      <x:c r="D48" s="118" t="str">
        <x:v>Legendary</x:v>
      </x:c>
      <x:c r="E48" s="126" t="n">
        <x:v>0.5</x:v>
      </x:c>
      <x:c r="F48" s="118" t="str">
        <x:v>30 min</x:v>
      </x:c>
      <x:c r="G48" s="118" t="n">
        <x:v>240</x:v>
      </x:c>
      <x:c r="H48" s="118" t="str">
        <x:v>Coin Specialist</x:v>
      </x:c>
      <x:c r="I48" s="128" t="n">
        <x:f>IF(D48="Premium","",ROUND((Inputs!$B$70+(B48-Inputs!$B$68)*(Inputs!$B$71-Inputs!$B$70)/(Inputs!$B$69-Inputs!$B$68))*INDEX(Inputs!$C$87:$C$96,MATCH(E48,Inputs!$A$87:$A$96,1))*INDEX(Inputs!$B$100:$B$107,MATCH(H48,Inputs!$A$100:$A$107,0))*(1+INDEX(Inputs!$B$38:$B$44,MATCH(D48,Inputs!$A$38:$A$44,0))*INDEX(Inputs!$D$100:$D$107,MATCH(H48,Inputs!$A$100:$A$107,0))),1))</x:f>
        <x:v>249.6</x:v>
      </x:c>
      <x:c r="J48" s="128" t="n">
        <x:f>IF(D48="Premium","",ROUND((Inputs!$B$72+(B48-Inputs!$B$68)*(Inputs!$B$73-Inputs!$B$72)/(Inputs!$B$69-Inputs!$B$68))*INDEX(Inputs!$D$87:$D$96,MATCH(E48,Inputs!$A$87:$A$96,1))*INDEX(Inputs!$C$100:$C$107,MATCH(H48,Inputs!$A$100:$A$107,0))*(1+INDEX(Inputs!$B$38:$B$44,MATCH(D48,Inputs!$A$38:$A$44,0))*INDEX(Inputs!$E$100:$E$107,MATCH(H48,Inputs!$A$100:$A$107,0))),1))</x:f>
        <x:v>63.8</x:v>
      </x:c>
      <x:c r="K48" s="118" t="str">
        <x:v>Fast legendary | Formula preview: target rates before activating live sheet.</x:v>
      </x:c>
    </x:row>
    <x:row r="49" ht="15" hidden="0" customHeight="1">
      <x:c r="A49" s="118" t="str">
        <x:v>Wave 5 - Legendary Tier (L61-70)</x:v>
      </x:c>
      <x:c r="B49" s="118" t="n">
        <x:v>63</x:v>
      </x:c>
      <x:c r="C49" s="118" t="str">
        <x:v>Starry Goby</x:v>
      </x:c>
      <x:c r="D49" s="118" t="str">
        <x:v>Legendary</x:v>
      </x:c>
      <x:c r="E49" s="126" t="n">
        <x:v>4</x:v>
      </x:c>
      <x:c r="F49" s="118" t="str">
        <x:v>4 h</x:v>
      </x:c>
      <x:c r="G49" s="118" t="n">
        <x:v>350</x:v>
      </x:c>
      <x:c r="H49" s="118" t="str">
        <x:v>Balanced</x:v>
      </x:c>
      <x:c r="I49" s="128" t="n">
        <x:f>IF(D49="Premium","",ROUND((Inputs!$B$70+(B49-Inputs!$B$68)*(Inputs!$B$71-Inputs!$B$70)/(Inputs!$B$69-Inputs!$B$68))*INDEX(Inputs!$C$87:$C$96,MATCH(E49,Inputs!$A$87:$A$96,1))*INDEX(Inputs!$B$100:$B$107,MATCH(H49,Inputs!$A$100:$A$107,0))*(1+INDEX(Inputs!$B$38:$B$44,MATCH(D49,Inputs!$A$38:$A$44,0))*INDEX(Inputs!$D$100:$D$107,MATCH(H49,Inputs!$A$100:$A$107,0))),1))</x:f>
        <x:v>59.5</x:v>
      </x:c>
      <x:c r="J49" s="128" t="n">
        <x:f>IF(D49="Premium","",ROUND((Inputs!$B$72+(B49-Inputs!$B$68)*(Inputs!$B$73-Inputs!$B$72)/(Inputs!$B$69-Inputs!$B$68))*INDEX(Inputs!$D$87:$D$96,MATCH(E49,Inputs!$A$87:$A$96,1))*INDEX(Inputs!$C$100:$C$107,MATCH(H49,Inputs!$A$100:$A$107,0))*(1+INDEX(Inputs!$B$38:$B$44,MATCH(D49,Inputs!$A$38:$A$44,0))*INDEX(Inputs!$E$100:$E$107,MATCH(H49,Inputs!$A$100:$A$107,0))),1))</x:f>
        <x:v>23.4</x:v>
      </x:c>
      <x:c r="K49" s="118" t="str">
        <x:v>Formula preview: target rates before activating live sheet.</x:v>
      </x:c>
    </x:row>
    <x:row r="50" ht="15" hidden="0" customHeight="1">
      <x:c r="A50" s="118" t="str">
        <x:v>Wave 5 - Legendary Tier (L61-70)</x:v>
      </x:c>
      <x:c r="B50" s="118" t="n">
        <x:v>64</x:v>
      </x:c>
      <x:c r="C50" s="118" t="str">
        <x:v>Opal Ray</x:v>
      </x:c>
      <x:c r="D50" s="118" t="str">
        <x:v>Legendary</x:v>
      </x:c>
      <x:c r="E50" s="126" t="n">
        <x:v>12</x:v>
      </x:c>
      <x:c r="F50" s="118" t="str">
        <x:v>12 h</x:v>
      </x:c>
      <x:c r="G50" s="118" t="n">
        <x:v>570</x:v>
      </x:c>
      <x:c r="H50" s="118" t="str">
        <x:v>Balanced</x:v>
      </x:c>
      <x:c r="I50" s="128" t="n">
        <x:f>IF(D50="Premium","",ROUND((Inputs!$B$70+(B50-Inputs!$B$68)*(Inputs!$B$71-Inputs!$B$70)/(Inputs!$B$69-Inputs!$B$68))*INDEX(Inputs!$C$87:$C$96,MATCH(E50,Inputs!$A$87:$A$96,1))*INDEX(Inputs!$B$100:$B$107,MATCH(H50,Inputs!$A$100:$A$107,0))*(1+INDEX(Inputs!$B$38:$B$44,MATCH(D50,Inputs!$A$38:$A$44,0))*INDEX(Inputs!$D$100:$D$107,MATCH(H50,Inputs!$A$100:$A$107,0))),1))</x:f>
        <x:v>37.2</x:v>
      </x:c>
      <x:c r="J50" s="128" t="n">
        <x:f>IF(D50="Premium","",ROUND((Inputs!$B$72+(B50-Inputs!$B$68)*(Inputs!$B$73-Inputs!$B$72)/(Inputs!$B$69-Inputs!$B$68))*INDEX(Inputs!$D$87:$D$96,MATCH(E50,Inputs!$A$87:$A$96,1))*INDEX(Inputs!$C$100:$C$107,MATCH(H50,Inputs!$A$100:$A$107,0))*(1+INDEX(Inputs!$B$38:$B$44,MATCH(D50,Inputs!$A$38:$A$44,0))*INDEX(Inputs!$E$100:$E$107,MATCH(H50,Inputs!$A$100:$A$107,0))),1))</x:f>
        <x:v>19.2</x:v>
      </x:c>
      <x:c r="K50" s="118" t="str">
        <x:v>Formula preview: target rates before activating live sheet.</x:v>
      </x:c>
    </x:row>
    <x:row r="51" ht="15" hidden="0" customHeight="1">
      <x:c r="A51" s="118" t="str">
        <x:v>Wave 5 - Legendary Tier (L61-70)</x:v>
      </x:c>
      <x:c r="B51" s="118" t="n">
        <x:v>65</x:v>
      </x:c>
      <x:c r="C51" s="118" t="str">
        <x:v>Crown Parrotfish</x:v>
      </x:c>
      <x:c r="D51" s="118" t="str">
        <x:v>Legendary</x:v>
      </x:c>
      <x:c r="E51" s="126" t="n">
        <x:v>24</x:v>
      </x:c>
      <x:c r="F51" s="118" t="str">
        <x:v>24 h (1 d)</x:v>
      </x:c>
      <x:c r="G51" s="118" t="n">
        <x:v>770</x:v>
      </x:c>
      <x:c r="H51" s="118" t="str">
        <x:v>Convenience</x:v>
      </x:c>
      <x:c r="I51" s="128" t="n">
        <x:f>IF(D51="Premium","",ROUND((Inputs!$B$70+(B51-Inputs!$B$68)*(Inputs!$B$71-Inputs!$B$70)/(Inputs!$B$69-Inputs!$B$68))*INDEX(Inputs!$C$87:$C$96,MATCH(E51,Inputs!$A$87:$A$96,1))*INDEX(Inputs!$B$100:$B$107,MATCH(H51,Inputs!$A$100:$A$107,0))*(1+INDEX(Inputs!$B$38:$B$44,MATCH(D51,Inputs!$A$38:$A$44,0))*INDEX(Inputs!$D$100:$D$107,MATCH(H51,Inputs!$A$100:$A$107,0))),1))</x:f>
        <x:v>29.5</x:v>
      </x:c>
      <x:c r="J51" s="128" t="n">
        <x:f>IF(D51="Premium","",ROUND((Inputs!$B$72+(B51-Inputs!$B$68)*(Inputs!$B$73-Inputs!$B$72)/(Inputs!$B$69-Inputs!$B$68))*INDEX(Inputs!$D$87:$D$96,MATCH(E51,Inputs!$A$87:$A$96,1))*INDEX(Inputs!$C$100:$C$107,MATCH(H51,Inputs!$A$100:$A$107,0))*(1+INDEX(Inputs!$B$38:$B$44,MATCH(D51,Inputs!$A$38:$A$44,0))*INDEX(Inputs!$E$100:$E$107,MATCH(H51,Inputs!$A$100:$A$107,0))),1))</x:f>
        <x:v>20.2</x:v>
      </x:c>
      <x:c r="K51" s="118" t="str">
        <x:v>Formula preview: target rates before activating live sheet.</x:v>
      </x:c>
    </x:row>
    <x:row r="52" ht="26.399999618530273" hidden="0" customHeight="1">
      <x:c r="A52" s="118" t="str">
        <x:v>Wave 5 - Legendary Tier (L61-70)</x:v>
      </x:c>
      <x:c r="B52" s="118" t="n">
        <x:v>66</x:v>
      </x:c>
      <x:c r="C52" s="118" t="str">
        <x:v>Lava Lionfish</x:v>
      </x:c>
      <x:c r="D52" s="118" t="str">
        <x:v>Legendary</x:v>
      </x:c>
      <x:c r="E52" s="126" t="n">
        <x:v>0.083</x:v>
      </x:c>
      <x:c r="F52" s="118" t="str">
        <x:v>5 min</x:v>
      </x:c>
      <x:c r="G52" s="118" t="n">
        <x:v>280</x:v>
      </x:c>
      <x:c r="H52" s="118" t="str">
        <x:v>Coin Specialist</x:v>
      </x:c>
      <x:c r="I52" s="128" t="n">
        <x:f>IF(D52="Premium","",ROUND((Inputs!$B$70+(B52-Inputs!$B$68)*(Inputs!$B$71-Inputs!$B$70)/(Inputs!$B$69-Inputs!$B$68))*INDEX(Inputs!$C$87:$C$96,MATCH(E52,Inputs!$A$87:$A$96,1))*INDEX(Inputs!$B$100:$B$107,MATCH(H52,Inputs!$A$100:$A$107,0))*(1+INDEX(Inputs!$B$38:$B$44,MATCH(D52,Inputs!$A$38:$A$44,0))*INDEX(Inputs!$D$100:$D$107,MATCH(H52,Inputs!$A$100:$A$107,0))),1))</x:f>
        <x:v>684.6</x:v>
      </x:c>
      <x:c r="J52" s="128" t="n">
        <x:f>IF(D52="Premium","",ROUND((Inputs!$B$72+(B52-Inputs!$B$68)*(Inputs!$B$73-Inputs!$B$72)/(Inputs!$B$69-Inputs!$B$68))*INDEX(Inputs!$D$87:$D$96,MATCH(E52,Inputs!$A$87:$A$96,1))*INDEX(Inputs!$C$100:$C$107,MATCH(H52,Inputs!$A$100:$A$107,0))*(1+INDEX(Inputs!$B$38:$B$44,MATCH(D52,Inputs!$A$38:$A$44,0))*INDEX(Inputs!$E$100:$E$107,MATCH(H52,Inputs!$A$100:$A$107,0))),1))</x:f>
        <x:v>132.4</x:v>
      </x:c>
      <x:c r="K52" s="118" t="str">
        <x:v>5-min legendary - ultimate grinder fish | Formula preview: target rates before activating live sheet.</x:v>
      </x:c>
    </x:row>
    <x:row r="53" ht="15" hidden="0" customHeight="1">
      <x:c r="A53" s="118" t="str">
        <x:v>Wave 5 - Legendary Tier (L61-70)</x:v>
      </x:c>
      <x:c r="B53" s="118" t="n">
        <x:v>67</x:v>
      </x:c>
      <x:c r="C53" s="118" t="str">
        <x:v>Abyssal Anglerfish</x:v>
      </x:c>
      <x:c r="D53" s="118" t="str">
        <x:v>Legendary</x:v>
      </x:c>
      <x:c r="E53" s="126" t="n">
        <x:v>6</x:v>
      </x:c>
      <x:c r="F53" s="118" t="str">
        <x:v>6 h</x:v>
      </x:c>
      <x:c r="G53" s="118" t="n">
        <x:v>440</x:v>
      </x:c>
      <x:c r="H53" s="118" t="str">
        <x:v>Balanced</x:v>
      </x:c>
      <x:c r="I53" s="128" t="n">
        <x:f>IF(D53="Premium","",ROUND((Inputs!$B$70+(B53-Inputs!$B$68)*(Inputs!$B$71-Inputs!$B$70)/(Inputs!$B$69-Inputs!$B$68))*INDEX(Inputs!$C$87:$C$96,MATCH(E53,Inputs!$A$87:$A$96,1))*INDEX(Inputs!$B$100:$B$107,MATCH(H53,Inputs!$A$100:$A$107,0))*(1+INDEX(Inputs!$B$38:$B$44,MATCH(D53,Inputs!$A$38:$A$44,0))*INDEX(Inputs!$D$100:$D$107,MATCH(H53,Inputs!$A$100:$A$107,0))),1))</x:f>
        <x:v>59.1</x:v>
      </x:c>
      <x:c r="J53" s="128" t="n">
        <x:f>IF(D53="Premium","",ROUND((Inputs!$B$72+(B53-Inputs!$B$68)*(Inputs!$B$73-Inputs!$B$72)/(Inputs!$B$69-Inputs!$B$68))*INDEX(Inputs!$D$87:$D$96,MATCH(E53,Inputs!$A$87:$A$96,1))*INDEX(Inputs!$C$100:$C$107,MATCH(H53,Inputs!$A$100:$A$107,0))*(1+INDEX(Inputs!$B$38:$B$44,MATCH(D53,Inputs!$A$38:$A$44,0))*INDEX(Inputs!$E$100:$E$107,MATCH(H53,Inputs!$A$100:$A$107,0))),1))</x:f>
        <x:v>22.8</x:v>
      </x:c>
      <x:c r="K53" s="118" t="str">
        <x:v>Formula preview: target rates before activating live sheet.</x:v>
      </x:c>
    </x:row>
    <x:row r="54" ht="26.399999618530273" hidden="0" customHeight="1">
      <x:c r="A54" s="118" t="str">
        <x:v>Wave 5 - Legendary Tier (L61-70)</x:v>
      </x:c>
      <x:c r="B54" s="118" t="n">
        <x:v>68</x:v>
      </x:c>
      <x:c r="C54" s="118" t="str">
        <x:v>Barreleye Fish</x:v>
      </x:c>
      <x:c r="D54" s="118" t="str">
        <x:v>Legendary</x:v>
      </x:c>
      <x:c r="E54" s="126" t="n">
        <x:v>16</x:v>
      </x:c>
      <x:c r="F54" s="118" t="str">
        <x:v>16 h</x:v>
      </x:c>
      <x:c r="G54" s="118" t="n">
        <x:v>680</x:v>
      </x:c>
      <x:c r="H54" s="118" t="str">
        <x:v>Collection</x:v>
      </x:c>
      <x:c r="I54" s="128" t="n">
        <x:f>IF(D54="Premium","",ROUND((Inputs!$B$70+(B54-Inputs!$B$68)*(Inputs!$B$71-Inputs!$B$70)/(Inputs!$B$69-Inputs!$B$68))*INDEX(Inputs!$C$87:$C$96,MATCH(E54,Inputs!$A$87:$A$96,1))*INDEX(Inputs!$B$100:$B$107,MATCH(H54,Inputs!$A$100:$A$107,0))*(1+INDEX(Inputs!$B$38:$B$44,MATCH(D54,Inputs!$A$38:$A$44,0))*INDEX(Inputs!$D$100:$D$107,MATCH(H54,Inputs!$A$100:$A$107,0))),1))</x:f>
        <x:v>34.1</x:v>
      </x:c>
      <x:c r="J54" s="128" t="n">
        <x:f>IF(D54="Premium","",ROUND((Inputs!$B$72+(B54-Inputs!$B$68)*(Inputs!$B$73-Inputs!$B$72)/(Inputs!$B$69-Inputs!$B$68))*INDEX(Inputs!$D$87:$D$96,MATCH(E54,Inputs!$A$87:$A$96,1))*INDEX(Inputs!$C$100:$C$107,MATCH(H54,Inputs!$A$100:$A$107,0))*(1+INDEX(Inputs!$B$38:$B$44,MATCH(D54,Inputs!$A$38:$A$44,0))*INDEX(Inputs!$E$100:$E$107,MATCH(H54,Inputs!$A$100:$A$107,0))),1))</x:f>
        <x:v>20.1</x:v>
      </x:c>
      <x:c r="K54" s="118" t="str">
        <x:v>Retired FishVille species | Formula preview: target rates before activating live sheet.</x:v>
      </x:c>
    </x:row>
    <x:row r="55" ht="26.399999618530273" hidden="0" customHeight="1">
      <x:c r="A55" s="118" t="str">
        <x:v>Wave 5 - Legendary Tier (L61-70)</x:v>
      </x:c>
      <x:c r="B55" s="118" t="n">
        <x:v>69</x:v>
      </x:c>
      <x:c r="C55" s="118" t="str">
        <x:v>Mythic Coelacanth</x:v>
      </x:c>
      <x:c r="D55" s="118" t="str">
        <x:v>Legendary</x:v>
      </x:c>
      <x:c r="E55" s="126" t="n">
        <x:v>36</x:v>
      </x:c>
      <x:c r="F55" s="118" t="str">
        <x:v>36 h (1.5 d)</x:v>
      </x:c>
      <x:c r="G55" s="118" t="n">
        <x:v>970</x:v>
      </x:c>
      <x:c r="H55" s="118" t="str">
        <x:v>Payout</x:v>
      </x:c>
      <x:c r="I55" s="128" t="n">
        <x:f>IF(D55="Premium","",ROUND((Inputs!$B$70+(B55-Inputs!$B$68)*(Inputs!$B$71-Inputs!$B$70)/(Inputs!$B$69-Inputs!$B$68))*INDEX(Inputs!$C$87:$C$96,MATCH(E55,Inputs!$A$87:$A$96,1))*INDEX(Inputs!$B$100:$B$107,MATCH(H55,Inputs!$A$100:$A$107,0))*(1+INDEX(Inputs!$B$38:$B$44,MATCH(D55,Inputs!$A$38:$A$44,0))*INDEX(Inputs!$D$100:$D$107,MATCH(H55,Inputs!$A$100:$A$107,0))),1))</x:f>
        <x:v>47.7</x:v>
      </x:c>
      <x:c r="J55" s="128" t="n">
        <x:f>IF(D55="Premium","",ROUND((Inputs!$B$72+(B55-Inputs!$B$68)*(Inputs!$B$73-Inputs!$B$72)/(Inputs!$B$69-Inputs!$B$68))*INDEX(Inputs!$D$87:$D$96,MATCH(E55,Inputs!$A$87:$A$96,1))*INDEX(Inputs!$C$100:$C$107,MATCH(H55,Inputs!$A$100:$A$107,0))*(1+INDEX(Inputs!$B$38:$B$44,MATCH(D55,Inputs!$A$38:$A$44,0))*INDEX(Inputs!$E$100:$E$107,MATCH(H55,Inputs!$A$100:$A$107,0))),1))</x:f>
        <x:v>16.2</x:v>
      </x:c>
      <x:c r="K55" s="118" t="str">
        <x:v>Slowest-maturing fish known | Formula preview: target rates before activating live sheet.</x:v>
      </x:c>
    </x:row>
    <x:row r="56" ht="26.399999618530273" hidden="0" customHeight="1">
      <x:c r="A56" s="118" t="str">
        <x:v>Wave 5 - Legendary Tier (L61-70)</x:v>
      </x:c>
      <x:c r="B56" s="118" t="n">
        <x:v>70</x:v>
      </x:c>
      <x:c r="C56" s="118" t="str">
        <x:v>Poseidon Ray</x:v>
      </x:c>
      <x:c r="D56" s="118" t="str">
        <x:v>Legendary</x:v>
      </x:c>
      <x:c r="E56" s="126" t="n">
        <x:v>48</x:v>
      </x:c>
      <x:c r="F56" s="118" t="str">
        <x:v>48 h (2 d)</x:v>
      </x:c>
      <x:c r="G56" s="118" t="n">
        <x:v>1100</x:v>
      </x:c>
      <x:c r="H56" s="118" t="str">
        <x:v>Payout</x:v>
      </x:c>
      <x:c r="I56" s="128" t="n">
        <x:f>IF(D56="Premium","",ROUND((Inputs!$B$70+(B56-Inputs!$B$68)*(Inputs!$B$71-Inputs!$B$70)/(Inputs!$B$69-Inputs!$B$68))*INDEX(Inputs!$C$87:$C$96,MATCH(E56,Inputs!$A$87:$A$96,1))*INDEX(Inputs!$B$100:$B$107,MATCH(H56,Inputs!$A$100:$A$107,0))*(1+INDEX(Inputs!$B$38:$B$44,MATCH(D56,Inputs!$A$38:$A$44,0))*INDEX(Inputs!$D$100:$D$107,MATCH(H56,Inputs!$A$100:$A$107,0))),1))</x:f>
        <x:v>51.6</x:v>
      </x:c>
      <x:c r="J56" s="128" t="n">
        <x:f>IF(D56="Premium","",ROUND((Inputs!$B$72+(B56-Inputs!$B$68)*(Inputs!$B$73-Inputs!$B$72)/(Inputs!$B$69-Inputs!$B$68))*INDEX(Inputs!$D$87:$D$96,MATCH(E56,Inputs!$A$87:$A$96,1))*INDEX(Inputs!$C$100:$C$107,MATCH(H56,Inputs!$A$100:$A$107,0))*(1+INDEX(Inputs!$B$38:$B$44,MATCH(D56,Inputs!$A$38:$A$44,0))*INDEX(Inputs!$E$100:$E$107,MATCH(H56,Inputs!$A$100:$A$107,0))),1))</x:f>
        <x:v>14.8</x:v>
      </x:c>
      <x:c r="K56" s="118" t="str">
        <x:v>Level-cap capstone | Formula preview: target rates before activating live sheet.</x:v>
      </x:c>
    </x:row>
    <x:row r="57" ht="15" hidden="0" customHeight="1">
      <x:c r="A57" s="118"/>
      <x:c r="B57" s="118"/>
      <x:c r="C57" s="118"/>
      <x:c r="D57" s="118"/>
      <x:c r="E57" s="118"/>
      <x:c r="F57" s="118"/>
      <x:c r="G57" s="118"/>
      <x:c r="H57" s="118"/>
      <x:c r="I57" s="118"/>
      <x:c r="J57" s="118"/>
      <x:c r="K57" s="118"/>
    </x:row>
    <x:row r="58" ht="24" hidden="0" customHeight="1">
      <x:c r="A58" s="133" t="str">
        <x:v>Move a roadmap fish into Coin Fish or Premium Fish to activate full stage sell formulas. Target columns preview post-launch balance before production.</x:v>
      </x:c>
      <x:c r="B58" s="133"/>
      <x:c r="C58" s="133"/>
      <x:c r="D58" s="133"/>
      <x:c r="E58" s="133"/>
      <x:c r="F58" s="133"/>
      <x:c r="G58" s="133"/>
      <x:c r="H58" s="133"/>
      <x:c r="I58" s="133"/>
      <x:c r="J58" s="133"/>
      <x:c r="K58" s="133"/>
    </x:row>
  </x:sheetData>
  <x:mergeCells>
    <x:mergeCell ref="A1:K1"/>
    <x:mergeCell ref="A58:K58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6" hidden="0" customWidth="1"/>
    <x:col min="2" max="2" width="30" hidden="0" customWidth="1"/>
    <x:col min="3" max="4" width="52" hidden="0" customWidth="1"/>
  </x:cols>
  <x:sheetData>
    <x:row r="1" ht="17.350000381469727" hidden="0">
      <x:c r="A1" s="4" t="s">
        <x:v>178</x:v>
      </x:c>
    </x:row>
    <x:row r="3" ht="30" hidden="0" customHeight="1">
      <x:c r="A3" s="22" t="s">
        <x:v>179</x:v>
      </x:c>
      <x:c r="B3" s="22" t="s">
        <x:v>180</x:v>
      </x:c>
      <x:c r="C3" s="22" t="s">
        <x:v>181</x:v>
      </x:c>
      <x:c r="D3" s="22" t="s">
        <x:v>182</x:v>
      </x:c>
    </x:row>
    <x:row r="4" ht="23.850000381469727" hidden="0">
      <x:c r="A4" s="13" t="s">
        <x:v>183</x:v>
      </x:c>
      <x:c r="B4" s="13" t="s">
        <x:v>184</x:v>
      </x:c>
      <x:c r="C4" s="13" t="s">
        <x:v>185</x:v>
      </x:c>
      <x:c r="D4" s="26" t="s">
        <x:v>186</x:v>
      </x:c>
    </x:row>
    <x:row r="5" ht="15" hidden="0">
      <x:c r="A5" s="13" t="s">
        <x:v>187</x:v>
      </x:c>
      <x:c r="B5" s="13" t="s">
        <x:v>188</x:v>
      </x:c>
      <x:c r="C5" s="13" t="s">
        <x:v>189</x:v>
      </x:c>
      <x:c r="D5" s="26" t="s">
        <x:v>190</x:v>
      </x:c>
    </x:row>
    <x:row r="6" ht="15" hidden="0">
      <x:c r="A6" s="13" t="s">
        <x:v>191</x:v>
      </x:c>
      <x:c r="B6" s="13" t="s">
        <x:v>192</x:v>
      </x:c>
      <x:c r="C6" s="13" t="s">
        <x:v>193</x:v>
      </x:c>
      <x:c r="D6" s="26" t="s">
        <x:v>194</x:v>
      </x:c>
    </x:row>
    <x:row r="7" ht="15" hidden="0">
      <x:c r="A7" s="13" t="s">
        <x:v>195</x:v>
      </x:c>
      <x:c r="B7" s="13" t="s">
        <x:v>196</x:v>
      </x:c>
      <x:c r="C7" s="13" t="s">
        <x:v>197</x:v>
      </x:c>
      <x:c r="D7" s="26" t="s">
        <x:v>198</x:v>
      </x:c>
    </x:row>
    <x:row r="8" ht="15" hidden="0">
      <x:c r="A8" s="13" t="s">
        <x:v>199</x:v>
      </x:c>
      <x:c r="B8" s="13" t="s">
        <x:v>200</x:v>
      </x:c>
      <x:c r="C8" s="13" t="s">
        <x:v>201</x:v>
      </x:c>
      <x:c r="D8" s="26" t="s">
        <x:v>202</x:v>
      </x:c>
    </x:row>
    <x:row r="9" ht="15" hidden="0">
      <x:c r="A9" s="13" t="s">
        <x:v>203</x:v>
      </x:c>
      <x:c r="B9" s="13" t="s">
        <x:v>204</x:v>
      </x:c>
      <x:c r="C9" s="13" t="s">
        <x:v>205</x:v>
      </x:c>
      <x:c r="D9" s="26" t="s">
        <x:v>206</x:v>
      </x:c>
    </x:row>
    <x:row r="10" ht="15" hidden="0">
      <x:c r="A10" s="13" t="s">
        <x:v>207</x:v>
      </x:c>
      <x:c r="B10" s="13" t="s">
        <x:v>208</x:v>
      </x:c>
      <x:c r="C10" s="13" t="s">
        <x:v>209</x:v>
      </x:c>
      <x:c r="D10" s="26" t="s">
        <x:v>210</x:v>
      </x:c>
    </x:row>
    <x:row r="11" ht="15" hidden="0">
      <x:c r="A11" s="13" t="s">
        <x:v>211</x:v>
      </x:c>
      <x:c r="B11" s="13" t="s">
        <x:v>212</x:v>
      </x:c>
      <x:c r="C11" s="13" t="s">
        <x:v>213</x:v>
      </x:c>
      <x:c r="D11" s="26" t="s">
        <x:v>214</x:v>
      </x:c>
    </x:row>
    <x:row r="12" ht="15" hidden="0">
      <x:c r="A12" s="13" t="s">
        <x:v>215</x:v>
      </x:c>
      <x:c r="B12" s="13" t="s">
        <x:v>216</x:v>
      </x:c>
      <x:c r="C12" s="13" t="s">
        <x:v>217</x:v>
      </x:c>
      <x:c r="D12" s="26" t="s">
        <x:v>218</x:v>
      </x:c>
    </x:row>
    <x:row r="13" ht="15" hidden="0">
      <x:c r="A13" s="13" t="s">
        <x:v>219</x:v>
      </x:c>
      <x:c r="B13" s="13" t="s">
        <x:v>220</x:v>
      </x:c>
      <x:c r="C13" s="13" t="s">
        <x:v>221</x:v>
      </x:c>
      <x:c r="D13" s="26" t="s">
        <x:v>222</x:v>
      </x:c>
    </x:row>
    <x:row r="14" ht="15" hidden="0">
      <x:c r="A14" s="13" t="s">
        <x:v>223</x:v>
      </x:c>
      <x:c r="B14" s="13" t="s">
        <x:v>224</x:v>
      </x:c>
      <x:c r="C14" s="13" t="s">
        <x:v>225</x:v>
      </x:c>
      <x:c r="D14" s="26" t="s">
        <x:v>226</x:v>
      </x:c>
    </x:row>
    <x:row r="15" ht="15" hidden="0">
      <x:c r="A15" s="13" t="s">
        <x:v>227</x:v>
      </x:c>
      <x:c r="B15" s="13" t="s">
        <x:v>228</x:v>
      </x:c>
      <x:c r="C15" s="13" t="s">
        <x:v>229</x:v>
      </x:c>
      <x:c r="D15" s="26" t="s">
        <x:v>230</x:v>
      </x:c>
    </x:row>
    <x:row r="16" ht="15" hidden="0">
      <x:c r="A16" s="13" t="s">
        <x:v>231</x:v>
      </x:c>
      <x:c r="B16" s="13" t="s">
        <x:v>232</x:v>
      </x:c>
      <x:c r="C16" s="13" t="s">
        <x:v>233</x:v>
      </x:c>
      <x:c r="D16" s="26" t="s">
        <x:v>234</x:v>
      </x:c>
    </x:row>
    <x:row r="17" ht="23.850000381469727" hidden="0">
      <x:c r="A17" s="13" t="s">
        <x:v>235</x:v>
      </x:c>
      <x:c r="B17" s="13" t="s">
        <x:v>236</x:v>
      </x:c>
      <x:c r="C17" s="13" t="s">
        <x:v>237</x:v>
      </x:c>
      <x:c r="D17" s="26" t="s">
        <x:v>238</x:v>
      </x:c>
    </x:row>
    <x:row r="18" ht="15" hidden="0">
      <x:c r="A18" s="13" t="s">
        <x:v>239</x:v>
      </x:c>
      <x:c r="B18" s="13" t="s">
        <x:v>240</x:v>
      </x:c>
      <x:c r="C18" s="13" t="s">
        <x:v>241</x:v>
      </x:c>
      <x:c r="D18" s="26" t="s">
        <x:v>242</x:v>
      </x:c>
    </x:row>
    <x:row r="19" ht="23.850000381469727" hidden="0">
      <x:c r="A19" s="13" t="s">
        <x:v>243</x:v>
      </x:c>
      <x:c r="B19" s="13" t="s">
        <x:v>244</x:v>
      </x:c>
      <x:c r="C19" s="13" t="s">
        <x:v>245</x:v>
      </x:c>
      <x:c r="D19" s="26" t="s">
        <x:v>246</x:v>
      </x:c>
    </x:row>
    <x:row r="20" ht="15" hidden="0">
      <x:c r="A20" s="13" t="s">
        <x:v>247</x:v>
      </x:c>
      <x:c r="B20" s="13" t="s">
        <x:v>248</x:v>
      </x:c>
      <x:c r="C20" s="13" t="s">
        <x:v>249</x:v>
      </x:c>
      <x:c r="D20" s="26" t="s">
        <x:v>250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2" hidden="0" customWidth="1"/>
    <x:col min="4" max="4" width="14" hidden="0" customWidth="1"/>
    <x:col min="5" max="5" width="16" hidden="0" customWidth="1"/>
    <x:col min="6" max="6" width="16" hidden="0" customWidth="1"/>
    <x:col min="7" max="7" width="15" hidden="0" customWidth="1"/>
    <x:col min="8" max="8" width="15" hidden="0" customWidth="1"/>
    <x:col min="9" max="9" width="15" hidden="0" customWidth="1"/>
    <x:col min="10" max="10" width="16" hidden="0" customWidth="1"/>
    <x:col min="11" max="11" width="17" hidden="0" customWidth="1"/>
    <x:col min="12" max="12" width="14" hidden="0" customWidth="1"/>
  </x:cols>
  <x:sheetData>
    <x:row r="1" ht="22.5" hidden="0" customHeight="1">
      <x:c r="A1" s="132" t="str">
        <x:v>ECONOMY SIMULATION — core-player approximation used for pacing and sink checks</x:v>
      </x:c>
      <x:c r="B1" s="132"/>
      <x:c r="C1" s="132"/>
      <x:c r="D1" s="132"/>
      <x:c r="E1" s="132"/>
      <x:c r="F1" s="132"/>
      <x:c r="G1" s="132"/>
      <x:c r="H1" s="132"/>
      <x:c r="I1" s="132"/>
      <x:c r="J1" s="132"/>
      <x:c r="K1" s="132"/>
      <x:c r="L1" s="132"/>
    </x:row>
    <x:row r="2" ht="15" hidden="0" customHeight="1">
      <x:c r="A2" s="118"/>
      <x:c r="B2" s="118"/>
      <x:c r="C2" s="118"/>
      <x:c r="D2" s="118"/>
      <x:c r="E2" s="118"/>
      <x:c r="F2" s="118"/>
      <x:c r="G2" s="118"/>
      <x:c r="H2" s="118"/>
      <x:c r="I2" s="118"/>
      <x:c r="J2" s="118"/>
      <x:c r="K2" s="118"/>
      <x:c r="L2" s="118"/>
    </x:row>
    <x:row r="3" ht="26.399999618530273" hidden="0" customHeight="1">
      <x:c r="A3" s="88" t="str">
        <x:v>Level</x:v>
      </x:c>
      <x:c r="B3" s="88" t="str">
        <x:v>Unlock Milestone</x:v>
      </x:c>
      <x:c r="C3" s="88" t="str">
        <x:v>Tanks Unlocked</x:v>
      </x:c>
      <x:c r="D3" s="88" t="str">
        <x:v>Core Slots Assumed</x:v>
      </x:c>
      <x:c r="E3" s="88" t="str">
        <x:v>Active Coins/hr Frontier</x:v>
      </x:c>
      <x:c r="F3" s="88" t="str">
        <x:v>Active XP/hr Frontier</x:v>
      </x:c>
      <x:c r="G3" s="88" t="str">
        <x:v>Core Daily Coins</x:v>
      </x:c>
      <x:c r="H3" s="88" t="str">
        <x:v>Core Daily XP</x:v>
      </x:c>
      <x:c r="I3" s="88" t="str">
        <x:v>XP to Next Level</x:v>
      </x:c>
      <x:c r="J3" s="88" t="str">
        <x:v>Est. Core Days to Next</x:v>
      </x:c>
      <x:c r="K3" s="88" t="str">
        <x:v>Cumulative Days to Level</x:v>
      </x:c>
      <x:c r="L3" s="88" t="str">
        <x:v>Pacing Flag</x:v>
      </x:c>
    </x:row>
    <x:row r="4" ht="15" hidden="0" customHeight="1">
      <x:c r="A4" s="118" t="n">
        <x:v>1</x:v>
      </x:c>
      <x:c r="B4" s="118" t="str">
        <x:f>IFERROR(INDEX('XP Curve'!$H$4:$H$73,MATCH(A4,'XP Curve'!$A$4:$A$73,0)),"")</x:f>
        <x:v>Neon Tetra (C); Guppy (C); Platy (C); Molly (C)</x:v>
      </x:c>
      <x:c r="C4" s="118" t="n">
        <x:f>COUNTIF('Tanks &amp; Social'!$B$4:$B$11,"&lt;="&amp;A4)</x:f>
        <x:v>1</x:v>
      </x:c>
      <x:c r="D4" s="118" t="n">
        <x:f>C4*Inputs!$B$8+MAX(0,C4-1)*8+IF(A4&gt;=40,10,IF(A4&gt;=25,5,0))</x:f>
        <x:v>10</x:v>
      </x:c>
      <x:c r="E4" s="121" t="n">
        <x:f>ROUND(Inputs!$B$70+(A4-Inputs!$B$68)*(Inputs!$B$71-Inputs!$B$70)/(Inputs!$B$69-Inputs!$B$68),1)</x:f>
        <x:v>190</x:v>
      </x:c>
      <x:c r="F4" s="121" t="n">
        <x:f>ROUND(Inputs!$B$72+(A4-Inputs!$B$68)*(Inputs!$B$73-Inputs!$B$72)/(Inputs!$B$69-Inputs!$B$68),1)</x:f>
        <x:v>60</x:v>
      </x:c>
      <x:c r="G4" s="127" t="n">
        <x:f>ROUND(E4*D4*24*Inputs!$B$81,0)</x:f>
        <x:v>3648</x:v>
      </x:c>
      <x:c r="H4" s="127" t="n">
        <x:f>ROUND(F4*D4*24*Inputs!$B$82,0)</x:f>
        <x:v>1152</x:v>
      </x:c>
      <x:c r="I4" s="127" t="n">
        <x:f>IF(A4&lt;70,INDEX('XP Curve'!$F$4:$F$73,MATCH(A4+1,'XP Curve'!$A$4:$A$73,0)),0)</x:f>
        <x:v>80</x:v>
      </x:c>
      <x:c r="J4" s="128" t="n">
        <x:f>IF(I4=0,0,ROUND(I4/MAX(1,H4),2))</x:f>
        <x:v>0.07</x:v>
      </x:c>
      <x:c r="K4" s="128" t="n">
        <x:f>0</x:f>
        <x:v>0</x:v>
      </x:c>
      <x:c r="L4" s="118" t="str">
        <x:f>IF(I4=0,"Cap",IF(J4&lt;0.5,"Too fast",IF(J4&gt;14,"Slow","OK")))</x:f>
        <x:v>Too fast</x:v>
      </x:c>
    </x:row>
    <x:row r="5" ht="26.399999618530273" hidden="0" customHeight="1">
      <x:c r="A5" s="118" t="n">
        <x:v>2</x:v>
      </x:c>
      <x:c r="B5" s="118" t="str">
        <x:f>IFERROR(INDEX('XP Curve'!$H$4:$H$73,MATCH(A5,'XP Curve'!$A$4:$A$73,0)),"")</x:f>
        <x:v>Zebra Danio (C); 1 Pearl tutorial grant; Bubble Eye Goldfish [one-time tutorial]</x:v>
      </x:c>
      <x:c r="C5" s="118" t="n">
        <x:f>COUNTIF('Tanks &amp; Social'!$B$4:$B$11,"&lt;="&amp;A5)</x:f>
        <x:v>1</x:v>
      </x:c>
      <x:c r="D5" s="118" t="n">
        <x:f>C5*Inputs!$B$8+MAX(0,C5-1)*8+IF(A5&gt;=40,10,IF(A5&gt;=25,5,0))</x:f>
        <x:v>10</x:v>
      </x:c>
      <x:c r="E5" s="121" t="n">
        <x:f>ROUND(Inputs!$B$70+(A5-Inputs!$B$68)*(Inputs!$B$71-Inputs!$B$70)/(Inputs!$B$69-Inputs!$B$68),1)</x:f>
        <x:v>195.7</x:v>
      </x:c>
      <x:c r="F5" s="121" t="n">
        <x:f>ROUND(Inputs!$B$72+(A5-Inputs!$B$68)*(Inputs!$B$73-Inputs!$B$72)/(Inputs!$B$69-Inputs!$B$68),1)</x:f>
        <x:v>61.3</x:v>
      </x:c>
      <x:c r="G5" s="127" t="n">
        <x:f>ROUND(E5*D5*24*Inputs!$B$81,0)</x:f>
        <x:v>3757</x:v>
      </x:c>
      <x:c r="H5" s="127" t="n">
        <x:f>ROUND(F5*D5*24*Inputs!$B$82,0)</x:f>
        <x:v>1177</x:v>
      </x:c>
      <x:c r="I5" s="127" t="n">
        <x:f>IF(A5&lt;70,INDEX('XP Curve'!$F$4:$F$73,MATCH(A5+1,'XP Curve'!$A$4:$A$73,0)),0)</x:f>
        <x:v>190</x:v>
      </x:c>
      <x:c r="J5" s="128" t="n">
        <x:f>IF(I5=0,0,ROUND(I5/MAX(1,H5),2))</x:f>
        <x:v>0.16</x:v>
      </x:c>
      <x:c r="K5" s="128" t="n">
        <x:f>K4+J4</x:f>
        <x:v>0.07</x:v>
      </x:c>
      <x:c r="L5" s="118" t="str">
        <x:f>IF(I5=0,"Cap",IF(J5&lt;0.5,"Too fast",IF(J5&gt;14,"Slow","OK")))</x:f>
        <x:v>Too fast</x:v>
      </x:c>
    </x:row>
    <x:row r="6" ht="15" hidden="0" customHeight="1">
      <x:c r="A6" s="118" t="n">
        <x:v>3</x:v>
      </x:c>
      <x:c r="B6" s="118" t="str">
        <x:f>IFERROR(INDEX('XP Curve'!$H$4:$H$73,MATCH(A6,'XP Curve'!$A$4:$A$73,0)),"")</x:f>
      </x:c>
      <x:c r="C6" s="118" t="n">
        <x:f>COUNTIF('Tanks &amp; Social'!$B$4:$B$11,"&lt;="&amp;A6)</x:f>
        <x:v>1</x:v>
      </x:c>
      <x:c r="D6" s="118" t="n">
        <x:f>C6*Inputs!$B$8+MAX(0,C6-1)*8+IF(A6&gt;=40,10,IF(A6&gt;=25,5,0))</x:f>
        <x:v>10</x:v>
      </x:c>
      <x:c r="E6" s="121" t="n">
        <x:f>ROUND(Inputs!$B$70+(A6-Inputs!$B$68)*(Inputs!$B$71-Inputs!$B$70)/(Inputs!$B$69-Inputs!$B$68),1)</x:f>
        <x:v>201.4</x:v>
      </x:c>
      <x:c r="F6" s="121" t="n">
        <x:f>ROUND(Inputs!$B$72+(A6-Inputs!$B$68)*(Inputs!$B$73-Inputs!$B$72)/(Inputs!$B$69-Inputs!$B$68),1)</x:f>
        <x:v>62.6</x:v>
      </x:c>
      <x:c r="G6" s="127" t="n">
        <x:f>ROUND(E6*D6*24*Inputs!$B$81,0)</x:f>
        <x:v>3867</x:v>
      </x:c>
      <x:c r="H6" s="127" t="n">
        <x:f>ROUND(F6*D6*24*Inputs!$B$82,0)</x:f>
        <x:v>1202</x:v>
      </x:c>
      <x:c r="I6" s="127" t="n">
        <x:f>IF(A6&lt;70,INDEX('XP Curve'!$F$4:$F$73,MATCH(A6+1,'XP Curve'!$A$4:$A$73,0)),0)</x:f>
        <x:v>320</x:v>
      </x:c>
      <x:c r="J6" s="128" t="n">
        <x:f>IF(I6=0,0,ROUND(I6/MAX(1,H6),2))</x:f>
        <x:v>0.27</x:v>
      </x:c>
      <x:c r="K6" s="128" t="n">
        <x:f>K5+J5</x:f>
        <x:v>0.23</x:v>
      </x:c>
      <x:c r="L6" s="118" t="str">
        <x:f>IF(I6=0,"Cap",IF(J6&lt;0.5,"Too fast",IF(J6&gt;14,"Slow","OK")))</x:f>
        <x:v>Too fast</x:v>
      </x:c>
    </x:row>
    <x:row r="7" ht="15" hidden="0" customHeight="1">
      <x:c r="A7" s="118" t="n">
        <x:v>4</x:v>
      </x:c>
      <x:c r="B7" s="118" t="str">
        <x:f>IFERROR(INDEX('XP Curve'!$H$4:$H$73,MATCH(A7,'XP Curve'!$A$4:$A$73,0)),"")</x:f>
        <x:v>Ember Tetra (C); Medium Tank 1</x:v>
      </x:c>
      <x:c r="C7" s="118" t="n">
        <x:f>COUNTIF('Tanks &amp; Social'!$B$4:$B$11,"&lt;="&amp;A7)</x:f>
        <x:v>1</x:v>
      </x:c>
      <x:c r="D7" s="118" t="n">
        <x:f>C7*Inputs!$B$8+MAX(0,C7-1)*8+IF(A7&gt;=40,10,IF(A7&gt;=25,5,0))</x:f>
        <x:v>10</x:v>
      </x:c>
      <x:c r="E7" s="121" t="n">
        <x:f>ROUND(Inputs!$B$70+(A7-Inputs!$B$68)*(Inputs!$B$71-Inputs!$B$70)/(Inputs!$B$69-Inputs!$B$68),1)</x:f>
        <x:v>207.2</x:v>
      </x:c>
      <x:c r="F7" s="121" t="n">
        <x:f>ROUND(Inputs!$B$72+(A7-Inputs!$B$68)*(Inputs!$B$73-Inputs!$B$72)/(Inputs!$B$69-Inputs!$B$68),1)</x:f>
        <x:v>63.9</x:v>
      </x:c>
      <x:c r="G7" s="127" t="n">
        <x:f>ROUND(E7*D7*24*Inputs!$B$81,0)</x:f>
        <x:v>3978</x:v>
      </x:c>
      <x:c r="H7" s="127" t="n">
        <x:f>ROUND(F7*D7*24*Inputs!$B$82,0)</x:f>
        <x:v>1227</x:v>
      </x:c>
      <x:c r="I7" s="127" t="n">
        <x:f>IF(A7&lt;70,INDEX('XP Curve'!$F$4:$F$73,MATCH(A7+1,'XP Curve'!$A$4:$A$73,0)),0)</x:f>
        <x:v>510</x:v>
      </x:c>
      <x:c r="J7" s="128" t="n">
        <x:f>IF(I7=0,0,ROUND(I7/MAX(1,H7),2))</x:f>
        <x:v>0.42</x:v>
      </x:c>
      <x:c r="K7" s="128" t="n">
        <x:f>K6+J6</x:f>
        <x:v>0.5</x:v>
      </x:c>
      <x:c r="L7" s="118" t="str">
        <x:f>IF(I7=0,"Cap",IF(J7&lt;0.5,"Too fast",IF(J7&gt;14,"Slow","OK")))</x:f>
        <x:v>Too fast</x:v>
      </x:c>
    </x:row>
    <x:row r="8" ht="15" hidden="0" customHeight="1">
      <x:c r="A8" s="118" t="n">
        <x:v>5</x:v>
      </x:c>
      <x:c r="B8" s="118" t="str">
        <x:f>IFERROR(INDEX('XP Curve'!$H$4:$H$73,MATCH(A8,'XP Curve'!$A$4:$A$73,0)),"")</x:f>
        <x:v>Koi [Pearls]</x:v>
      </x:c>
      <x:c r="C8" s="118" t="n">
        <x:f>COUNTIF('Tanks &amp; Social'!$B$4:$B$11,"&lt;="&amp;A8)</x:f>
        <x:v>1</x:v>
      </x:c>
      <x:c r="D8" s="118" t="n">
        <x:f>C8*Inputs!$B$8+MAX(0,C8-1)*8+IF(A8&gt;=40,10,IF(A8&gt;=25,5,0))</x:f>
        <x:v>10</x:v>
      </x:c>
      <x:c r="E8" s="121" t="n">
        <x:f>ROUND(Inputs!$B$70+(A8-Inputs!$B$68)*(Inputs!$B$71-Inputs!$B$70)/(Inputs!$B$69-Inputs!$B$68),1)</x:f>
        <x:v>212.9</x:v>
      </x:c>
      <x:c r="F8" s="121" t="n">
        <x:f>ROUND(Inputs!$B$72+(A8-Inputs!$B$68)*(Inputs!$B$73-Inputs!$B$72)/(Inputs!$B$69-Inputs!$B$68),1)</x:f>
        <x:v>65.2</x:v>
      </x:c>
      <x:c r="G8" s="127" t="n">
        <x:f>ROUND(E8*D8*24*Inputs!$B$81,0)</x:f>
        <x:v>4088</x:v>
      </x:c>
      <x:c r="H8" s="127" t="n">
        <x:f>ROUND(F8*D8*24*Inputs!$B$82,0)</x:f>
        <x:v>1252</x:v>
      </x:c>
      <x:c r="I8" s="127" t="n">
        <x:f>IF(A8&lt;70,INDEX('XP Curve'!$F$4:$F$73,MATCH(A8+1,'XP Curve'!$A$4:$A$73,0)),0)</x:f>
        <x:v>690</x:v>
      </x:c>
      <x:c r="J8" s="128" t="n">
        <x:f>IF(I8=0,0,ROUND(I8/MAX(1,H8),2))</x:f>
        <x:v>0.55</x:v>
      </x:c>
      <x:c r="K8" s="128" t="n">
        <x:f>K7+J7</x:f>
        <x:v>0.9199999999999999</x:v>
      </x:c>
      <x:c r="L8" s="118" t="str">
        <x:f>IF(I8=0,"Cap",IF(J8&lt;0.5,"Too fast",IF(J8&gt;14,"Slow","OK")))</x:f>
        <x:v>OK</x:v>
      </x:c>
    </x:row>
    <x:row r="9" ht="15" hidden="0" customHeight="1">
      <x:c r="A9" s="118" t="n">
        <x:v>6</x:v>
      </x:c>
      <x:c r="B9" s="118" t="str">
        <x:f>IFERROR(INDEX('XP Curve'!$H$4:$H$73,MATCH(A9,'XP Curve'!$A$4:$A$73,0)),"")</x:f>
        <x:v>Harlequin Rasbora (C)</x:v>
      </x:c>
      <x:c r="C9" s="118" t="n">
        <x:f>COUNTIF('Tanks &amp; Social'!$B$4:$B$11,"&lt;="&amp;A9)</x:f>
        <x:v>1</x:v>
      </x:c>
      <x:c r="D9" s="118" t="n">
        <x:f>C9*Inputs!$B$8+MAX(0,C9-1)*8+IF(A9&gt;=40,10,IF(A9&gt;=25,5,0))</x:f>
        <x:v>10</x:v>
      </x:c>
      <x:c r="E9" s="121" t="n">
        <x:f>ROUND(Inputs!$B$70+(A9-Inputs!$B$68)*(Inputs!$B$71-Inputs!$B$70)/(Inputs!$B$69-Inputs!$B$68),1)</x:f>
        <x:v>218.6</x:v>
      </x:c>
      <x:c r="F9" s="121" t="n">
        <x:f>ROUND(Inputs!$B$72+(A9-Inputs!$B$68)*(Inputs!$B$73-Inputs!$B$72)/(Inputs!$B$69-Inputs!$B$68),1)</x:f>
        <x:v>66.5</x:v>
      </x:c>
      <x:c r="G9" s="127" t="n">
        <x:f>ROUND(E9*D9*24*Inputs!$B$81,0)</x:f>
        <x:v>4197</x:v>
      </x:c>
      <x:c r="H9" s="127" t="n">
        <x:f>ROUND(F9*D9*24*Inputs!$B$82,0)</x:f>
        <x:v>1277</x:v>
      </x:c>
      <x:c r="I9" s="127" t="n">
        <x:f>IF(A9&lt;70,INDEX('XP Curve'!$F$4:$F$73,MATCH(A9+1,'XP Curve'!$A$4:$A$73,0)),0)</x:f>
        <x:v>980</x:v>
      </x:c>
      <x:c r="J9" s="128" t="n">
        <x:f>IF(I9=0,0,ROUND(I9/MAX(1,H9),2))</x:f>
        <x:v>0.77</x:v>
      </x:c>
      <x:c r="K9" s="128" t="n">
        <x:f>K8+J8</x:f>
        <x:v>1.47</x:v>
      </x:c>
      <x:c r="L9" s="118" t="str">
        <x:f>IF(I9=0,"Cap",IF(J9&lt;0.5,"Too fast",IF(J9&gt;14,"Slow","OK")))</x:f>
        <x:v>OK</x:v>
      </x:c>
    </x:row>
    <x:row r="10" ht="15" hidden="0" customHeight="1">
      <x:c r="A10" s="118" t="n">
        <x:v>7</x:v>
      </x:c>
      <x:c r="B10" s="118" t="str">
        <x:f>IFERROR(INDEX('XP Curve'!$H$4:$H$73,MATCH(A10,'XP Curve'!$A$4:$A$73,0)),"")</x:f>
        <x:v>Tank 2 unlock</x:v>
      </x:c>
      <x:c r="C10" s="118" t="n">
        <x:f>COUNTIF('Tanks &amp; Social'!$B$4:$B$11,"&lt;="&amp;A10)</x:f>
        <x:v>2</x:v>
      </x:c>
      <x:c r="D10" s="118" t="n">
        <x:f>C10*Inputs!$B$8+MAX(0,C10-1)*8+IF(A10&gt;=40,10,IF(A10&gt;=25,5,0))</x:f>
        <x:v>28</x:v>
      </x:c>
      <x:c r="E10" s="121" t="n">
        <x:f>ROUND(Inputs!$B$70+(A10-Inputs!$B$68)*(Inputs!$B$71-Inputs!$B$70)/(Inputs!$B$69-Inputs!$B$68),1)</x:f>
        <x:v>224.3</x:v>
      </x:c>
      <x:c r="F10" s="121" t="n">
        <x:f>ROUND(Inputs!$B$72+(A10-Inputs!$B$68)*(Inputs!$B$73-Inputs!$B$72)/(Inputs!$B$69-Inputs!$B$68),1)</x:f>
        <x:v>67.8</x:v>
      </x:c>
      <x:c r="G10" s="127" t="n">
        <x:f>ROUND(E10*D10*24*Inputs!$B$81,0)</x:f>
        <x:v>12058</x:v>
      </x:c>
      <x:c r="H10" s="127" t="n">
        <x:f>ROUND(F10*D10*24*Inputs!$B$82,0)</x:f>
        <x:v>3645</x:v>
      </x:c>
      <x:c r="I10" s="127" t="n">
        <x:f>IF(A10&lt;70,INDEX('XP Curve'!$F$4:$F$73,MATCH(A10+1,'XP Curve'!$A$4:$A$73,0)),0)</x:f>
        <x:v>1310</x:v>
      </x:c>
      <x:c r="J10" s="128" t="n">
        <x:f>IF(I10=0,0,ROUND(I10/MAX(1,H10),2))</x:f>
        <x:v>0.36</x:v>
      </x:c>
      <x:c r="K10" s="128" t="n">
        <x:f>K9+J9</x:f>
        <x:v>2.24</x:v>
      </x:c>
      <x:c r="L10" s="118" t="str">
        <x:f>IF(I10=0,"Cap",IF(J10&lt;0.5,"Too fast",IF(J10&gt;14,"Slow","OK")))</x:f>
        <x:v>Too fast</x:v>
      </x:c>
    </x:row>
    <x:row r="11" ht="15" hidden="0" customHeight="1">
      <x:c r="A11" s="118" t="n">
        <x:v>8</x:v>
      </x:c>
      <x:c r="B11" s="118" t="str">
        <x:f>IFERROR(INDEX('XP Curve'!$H$4:$H$73,MATCH(A11,'XP Curve'!$A$4:$A$73,0)),"")</x:f>
        <x:v>Green Chromis (U); Platinum Betta [Pearls]</x:v>
      </x:c>
      <x:c r="C11" s="118" t="n">
        <x:f>COUNTIF('Tanks &amp; Social'!$B$4:$B$11,"&lt;="&amp;A11)</x:f>
        <x:v>2</x:v>
      </x:c>
      <x:c r="D11" s="118" t="n">
        <x:f>C11*Inputs!$B$8+MAX(0,C11-1)*8+IF(A11&gt;=40,10,IF(A11&gt;=25,5,0))</x:f>
        <x:v>28</x:v>
      </x:c>
      <x:c r="E11" s="121" t="n">
        <x:f>ROUND(Inputs!$B$70+(A11-Inputs!$B$68)*(Inputs!$B$71-Inputs!$B$70)/(Inputs!$B$69-Inputs!$B$68),1)</x:f>
        <x:v>230.1</x:v>
      </x:c>
      <x:c r="F11" s="121" t="n">
        <x:f>ROUND(Inputs!$B$72+(A11-Inputs!$B$68)*(Inputs!$B$73-Inputs!$B$72)/(Inputs!$B$69-Inputs!$B$68),1)</x:f>
        <x:v>69.1</x:v>
      </x:c>
      <x:c r="G11" s="127" t="n">
        <x:f>ROUND(E11*D11*24*Inputs!$B$81,0)</x:f>
        <x:v>12370</x:v>
      </x:c>
      <x:c r="H11" s="127" t="n">
        <x:f>ROUND(F11*D11*24*Inputs!$B$82,0)</x:f>
        <x:v>3715</x:v>
      </x:c>
      <x:c r="I11" s="127" t="n">
        <x:f>IF(A11&lt;70,INDEX('XP Curve'!$F$4:$F$73,MATCH(A11+1,'XP Curve'!$A$4:$A$73,0)),0)</x:f>
        <x:v>1730</x:v>
      </x:c>
      <x:c r="J11" s="128" t="n">
        <x:f>IF(I11=0,0,ROUND(I11/MAX(1,H11),2))</x:f>
        <x:v>0.47</x:v>
      </x:c>
      <x:c r="K11" s="128" t="n">
        <x:f>K10+J10</x:f>
        <x:v>2.6</x:v>
      </x:c>
      <x:c r="L11" s="118" t="str">
        <x:f>IF(I11=0,"Cap",IF(J11&lt;0.5,"Too fast",IF(J11&gt;14,"Slow","OK")))</x:f>
        <x:v>Too fast</x:v>
      </x:c>
    </x:row>
    <x:row r="12" ht="15" hidden="0" customHeight="1">
      <x:c r="A12" s="118" t="n">
        <x:v>9</x:v>
      </x:c>
      <x:c r="B12" s="118" t="str">
        <x:f>IFERROR(INDEX('XP Curve'!$H$4:$H$73,MATCH(A12,'XP Curve'!$A$4:$A$73,0)),"")</x:f>
      </x:c>
      <x:c r="C12" s="118" t="n">
        <x:f>COUNTIF('Tanks &amp; Social'!$B$4:$B$11,"&lt;="&amp;A12)</x:f>
        <x:v>2</x:v>
      </x:c>
      <x:c r="D12" s="118" t="n">
        <x:f>C12*Inputs!$B$8+MAX(0,C12-1)*8+IF(A12&gt;=40,10,IF(A12&gt;=25,5,0))</x:f>
        <x:v>28</x:v>
      </x:c>
      <x:c r="E12" s="121" t="n">
        <x:f>ROUND(Inputs!$B$70+(A12-Inputs!$B$68)*(Inputs!$B$71-Inputs!$B$70)/(Inputs!$B$69-Inputs!$B$68),1)</x:f>
        <x:v>235.8</x:v>
      </x:c>
      <x:c r="F12" s="121" t="n">
        <x:f>ROUND(Inputs!$B$72+(A12-Inputs!$B$68)*(Inputs!$B$73-Inputs!$B$72)/(Inputs!$B$69-Inputs!$B$68),1)</x:f>
        <x:v>70.4</x:v>
      </x:c>
      <x:c r="G12" s="127" t="n">
        <x:f>ROUND(E12*D12*24*Inputs!$B$81,0)</x:f>
        <x:v>12677</x:v>
      </x:c>
      <x:c r="H12" s="127" t="n">
        <x:f>ROUND(F12*D12*24*Inputs!$B$82,0)</x:f>
        <x:v>3785</x:v>
      </x:c>
      <x:c r="I12" s="127" t="n">
        <x:f>IF(A12&lt;70,INDEX('XP Curve'!$F$4:$F$73,MATCH(A12+1,'XP Curve'!$A$4:$A$73,0)),0)</x:f>
        <x:v>2220</x:v>
      </x:c>
      <x:c r="J12" s="128" t="n">
        <x:f>IF(I12=0,0,ROUND(I12/MAX(1,H12),2))</x:f>
        <x:v>0.59</x:v>
      </x:c>
      <x:c r="K12" s="128" t="n">
        <x:f>K11+J11</x:f>
        <x:v>3.0700000000000003</x:v>
      </x:c>
      <x:c r="L12" s="118" t="str">
        <x:f>IF(I12=0,"Cap",IF(J12&lt;0.5,"Too fast",IF(J12&gt;14,"Slow","OK")))</x:f>
        <x:v>OK</x:v>
      </x:c>
    </x:row>
    <x:row r="13" ht="15" hidden="0" customHeight="1">
      <x:c r="A13" s="118" t="n">
        <x:v>10</x:v>
      </x:c>
      <x:c r="B13" s="118" t="str">
        <x:f>IFERROR(INDEX('XP Curve'!$H$4:$H$73,MATCH(A13,'XP Curve'!$A$4:$A$73,0)),"")</x:f>
        <x:v>Mandarin Dragonet [Pearls]; Large Tank 1</x:v>
      </x:c>
      <x:c r="C13" s="118" t="n">
        <x:f>COUNTIF('Tanks &amp; Social'!$B$4:$B$11,"&lt;="&amp;A13)</x:f>
        <x:v>2</x:v>
      </x:c>
      <x:c r="D13" s="118" t="n">
        <x:f>C13*Inputs!$B$8+MAX(0,C13-1)*8+IF(A13&gt;=40,10,IF(A13&gt;=25,5,0))</x:f>
        <x:v>28</x:v>
      </x:c>
      <x:c r="E13" s="121" t="n">
        <x:f>ROUND(Inputs!$B$70+(A13-Inputs!$B$68)*(Inputs!$B$71-Inputs!$B$70)/(Inputs!$B$69-Inputs!$B$68),1)</x:f>
        <x:v>241.5</x:v>
      </x:c>
      <x:c r="F13" s="121" t="n">
        <x:f>ROUND(Inputs!$B$72+(A13-Inputs!$B$68)*(Inputs!$B$73-Inputs!$B$72)/(Inputs!$B$69-Inputs!$B$68),1)</x:f>
        <x:v>71.7</x:v>
      </x:c>
      <x:c r="G13" s="127" t="n">
        <x:f>ROUND(E13*D13*24*Inputs!$B$81,0)</x:f>
        <x:v>12983</x:v>
      </x:c>
      <x:c r="H13" s="127" t="n">
        <x:f>ROUND(F13*D13*24*Inputs!$B$82,0)</x:f>
        <x:v>3855</x:v>
      </x:c>
      <x:c r="I13" s="127" t="n">
        <x:f>IF(A13&lt;70,INDEX('XP Curve'!$F$4:$F$73,MATCH(A13+1,'XP Curve'!$A$4:$A$73,0)),0)</x:f>
        <x:v>2890</x:v>
      </x:c>
      <x:c r="J13" s="128" t="n">
        <x:f>IF(I13=0,0,ROUND(I13/MAX(1,H13),2))</x:f>
        <x:v>0.75</x:v>
      </x:c>
      <x:c r="K13" s="128" t="n">
        <x:f>K12+J12</x:f>
        <x:v>3.66</x:v>
      </x:c>
      <x:c r="L13" s="118" t="str">
        <x:f>IF(I13=0,"Cap",IF(J13&lt;0.5,"Too fast",IF(J13&gt;14,"Slow","OK")))</x:f>
        <x:v>OK</x:v>
      </x:c>
    </x:row>
    <x:row r="14" ht="15" hidden="0" customHeight="1">
      <x:c r="A14" s="118" t="n">
        <x:v>11</x:v>
      </x:c>
      <x:c r="B14" s="118" t="str">
        <x:f>IFERROR(INDEX('XP Curve'!$H$4:$H$73,MATCH(A14,'XP Curve'!$A$4:$A$73,0)),"")</x:f>
        <x:v>Pajama Cardinalfish (U)</x:v>
      </x:c>
      <x:c r="C14" s="118" t="n">
        <x:f>COUNTIF('Tanks &amp; Social'!$B$4:$B$11,"&lt;="&amp;A14)</x:f>
        <x:v>2</x:v>
      </x:c>
      <x:c r="D14" s="118" t="n">
        <x:f>C14*Inputs!$B$8+MAX(0,C14-1)*8+IF(A14&gt;=40,10,IF(A14&gt;=25,5,0))</x:f>
        <x:v>28</x:v>
      </x:c>
      <x:c r="E14" s="121" t="n">
        <x:f>ROUND(Inputs!$B$70+(A14-Inputs!$B$68)*(Inputs!$B$71-Inputs!$B$70)/(Inputs!$B$69-Inputs!$B$68),1)</x:f>
        <x:v>247.2</x:v>
      </x:c>
      <x:c r="F14" s="121" t="n">
        <x:f>ROUND(Inputs!$B$72+(A14-Inputs!$B$68)*(Inputs!$B$73-Inputs!$B$72)/(Inputs!$B$69-Inputs!$B$68),1)</x:f>
        <x:v>73</x:v>
      </x:c>
      <x:c r="G14" s="127" t="n">
        <x:f>ROUND(E14*D14*24*Inputs!$B$81,0)</x:f>
        <x:v>13289</x:v>
      </x:c>
      <x:c r="H14" s="127" t="n">
        <x:f>ROUND(F14*D14*24*Inputs!$B$82,0)</x:f>
        <x:v>3924</x:v>
      </x:c>
      <x:c r="I14" s="127" t="n">
        <x:f>IF(A14&lt;70,INDEX('XP Curve'!$F$4:$F$73,MATCH(A14+1,'XP Curve'!$A$4:$A$73,0)),0)</x:f>
        <x:v>3700</x:v>
      </x:c>
      <x:c r="J14" s="128" t="n">
        <x:f>IF(I14=0,0,ROUND(I14/MAX(1,H14),2))</x:f>
        <x:v>0.94</x:v>
      </x:c>
      <x:c r="K14" s="128" t="n">
        <x:f>K13+J13</x:f>
        <x:v>4.41</x:v>
      </x:c>
      <x:c r="L14" s="118" t="str">
        <x:f>IF(I14=0,"Cap",IF(J14&lt;0.5,"Too fast",IF(J14&gt;14,"Slow","OK")))</x:f>
        <x:v>OK</x:v>
      </x:c>
    </x:row>
    <x:row r="15" ht="15" hidden="0" customHeight="1">
      <x:c r="A15" s="118" t="n">
        <x:v>12</x:v>
      </x:c>
      <x:c r="B15" s="118" t="str">
        <x:f>IFERROR(INDEX('XP Curve'!$H$4:$H$73,MATCH(A15,'XP Curve'!$A$4:$A$73,0)),"")</x:f>
        <x:v>Pearl Gourami (C); Axolotl [Pearls]</x:v>
      </x:c>
      <x:c r="C15" s="118" t="n">
        <x:f>COUNTIF('Tanks &amp; Social'!$B$4:$B$11,"&lt;="&amp;A15)</x:f>
        <x:v>2</x:v>
      </x:c>
      <x:c r="D15" s="118" t="n">
        <x:f>C15*Inputs!$B$8+MAX(0,C15-1)*8+IF(A15&gt;=40,10,IF(A15&gt;=25,5,0))</x:f>
        <x:v>28</x:v>
      </x:c>
      <x:c r="E15" s="121" t="n">
        <x:f>ROUND(Inputs!$B$70+(A15-Inputs!$B$68)*(Inputs!$B$71-Inputs!$B$70)/(Inputs!$B$69-Inputs!$B$68),1)</x:f>
        <x:v>253</x:v>
      </x:c>
      <x:c r="F15" s="121" t="n">
        <x:f>ROUND(Inputs!$B$72+(A15-Inputs!$B$68)*(Inputs!$B$73-Inputs!$B$72)/(Inputs!$B$69-Inputs!$B$68),1)</x:f>
        <x:v>74.3</x:v>
      </x:c>
      <x:c r="G15" s="127" t="n">
        <x:f>ROUND(E15*D15*24*Inputs!$B$81,0)</x:f>
        <x:v>13601</x:v>
      </x:c>
      <x:c r="H15" s="127" t="n">
        <x:f>ROUND(F15*D15*24*Inputs!$B$82,0)</x:f>
        <x:v>3994</x:v>
      </x:c>
      <x:c r="I15" s="127" t="n">
        <x:f>IF(A15&lt;70,INDEX('XP Curve'!$F$4:$F$73,MATCH(A15+1,'XP Curve'!$A$4:$A$73,0)),0)</x:f>
        <x:v>4630</x:v>
      </x:c>
      <x:c r="J15" s="128" t="n">
        <x:f>IF(I15=0,0,ROUND(I15/MAX(1,H15),2))</x:f>
        <x:v>1.16</x:v>
      </x:c>
      <x:c r="K15" s="128" t="n">
        <x:f>K14+J14</x:f>
        <x:v>5.35</x:v>
      </x:c>
      <x:c r="L15" s="118" t="str">
        <x:f>IF(I15=0,"Cap",IF(J15&lt;0.5,"Too fast",IF(J15&gt;14,"Slow","OK")))</x:f>
        <x:v>OK</x:v>
      </x:c>
    </x:row>
    <x:row r="16" ht="15" hidden="0" customHeight="1">
      <x:c r="A16" s="118" t="n">
        <x:v>13</x:v>
      </x:c>
      <x:c r="B16" s="118" t="str">
        <x:f>IFERROR(INDEX('XP Curve'!$H$4:$H$73,MATCH(A16,'XP Curve'!$A$4:$A$73,0)),"")</x:f>
        <x:v>Medium Tank 2</x:v>
      </x:c>
      <x:c r="C16" s="118" t="n">
        <x:f>COUNTIF('Tanks &amp; Social'!$B$4:$B$11,"&lt;="&amp;A16)</x:f>
        <x:v>2</x:v>
      </x:c>
      <x:c r="D16" s="118" t="n">
        <x:f>C16*Inputs!$B$8+MAX(0,C16-1)*8+IF(A16&gt;=40,10,IF(A16&gt;=25,5,0))</x:f>
        <x:v>28</x:v>
      </x:c>
      <x:c r="E16" s="121" t="n">
        <x:f>ROUND(Inputs!$B$70+(A16-Inputs!$B$68)*(Inputs!$B$71-Inputs!$B$70)/(Inputs!$B$69-Inputs!$B$68),1)</x:f>
        <x:v>258.7</x:v>
      </x:c>
      <x:c r="F16" s="121" t="n">
        <x:f>ROUND(Inputs!$B$72+(A16-Inputs!$B$68)*(Inputs!$B$73-Inputs!$B$72)/(Inputs!$B$69-Inputs!$B$68),1)</x:f>
        <x:v>75.7</x:v>
      </x:c>
      <x:c r="G16" s="127" t="n">
        <x:f>ROUND(E16*D16*24*Inputs!$B$81,0)</x:f>
        <x:v>13908</x:v>
      </x:c>
      <x:c r="H16" s="127" t="n">
        <x:f>ROUND(F16*D16*24*Inputs!$B$82,0)</x:f>
        <x:v>4070</x:v>
      </x:c>
      <x:c r="I16" s="127" t="n">
        <x:f>IF(A16&lt;70,INDEX('XP Curve'!$F$4:$F$73,MATCH(A16+1,'XP Curve'!$A$4:$A$73,0)),0)</x:f>
        <x:v>5710</x:v>
      </x:c>
      <x:c r="J16" s="128" t="n">
        <x:f>IF(I16=0,0,ROUND(I16/MAX(1,H16),2))</x:f>
        <x:v>1.4</x:v>
      </x:c>
      <x:c r="K16" s="128" t="n">
        <x:f>K15+J15</x:f>
        <x:v>6.51</x:v>
      </x:c>
      <x:c r="L16" s="118" t="str">
        <x:f>IF(I16=0,"Cap",IF(J16&lt;0.5,"Too fast",IF(J16&gt;14,"Slow","OK")))</x:f>
        <x:v>OK</x:v>
      </x:c>
    </x:row>
    <x:row r="17" ht="15" hidden="0" customHeight="1">
      <x:c r="A17" s="118" t="n">
        <x:v>14</x:v>
      </x:c>
      <x:c r="B17" s="118" t="str">
        <x:f>IFERROR(INDEX('XP Curve'!$H$4:$H$73,MATCH(A17,'XP Curve'!$A$4:$A$73,0)),"")</x:f>
        <x:v>Sixline Wrasse (U)</x:v>
      </x:c>
      <x:c r="C17" s="118" t="n">
        <x:f>COUNTIF('Tanks &amp; Social'!$B$4:$B$11,"&lt;="&amp;A17)</x:f>
        <x:v>2</x:v>
      </x:c>
      <x:c r="D17" s="118" t="n">
        <x:f>C17*Inputs!$B$8+MAX(0,C17-1)*8+IF(A17&gt;=40,10,IF(A17&gt;=25,5,0))</x:f>
        <x:v>28</x:v>
      </x:c>
      <x:c r="E17" s="121" t="n">
        <x:f>ROUND(Inputs!$B$70+(A17-Inputs!$B$68)*(Inputs!$B$71-Inputs!$B$70)/(Inputs!$B$69-Inputs!$B$68),1)</x:f>
        <x:v>264.4</x:v>
      </x:c>
      <x:c r="F17" s="121" t="n">
        <x:f>ROUND(Inputs!$B$72+(A17-Inputs!$B$68)*(Inputs!$B$73-Inputs!$B$72)/(Inputs!$B$69-Inputs!$B$68),1)</x:f>
        <x:v>77</x:v>
      </x:c>
      <x:c r="G17" s="127" t="n">
        <x:f>ROUND(E17*D17*24*Inputs!$B$81,0)</x:f>
        <x:v>14214</x:v>
      </x:c>
      <x:c r="H17" s="127" t="n">
        <x:f>ROUND(F17*D17*24*Inputs!$B$82,0)</x:f>
        <x:v>4140</x:v>
      </x:c>
      <x:c r="I17" s="127" t="n">
        <x:f>IF(A17&lt;70,INDEX('XP Curve'!$F$4:$F$73,MATCH(A17+1,'XP Curve'!$A$4:$A$73,0)),0)</x:f>
        <x:v>6950</x:v>
      </x:c>
      <x:c r="J17" s="128" t="n">
        <x:f>IF(I17=0,0,ROUND(I17/MAX(1,H17),2))</x:f>
        <x:v>1.68</x:v>
      </x:c>
      <x:c r="K17" s="128" t="n">
        <x:f>K16+J16</x:f>
        <x:v>7.91</x:v>
      </x:c>
      <x:c r="L17" s="118" t="str">
        <x:f>IF(I17=0,"Cap",IF(J17&lt;0.5,"Too fast",IF(J17&gt;14,"Slow","OK")))</x:f>
        <x:v>OK</x:v>
      </x:c>
    </x:row>
    <x:row r="18" ht="15" hidden="0" customHeight="1">
      <x:c r="A18" s="118" t="n">
        <x:v>15</x:v>
      </x:c>
      <x:c r="B18" s="118" t="str">
        <x:f>IFERROR(INDEX('XP Curve'!$H$4:$H$73,MATCH(A18,'XP Curve'!$A$4:$A$73,0)),"")</x:f>
        <x:v>Shy Hamlet (U)</x:v>
      </x:c>
      <x:c r="C18" s="118" t="n">
        <x:f>COUNTIF('Tanks &amp; Social'!$B$4:$B$11,"&lt;="&amp;A18)</x:f>
        <x:v>2</x:v>
      </x:c>
      <x:c r="D18" s="118" t="n">
        <x:f>C18*Inputs!$B$8+MAX(0,C18-1)*8+IF(A18&gt;=40,10,IF(A18&gt;=25,5,0))</x:f>
        <x:v>28</x:v>
      </x:c>
      <x:c r="E18" s="121" t="n">
        <x:f>ROUND(Inputs!$B$70+(A18-Inputs!$B$68)*(Inputs!$B$71-Inputs!$B$70)/(Inputs!$B$69-Inputs!$B$68),1)</x:f>
        <x:v>270.1</x:v>
      </x:c>
      <x:c r="F18" s="121" t="n">
        <x:f>ROUND(Inputs!$B$72+(A18-Inputs!$B$68)*(Inputs!$B$73-Inputs!$B$72)/(Inputs!$B$69-Inputs!$B$68),1)</x:f>
        <x:v>78.3</x:v>
      </x:c>
      <x:c r="G18" s="127" t="n">
        <x:f>ROUND(E18*D18*24*Inputs!$B$81,0)</x:f>
        <x:v>14521</x:v>
      </x:c>
      <x:c r="H18" s="127" t="n">
        <x:f>ROUND(F18*D18*24*Inputs!$B$82,0)</x:f>
        <x:v>4209</x:v>
      </x:c>
      <x:c r="I18" s="127" t="n">
        <x:f>IF(A18&lt;70,INDEX('XP Curve'!$F$4:$F$73,MATCH(A18+1,'XP Curve'!$A$4:$A$73,0)),0)</x:f>
        <x:v>8340</x:v>
      </x:c>
      <x:c r="J18" s="128" t="n">
        <x:f>IF(I18=0,0,ROUND(I18/MAX(1,H18),2))</x:f>
        <x:v>1.98</x:v>
      </x:c>
      <x:c r="K18" s="128" t="n">
        <x:f>K17+J17</x:f>
        <x:v>9.59</x:v>
      </x:c>
      <x:c r="L18" s="118" t="str">
        <x:f>IF(I18=0,"Cap",IF(J18&lt;0.5,"Too fast",IF(J18&gt;14,"Slow","OK")))</x:f>
        <x:v>OK</x:v>
      </x:c>
    </x:row>
    <x:row r="19" ht="26.399999618530273" hidden="0" customHeight="1">
      <x:c r="A19" s="118" t="n">
        <x:v>16</x:v>
      </x:c>
      <x:c r="B19" s="118" t="str">
        <x:f>IFERROR(INDEX('XP Curve'!$H$4:$H$73,MATCH(A19,'XP Curve'!$A$4:$A$73,0)),"")</x:f>
        <x:v>Hawaiian Hogfish (U); Flashlight Fish [Pearls]; Tank 3 unlock</x:v>
      </x:c>
      <x:c r="C19" s="118" t="n">
        <x:f>COUNTIF('Tanks &amp; Social'!$B$4:$B$11,"&lt;="&amp;A19)</x:f>
        <x:v>3</x:v>
      </x:c>
      <x:c r="D19" s="118" t="n">
        <x:f>C19*Inputs!$B$8+MAX(0,C19-1)*8+IF(A19&gt;=40,10,IF(A19&gt;=25,5,0))</x:f>
        <x:v>46</x:v>
      </x:c>
      <x:c r="E19" s="121" t="n">
        <x:f>ROUND(Inputs!$B$70+(A19-Inputs!$B$68)*(Inputs!$B$71-Inputs!$B$70)/(Inputs!$B$69-Inputs!$B$68),1)</x:f>
        <x:v>275.9</x:v>
      </x:c>
      <x:c r="F19" s="121" t="n">
        <x:f>ROUND(Inputs!$B$72+(A19-Inputs!$B$68)*(Inputs!$B$73-Inputs!$B$72)/(Inputs!$B$69-Inputs!$B$68),1)</x:f>
        <x:v>79.6</x:v>
      </x:c>
      <x:c r="G19" s="127" t="n">
        <x:f>ROUND(E19*D19*24*Inputs!$B$81,0)</x:f>
        <x:v>24367</x:v>
      </x:c>
      <x:c r="H19" s="127" t="n">
        <x:f>ROUND(F19*D19*24*Inputs!$B$82,0)</x:f>
        <x:v>7030</x:v>
      </x:c>
      <x:c r="I19" s="127" t="n">
        <x:f>IF(A19&lt;70,INDEX('XP Curve'!$F$4:$F$73,MATCH(A19+1,'XP Curve'!$A$4:$A$73,0)),0)</x:f>
        <x:v>9910</x:v>
      </x:c>
      <x:c r="J19" s="128" t="n">
        <x:f>IF(I19=0,0,ROUND(I19/MAX(1,H19),2))</x:f>
        <x:v>1.41</x:v>
      </x:c>
      <x:c r="K19" s="128" t="n">
        <x:f>K18+J18</x:f>
        <x:v>11.57</x:v>
      </x:c>
      <x:c r="L19" s="118" t="str">
        <x:f>IF(I19=0,"Cap",IF(J19&lt;0.5,"Too fast",IF(J19&gt;14,"Slow","OK")))</x:f>
        <x:v>OK</x:v>
      </x:c>
    </x:row>
    <x:row r="20" ht="15" hidden="0" customHeight="1">
      <x:c r="A20" s="118" t="n">
        <x:v>17</x:v>
      </x:c>
      <x:c r="B20" s="118" t="str">
        <x:f>IFERROR(INDEX('XP Curve'!$H$4:$H$73,MATCH(A20,'XP Curve'!$A$4:$A$73,0)),"")</x:f>
        <x:v>Scooter Blenny (U)</x:v>
      </x:c>
      <x:c r="C20" s="118" t="n">
        <x:f>COUNTIF('Tanks &amp; Social'!$B$4:$B$11,"&lt;="&amp;A20)</x:f>
        <x:v>3</x:v>
      </x:c>
      <x:c r="D20" s="118" t="n">
        <x:f>C20*Inputs!$B$8+MAX(0,C20-1)*8+IF(A20&gt;=40,10,IF(A20&gt;=25,5,0))</x:f>
        <x:v>46</x:v>
      </x:c>
      <x:c r="E20" s="121" t="n">
        <x:f>ROUND(Inputs!$B$70+(A20-Inputs!$B$68)*(Inputs!$B$71-Inputs!$B$70)/(Inputs!$B$69-Inputs!$B$68),1)</x:f>
        <x:v>281.6</x:v>
      </x:c>
      <x:c r="F20" s="121" t="n">
        <x:f>ROUND(Inputs!$B$72+(A20-Inputs!$B$68)*(Inputs!$B$73-Inputs!$B$72)/(Inputs!$B$69-Inputs!$B$68),1)</x:f>
        <x:v>80.9</x:v>
      </x:c>
      <x:c r="G20" s="127" t="n">
        <x:f>ROUND(E20*D20*24*Inputs!$B$81,0)</x:f>
        <x:v>24871</x:v>
      </x:c>
      <x:c r="H20" s="127" t="n">
        <x:f>ROUND(F20*D20*24*Inputs!$B$82,0)</x:f>
        <x:v>7145</x:v>
      </x:c>
      <x:c r="I20" s="127" t="n">
        <x:f>IF(A20&lt;70,INDEX('XP Curve'!$F$4:$F$73,MATCH(A20+1,'XP Curve'!$A$4:$A$73,0)),0)</x:f>
        <x:v>11650</x:v>
      </x:c>
      <x:c r="J20" s="128" t="n">
        <x:f>IF(I20=0,0,ROUND(I20/MAX(1,H20),2))</x:f>
        <x:v>1.63</x:v>
      </x:c>
      <x:c r="K20" s="128" t="n">
        <x:f>K19+J19</x:f>
        <x:v>12.98</x:v>
      </x:c>
      <x:c r="L20" s="118" t="str">
        <x:f>IF(I20=0,"Cap",IF(J20&lt;0.5,"Too fast",IF(J20&gt;14,"Slow","OK")))</x:f>
        <x:v>OK</x:v>
      </x:c>
    </x:row>
    <x:row r="21" ht="15" hidden="0" customHeight="1">
      <x:c r="A21" s="118" t="n">
        <x:v>18</x:v>
      </x:c>
      <x:c r="B21" s="118" t="str">
        <x:f>IFERROR(INDEX('XP Curve'!$H$4:$H$73,MATCH(A21,'XP Curve'!$A$4:$A$73,0)),"")</x:f>
      </x:c>
      <x:c r="C21" s="118" t="n">
        <x:f>COUNTIF('Tanks &amp; Social'!$B$4:$B$11,"&lt;="&amp;A21)</x:f>
        <x:v>3</x:v>
      </x:c>
      <x:c r="D21" s="118" t="n">
        <x:f>C21*Inputs!$B$8+MAX(0,C21-1)*8+IF(A21&gt;=40,10,IF(A21&gt;=25,5,0))</x:f>
        <x:v>46</x:v>
      </x:c>
      <x:c r="E21" s="121" t="n">
        <x:f>ROUND(Inputs!$B$70+(A21-Inputs!$B$68)*(Inputs!$B$71-Inputs!$B$70)/(Inputs!$B$69-Inputs!$B$68),1)</x:f>
        <x:v>287.3</x:v>
      </x:c>
      <x:c r="F21" s="121" t="n">
        <x:f>ROUND(Inputs!$B$72+(A21-Inputs!$B$68)*(Inputs!$B$73-Inputs!$B$72)/(Inputs!$B$69-Inputs!$B$68),1)</x:f>
        <x:v>82.2</x:v>
      </x:c>
      <x:c r="G21" s="127" t="n">
        <x:f>ROUND(E21*D21*24*Inputs!$B$81,0)</x:f>
        <x:v>25374</x:v>
      </x:c>
      <x:c r="H21" s="127" t="n">
        <x:f>ROUND(F21*D21*24*Inputs!$B$82,0)</x:f>
        <x:v>7260</x:v>
      </x:c>
      <x:c r="I21" s="127" t="n">
        <x:f>IF(A21&lt;70,INDEX('XP Curve'!$F$4:$F$73,MATCH(A21+1,'XP Curve'!$A$4:$A$73,0)),0)</x:f>
        <x:v>13220</x:v>
      </x:c>
      <x:c r="J21" s="128" t="n">
        <x:f>IF(I21=0,0,ROUND(I21/MAX(1,H21),2))</x:f>
        <x:v>1.82</x:v>
      </x:c>
      <x:c r="K21" s="128" t="n">
        <x:f>K20+J20</x:f>
        <x:v>14.61</x:v>
      </x:c>
      <x:c r="L21" s="118" t="str">
        <x:f>IF(I21=0,"Cap",IF(J21&lt;0.5,"Too fast",IF(J21&gt;14,"Slow","OK")))</x:f>
        <x:v>OK</x:v>
      </x:c>
    </x:row>
    <x:row r="22" ht="15" hidden="0" customHeight="1">
      <x:c r="A22" s="118" t="n">
        <x:v>19</x:v>
      </x:c>
      <x:c r="B22" s="118" t="str">
        <x:f>IFERROR(INDEX('XP Curve'!$H$4:$H$73,MATCH(A22,'XP Curve'!$A$4:$A$73,0)),"")</x:f>
        <x:v>Large Tank 2</x:v>
      </x:c>
      <x:c r="C22" s="118" t="n">
        <x:f>COUNTIF('Tanks &amp; Social'!$B$4:$B$11,"&lt;="&amp;A22)</x:f>
        <x:v>3</x:v>
      </x:c>
      <x:c r="D22" s="118" t="n">
        <x:f>C22*Inputs!$B$8+MAX(0,C22-1)*8+IF(A22&gt;=40,10,IF(A22&gt;=25,5,0))</x:f>
        <x:v>46</x:v>
      </x:c>
      <x:c r="E22" s="121" t="n">
        <x:f>ROUND(Inputs!$B$70+(A22-Inputs!$B$68)*(Inputs!$B$71-Inputs!$B$70)/(Inputs!$B$69-Inputs!$B$68),1)</x:f>
        <x:v>293</x:v>
      </x:c>
      <x:c r="F22" s="121" t="n">
        <x:f>ROUND(Inputs!$B$72+(A22-Inputs!$B$68)*(Inputs!$B$73-Inputs!$B$72)/(Inputs!$B$69-Inputs!$B$68),1)</x:f>
        <x:v>83.5</x:v>
      </x:c>
      <x:c r="G22" s="127" t="n">
        <x:f>ROUND(E22*D22*24*Inputs!$B$81,0)</x:f>
        <x:v>25878</x:v>
      </x:c>
      <x:c r="H22" s="127" t="n">
        <x:f>ROUND(F22*D22*24*Inputs!$B$82,0)</x:f>
        <x:v>7375</x:v>
      </x:c>
      <x:c r="I22" s="127" t="n">
        <x:f>IF(A22&lt;70,INDEX('XP Curve'!$F$4:$F$73,MATCH(A22+1,'XP Curve'!$A$4:$A$73,0)),0)</x:f>
        <x:v>14900</x:v>
      </x:c>
      <x:c r="J22" s="128" t="n">
        <x:f>IF(I22=0,0,ROUND(I22/MAX(1,H22),2))</x:f>
        <x:v>2.02</x:v>
      </x:c>
      <x:c r="K22" s="128" t="n">
        <x:f>K21+J21</x:f>
        <x:v>16.43</x:v>
      </x:c>
      <x:c r="L22" s="118" t="str">
        <x:f>IF(I22=0,"Cap",IF(J22&lt;0.5,"Too fast",IF(J22&gt;14,"Slow","OK")))</x:f>
        <x:v>OK</x:v>
      </x:c>
    </x:row>
    <x:row r="23" ht="15" hidden="0" customHeight="1">
      <x:c r="A23" s="118" t="n">
        <x:v>20</x:v>
      </x:c>
      <x:c r="B23" s="118" t="str">
        <x:f>IFERROR(INDEX('XP Curve'!$H$4:$H$73,MATCH(A23,'XP Curve'!$A$4:$A$73,0)),"")</x:f>
        <x:v>Ocellaris Clownfish (U); Golden Arowana [Pearls]</x:v>
      </x:c>
      <x:c r="C23" s="118" t="n">
        <x:f>COUNTIF('Tanks &amp; Social'!$B$4:$B$11,"&lt;="&amp;A23)</x:f>
        <x:v>3</x:v>
      </x:c>
      <x:c r="D23" s="118" t="n">
        <x:f>C23*Inputs!$B$8+MAX(0,C23-1)*8+IF(A23&gt;=40,10,IF(A23&gt;=25,5,0))</x:f>
        <x:v>46</x:v>
      </x:c>
      <x:c r="E23" s="121" t="n">
        <x:f>ROUND(Inputs!$B$70+(A23-Inputs!$B$68)*(Inputs!$B$71-Inputs!$B$70)/(Inputs!$B$69-Inputs!$B$68),1)</x:f>
        <x:v>298.8</x:v>
      </x:c>
      <x:c r="F23" s="121" t="n">
        <x:f>ROUND(Inputs!$B$72+(A23-Inputs!$B$68)*(Inputs!$B$73-Inputs!$B$72)/(Inputs!$B$69-Inputs!$B$68),1)</x:f>
        <x:v>84.8</x:v>
      </x:c>
      <x:c r="G23" s="127" t="n">
        <x:f>ROUND(E23*D23*24*Inputs!$B$81,0)</x:f>
        <x:v>26390</x:v>
      </x:c>
      <x:c r="H23" s="127" t="n">
        <x:f>ROUND(F23*D23*24*Inputs!$B$82,0)</x:f>
        <x:v>7490</x:v>
      </x:c>
      <x:c r="I23" s="127" t="n">
        <x:f>IF(A23&lt;70,INDEX('XP Curve'!$F$4:$F$73,MATCH(A23+1,'XP Curve'!$A$4:$A$73,0)),0)</x:f>
        <x:v>16690</x:v>
      </x:c>
      <x:c r="J23" s="128" t="n">
        <x:f>IF(I23=0,0,ROUND(I23/MAX(1,H23),2))</x:f>
        <x:v>2.23</x:v>
      </x:c>
      <x:c r="K23" s="128" t="n">
        <x:f>K22+J22</x:f>
        <x:v>18.45</x:v>
      </x:c>
      <x:c r="L23" s="118" t="str">
        <x:f>IF(I23=0,"Cap",IF(J23&lt;0.5,"Too fast",IF(J23&gt;14,"Slow","OK")))</x:f>
        <x:v>OK</x:v>
      </x:c>
    </x:row>
    <x:row r="24" ht="15" hidden="0" customHeight="1">
      <x:c r="A24" s="118" t="n">
        <x:v>21</x:v>
      </x:c>
      <x:c r="B24" s="118" t="str">
        <x:f>IFERROR(INDEX('XP Curve'!$H$4:$H$73,MATCH(A24,'XP Curve'!$A$4:$A$73,0)),"")</x:f>
      </x:c>
      <x:c r="C24" s="118" t="n">
        <x:f>COUNTIF('Tanks &amp; Social'!$B$4:$B$11,"&lt;="&amp;A24)</x:f>
        <x:v>3</x:v>
      </x:c>
      <x:c r="D24" s="118" t="n">
        <x:f>C24*Inputs!$B$8+MAX(0,C24-1)*8+IF(A24&gt;=40,10,IF(A24&gt;=25,5,0))</x:f>
        <x:v>46</x:v>
      </x:c>
      <x:c r="E24" s="121" t="n">
        <x:f>ROUND(Inputs!$B$70+(A24-Inputs!$B$68)*(Inputs!$B$71-Inputs!$B$70)/(Inputs!$B$69-Inputs!$B$68),1)</x:f>
        <x:v>304.5</x:v>
      </x:c>
      <x:c r="F24" s="121" t="n">
        <x:f>ROUND(Inputs!$B$72+(A24-Inputs!$B$68)*(Inputs!$B$73-Inputs!$B$72)/(Inputs!$B$69-Inputs!$B$68),1)</x:f>
        <x:v>86.1</x:v>
      </x:c>
      <x:c r="G24" s="127" t="n">
        <x:f>ROUND(E24*D24*24*Inputs!$B$81,0)</x:f>
        <x:v>26893</x:v>
      </x:c>
      <x:c r="H24" s="127" t="n">
        <x:f>ROUND(F24*D24*24*Inputs!$B$82,0)</x:f>
        <x:v>7604</x:v>
      </x:c>
      <x:c r="I24" s="127" t="n">
        <x:f>IF(A24&lt;70,INDEX('XP Curve'!$F$4:$F$73,MATCH(A24+1,'XP Curve'!$A$4:$A$73,0)),0)</x:f>
        <x:v>18580</x:v>
      </x:c>
      <x:c r="J24" s="128" t="n">
        <x:f>IF(I24=0,0,ROUND(I24/MAX(1,H24),2))</x:f>
        <x:v>2.44</x:v>
      </x:c>
      <x:c r="K24" s="128" t="n">
        <x:f>K23+J23</x:f>
        <x:v>20.68</x:v>
      </x:c>
      <x:c r="L24" s="118" t="str">
        <x:f>IF(I24=0,"Cap",IF(J24&lt;0.5,"Too fast",IF(J24&gt;14,"Slow","OK")))</x:f>
        <x:v>OK</x:v>
      </x:c>
    </x:row>
    <x:row r="25" ht="15" hidden="0" customHeight="1">
      <x:c r="A25" s="118" t="n">
        <x:v>22</x:v>
      </x:c>
      <x:c r="B25" s="118" t="str">
        <x:f>IFERROR(INDEX('XP Curve'!$H$4:$H$73,MATCH(A25,'XP Curve'!$A$4:$A$73,0)),"")</x:f>
        <x:v>Yellow Tang (R); Medium Tank 3</x:v>
      </x:c>
      <x:c r="C25" s="118" t="n">
        <x:f>COUNTIF('Tanks &amp; Social'!$B$4:$B$11,"&lt;="&amp;A25)</x:f>
        <x:v>3</x:v>
      </x:c>
      <x:c r="D25" s="118" t="n">
        <x:f>C25*Inputs!$B$8+MAX(0,C25-1)*8+IF(A25&gt;=40,10,IF(A25&gt;=25,5,0))</x:f>
        <x:v>46</x:v>
      </x:c>
      <x:c r="E25" s="121" t="n">
        <x:f>ROUND(Inputs!$B$70+(A25-Inputs!$B$68)*(Inputs!$B$71-Inputs!$B$70)/(Inputs!$B$69-Inputs!$B$68),1)</x:f>
        <x:v>310.2</x:v>
      </x:c>
      <x:c r="F25" s="121" t="n">
        <x:f>ROUND(Inputs!$B$72+(A25-Inputs!$B$68)*(Inputs!$B$73-Inputs!$B$72)/(Inputs!$B$69-Inputs!$B$68),1)</x:f>
        <x:v>87.4</x:v>
      </x:c>
      <x:c r="G25" s="127" t="n">
        <x:f>ROUND(E25*D25*24*Inputs!$B$81,0)</x:f>
        <x:v>27397</x:v>
      </x:c>
      <x:c r="H25" s="127" t="n">
        <x:f>ROUND(F25*D25*24*Inputs!$B$82,0)</x:f>
        <x:v>7719</x:v>
      </x:c>
      <x:c r="I25" s="127" t="n">
        <x:f>IF(A25&lt;70,INDEX('XP Curve'!$F$4:$F$73,MATCH(A25+1,'XP Curve'!$A$4:$A$73,0)),0)</x:f>
        <x:v>20570</x:v>
      </x:c>
      <x:c r="J25" s="128" t="n">
        <x:f>IF(I25=0,0,ROUND(I25/MAX(1,H25),2))</x:f>
        <x:v>2.66</x:v>
      </x:c>
      <x:c r="K25" s="128" t="n">
        <x:f>K24+J24</x:f>
        <x:v>23.12</x:v>
      </x:c>
      <x:c r="L25" s="118" t="str">
        <x:f>IF(I25=0,"Cap",IF(J25&lt;0.5,"Too fast",IF(J25&gt;14,"Slow","OK")))</x:f>
        <x:v>OK</x:v>
      </x:c>
    </x:row>
    <x:row r="26" ht="15" hidden="0" customHeight="1">
      <x:c r="A26" s="118" t="n">
        <x:v>23</x:v>
      </x:c>
      <x:c r="B26" s="118" t="str">
        <x:f>IFERROR(INDEX('XP Curve'!$H$4:$H$73,MATCH(A26,'XP Curve'!$A$4:$A$73,0)),"")</x:f>
      </x:c>
      <x:c r="C26" s="118" t="n">
        <x:f>COUNTIF('Tanks &amp; Social'!$B$4:$B$11,"&lt;="&amp;A26)</x:f>
        <x:v>3</x:v>
      </x:c>
      <x:c r="D26" s="118" t="n">
        <x:f>C26*Inputs!$B$8+MAX(0,C26-1)*8+IF(A26&gt;=40,10,IF(A26&gt;=25,5,0))</x:f>
        <x:v>46</x:v>
      </x:c>
      <x:c r="E26" s="121" t="n">
        <x:f>ROUND(Inputs!$B$70+(A26-Inputs!$B$68)*(Inputs!$B$71-Inputs!$B$70)/(Inputs!$B$69-Inputs!$B$68),1)</x:f>
        <x:v>315.9</x:v>
      </x:c>
      <x:c r="F26" s="121" t="n">
        <x:f>ROUND(Inputs!$B$72+(A26-Inputs!$B$68)*(Inputs!$B$73-Inputs!$B$72)/(Inputs!$B$69-Inputs!$B$68),1)</x:f>
        <x:v>88.7</x:v>
      </x:c>
      <x:c r="G26" s="127" t="n">
        <x:f>ROUND(E26*D26*24*Inputs!$B$81,0)</x:f>
        <x:v>27900</x:v>
      </x:c>
      <x:c r="H26" s="127" t="n">
        <x:f>ROUND(F26*D26*24*Inputs!$B$82,0)</x:f>
        <x:v>7834</x:v>
      </x:c>
      <x:c r="I26" s="127" t="n">
        <x:f>IF(A26&lt;70,INDEX('XP Curve'!$F$4:$F$73,MATCH(A26+1,'XP Curve'!$A$4:$A$73,0)),0)</x:f>
        <x:v>22670</x:v>
      </x:c>
      <x:c r="J26" s="128" t="n">
        <x:f>IF(I26=0,0,ROUND(I26/MAX(1,H26),2))</x:f>
        <x:v>2.89</x:v>
      </x:c>
      <x:c r="K26" s="128" t="n">
        <x:f>K25+J25</x:f>
        <x:v>25.78</x:v>
      </x:c>
      <x:c r="L26" s="118" t="str">
        <x:f>IF(I26=0,"Cap",IF(J26&lt;0.5,"Too fast",IF(J26&gt;14,"Slow","OK")))</x:f>
        <x:v>OK</x:v>
      </x:c>
    </x:row>
    <x:row r="27" ht="15" hidden="0" customHeight="1">
      <x:c r="A27" s="118" t="n">
        <x:v>24</x:v>
      </x:c>
      <x:c r="B27" s="118" t="str">
        <x:f>IFERROR(INDEX('XP Curve'!$H$4:$H$73,MATCH(A27,'XP Curve'!$A$4:$A$73,0)),"")</x:f>
        <x:v>Banggai Cardinalfish (R)</x:v>
      </x:c>
      <x:c r="C27" s="118" t="n">
        <x:f>COUNTIF('Tanks &amp; Social'!$B$4:$B$11,"&lt;="&amp;A27)</x:f>
        <x:v>3</x:v>
      </x:c>
      <x:c r="D27" s="118" t="n">
        <x:f>C27*Inputs!$B$8+MAX(0,C27-1)*8+IF(A27&gt;=40,10,IF(A27&gt;=25,5,0))</x:f>
        <x:v>46</x:v>
      </x:c>
      <x:c r="E27" s="121" t="n">
        <x:f>ROUND(Inputs!$B$70+(A27-Inputs!$B$68)*(Inputs!$B$71-Inputs!$B$70)/(Inputs!$B$69-Inputs!$B$68),1)</x:f>
        <x:v>321.7</x:v>
      </x:c>
      <x:c r="F27" s="121" t="n">
        <x:f>ROUND(Inputs!$B$72+(A27-Inputs!$B$68)*(Inputs!$B$73-Inputs!$B$72)/(Inputs!$B$69-Inputs!$B$68),1)</x:f>
        <x:v>90</x:v>
      </x:c>
      <x:c r="G27" s="127" t="n">
        <x:f>ROUND(E27*D27*24*Inputs!$B$81,0)</x:f>
        <x:v>28413</x:v>
      </x:c>
      <x:c r="H27" s="127" t="n">
        <x:f>ROUND(F27*D27*24*Inputs!$B$82,0)</x:f>
        <x:v>7949</x:v>
      </x:c>
      <x:c r="I27" s="127" t="n">
        <x:f>IF(A27&lt;70,INDEX('XP Curve'!$F$4:$F$73,MATCH(A27+1,'XP Curve'!$A$4:$A$73,0)),0)</x:f>
        <x:v>24880</x:v>
      </x:c>
      <x:c r="J27" s="128" t="n">
        <x:f>IF(I27=0,0,ROUND(I27/MAX(1,H27),2))</x:f>
        <x:v>3.13</x:v>
      </x:c>
      <x:c r="K27" s="128" t="n">
        <x:f>K26+J26</x:f>
        <x:v>28.67</x:v>
      </x:c>
      <x:c r="L27" s="118" t="str">
        <x:f>IF(I27=0,"Cap",IF(J27&lt;0.5,"Too fast",IF(J27&gt;14,"Slow","OK")))</x:f>
        <x:v>OK</x:v>
      </x:c>
    </x:row>
    <x:row r="28" ht="15" hidden="0" customHeight="1">
      <x:c r="A28" s="118" t="n">
        <x:v>25</x:v>
      </x:c>
      <x:c r="B28" s="118" t="str">
        <x:f>IFERROR(INDEX('XP Curve'!$H$4:$H$73,MATCH(A28,'XP Curve'!$A$4:$A$73,0)),"")</x:f>
        <x:v>Peppermint Angelfish [Pearls]; Tank 4 unlock</x:v>
      </x:c>
      <x:c r="C28" s="118" t="n">
        <x:f>COUNTIF('Tanks &amp; Social'!$B$4:$B$11,"&lt;="&amp;A28)</x:f>
        <x:v>4</x:v>
      </x:c>
      <x:c r="D28" s="118" t="n">
        <x:f>C28*Inputs!$B$8+MAX(0,C28-1)*8+IF(A28&gt;=40,10,IF(A28&gt;=25,5,0))</x:f>
        <x:v>69</x:v>
      </x:c>
      <x:c r="E28" s="121" t="n">
        <x:f>ROUND(Inputs!$B$70+(A28-Inputs!$B$68)*(Inputs!$B$71-Inputs!$B$70)/(Inputs!$B$69-Inputs!$B$68),1)</x:f>
        <x:v>327.4</x:v>
      </x:c>
      <x:c r="F28" s="121" t="n">
        <x:f>ROUND(Inputs!$B$72+(A28-Inputs!$B$68)*(Inputs!$B$73-Inputs!$B$72)/(Inputs!$B$69-Inputs!$B$68),1)</x:f>
        <x:v>91.3</x:v>
      </x:c>
      <x:c r="G28" s="127" t="n">
        <x:f>ROUND(E28*D28*24*Inputs!$B$81,0)</x:f>
        <x:v>43374</x:v>
      </x:c>
      <x:c r="H28" s="127" t="n">
        <x:f>ROUND(F28*D28*24*Inputs!$B$82,0)</x:f>
        <x:v>12095</x:v>
      </x:c>
      <x:c r="I28" s="127" t="n">
        <x:f>IF(A28&lt;70,INDEX('XP Curve'!$F$4:$F$73,MATCH(A28+1,'XP Curve'!$A$4:$A$73,0)),0)</x:f>
        <x:v>27190</x:v>
      </x:c>
      <x:c r="J28" s="128" t="n">
        <x:f>IF(I28=0,0,ROUND(I28/MAX(1,H28),2))</x:f>
        <x:v>2.25</x:v>
      </x:c>
      <x:c r="K28" s="128" t="n">
        <x:f>K27+J27</x:f>
        <x:v>31.8</x:v>
      </x:c>
      <x:c r="L28" s="118" t="str">
        <x:f>IF(I28=0,"Cap",IF(J28&lt;0.5,"Too fast",IF(J28&gt;14,"Slow","OK")))</x:f>
        <x:v>OK</x:v>
      </x:c>
    </x:row>
    <x:row r="29" ht="15" hidden="0" customHeight="1">
      <x:c r="A29" s="118" t="n">
        <x:v>26</x:v>
      </x:c>
      <x:c r="B29" s="118" t="str">
        <x:f>IFERROR(INDEX('XP Curve'!$H$4:$H$73,MATCH(A29,'XP Curve'!$A$4:$A$73,0)),"")</x:f>
        <x:v>Coral Beauty (R)</x:v>
      </x:c>
      <x:c r="C29" s="118" t="n">
        <x:f>COUNTIF('Tanks &amp; Social'!$B$4:$B$11,"&lt;="&amp;A29)</x:f>
        <x:v>4</x:v>
      </x:c>
      <x:c r="D29" s="118" t="n">
        <x:f>C29*Inputs!$B$8+MAX(0,C29-1)*8+IF(A29&gt;=40,10,IF(A29&gt;=25,5,0))</x:f>
        <x:v>69</x:v>
      </x:c>
      <x:c r="E29" s="121" t="n">
        <x:f>ROUND(Inputs!$B$70+(A29-Inputs!$B$68)*(Inputs!$B$71-Inputs!$B$70)/(Inputs!$B$69-Inputs!$B$68),1)</x:f>
        <x:v>333.1</x:v>
      </x:c>
      <x:c r="F29" s="121" t="n">
        <x:f>ROUND(Inputs!$B$72+(A29-Inputs!$B$68)*(Inputs!$B$73-Inputs!$B$72)/(Inputs!$B$69-Inputs!$B$68),1)</x:f>
        <x:v>92.6</x:v>
      </x:c>
      <x:c r="G29" s="127" t="n">
        <x:f>ROUND(E29*D29*24*Inputs!$B$81,0)</x:f>
        <x:v>44129</x:v>
      </x:c>
      <x:c r="H29" s="127" t="n">
        <x:f>ROUND(F29*D29*24*Inputs!$B$82,0)</x:f>
        <x:v>12268</x:v>
      </x:c>
      <x:c r="I29" s="127" t="n">
        <x:f>IF(A29&lt;70,INDEX('XP Curve'!$F$4:$F$73,MATCH(A29+1,'XP Curve'!$A$4:$A$73,0)),0)</x:f>
        <x:v>29600</x:v>
      </x:c>
      <x:c r="J29" s="128" t="n">
        <x:f>IF(I29=0,0,ROUND(I29/MAX(1,H29),2))</x:f>
        <x:v>2.41</x:v>
      </x:c>
      <x:c r="K29" s="128" t="n">
        <x:f>K28+J28</x:f>
        <x:v>34.05</x:v>
      </x:c>
      <x:c r="L29" s="118" t="str">
        <x:f>IF(I29=0,"Cap",IF(J29&lt;0.5,"Too fast",IF(J29&gt;14,"Slow","OK")))</x:f>
        <x:v>OK</x:v>
      </x:c>
    </x:row>
    <x:row r="30" ht="15" hidden="0" customHeight="1">
      <x:c r="A30" s="118" t="n">
        <x:v>27</x:v>
      </x:c>
      <x:c r="B30" s="118" t="str">
        <x:f>IFERROR(INDEX('XP Curve'!$H$4:$H$73,MATCH(A30,'XP Curve'!$A$4:$A$73,0)),"")</x:f>
      </x:c>
      <x:c r="C30" s="118" t="n">
        <x:f>COUNTIF('Tanks &amp; Social'!$B$4:$B$11,"&lt;="&amp;A30)</x:f>
        <x:v>4</x:v>
      </x:c>
      <x:c r="D30" s="118" t="n">
        <x:f>C30*Inputs!$B$8+MAX(0,C30-1)*8+IF(A30&gt;=40,10,IF(A30&gt;=25,5,0))</x:f>
        <x:v>69</x:v>
      </x:c>
      <x:c r="E30" s="121" t="n">
        <x:f>ROUND(Inputs!$B$70+(A30-Inputs!$B$68)*(Inputs!$B$71-Inputs!$B$70)/(Inputs!$B$69-Inputs!$B$68),1)</x:f>
        <x:v>338.8</x:v>
      </x:c>
      <x:c r="F30" s="121" t="n">
        <x:f>ROUND(Inputs!$B$72+(A30-Inputs!$B$68)*(Inputs!$B$73-Inputs!$B$72)/(Inputs!$B$69-Inputs!$B$68),1)</x:f>
        <x:v>93.9</x:v>
      </x:c>
      <x:c r="G30" s="127" t="n">
        <x:f>ROUND(E30*D30*24*Inputs!$B$81,0)</x:f>
        <x:v>44884</x:v>
      </x:c>
      <x:c r="H30" s="127" t="n">
        <x:f>ROUND(F30*D30*24*Inputs!$B$82,0)</x:f>
        <x:v>12440</x:v>
      </x:c>
      <x:c r="I30" s="127" t="n">
        <x:f>IF(A30&lt;70,INDEX('XP Curve'!$F$4:$F$73,MATCH(A30+1,'XP Curve'!$A$4:$A$73,0)),0)</x:f>
        <x:v>32120</x:v>
      </x:c>
      <x:c r="J30" s="128" t="n">
        <x:f>IF(I30=0,0,ROUND(I30/MAX(1,H30),2))</x:f>
        <x:v>2.58</x:v>
      </x:c>
      <x:c r="K30" s="128" t="n">
        <x:f>K29+J29</x:f>
        <x:v>36.459999999999994</x:v>
      </x:c>
      <x:c r="L30" s="118" t="str">
        <x:f>IF(I30=0,"Cap",IF(J30&lt;0.5,"Too fast",IF(J30&gt;14,"Slow","OK")))</x:f>
        <x:v>OK</x:v>
      </x:c>
    </x:row>
    <x:row r="31" ht="15" hidden="0" customHeight="1">
      <x:c r="A31" s="118" t="n">
        <x:v>28</x:v>
      </x:c>
      <x:c r="B31" s="118" t="str">
        <x:f>IFERROR(INDEX('XP Curve'!$H$4:$H$73,MATCH(A31,'XP Curve'!$A$4:$A$73,0)),"")</x:f>
        <x:v>Large Tank 3</x:v>
      </x:c>
      <x:c r="C31" s="118" t="n">
        <x:f>COUNTIF('Tanks &amp; Social'!$B$4:$B$11,"&lt;="&amp;A31)</x:f>
        <x:v>4</x:v>
      </x:c>
      <x:c r="D31" s="118" t="n">
        <x:f>C31*Inputs!$B$8+MAX(0,C31-1)*8+IF(A31&gt;=40,10,IF(A31&gt;=25,5,0))</x:f>
        <x:v>69</x:v>
      </x:c>
      <x:c r="E31" s="121" t="n">
        <x:f>ROUND(Inputs!$B$70+(A31-Inputs!$B$68)*(Inputs!$B$71-Inputs!$B$70)/(Inputs!$B$69-Inputs!$B$68),1)</x:f>
        <x:v>344.6</x:v>
      </x:c>
      <x:c r="F31" s="121" t="n">
        <x:f>ROUND(Inputs!$B$72+(A31-Inputs!$B$68)*(Inputs!$B$73-Inputs!$B$72)/(Inputs!$B$69-Inputs!$B$68),1)</x:f>
        <x:v>95.2</x:v>
      </x:c>
      <x:c r="G31" s="127" t="n">
        <x:f>ROUND(E31*D31*24*Inputs!$B$81,0)</x:f>
        <x:v>45653</x:v>
      </x:c>
      <x:c r="H31" s="127" t="n">
        <x:f>ROUND(F31*D31*24*Inputs!$B$82,0)</x:f>
        <x:v>12612</x:v>
      </x:c>
      <x:c r="I31" s="127" t="n">
        <x:f>IF(A31&lt;70,INDEX('XP Curve'!$F$4:$F$73,MATCH(A31+1,'XP Curve'!$A$4:$A$73,0)),0)</x:f>
        <x:v>34750</x:v>
      </x:c>
      <x:c r="J31" s="128" t="n">
        <x:f>IF(I31=0,0,ROUND(I31/MAX(1,H31),2))</x:f>
        <x:v>2.76</x:v>
      </x:c>
      <x:c r="K31" s="128" t="n">
        <x:f>K30+J30</x:f>
        <x:v>39.03999999999999</x:v>
      </x:c>
      <x:c r="L31" s="118" t="str">
        <x:f>IF(I31=0,"Cap",IF(J31&lt;0.5,"Too fast",IF(J31&gt;14,"Slow","OK")))</x:f>
        <x:v>OK</x:v>
      </x:c>
    </x:row>
    <x:row r="32" ht="15" hidden="0" customHeight="1">
      <x:c r="A32" s="118" t="n">
        <x:v>29</x:v>
      </x:c>
      <x:c r="B32" s="118" t="str">
        <x:f>IFERROR(INDEX('XP Curve'!$H$4:$H$73,MATCH(A32,'XP Curve'!$A$4:$A$73,0)),"")</x:f>
        <x:v>Flame Angelfish (R)</x:v>
      </x:c>
      <x:c r="C32" s="118" t="n">
        <x:f>COUNTIF('Tanks &amp; Social'!$B$4:$B$11,"&lt;="&amp;A32)</x:f>
        <x:v>4</x:v>
      </x:c>
      <x:c r="D32" s="118" t="n">
        <x:f>C32*Inputs!$B$8+MAX(0,C32-1)*8+IF(A32&gt;=40,10,IF(A32&gt;=25,5,0))</x:f>
        <x:v>69</x:v>
      </x:c>
      <x:c r="E32" s="121" t="n">
        <x:f>ROUND(Inputs!$B$70+(A32-Inputs!$B$68)*(Inputs!$B$71-Inputs!$B$70)/(Inputs!$B$69-Inputs!$B$68),1)</x:f>
        <x:v>350.3</x:v>
      </x:c>
      <x:c r="F32" s="121" t="n">
        <x:f>ROUND(Inputs!$B$72+(A32-Inputs!$B$68)*(Inputs!$B$73-Inputs!$B$72)/(Inputs!$B$69-Inputs!$B$68),1)</x:f>
        <x:v>96.5</x:v>
      </x:c>
      <x:c r="G32" s="127" t="n">
        <x:f>ROUND(E32*D32*24*Inputs!$B$81,0)</x:f>
        <x:v>46408</x:v>
      </x:c>
      <x:c r="H32" s="127" t="n">
        <x:f>ROUND(F32*D32*24*Inputs!$B$82,0)</x:f>
        <x:v>12784</x:v>
      </x:c>
      <x:c r="I32" s="127" t="n">
        <x:f>IF(A32&lt;70,INDEX('XP Curve'!$F$4:$F$73,MATCH(A32+1,'XP Curve'!$A$4:$A$73,0)),0)</x:f>
        <x:v>37480</x:v>
      </x:c>
      <x:c r="J32" s="128" t="n">
        <x:f>IF(I32=0,0,ROUND(I32/MAX(1,H32),2))</x:f>
        <x:v>2.93</x:v>
      </x:c>
      <x:c r="K32" s="128" t="n">
        <x:f>K31+J31</x:f>
        <x:v>41.79999999999999</x:v>
      </x:c>
      <x:c r="L32" s="118" t="str">
        <x:f>IF(I32=0,"Cap",IF(J32&lt;0.5,"Too fast",IF(J32&gt;14,"Slow","OK")))</x:f>
        <x:v>OK</x:v>
      </x:c>
    </x:row>
    <x:row r="33" ht="15" hidden="0" customHeight="1">
      <x:c r="A33" s="118" t="n">
        <x:v>30</x:v>
      </x:c>
      <x:c r="B33" s="118" t="str">
        <x:f>IFERROR(INDEX('XP Curve'!$H$4:$H$73,MATCH(A33,'XP Curve'!$A$4:$A$73,0)),"")</x:f>
        <x:v>Longhorn Cowfish (R)</x:v>
      </x:c>
      <x:c r="C33" s="118" t="n">
        <x:f>COUNTIF('Tanks &amp; Social'!$B$4:$B$11,"&lt;="&amp;A33)</x:f>
        <x:v>4</x:v>
      </x:c>
      <x:c r="D33" s="118" t="n">
        <x:f>C33*Inputs!$B$8+MAX(0,C33-1)*8+IF(A33&gt;=40,10,IF(A33&gt;=25,5,0))</x:f>
        <x:v>69</x:v>
      </x:c>
      <x:c r="E33" s="121" t="n">
        <x:f>ROUND(Inputs!$B$70+(A33-Inputs!$B$68)*(Inputs!$B$71-Inputs!$B$70)/(Inputs!$B$69-Inputs!$B$68),1)</x:f>
        <x:v>356</x:v>
      </x:c>
      <x:c r="F33" s="121" t="n">
        <x:f>ROUND(Inputs!$B$72+(A33-Inputs!$B$68)*(Inputs!$B$73-Inputs!$B$72)/(Inputs!$B$69-Inputs!$B$68),1)</x:f>
        <x:v>97.8</x:v>
      </x:c>
      <x:c r="G33" s="127" t="n">
        <x:f>ROUND(E33*D33*24*Inputs!$B$81,0)</x:f>
        <x:v>47163</x:v>
      </x:c>
      <x:c r="H33" s="127" t="n">
        <x:f>ROUND(F33*D33*24*Inputs!$B$82,0)</x:f>
        <x:v>12957</x:v>
      </x:c>
      <x:c r="I33" s="127" t="n">
        <x:f>IF(A33&lt;70,INDEX('XP Curve'!$F$4:$F$73,MATCH(A33+1,'XP Curve'!$A$4:$A$73,0)),0)</x:f>
        <x:v>41750</x:v>
      </x:c>
      <x:c r="J33" s="128" t="n">
        <x:f>IF(I33=0,0,ROUND(I33/MAX(1,H33),2))</x:f>
        <x:v>3.22</x:v>
      </x:c>
      <x:c r="K33" s="128" t="n">
        <x:f>K32+J32</x:f>
        <x:v>44.72999999999999</x:v>
      </x:c>
      <x:c r="L33" s="118" t="str">
        <x:f>IF(I33=0,"Cap",IF(J33&lt;0.5,"Too fast",IF(J33&gt;14,"Slow","OK")))</x:f>
        <x:v>OK</x:v>
      </x:c>
    </x:row>
    <x:row r="34" ht="15" hidden="0" customHeight="1">
      <x:c r="A34" s="118" t="n">
        <x:v>31</x:v>
      </x:c>
      <x:c r="B34" s="118" t="str">
        <x:f>IFERROR(INDEX('XP Curve'!$H$4:$H$73,MATCH(A34,'XP Curve'!$A$4:$A$73,0)),"")</x:f>
        <x:v>Medium Tank 4</x:v>
      </x:c>
      <x:c r="C34" s="118" t="n">
        <x:f>COUNTIF('Tanks &amp; Social'!$B$4:$B$11,"&lt;="&amp;A34)</x:f>
        <x:v>4</x:v>
      </x:c>
      <x:c r="D34" s="118" t="n">
        <x:f>C34*Inputs!$B$8+MAX(0,C34-1)*8+IF(A34&gt;=40,10,IF(A34&gt;=25,5,0))</x:f>
        <x:v>69</x:v>
      </x:c>
      <x:c r="E34" s="121" t="n">
        <x:f>ROUND(Inputs!$B$70+(A34-Inputs!$B$68)*(Inputs!$B$71-Inputs!$B$70)/(Inputs!$B$69-Inputs!$B$68),1)</x:f>
        <x:v>361.7</x:v>
      </x:c>
      <x:c r="F34" s="121" t="n">
        <x:f>ROUND(Inputs!$B$72+(A34-Inputs!$B$68)*(Inputs!$B$73-Inputs!$B$72)/(Inputs!$B$69-Inputs!$B$68),1)</x:f>
        <x:v>99.1</x:v>
      </x:c>
      <x:c r="G34" s="127" t="n">
        <x:f>ROUND(E34*D34*24*Inputs!$B$81,0)</x:f>
        <x:v>47918</x:v>
      </x:c>
      <x:c r="H34" s="127" t="n">
        <x:f>ROUND(F34*D34*24*Inputs!$B$82,0)</x:f>
        <x:v>13129</x:v>
      </x:c>
      <x:c r="I34" s="127" t="n">
        <x:f>IF(A34&lt;70,INDEX('XP Curve'!$F$4:$F$73,MATCH(A34+1,'XP Curve'!$A$4:$A$73,0)),0)</x:f>
        <x:v>46340</x:v>
      </x:c>
      <x:c r="J34" s="128" t="n">
        <x:f>IF(I34=0,0,ROUND(I34/MAX(1,H34),2))</x:f>
        <x:v>3.53</x:v>
      </x:c>
      <x:c r="K34" s="128" t="n">
        <x:f>K33+J33</x:f>
        <x:v>47.94999999999999</x:v>
      </x:c>
      <x:c r="L34" s="118" t="str">
        <x:f>IF(I34=0,"Cap",IF(J34&lt;0.5,"Too fast",IF(J34&gt;14,"Slow","OK")))</x:f>
        <x:v>OK</x:v>
      </x:c>
    </x:row>
    <x:row r="35" ht="15" hidden="0" customHeight="1">
      <x:c r="A35" s="118" t="n">
        <x:v>32</x:v>
      </x:c>
      <x:c r="B35" s="118" t="str">
        <x:f>IFERROR(INDEX('XP Curve'!$H$4:$H$73,MATCH(A35,'XP Curve'!$A$4:$A$73,0)),"")</x:f>
        <x:v>Foxface Rabbitfish (R)</x:v>
      </x:c>
      <x:c r="C35" s="118" t="n">
        <x:f>COUNTIF('Tanks &amp; Social'!$B$4:$B$11,"&lt;="&amp;A35)</x:f>
        <x:v>4</x:v>
      </x:c>
      <x:c r="D35" s="118" t="n">
        <x:f>C35*Inputs!$B$8+MAX(0,C35-1)*8+IF(A35&gt;=40,10,IF(A35&gt;=25,5,0))</x:f>
        <x:v>69</x:v>
      </x:c>
      <x:c r="E35" s="121" t="n">
        <x:f>ROUND(Inputs!$B$70+(A35-Inputs!$B$68)*(Inputs!$B$71-Inputs!$B$70)/(Inputs!$B$69-Inputs!$B$68),1)</x:f>
        <x:v>367.5</x:v>
      </x:c>
      <x:c r="F35" s="121" t="n">
        <x:f>ROUND(Inputs!$B$72+(A35-Inputs!$B$68)*(Inputs!$B$73-Inputs!$B$72)/(Inputs!$B$69-Inputs!$B$68),1)</x:f>
        <x:v>100.4</x:v>
      </x:c>
      <x:c r="G35" s="127" t="n">
        <x:f>ROUND(E35*D35*24*Inputs!$B$81,0)</x:f>
        <x:v>48686</x:v>
      </x:c>
      <x:c r="H35" s="127" t="n">
        <x:f>ROUND(F35*D35*24*Inputs!$B$82,0)</x:f>
        <x:v>13301</x:v>
      </x:c>
      <x:c r="I35" s="127" t="n">
        <x:f>IF(A35&lt;70,INDEX('XP Curve'!$F$4:$F$73,MATCH(A35+1,'XP Curve'!$A$4:$A$73,0)),0)</x:f>
        <x:v>51260</x:v>
      </x:c>
      <x:c r="J35" s="128" t="n">
        <x:f>IF(I35=0,0,ROUND(I35/MAX(1,H35),2))</x:f>
        <x:v>3.85</x:v>
      </x:c>
      <x:c r="K35" s="128" t="n">
        <x:f>K34+J34</x:f>
        <x:v>51.47999999999999</x:v>
      </x:c>
      <x:c r="L35" s="118" t="str">
        <x:f>IF(I35=0,"Cap",IF(J35&lt;0.5,"Too fast",IF(J35&gt;14,"Slow","OK")))</x:f>
        <x:v>OK</x:v>
      </x:c>
    </x:row>
    <x:row r="36" ht="15" hidden="0" customHeight="1">
      <x:c r="A36" s="118" t="n">
        <x:v>33</x:v>
      </x:c>
      <x:c r="B36" s="118" t="str">
        <x:f>IFERROR(INDEX('XP Curve'!$H$4:$H$73,MATCH(A36,'XP Curve'!$A$4:$A$73,0)),"")</x:f>
        <x:v>Picasso Triggerfish (R)</x:v>
      </x:c>
      <x:c r="C36" s="118" t="n">
        <x:f>COUNTIF('Tanks &amp; Social'!$B$4:$B$11,"&lt;="&amp;A36)</x:f>
        <x:v>4</x:v>
      </x:c>
      <x:c r="D36" s="118" t="n">
        <x:f>C36*Inputs!$B$8+MAX(0,C36-1)*8+IF(A36&gt;=40,10,IF(A36&gt;=25,5,0))</x:f>
        <x:v>69</x:v>
      </x:c>
      <x:c r="E36" s="121" t="n">
        <x:f>ROUND(Inputs!$B$70+(A36-Inputs!$B$68)*(Inputs!$B$71-Inputs!$B$70)/(Inputs!$B$69-Inputs!$B$68),1)</x:f>
        <x:v>373.2</x:v>
      </x:c>
      <x:c r="F36" s="121" t="n">
        <x:f>ROUND(Inputs!$B$72+(A36-Inputs!$B$68)*(Inputs!$B$73-Inputs!$B$72)/(Inputs!$B$69-Inputs!$B$68),1)</x:f>
        <x:v>101.7</x:v>
      </x:c>
      <x:c r="G36" s="127" t="n">
        <x:f>ROUND(E36*D36*24*Inputs!$B$81,0)</x:f>
        <x:v>49442</x:v>
      </x:c>
      <x:c r="H36" s="127" t="n">
        <x:f>ROUND(F36*D36*24*Inputs!$B$82,0)</x:f>
        <x:v>13473</x:v>
      </x:c>
      <x:c r="I36" s="127" t="n">
        <x:f>IF(A36&lt;70,INDEX('XP Curve'!$F$4:$F$73,MATCH(A36+1,'XP Curve'!$A$4:$A$73,0)),0)</x:f>
        <x:v>56510</x:v>
      </x:c>
      <x:c r="J36" s="128" t="n">
        <x:f>IF(I36=0,0,ROUND(I36/MAX(1,H36),2))</x:f>
        <x:v>4.19</x:v>
      </x:c>
      <x:c r="K36" s="128" t="n">
        <x:f>K35+J35</x:f>
        <x:v>55.32999999999999</x:v>
      </x:c>
      <x:c r="L36" s="118" t="str">
        <x:f>IF(I36=0,"Cap",IF(J36&lt;0.5,"Too fast",IF(J36&gt;14,"Slow","OK")))</x:f>
        <x:v>OK</x:v>
      </x:c>
    </x:row>
    <x:row r="37" ht="15" hidden="0" customHeight="1">
      <x:c r="A37" s="118" t="n">
        <x:v>34</x:v>
      </x:c>
      <x:c r="B37" s="118" t="str">
        <x:f>IFERROR(INDEX('XP Curve'!$H$4:$H$73,MATCH(A37,'XP Curve'!$A$4:$A$73,0)),"")</x:f>
        <x:v>Tank 5 unlock</x:v>
      </x:c>
      <x:c r="C37" s="118" t="n">
        <x:f>COUNTIF('Tanks &amp; Social'!$B$4:$B$11,"&lt;="&amp;A37)</x:f>
        <x:v>5</x:v>
      </x:c>
      <x:c r="D37" s="118" t="n">
        <x:f>C37*Inputs!$B$8+MAX(0,C37-1)*8+IF(A37&gt;=40,10,IF(A37&gt;=25,5,0))</x:f>
        <x:v>87</x:v>
      </x:c>
      <x:c r="E37" s="121" t="n">
        <x:f>ROUND(Inputs!$B$70+(A37-Inputs!$B$68)*(Inputs!$B$71-Inputs!$B$70)/(Inputs!$B$69-Inputs!$B$68),1)</x:f>
        <x:v>378.9</x:v>
      </x:c>
      <x:c r="F37" s="121" t="n">
        <x:f>ROUND(Inputs!$B$72+(A37-Inputs!$B$68)*(Inputs!$B$73-Inputs!$B$72)/(Inputs!$B$69-Inputs!$B$68),1)</x:f>
        <x:v>103</x:v>
      </x:c>
      <x:c r="G37" s="127" t="n">
        <x:f>ROUND(E37*D37*24*Inputs!$B$81,0)</x:f>
        <x:v>63291</x:v>
      </x:c>
      <x:c r="H37" s="127" t="n">
        <x:f>ROUND(F37*D37*24*Inputs!$B$82,0)</x:f>
        <x:v>17205</x:v>
      </x:c>
      <x:c r="I37" s="127" t="n">
        <x:f>IF(A37&lt;70,INDEX('XP Curve'!$F$4:$F$73,MATCH(A37+1,'XP Curve'!$A$4:$A$73,0)),0)</x:f>
        <x:v>62110</x:v>
      </x:c>
      <x:c r="J37" s="128" t="n">
        <x:f>IF(I37=0,0,ROUND(I37/MAX(1,H37),2))</x:f>
        <x:v>3.61</x:v>
      </x:c>
      <x:c r="K37" s="128" t="n">
        <x:f>K36+J36</x:f>
        <x:v>59.51999999999999</x:v>
      </x:c>
      <x:c r="L37" s="118" t="str">
        <x:f>IF(I37=0,"Cap",IF(J37&lt;0.5,"Too fast",IF(J37&gt;14,"Slow","OK")))</x:f>
        <x:v>OK</x:v>
      </x:c>
    </x:row>
    <x:row r="38" ht="15" hidden="0" customHeight="1">
      <x:c r="A38" s="118" t="n">
        <x:v>35</x:v>
      </x:c>
      <x:c r="B38" s="118" t="str">
        <x:f>IFERROR(INDEX('XP Curve'!$H$4:$H$73,MATCH(A38,'XP Curve'!$A$4:$A$73,0)),"")</x:f>
        <x:v>Discus (R); Black Diamond Stingray [Pearls]</x:v>
      </x:c>
      <x:c r="C38" s="118" t="n">
        <x:f>COUNTIF('Tanks &amp; Social'!$B$4:$B$11,"&lt;="&amp;A38)</x:f>
        <x:v>5</x:v>
      </x:c>
      <x:c r="D38" s="118" t="n">
        <x:f>C38*Inputs!$B$8+MAX(0,C38-1)*8+IF(A38&gt;=40,10,IF(A38&gt;=25,5,0))</x:f>
        <x:v>87</x:v>
      </x:c>
      <x:c r="E38" s="121" t="n">
        <x:f>ROUND(Inputs!$B$70+(A38-Inputs!$B$68)*(Inputs!$B$71-Inputs!$B$70)/(Inputs!$B$69-Inputs!$B$68),1)</x:f>
        <x:v>384.6</x:v>
      </x:c>
      <x:c r="F38" s="121" t="n">
        <x:f>ROUND(Inputs!$B$72+(A38-Inputs!$B$68)*(Inputs!$B$73-Inputs!$B$72)/(Inputs!$B$69-Inputs!$B$68),1)</x:f>
        <x:v>104.3</x:v>
      </x:c>
      <x:c r="G38" s="127" t="n">
        <x:f>ROUND(E38*D38*24*Inputs!$B$81,0)</x:f>
        <x:v>64244</x:v>
      </x:c>
      <x:c r="H38" s="127" t="n">
        <x:f>ROUND(F38*D38*24*Inputs!$B$82,0)</x:f>
        <x:v>17422</x:v>
      </x:c>
      <x:c r="I38" s="127" t="n">
        <x:f>IF(A38&lt;70,INDEX('XP Curve'!$F$4:$F$73,MATCH(A38+1,'XP Curve'!$A$4:$A$73,0)),0)</x:f>
        <x:v>68080</x:v>
      </x:c>
      <x:c r="J38" s="128" t="n">
        <x:f>IF(I38=0,0,ROUND(I38/MAX(1,H38),2))</x:f>
        <x:v>3.91</x:v>
      </x:c>
      <x:c r="K38" s="128" t="n">
        <x:f>K37+J37</x:f>
        <x:v>63.12999999999999</x:v>
      </x:c>
      <x:c r="L38" s="118" t="str">
        <x:f>IF(I38=0,"Cap",IF(J38&lt;0.5,"Too fast",IF(J38&gt;14,"Slow","OK")))</x:f>
        <x:v>OK</x:v>
      </x:c>
    </x:row>
    <x:row r="39" ht="15" hidden="0" customHeight="1">
      <x:c r="A39" s="118" t="n">
        <x:v>36</x:v>
      </x:c>
      <x:c r="B39" s="118" t="str">
        <x:f>IFERROR(INDEX('XP Curve'!$H$4:$H$73,MATCH(A39,'XP Curve'!$A$4:$A$73,0)),"")</x:f>
        <x:v>Moorish Idol (E)</x:v>
      </x:c>
      <x:c r="C39" s="118" t="n">
        <x:f>COUNTIF('Tanks &amp; Social'!$B$4:$B$11,"&lt;="&amp;A39)</x:f>
        <x:v>5</x:v>
      </x:c>
      <x:c r="D39" s="118" t="n">
        <x:f>C39*Inputs!$B$8+MAX(0,C39-1)*8+IF(A39&gt;=40,10,IF(A39&gt;=25,5,0))</x:f>
        <x:v>87</x:v>
      </x:c>
      <x:c r="E39" s="121" t="n">
        <x:f>ROUND(Inputs!$B$70+(A39-Inputs!$B$68)*(Inputs!$B$71-Inputs!$B$70)/(Inputs!$B$69-Inputs!$B$68),1)</x:f>
        <x:v>390.4</x:v>
      </x:c>
      <x:c r="F39" s="121" t="n">
        <x:f>ROUND(Inputs!$B$72+(A39-Inputs!$B$68)*(Inputs!$B$73-Inputs!$B$72)/(Inputs!$B$69-Inputs!$B$68),1)</x:f>
        <x:v>105.7</x:v>
      </x:c>
      <x:c r="G39" s="127" t="n">
        <x:f>ROUND(E39*D39*24*Inputs!$B$81,0)</x:f>
        <x:v>65212</x:v>
      </x:c>
      <x:c r="H39" s="127" t="n">
        <x:f>ROUND(F39*D39*24*Inputs!$B$82,0)</x:f>
        <x:v>17656</x:v>
      </x:c>
      <x:c r="I39" s="127" t="n">
        <x:f>IF(A39&lt;70,INDEX('XP Curve'!$F$4:$F$73,MATCH(A39+1,'XP Curve'!$A$4:$A$73,0)),0)</x:f>
        <x:v>72280</x:v>
      </x:c>
      <x:c r="J39" s="128" t="n">
        <x:f>IF(I39=0,0,ROUND(I39/MAX(1,H39),2))</x:f>
        <x:v>4.09</x:v>
      </x:c>
      <x:c r="K39" s="128" t="n">
        <x:f>K38+J38</x:f>
        <x:v>67.03999999999999</x:v>
      </x:c>
      <x:c r="L39" s="118" t="str">
        <x:f>IF(I39=0,"Cap",IF(J39&lt;0.5,"Too fast",IF(J39&gt;14,"Slow","OK")))</x:f>
        <x:v>OK</x:v>
      </x:c>
    </x:row>
    <x:row r="40" ht="15" hidden="0" customHeight="1">
      <x:c r="A40" s="118" t="n">
        <x:v>37</x:v>
      </x:c>
      <x:c r="B40" s="118" t="str">
        <x:f>IFERROR(INDEX('XP Curve'!$H$4:$H$73,MATCH(A40,'XP Curve'!$A$4:$A$73,0)),"")</x:f>
        <x:v>Large Tank 4</x:v>
      </x:c>
      <x:c r="C40" s="118" t="n">
        <x:f>COUNTIF('Tanks &amp; Social'!$B$4:$B$11,"&lt;="&amp;A40)</x:f>
        <x:v>5</x:v>
      </x:c>
      <x:c r="D40" s="118" t="n">
        <x:f>C40*Inputs!$B$8+MAX(0,C40-1)*8+IF(A40&gt;=40,10,IF(A40&gt;=25,5,0))</x:f>
        <x:v>87</x:v>
      </x:c>
      <x:c r="E40" s="121" t="n">
        <x:f>ROUND(Inputs!$B$70+(A40-Inputs!$B$68)*(Inputs!$B$71-Inputs!$B$70)/(Inputs!$B$69-Inputs!$B$68),1)</x:f>
        <x:v>396.1</x:v>
      </x:c>
      <x:c r="F40" s="121" t="n">
        <x:f>ROUND(Inputs!$B$72+(A40-Inputs!$B$68)*(Inputs!$B$73-Inputs!$B$72)/(Inputs!$B$69-Inputs!$B$68),1)</x:f>
        <x:v>107</x:v>
      </x:c>
      <x:c r="G40" s="127" t="n">
        <x:f>ROUND(E40*D40*24*Inputs!$B$81,0)</x:f>
        <x:v>66165</x:v>
      </x:c>
      <x:c r="H40" s="127" t="n">
        <x:f>ROUND(F40*D40*24*Inputs!$B$82,0)</x:f>
        <x:v>17873</x:v>
      </x:c>
      <x:c r="I40" s="127" t="n">
        <x:f>IF(A40&lt;70,INDEX('XP Curve'!$F$4:$F$73,MATCH(A40+1,'XP Curve'!$A$4:$A$73,0)),0)</x:f>
        <x:v>76620</x:v>
      </x:c>
      <x:c r="J40" s="128" t="n">
        <x:f>IF(I40=0,0,ROUND(I40/MAX(1,H40),2))</x:f>
        <x:v>4.29</x:v>
      </x:c>
      <x:c r="K40" s="128" t="n">
        <x:f>K39+J39</x:f>
        <x:v>71.13</x:v>
      </x:c>
      <x:c r="L40" s="118" t="str">
        <x:f>IF(I40=0,"Cap",IF(J40&lt;0.5,"Too fast",IF(J40&gt;14,"Slow","OK")))</x:f>
        <x:v>OK</x:v>
      </x:c>
    </x:row>
    <x:row r="41" ht="15" hidden="0" customHeight="1">
      <x:c r="A41" s="118" t="n">
        <x:v>38</x:v>
      </x:c>
      <x:c r="B41" s="118" t="str">
        <x:f>IFERROR(INDEX('XP Curve'!$H$4:$H$73,MATCH(A41,'XP Curve'!$A$4:$A$73,0)),"")</x:f>
        <x:v>Blueline Triggerfish (R)</x:v>
      </x:c>
      <x:c r="C41" s="118" t="n">
        <x:f>COUNTIF('Tanks &amp; Social'!$B$4:$B$11,"&lt;="&amp;A41)</x:f>
        <x:v>5</x:v>
      </x:c>
      <x:c r="D41" s="118" t="n">
        <x:f>C41*Inputs!$B$8+MAX(0,C41-1)*8+IF(A41&gt;=40,10,IF(A41&gt;=25,5,0))</x:f>
        <x:v>87</x:v>
      </x:c>
      <x:c r="E41" s="121" t="n">
        <x:f>ROUND(Inputs!$B$70+(A41-Inputs!$B$68)*(Inputs!$B$71-Inputs!$B$70)/(Inputs!$B$69-Inputs!$B$68),1)</x:f>
        <x:v>401.8</x:v>
      </x:c>
      <x:c r="F41" s="121" t="n">
        <x:f>ROUND(Inputs!$B$72+(A41-Inputs!$B$68)*(Inputs!$B$73-Inputs!$B$72)/(Inputs!$B$69-Inputs!$B$68),1)</x:f>
        <x:v>108.3</x:v>
      </x:c>
      <x:c r="G41" s="127" t="n">
        <x:f>ROUND(E41*D41*24*Inputs!$B$81,0)</x:f>
        <x:v>67117</x:v>
      </x:c>
      <x:c r="H41" s="127" t="n">
        <x:f>ROUND(F41*D41*24*Inputs!$B$82,0)</x:f>
        <x:v>18090</x:v>
      </x:c>
      <x:c r="I41" s="127" t="n">
        <x:f>IF(A41&lt;70,INDEX('XP Curve'!$F$4:$F$73,MATCH(A41+1,'XP Curve'!$A$4:$A$73,0)),0)</x:f>
        <x:v>81080</x:v>
      </x:c>
      <x:c r="J41" s="128" t="n">
        <x:f>IF(I41=0,0,ROUND(I41/MAX(1,H41),2))</x:f>
        <x:v>4.48</x:v>
      </x:c>
      <x:c r="K41" s="128" t="n">
        <x:f>K40+J40</x:f>
        <x:v>75.42</x:v>
      </x:c>
      <x:c r="L41" s="118" t="str">
        <x:f>IF(I41=0,"Cap",IF(J41&lt;0.5,"Too fast",IF(J41&gt;14,"Slow","OK")))</x:f>
        <x:v>OK</x:v>
      </x:c>
    </x:row>
    <x:row r="42" ht="15" hidden="0" customHeight="1">
      <x:c r="A42" s="118" t="n">
        <x:v>39</x:v>
      </x:c>
      <x:c r="B42" s="118" t="str">
        <x:f>IFERROR(INDEX('XP Curve'!$H$4:$H$73,MATCH(A42,'XP Curve'!$A$4:$A$73,0)),"")</x:f>
      </x:c>
      <x:c r="C42" s="118" t="n">
        <x:f>COUNTIF('Tanks &amp; Social'!$B$4:$B$11,"&lt;="&amp;A42)</x:f>
        <x:v>5</x:v>
      </x:c>
      <x:c r="D42" s="118" t="n">
        <x:f>C42*Inputs!$B$8+MAX(0,C42-1)*8+IF(A42&gt;=40,10,IF(A42&gt;=25,5,0))</x:f>
        <x:v>87</x:v>
      </x:c>
      <x:c r="E42" s="121" t="n">
        <x:f>ROUND(Inputs!$B$70+(A42-Inputs!$B$68)*(Inputs!$B$71-Inputs!$B$70)/(Inputs!$B$69-Inputs!$B$68),1)</x:f>
        <x:v>407.5</x:v>
      </x:c>
      <x:c r="F42" s="121" t="n">
        <x:f>ROUND(Inputs!$B$72+(A42-Inputs!$B$68)*(Inputs!$B$73-Inputs!$B$72)/(Inputs!$B$69-Inputs!$B$68),1)</x:f>
        <x:v>109.6</x:v>
      </x:c>
      <x:c r="G42" s="127" t="n">
        <x:f>ROUND(E42*D42*24*Inputs!$B$81,0)</x:f>
        <x:v>68069</x:v>
      </x:c>
      <x:c r="H42" s="127" t="n">
        <x:f>ROUND(F42*D42*24*Inputs!$B$82,0)</x:f>
        <x:v>18308</x:v>
      </x:c>
      <x:c r="I42" s="127" t="n">
        <x:f>IF(A42&lt;70,INDEX('XP Curve'!$F$4:$F$73,MATCH(A42+1,'XP Curve'!$A$4:$A$73,0)),0)</x:f>
        <x:v>85670</x:v>
      </x:c>
      <x:c r="J42" s="128" t="n">
        <x:f>IF(I42=0,0,ROUND(I42/MAX(1,H42),2))</x:f>
        <x:v>4.68</x:v>
      </x:c>
      <x:c r="K42" s="128" t="n">
        <x:f>K41+J41</x:f>
        <x:v>79.9</x:v>
      </x:c>
      <x:c r="L42" s="118" t="str">
        <x:f>IF(I42=0,"Cap",IF(J42&lt;0.5,"Too fast",IF(J42&gt;14,"Slow","OK")))</x:f>
        <x:v>OK</x:v>
      </x:c>
    </x:row>
    <x:row r="43" ht="39.599998474121094" hidden="0" customHeight="1">
      <x:c r="A43" s="118" t="n">
        <x:v>40</x:v>
      </x:c>
      <x:c r="B43" s="118" t="str">
        <x:f>IFERROR(INDEX('XP Curve'!$H$4:$H$73,MATCH(A43,'XP Curve'!$A$4:$A$73,0)),"")</x:f>
        <x:v>Queen Angelfish (E); Platinum Arowana [Pearls]; Medium Tank 5  &lt;&lt; LAUNCH LEVEL CAP, capstone pacing</x:v>
      </x:c>
      <x:c r="C43" s="118" t="n">
        <x:f>COUNTIF('Tanks &amp; Social'!$B$4:$B$11,"&lt;="&amp;A43)</x:f>
        <x:v>5</x:v>
      </x:c>
      <x:c r="D43" s="118" t="n">
        <x:f>C43*Inputs!$B$8+MAX(0,C43-1)*8+IF(A43&gt;=40,10,IF(A43&gt;=25,5,0))</x:f>
        <x:v>92</x:v>
      </x:c>
      <x:c r="E43" s="121" t="n">
        <x:f>ROUND(Inputs!$B$70+(A43-Inputs!$B$68)*(Inputs!$B$71-Inputs!$B$70)/(Inputs!$B$69-Inputs!$B$68),1)</x:f>
        <x:v>413.3</x:v>
      </x:c>
      <x:c r="F43" s="121" t="n">
        <x:f>ROUND(Inputs!$B$72+(A43-Inputs!$B$68)*(Inputs!$B$73-Inputs!$B$72)/(Inputs!$B$69-Inputs!$B$68),1)</x:f>
        <x:v>110.9</x:v>
      </x:c>
      <x:c r="G43" s="127" t="n">
        <x:f>ROUND(E43*D43*24*Inputs!$B$81,0)</x:f>
        <x:v>73005</x:v>
      </x:c>
      <x:c r="H43" s="127" t="n">
        <x:f>ROUND(F43*D43*24*Inputs!$B$82,0)</x:f>
        <x:v>19589</x:v>
      </x:c>
      <x:c r="I43" s="127" t="n">
        <x:f>IF(A43&lt;70,INDEX('XP Curve'!$F$4:$F$73,MATCH(A43+1,'XP Curve'!$A$4:$A$73,0)),0)</x:f>
        <x:v>90390</x:v>
      </x:c>
      <x:c r="J43" s="128" t="n">
        <x:f>IF(I43=0,0,ROUND(I43/MAX(1,H43),2))</x:f>
        <x:v>4.61</x:v>
      </x:c>
      <x:c r="K43" s="128" t="n">
        <x:f>K42+J42</x:f>
        <x:v>84.58000000000001</x:v>
      </x:c>
      <x:c r="L43" s="118" t="str">
        <x:f>IF(I43=0,"Cap",IF(J43&lt;0.5,"Too fast",IF(J43&gt;14,"Slow","OK")))</x:f>
        <x:v>OK</x:v>
      </x:c>
    </x:row>
    <x:row r="44" ht="15" hidden="0" customHeight="1">
      <x:c r="A44" s="118" t="n">
        <x:v>41</x:v>
      </x:c>
      <x:c r="B44" s="118" t="str">
        <x:f>IFERROR(INDEX('XP Curve'!$H$4:$H$73,MATCH(A44,'XP Curve'!$A$4:$A$73,0)),"")</x:f>
        <x:v>Post-launch: roadmap wave content</x:v>
      </x:c>
      <x:c r="C44" s="118" t="n">
        <x:f>COUNTIF('Tanks &amp; Social'!$B$4:$B$11,"&lt;="&amp;A44)</x:f>
        <x:v>5</x:v>
      </x:c>
      <x:c r="D44" s="118" t="n">
        <x:f>C44*Inputs!$B$8+MAX(0,C44-1)*8+IF(A44&gt;=40,10,IF(A44&gt;=25,5,0))</x:f>
        <x:v>92</x:v>
      </x:c>
      <x:c r="E44" s="121" t="n">
        <x:f>ROUND(Inputs!$B$70+(A44-Inputs!$B$68)*(Inputs!$B$71-Inputs!$B$70)/(Inputs!$B$69-Inputs!$B$68),1)</x:f>
        <x:v>419</x:v>
      </x:c>
      <x:c r="F44" s="121" t="n">
        <x:f>ROUND(Inputs!$B$72+(A44-Inputs!$B$68)*(Inputs!$B$73-Inputs!$B$72)/(Inputs!$B$69-Inputs!$B$68),1)</x:f>
        <x:v>112.2</x:v>
      </x:c>
      <x:c r="G44" s="127" t="n">
        <x:f>ROUND(E44*D44*24*Inputs!$B$81,0)</x:f>
        <x:v>74012</x:v>
      </x:c>
      <x:c r="H44" s="127" t="n">
        <x:f>ROUND(F44*D44*24*Inputs!$B$82,0)</x:f>
        <x:v>19819</x:v>
      </x:c>
      <x:c r="I44" s="127" t="n">
        <x:f>IF(A44&lt;70,INDEX('XP Curve'!$F$4:$F$73,MATCH(A44+1,'XP Curve'!$A$4:$A$73,0)),0)</x:f>
        <x:v>95230</x:v>
      </x:c>
      <x:c r="J44" s="128" t="n">
        <x:f>IF(I44=0,0,ROUND(I44/MAX(1,H44),2))</x:f>
        <x:v>4.8</x:v>
      </x:c>
      <x:c r="K44" s="128" t="n">
        <x:f>K43+J43</x:f>
        <x:v>89.19000000000001</x:v>
      </x:c>
      <x:c r="L44" s="118" t="str">
        <x:f>IF(I44=0,"Cap",IF(J44&lt;0.5,"Too fast",IF(J44&gt;14,"Slow","OK")))</x:f>
        <x:v>OK</x:v>
      </x:c>
    </x:row>
    <x:row r="45" ht="15" hidden="0" customHeight="1">
      <x:c r="A45" s="118" t="n">
        <x:v>42</x:v>
      </x:c>
      <x:c r="B45" s="118" t="str">
        <x:f>IFERROR(INDEX('XP Curve'!$H$4:$H$73,MATCH(A45,'XP Curve'!$A$4:$A$73,0)),"")</x:f>
        <x:v>Post-launch: roadmap wave content</x:v>
      </x:c>
      <x:c r="C45" s="118" t="n">
        <x:f>COUNTIF('Tanks &amp; Social'!$B$4:$B$11,"&lt;="&amp;A45)</x:f>
        <x:v>5</x:v>
      </x:c>
      <x:c r="D45" s="118" t="n">
        <x:f>C45*Inputs!$B$8+MAX(0,C45-1)*8+IF(A45&gt;=40,10,IF(A45&gt;=25,5,0))</x:f>
        <x:v>92</x:v>
      </x:c>
      <x:c r="E45" s="121" t="n">
        <x:f>ROUND(Inputs!$B$70+(A45-Inputs!$B$68)*(Inputs!$B$71-Inputs!$B$70)/(Inputs!$B$69-Inputs!$B$68),1)</x:f>
        <x:v>424.7</x:v>
      </x:c>
      <x:c r="F45" s="121" t="n">
        <x:f>ROUND(Inputs!$B$72+(A45-Inputs!$B$68)*(Inputs!$B$73-Inputs!$B$72)/(Inputs!$B$69-Inputs!$B$68),1)</x:f>
        <x:v>113.5</x:v>
      </x:c>
      <x:c r="G45" s="127" t="n">
        <x:f>ROUND(E45*D45*24*Inputs!$B$81,0)</x:f>
        <x:v>75019</x:v>
      </x:c>
      <x:c r="H45" s="127" t="n">
        <x:f>ROUND(F45*D45*24*Inputs!$B$82,0)</x:f>
        <x:v>20049</x:v>
      </x:c>
      <x:c r="I45" s="127" t="n">
        <x:f>IF(A45&lt;70,INDEX('XP Curve'!$F$4:$F$73,MATCH(A45+1,'XP Curve'!$A$4:$A$73,0)),0)</x:f>
        <x:v>100210</x:v>
      </x:c>
      <x:c r="J45" s="128" t="n">
        <x:f>IF(I45=0,0,ROUND(I45/MAX(1,H45),2))</x:f>
        <x:v>5</x:v>
      </x:c>
      <x:c r="K45" s="128" t="n">
        <x:f>K44+J44</x:f>
        <x:v>93.99000000000001</x:v>
      </x:c>
      <x:c r="L45" s="118" t="str">
        <x:f>IF(I45=0,"Cap",IF(J45&lt;0.5,"Too fast",IF(J45&gt;14,"Slow","OK")))</x:f>
        <x:v>OK</x:v>
      </x:c>
    </x:row>
    <x:row r="46" ht="15" hidden="0" customHeight="1">
      <x:c r="A46" s="118" t="n">
        <x:v>43</x:v>
      </x:c>
      <x:c r="B46" s="118" t="str">
        <x:f>IFERROR(INDEX('XP Curve'!$H$4:$H$73,MATCH(A46,'XP Curve'!$A$4:$A$73,0)),"")</x:f>
        <x:v>Post-launch: Tank 6 unlock</x:v>
      </x:c>
      <x:c r="C46" s="118" t="n">
        <x:f>COUNTIF('Tanks &amp; Social'!$B$4:$B$11,"&lt;="&amp;A46)</x:f>
        <x:v>6</x:v>
      </x:c>
      <x:c r="D46" s="118" t="n">
        <x:f>C46*Inputs!$B$8+MAX(0,C46-1)*8+IF(A46&gt;=40,10,IF(A46&gt;=25,5,0))</x:f>
        <x:v>110</x:v>
      </x:c>
      <x:c r="E46" s="121" t="n">
        <x:f>ROUND(Inputs!$B$70+(A46-Inputs!$B$68)*(Inputs!$B$71-Inputs!$B$70)/(Inputs!$B$69-Inputs!$B$68),1)</x:f>
        <x:v>430.4</x:v>
      </x:c>
      <x:c r="F46" s="121" t="n">
        <x:f>ROUND(Inputs!$B$72+(A46-Inputs!$B$68)*(Inputs!$B$73-Inputs!$B$72)/(Inputs!$B$69-Inputs!$B$68),1)</x:f>
        <x:v>114.8</x:v>
      </x:c>
      <x:c r="G46" s="127" t="n">
        <x:f>ROUND(E46*D46*24*Inputs!$B$81,0)</x:f>
        <x:v>90900</x:v>
      </x:c>
      <x:c r="H46" s="127" t="n">
        <x:f>ROUND(F46*D46*24*Inputs!$B$82,0)</x:f>
        <x:v>24246</x:v>
      </x:c>
      <x:c r="I46" s="127" t="n">
        <x:f>IF(A46&lt;70,INDEX('XP Curve'!$F$4:$F$73,MATCH(A46+1,'XP Curve'!$A$4:$A$73,0)),0)</x:f>
        <x:v>105310</x:v>
      </x:c>
      <x:c r="J46" s="128" t="n">
        <x:f>IF(I46=0,0,ROUND(I46/MAX(1,H46),2))</x:f>
        <x:v>4.34</x:v>
      </x:c>
      <x:c r="K46" s="128" t="n">
        <x:f>K45+J45</x:f>
        <x:v>98.99000000000001</x:v>
      </x:c>
      <x:c r="L46" s="118" t="str">
        <x:f>IF(I46=0,"Cap",IF(J46&lt;0.5,"Too fast",IF(J46&gt;14,"Slow","OK")))</x:f>
        <x:v>OK</x:v>
      </x:c>
    </x:row>
    <x:row r="47" ht="15" hidden="0" customHeight="1">
      <x:c r="A47" s="118" t="n">
        <x:v>44</x:v>
      </x:c>
      <x:c r="B47" s="118" t="str">
        <x:f>IFERROR(INDEX('XP Curve'!$H$4:$H$73,MATCH(A47,'XP Curve'!$A$4:$A$73,0)),"")</x:f>
        <x:v>Post-launch: roadmap wave content</x:v>
      </x:c>
      <x:c r="C47" s="118" t="n">
        <x:f>COUNTIF('Tanks &amp; Social'!$B$4:$B$11,"&lt;="&amp;A47)</x:f>
        <x:v>6</x:v>
      </x:c>
      <x:c r="D47" s="118" t="n">
        <x:f>C47*Inputs!$B$8+MAX(0,C47-1)*8+IF(A47&gt;=40,10,IF(A47&gt;=25,5,0))</x:f>
        <x:v>110</x:v>
      </x:c>
      <x:c r="E47" s="121" t="n">
        <x:f>ROUND(Inputs!$B$70+(A47-Inputs!$B$68)*(Inputs!$B$71-Inputs!$B$70)/(Inputs!$B$69-Inputs!$B$68),1)</x:f>
        <x:v>436.2</x:v>
      </x:c>
      <x:c r="F47" s="121" t="n">
        <x:f>ROUND(Inputs!$B$72+(A47-Inputs!$B$68)*(Inputs!$B$73-Inputs!$B$72)/(Inputs!$B$69-Inputs!$B$68),1)</x:f>
        <x:v>116.1</x:v>
      </x:c>
      <x:c r="G47" s="127" t="n">
        <x:f>ROUND(E47*D47*24*Inputs!$B$81,0)</x:f>
        <x:v>92125</x:v>
      </x:c>
      <x:c r="H47" s="127" t="n">
        <x:f>ROUND(F47*D47*24*Inputs!$B$82,0)</x:f>
        <x:v>24520</x:v>
      </x:c>
      <x:c r="I47" s="127" t="n">
        <x:f>IF(A47&lt;70,INDEX('XP Curve'!$F$4:$F$73,MATCH(A47+1,'XP Curve'!$A$4:$A$73,0)),0)</x:f>
        <x:v>110530</x:v>
      </x:c>
      <x:c r="J47" s="128" t="n">
        <x:f>IF(I47=0,0,ROUND(I47/MAX(1,H47),2))</x:f>
        <x:v>4.51</x:v>
      </x:c>
      <x:c r="K47" s="128" t="n">
        <x:f>K46+J46</x:f>
        <x:v>103.33000000000001</x:v>
      </x:c>
      <x:c r="L47" s="118" t="str">
        <x:f>IF(I47=0,"Cap",IF(J47&lt;0.5,"Too fast",IF(J47&gt;14,"Slow","OK")))</x:f>
        <x:v>OK</x:v>
      </x:c>
    </x:row>
    <x:row r="48" ht="15" hidden="0" customHeight="1">
      <x:c r="A48" s="118" t="n">
        <x:v>45</x:v>
      </x:c>
      <x:c r="B48" s="118" t="str">
        <x:f>IFERROR(INDEX('XP Curve'!$H$4:$H$73,MATCH(A48,'XP Curve'!$A$4:$A$73,0)),"")</x:f>
        <x:v>Post-launch: roadmap wave content</x:v>
      </x:c>
      <x:c r="C48" s="118" t="n">
        <x:f>COUNTIF('Tanks &amp; Social'!$B$4:$B$11,"&lt;="&amp;A48)</x:f>
        <x:v>6</x:v>
      </x:c>
      <x:c r="D48" s="118" t="n">
        <x:f>C48*Inputs!$B$8+MAX(0,C48-1)*8+IF(A48&gt;=40,10,IF(A48&gt;=25,5,0))</x:f>
        <x:v>110</x:v>
      </x:c>
      <x:c r="E48" s="121" t="n">
        <x:f>ROUND(Inputs!$B$70+(A48-Inputs!$B$68)*(Inputs!$B$71-Inputs!$B$70)/(Inputs!$B$69-Inputs!$B$68),1)</x:f>
        <x:v>441.9</x:v>
      </x:c>
      <x:c r="F48" s="121" t="n">
        <x:f>ROUND(Inputs!$B$72+(A48-Inputs!$B$68)*(Inputs!$B$73-Inputs!$B$72)/(Inputs!$B$69-Inputs!$B$68),1)</x:f>
        <x:v>117.4</x:v>
      </x:c>
      <x:c r="G48" s="127" t="n">
        <x:f>ROUND(E48*D48*24*Inputs!$B$81,0)</x:f>
        <x:v>93329</x:v>
      </x:c>
      <x:c r="H48" s="127" t="n">
        <x:f>ROUND(F48*D48*24*Inputs!$B$82,0)</x:f>
        <x:v>24795</x:v>
      </x:c>
      <x:c r="I48" s="127" t="n">
        <x:f>IF(A48&lt;70,INDEX('XP Curve'!$F$4:$F$73,MATCH(A48+1,'XP Curve'!$A$4:$A$73,0)),0)</x:f>
        <x:v>115890</x:v>
      </x:c>
      <x:c r="J48" s="128" t="n">
        <x:f>IF(I48=0,0,ROUND(I48/MAX(1,H48),2))</x:f>
        <x:v>4.67</x:v>
      </x:c>
      <x:c r="K48" s="128" t="n">
        <x:f>K47+J47</x:f>
        <x:v>107.84000000000002</x:v>
      </x:c>
      <x:c r="L48" s="118" t="str">
        <x:f>IF(I48=0,"Cap",IF(J48&lt;0.5,"Too fast",IF(J48&gt;14,"Slow","OK")))</x:f>
        <x:v>OK</x:v>
      </x:c>
    </x:row>
    <x:row r="49" ht="15" hidden="0" customHeight="1">
      <x:c r="A49" s="118" t="n">
        <x:v>46</x:v>
      </x:c>
      <x:c r="B49" s="118" t="str">
        <x:f>IFERROR(INDEX('XP Curve'!$H$4:$H$73,MATCH(A49,'XP Curve'!$A$4:$A$73,0)),"")</x:f>
        <x:v>Post-launch: Large Tank 5</x:v>
      </x:c>
      <x:c r="C49" s="118" t="n">
        <x:f>COUNTIF('Tanks &amp; Social'!$B$4:$B$11,"&lt;="&amp;A49)</x:f>
        <x:v>6</x:v>
      </x:c>
      <x:c r="D49" s="118" t="n">
        <x:f>C49*Inputs!$B$8+MAX(0,C49-1)*8+IF(A49&gt;=40,10,IF(A49&gt;=25,5,0))</x:f>
        <x:v>110</x:v>
      </x:c>
      <x:c r="E49" s="121" t="n">
        <x:f>ROUND(Inputs!$B$70+(A49-Inputs!$B$68)*(Inputs!$B$71-Inputs!$B$70)/(Inputs!$B$69-Inputs!$B$68),1)</x:f>
        <x:v>447.6</x:v>
      </x:c>
      <x:c r="F49" s="121" t="n">
        <x:f>ROUND(Inputs!$B$72+(A49-Inputs!$B$68)*(Inputs!$B$73-Inputs!$B$72)/(Inputs!$B$69-Inputs!$B$68),1)</x:f>
        <x:v>118.7</x:v>
      </x:c>
      <x:c r="G49" s="127" t="n">
        <x:f>ROUND(E49*D49*24*Inputs!$B$81,0)</x:f>
        <x:v>94533</x:v>
      </x:c>
      <x:c r="H49" s="127" t="n">
        <x:f>ROUND(F49*D49*24*Inputs!$B$82,0)</x:f>
        <x:v>25069</x:v>
      </x:c>
      <x:c r="I49" s="127" t="n">
        <x:f>IF(A49&lt;70,INDEX('XP Curve'!$F$4:$F$73,MATCH(A49+1,'XP Curve'!$A$4:$A$73,0)),0)</x:f>
        <x:v>121370</x:v>
      </x:c>
      <x:c r="J49" s="128" t="n">
        <x:f>IF(I49=0,0,ROUND(I49/MAX(1,H49),2))</x:f>
        <x:v>4.84</x:v>
      </x:c>
      <x:c r="K49" s="128" t="n">
        <x:f>K48+J48</x:f>
        <x:v>112.51000000000002</x:v>
      </x:c>
      <x:c r="L49" s="118" t="str">
        <x:f>IF(I49=0,"Cap",IF(J49&lt;0.5,"Too fast",IF(J49&gt;14,"Slow","OK")))</x:f>
        <x:v>OK</x:v>
      </x:c>
    </x:row>
    <x:row r="50" ht="15" hidden="0" customHeight="1">
      <x:c r="A50" s="118" t="n">
        <x:v>47</x:v>
      </x:c>
      <x:c r="B50" s="118" t="str">
        <x:f>IFERROR(INDEX('XP Curve'!$H$4:$H$73,MATCH(A50,'XP Curve'!$A$4:$A$73,0)),"")</x:f>
        <x:v>Post-launch: roadmap wave content</x:v>
      </x:c>
      <x:c r="C50" s="118" t="n">
        <x:f>COUNTIF('Tanks &amp; Social'!$B$4:$B$11,"&lt;="&amp;A50)</x:f>
        <x:v>6</x:v>
      </x:c>
      <x:c r="D50" s="118" t="n">
        <x:f>C50*Inputs!$B$8+MAX(0,C50-1)*8+IF(A50&gt;=40,10,IF(A50&gt;=25,5,0))</x:f>
        <x:v>110</x:v>
      </x:c>
      <x:c r="E50" s="121" t="n">
        <x:f>ROUND(Inputs!$B$70+(A50-Inputs!$B$68)*(Inputs!$B$71-Inputs!$B$70)/(Inputs!$B$69-Inputs!$B$68),1)</x:f>
        <x:v>453.3</x:v>
      </x:c>
      <x:c r="F50" s="121" t="n">
        <x:f>ROUND(Inputs!$B$72+(A50-Inputs!$B$68)*(Inputs!$B$73-Inputs!$B$72)/(Inputs!$B$69-Inputs!$B$68),1)</x:f>
        <x:v>120</x:v>
      </x:c>
      <x:c r="G50" s="127" t="n">
        <x:f>ROUND(E50*D50*24*Inputs!$B$81,0)</x:f>
        <x:v>95737</x:v>
      </x:c>
      <x:c r="H50" s="127" t="n">
        <x:f>ROUND(F50*D50*24*Inputs!$B$82,0)</x:f>
        <x:v>25344</x:v>
      </x:c>
      <x:c r="I50" s="127" t="n">
        <x:f>IF(A50&lt;70,INDEX('XP Curve'!$F$4:$F$73,MATCH(A50+1,'XP Curve'!$A$4:$A$73,0)),0)</x:f>
        <x:v>126980</x:v>
      </x:c>
      <x:c r="J50" s="128" t="n">
        <x:f>IF(I50=0,0,ROUND(I50/MAX(1,H50),2))</x:f>
        <x:v>5.01</x:v>
      </x:c>
      <x:c r="K50" s="128" t="n">
        <x:f>K49+J49</x:f>
        <x:v>117.35000000000002</x:v>
      </x:c>
      <x:c r="L50" s="118" t="str">
        <x:f>IF(I50=0,"Cap",IF(J50&lt;0.5,"Too fast",IF(J50&gt;14,"Slow","OK")))</x:f>
        <x:v>OK</x:v>
      </x:c>
    </x:row>
    <x:row r="51" ht="15" hidden="0" customHeight="1">
      <x:c r="A51" s="118" t="n">
        <x:v>48</x:v>
      </x:c>
      <x:c r="B51" s="118" t="str">
        <x:f>IFERROR(INDEX('XP Curve'!$H$4:$H$73,MATCH(A51,'XP Curve'!$A$4:$A$73,0)),"")</x:f>
        <x:v>Post-launch: roadmap wave content</x:v>
      </x:c>
      <x:c r="C51" s="118" t="n">
        <x:f>COUNTIF('Tanks &amp; Social'!$B$4:$B$11,"&lt;="&amp;A51)</x:f>
        <x:v>6</x:v>
      </x:c>
      <x:c r="D51" s="118" t="n">
        <x:f>C51*Inputs!$B$8+MAX(0,C51-1)*8+IF(A51&gt;=40,10,IF(A51&gt;=25,5,0))</x:f>
        <x:v>110</x:v>
      </x:c>
      <x:c r="E51" s="121" t="n">
        <x:f>ROUND(Inputs!$B$70+(A51-Inputs!$B$68)*(Inputs!$B$71-Inputs!$B$70)/(Inputs!$B$69-Inputs!$B$68),1)</x:f>
        <x:v>459.1</x:v>
      </x:c>
      <x:c r="F51" s="121" t="n">
        <x:f>ROUND(Inputs!$B$72+(A51-Inputs!$B$68)*(Inputs!$B$73-Inputs!$B$72)/(Inputs!$B$69-Inputs!$B$68),1)</x:f>
        <x:v>121.3</x:v>
      </x:c>
      <x:c r="G51" s="127" t="n">
        <x:f>ROUND(E51*D51*24*Inputs!$B$81,0)</x:f>
        <x:v>96962</x:v>
      </x:c>
      <x:c r="H51" s="127" t="n">
        <x:f>ROUND(F51*D51*24*Inputs!$B$82,0)</x:f>
        <x:v>25619</x:v>
      </x:c>
      <x:c r="I51" s="127" t="n">
        <x:f>IF(A51&lt;70,INDEX('XP Curve'!$F$4:$F$73,MATCH(A51+1,'XP Curve'!$A$4:$A$73,0)),0)</x:f>
        <x:v>132720</x:v>
      </x:c>
      <x:c r="J51" s="128" t="n">
        <x:f>IF(I51=0,0,ROUND(I51/MAX(1,H51),2))</x:f>
        <x:v>5.18</x:v>
      </x:c>
      <x:c r="K51" s="128" t="n">
        <x:f>K50+J50</x:f>
        <x:v>122.36000000000003</x:v>
      </x:c>
      <x:c r="L51" s="118" t="str">
        <x:f>IF(I51=0,"Cap",IF(J51&lt;0.5,"Too fast",IF(J51&gt;14,"Slow","OK")))</x:f>
        <x:v>OK</x:v>
      </x:c>
    </x:row>
    <x:row r="52" ht="15" hidden="0" customHeight="1">
      <x:c r="A52" s="118" t="n">
        <x:v>49</x:v>
      </x:c>
      <x:c r="B52" s="118" t="str">
        <x:f>IFERROR(INDEX('XP Curve'!$H$4:$H$73,MATCH(A52,'XP Curve'!$A$4:$A$73,0)),"")</x:f>
        <x:v>Post-launch: Medium Tank 6</x:v>
      </x:c>
      <x:c r="C52" s="118" t="n">
        <x:f>COUNTIF('Tanks &amp; Social'!$B$4:$B$11,"&lt;="&amp;A52)</x:f>
        <x:v>6</x:v>
      </x:c>
      <x:c r="D52" s="118" t="n">
        <x:f>C52*Inputs!$B$8+MAX(0,C52-1)*8+IF(A52&gt;=40,10,IF(A52&gt;=25,5,0))</x:f>
        <x:v>110</x:v>
      </x:c>
      <x:c r="E52" s="121" t="n">
        <x:f>ROUND(Inputs!$B$70+(A52-Inputs!$B$68)*(Inputs!$B$71-Inputs!$B$70)/(Inputs!$B$69-Inputs!$B$68),1)</x:f>
        <x:v>464.8</x:v>
      </x:c>
      <x:c r="F52" s="121" t="n">
        <x:f>ROUND(Inputs!$B$72+(A52-Inputs!$B$68)*(Inputs!$B$73-Inputs!$B$72)/(Inputs!$B$69-Inputs!$B$68),1)</x:f>
        <x:v>122.6</x:v>
      </x:c>
      <x:c r="G52" s="127" t="n">
        <x:f>ROUND(E52*D52*24*Inputs!$B$81,0)</x:f>
        <x:v>98166</x:v>
      </x:c>
      <x:c r="H52" s="127" t="n">
        <x:f>ROUND(F52*D52*24*Inputs!$B$82,0)</x:f>
        <x:v>25893</x:v>
      </x:c>
      <x:c r="I52" s="127" t="n">
        <x:f>IF(A52&lt;70,INDEX('XP Curve'!$F$4:$F$73,MATCH(A52+1,'XP Curve'!$A$4:$A$73,0)),0)</x:f>
        <x:v>138580</x:v>
      </x:c>
      <x:c r="J52" s="128" t="n">
        <x:f>IF(I52=0,0,ROUND(I52/MAX(1,H52),2))</x:f>
        <x:v>5.35</x:v>
      </x:c>
      <x:c r="K52" s="128" t="n">
        <x:f>K51+J51</x:f>
        <x:v>127.54000000000002</x:v>
      </x:c>
      <x:c r="L52" s="118" t="str">
        <x:f>IF(I52=0,"Cap",IF(J52&lt;0.5,"Too fast",IF(J52&gt;14,"Slow","OK")))</x:f>
        <x:v>OK</x:v>
      </x:c>
    </x:row>
    <x:row r="53" ht="15" hidden="0" customHeight="1">
      <x:c r="A53" s="118" t="n">
        <x:v>50</x:v>
      </x:c>
      <x:c r="B53" s="118" t="str">
        <x:f>IFERROR(INDEX('XP Curve'!$H$4:$H$73,MATCH(A53,'XP Curve'!$A$4:$A$73,0)),"")</x:f>
        <x:v>Post-launch: roadmap wave content</x:v>
      </x:c>
      <x:c r="C53" s="118" t="n">
        <x:f>COUNTIF('Tanks &amp; Social'!$B$4:$B$11,"&lt;="&amp;A53)</x:f>
        <x:v>6</x:v>
      </x:c>
      <x:c r="D53" s="118" t="n">
        <x:f>C53*Inputs!$B$8+MAX(0,C53-1)*8+IF(A53&gt;=40,10,IF(A53&gt;=25,5,0))</x:f>
        <x:v>110</x:v>
      </x:c>
      <x:c r="E53" s="121" t="n">
        <x:f>ROUND(Inputs!$B$70+(A53-Inputs!$B$68)*(Inputs!$B$71-Inputs!$B$70)/(Inputs!$B$69-Inputs!$B$68),1)</x:f>
        <x:v>470.5</x:v>
      </x:c>
      <x:c r="F53" s="121" t="n">
        <x:f>ROUND(Inputs!$B$72+(A53-Inputs!$B$68)*(Inputs!$B$73-Inputs!$B$72)/(Inputs!$B$69-Inputs!$B$68),1)</x:f>
        <x:v>123.9</x:v>
      </x:c>
      <x:c r="G53" s="127" t="n">
        <x:f>ROUND(E53*D53*24*Inputs!$B$81,0)</x:f>
        <x:v>99370</x:v>
      </x:c>
      <x:c r="H53" s="127" t="n">
        <x:f>ROUND(F53*D53*24*Inputs!$B$82,0)</x:f>
        <x:v>26168</x:v>
      </x:c>
      <x:c r="I53" s="127" t="n">
        <x:f>IF(A53&lt;70,INDEX('XP Curve'!$F$4:$F$73,MATCH(A53+1,'XP Curve'!$A$4:$A$73,0)),0)</x:f>
        <x:v>144580</x:v>
      </x:c>
      <x:c r="J53" s="128" t="n">
        <x:f>IF(I53=0,0,ROUND(I53/MAX(1,H53),2))</x:f>
        <x:v>5.53</x:v>
      </x:c>
      <x:c r="K53" s="128" t="n">
        <x:f>K52+J52</x:f>
        <x:v>132.89000000000001</x:v>
      </x:c>
      <x:c r="L53" s="118" t="str">
        <x:f>IF(I53=0,"Cap",IF(J53&lt;0.5,"Too fast",IF(J53&gt;14,"Slow","OK")))</x:f>
        <x:v>OK</x:v>
      </x:c>
    </x:row>
    <x:row r="54" ht="15" hidden="0" customHeight="1">
      <x:c r="A54" s="118" t="n">
        <x:v>51</x:v>
      </x:c>
      <x:c r="B54" s="118" t="str">
        <x:f>IFERROR(INDEX('XP Curve'!$H$4:$H$73,MATCH(A54,'XP Curve'!$A$4:$A$73,0)),"")</x:f>
        <x:v>Post-launch: roadmap wave content</x:v>
      </x:c>
      <x:c r="C54" s="118" t="n">
        <x:f>COUNTIF('Tanks &amp; Social'!$B$4:$B$11,"&lt;="&amp;A54)</x:f>
        <x:v>6</x:v>
      </x:c>
      <x:c r="D54" s="118" t="n">
        <x:f>C54*Inputs!$B$8+MAX(0,C54-1)*8+IF(A54&gt;=40,10,IF(A54&gt;=25,5,0))</x:f>
        <x:v>110</x:v>
      </x:c>
      <x:c r="E54" s="121" t="n">
        <x:f>ROUND(Inputs!$B$70+(A54-Inputs!$B$68)*(Inputs!$B$71-Inputs!$B$70)/(Inputs!$B$69-Inputs!$B$68),1)</x:f>
        <x:v>476.2</x:v>
      </x:c>
      <x:c r="F54" s="121" t="n">
        <x:f>ROUND(Inputs!$B$72+(A54-Inputs!$B$68)*(Inputs!$B$73-Inputs!$B$72)/(Inputs!$B$69-Inputs!$B$68),1)</x:f>
        <x:v>125.2</x:v>
      </x:c>
      <x:c r="G54" s="127" t="n">
        <x:f>ROUND(E54*D54*24*Inputs!$B$81,0)</x:f>
        <x:v>100573</x:v>
      </x:c>
      <x:c r="H54" s="127" t="n">
        <x:f>ROUND(F54*D54*24*Inputs!$B$82,0)</x:f>
        <x:v>26442</x:v>
      </x:c>
      <x:c r="I54" s="127" t="n">
        <x:f>IF(A54&lt;70,INDEX('XP Curve'!$F$4:$F$73,MATCH(A54+1,'XP Curve'!$A$4:$A$73,0)),0)</x:f>
        <x:v>150700</x:v>
      </x:c>
      <x:c r="J54" s="128" t="n">
        <x:f>IF(I54=0,0,ROUND(I54/MAX(1,H54),2))</x:f>
        <x:v>5.7</x:v>
      </x:c>
      <x:c r="K54" s="128" t="n">
        <x:f>K53+J53</x:f>
        <x:v>138.42000000000002</x:v>
      </x:c>
      <x:c r="L54" s="118" t="str">
        <x:f>IF(I54=0,"Cap",IF(J54&lt;0.5,"Too fast",IF(J54&gt;14,"Slow","OK")))</x:f>
        <x:v>OK</x:v>
      </x:c>
    </x:row>
    <x:row r="55" ht="15" hidden="0" customHeight="1">
      <x:c r="A55" s="118" t="n">
        <x:v>52</x:v>
      </x:c>
      <x:c r="B55" s="118" t="str">
        <x:f>IFERROR(INDEX('XP Curve'!$H$4:$H$73,MATCH(A55,'XP Curve'!$A$4:$A$73,0)),"")</x:f>
        <x:v>Post-launch: Tank 7 unlock</x:v>
      </x:c>
      <x:c r="C55" s="118" t="n">
        <x:f>COUNTIF('Tanks &amp; Social'!$B$4:$B$11,"&lt;="&amp;A55)</x:f>
        <x:v>7</x:v>
      </x:c>
      <x:c r="D55" s="118" t="n">
        <x:f>C55*Inputs!$B$8+MAX(0,C55-1)*8+IF(A55&gt;=40,10,IF(A55&gt;=25,5,0))</x:f>
        <x:v>128</x:v>
      </x:c>
      <x:c r="E55" s="121" t="n">
        <x:f>ROUND(Inputs!$B$70+(A55-Inputs!$B$68)*(Inputs!$B$71-Inputs!$B$70)/(Inputs!$B$69-Inputs!$B$68),1)</x:f>
        <x:v>482</x:v>
      </x:c>
      <x:c r="F55" s="121" t="n">
        <x:f>ROUND(Inputs!$B$72+(A55-Inputs!$B$68)*(Inputs!$B$73-Inputs!$B$72)/(Inputs!$B$69-Inputs!$B$68),1)</x:f>
        <x:v>126.5</x:v>
      </x:c>
      <x:c r="G55" s="127" t="n">
        <x:f>ROUND(E55*D55*24*Inputs!$B$81,0)</x:f>
        <x:v>118456</x:v>
      </x:c>
      <x:c r="H55" s="127" t="n">
        <x:f>ROUND(F55*D55*24*Inputs!$B$82,0)</x:f>
        <x:v>31089</x:v>
      </x:c>
      <x:c r="I55" s="127" t="n">
        <x:f>IF(A55&lt;70,INDEX('XP Curve'!$F$4:$F$73,MATCH(A55+1,'XP Curve'!$A$4:$A$73,0)),0)</x:f>
        <x:v>156940</x:v>
      </x:c>
      <x:c r="J55" s="128" t="n">
        <x:f>IF(I55=0,0,ROUND(I55/MAX(1,H55),2))</x:f>
        <x:v>5.05</x:v>
      </x:c>
      <x:c r="K55" s="128" t="n">
        <x:f>K54+J54</x:f>
        <x:v>144.12</x:v>
      </x:c>
      <x:c r="L55" s="118" t="str">
        <x:f>IF(I55=0,"Cap",IF(J55&lt;0.5,"Too fast",IF(J55&gt;14,"Slow","OK")))</x:f>
        <x:v>OK</x:v>
      </x:c>
    </x:row>
    <x:row r="56" ht="15" hidden="0" customHeight="1">
      <x:c r="A56" s="118" t="n">
        <x:v>53</x:v>
      </x:c>
      <x:c r="B56" s="118" t="str">
        <x:f>IFERROR(INDEX('XP Curve'!$H$4:$H$73,MATCH(A56,'XP Curve'!$A$4:$A$73,0)),"")</x:f>
        <x:v>Post-launch: roadmap wave content</x:v>
      </x:c>
      <x:c r="C56" s="118" t="n">
        <x:f>COUNTIF('Tanks &amp; Social'!$B$4:$B$11,"&lt;="&amp;A56)</x:f>
        <x:v>7</x:v>
      </x:c>
      <x:c r="D56" s="118" t="n">
        <x:f>C56*Inputs!$B$8+MAX(0,C56-1)*8+IF(A56&gt;=40,10,IF(A56&gt;=25,5,0))</x:f>
        <x:v>128</x:v>
      </x:c>
      <x:c r="E56" s="121" t="n">
        <x:f>ROUND(Inputs!$B$70+(A56-Inputs!$B$68)*(Inputs!$B$71-Inputs!$B$70)/(Inputs!$B$69-Inputs!$B$68),1)</x:f>
        <x:v>487.7</x:v>
      </x:c>
      <x:c r="F56" s="121" t="n">
        <x:f>ROUND(Inputs!$B$72+(A56-Inputs!$B$68)*(Inputs!$B$73-Inputs!$B$72)/(Inputs!$B$69-Inputs!$B$68),1)</x:f>
        <x:v>127.8</x:v>
      </x:c>
      <x:c r="G56" s="127" t="n">
        <x:f>ROUND(E56*D56*24*Inputs!$B$81,0)</x:f>
        <x:v>119857</x:v>
      </x:c>
      <x:c r="H56" s="127" t="n">
        <x:f>ROUND(F56*D56*24*Inputs!$B$82,0)</x:f>
        <x:v>31408</x:v>
      </x:c>
      <x:c r="I56" s="127" t="n">
        <x:f>IF(A56&lt;70,INDEX('XP Curve'!$F$4:$F$73,MATCH(A56+1,'XP Curve'!$A$4:$A$73,0)),0)</x:f>
        <x:v>163320</x:v>
      </x:c>
      <x:c r="J56" s="128" t="n">
        <x:f>IF(I56=0,0,ROUND(I56/MAX(1,H56),2))</x:f>
        <x:v>5.2</x:v>
      </x:c>
      <x:c r="K56" s="128" t="n">
        <x:f>K55+J55</x:f>
        <x:v>149.17000000000002</x:v>
      </x:c>
      <x:c r="L56" s="118" t="str">
        <x:f>IF(I56=0,"Cap",IF(J56&lt;0.5,"Too fast",IF(J56&gt;14,"Slow","OK")))</x:f>
        <x:v>OK</x:v>
      </x:c>
    </x:row>
    <x:row r="57" ht="15" hidden="0" customHeight="1">
      <x:c r="A57" s="118" t="n">
        <x:v>54</x:v>
      </x:c>
      <x:c r="B57" s="118" t="str">
        <x:f>IFERROR(INDEX('XP Curve'!$H$4:$H$73,MATCH(A57,'XP Curve'!$A$4:$A$73,0)),"")</x:f>
        <x:v>Post-launch: roadmap wave content</x:v>
      </x:c>
      <x:c r="C57" s="118" t="n">
        <x:f>COUNTIF('Tanks &amp; Social'!$B$4:$B$11,"&lt;="&amp;A57)</x:f>
        <x:v>7</x:v>
      </x:c>
      <x:c r="D57" s="118" t="n">
        <x:f>C57*Inputs!$B$8+MAX(0,C57-1)*8+IF(A57&gt;=40,10,IF(A57&gt;=25,5,0))</x:f>
        <x:v>128</x:v>
      </x:c>
      <x:c r="E57" s="121" t="n">
        <x:f>ROUND(Inputs!$B$70+(A57-Inputs!$B$68)*(Inputs!$B$71-Inputs!$B$70)/(Inputs!$B$69-Inputs!$B$68),1)</x:f>
        <x:v>493.4</x:v>
      </x:c>
      <x:c r="F57" s="121" t="n">
        <x:f>ROUND(Inputs!$B$72+(A57-Inputs!$B$68)*(Inputs!$B$73-Inputs!$B$72)/(Inputs!$B$69-Inputs!$B$68),1)</x:f>
        <x:v>129.1</x:v>
      </x:c>
      <x:c r="G57" s="127" t="n">
        <x:f>ROUND(E57*D57*24*Inputs!$B$81,0)</x:f>
        <x:v>121258</x:v>
      </x:c>
      <x:c r="H57" s="127" t="n">
        <x:f>ROUND(F57*D57*24*Inputs!$B$82,0)</x:f>
        <x:v>31728</x:v>
      </x:c>
      <x:c r="I57" s="127" t="n">
        <x:f>IF(A57&lt;70,INDEX('XP Curve'!$F$4:$F$73,MATCH(A57+1,'XP Curve'!$A$4:$A$73,0)),0)</x:f>
        <x:v>169820</x:v>
      </x:c>
      <x:c r="J57" s="128" t="n">
        <x:f>IF(I57=0,0,ROUND(I57/MAX(1,H57),2))</x:f>
        <x:v>5.35</x:v>
      </x:c>
      <x:c r="K57" s="128" t="n">
        <x:f>K56+J56</x:f>
        <x:v>154.37</x:v>
      </x:c>
      <x:c r="L57" s="118" t="str">
        <x:f>IF(I57=0,"Cap",IF(J57&lt;0.5,"Too fast",IF(J57&gt;14,"Slow","OK")))</x:f>
        <x:v>OK</x:v>
      </x:c>
    </x:row>
    <x:row r="58" ht="15" hidden="0" customHeight="1">
      <x:c r="A58" s="118" t="n">
        <x:v>55</x:v>
      </x:c>
      <x:c r="B58" s="118" t="str">
        <x:f>IFERROR(INDEX('XP Curve'!$H$4:$H$73,MATCH(A58,'XP Curve'!$A$4:$A$73,0)),"")</x:f>
        <x:v>Post-launch: Large Tank 6</x:v>
      </x:c>
      <x:c r="C58" s="118" t="n">
        <x:f>COUNTIF('Tanks &amp; Social'!$B$4:$B$11,"&lt;="&amp;A58)</x:f>
        <x:v>7</x:v>
      </x:c>
      <x:c r="D58" s="118" t="n">
        <x:f>C58*Inputs!$B$8+MAX(0,C58-1)*8+IF(A58&gt;=40,10,IF(A58&gt;=25,5,0))</x:f>
        <x:v>128</x:v>
      </x:c>
      <x:c r="E58" s="121" t="n">
        <x:f>ROUND(Inputs!$B$70+(A58-Inputs!$B$68)*(Inputs!$B$71-Inputs!$B$70)/(Inputs!$B$69-Inputs!$B$68),1)</x:f>
        <x:v>499.1</x:v>
      </x:c>
      <x:c r="F58" s="121" t="n">
        <x:f>ROUND(Inputs!$B$72+(A58-Inputs!$B$68)*(Inputs!$B$73-Inputs!$B$72)/(Inputs!$B$69-Inputs!$B$68),1)</x:f>
        <x:v>130.4</x:v>
      </x:c>
      <x:c r="G58" s="127" t="n">
        <x:f>ROUND(E58*D58*24*Inputs!$B$81,0)</x:f>
        <x:v>122659</x:v>
      </x:c>
      <x:c r="H58" s="127" t="n">
        <x:f>ROUND(F58*D58*24*Inputs!$B$82,0)</x:f>
        <x:v>32047</x:v>
      </x:c>
      <x:c r="I58" s="127" t="n">
        <x:f>IF(A58&lt;70,INDEX('XP Curve'!$F$4:$F$73,MATCH(A58+1,'XP Curve'!$A$4:$A$73,0)),0)</x:f>
        <x:v>176450</x:v>
      </x:c>
      <x:c r="J58" s="128" t="n">
        <x:f>IF(I58=0,0,ROUND(I58/MAX(1,H58),2))</x:f>
        <x:v>5.51</x:v>
      </x:c>
      <x:c r="K58" s="128" t="n">
        <x:f>K57+J57</x:f>
        <x:v>159.72</x:v>
      </x:c>
      <x:c r="L58" s="118" t="str">
        <x:f>IF(I58=0,"Cap",IF(J58&lt;0.5,"Too fast",IF(J58&gt;14,"Slow","OK")))</x:f>
        <x:v>OK</x:v>
      </x:c>
    </x:row>
    <x:row r="59" ht="15" hidden="0" customHeight="1">
      <x:c r="A59" s="118" t="n">
        <x:v>56</x:v>
      </x:c>
      <x:c r="B59" s="118" t="str">
        <x:f>IFERROR(INDEX('XP Curve'!$H$4:$H$73,MATCH(A59,'XP Curve'!$A$4:$A$73,0)),"")</x:f>
        <x:v>Post-launch: roadmap wave content</x:v>
      </x:c>
      <x:c r="C59" s="118" t="n">
        <x:f>COUNTIF('Tanks &amp; Social'!$B$4:$B$11,"&lt;="&amp;A59)</x:f>
        <x:v>7</x:v>
      </x:c>
      <x:c r="D59" s="118" t="n">
        <x:f>C59*Inputs!$B$8+MAX(0,C59-1)*8+IF(A59&gt;=40,10,IF(A59&gt;=25,5,0))</x:f>
        <x:v>128</x:v>
      </x:c>
      <x:c r="E59" s="121" t="n">
        <x:f>ROUND(Inputs!$B$70+(A59-Inputs!$B$68)*(Inputs!$B$71-Inputs!$B$70)/(Inputs!$B$69-Inputs!$B$68),1)</x:f>
        <x:v>504.9</x:v>
      </x:c>
      <x:c r="F59" s="121" t="n">
        <x:f>ROUND(Inputs!$B$72+(A59-Inputs!$B$68)*(Inputs!$B$73-Inputs!$B$72)/(Inputs!$B$69-Inputs!$B$68),1)</x:f>
        <x:v>131.7</x:v>
      </x:c>
      <x:c r="G59" s="127" t="n">
        <x:f>ROUND(E59*D59*24*Inputs!$B$81,0)</x:f>
        <x:v>124084</x:v>
      </x:c>
      <x:c r="H59" s="127" t="n">
        <x:f>ROUND(F59*D59*24*Inputs!$B$82,0)</x:f>
        <x:v>32367</x:v>
      </x:c>
      <x:c r="I59" s="127" t="n">
        <x:f>IF(A59&lt;70,INDEX('XP Curve'!$F$4:$F$73,MATCH(A59+1,'XP Curve'!$A$4:$A$73,0)),0)</x:f>
        <x:v>183210</x:v>
      </x:c>
      <x:c r="J59" s="128" t="n">
        <x:f>IF(I59=0,0,ROUND(I59/MAX(1,H59),2))</x:f>
        <x:v>5.66</x:v>
      </x:c>
      <x:c r="K59" s="128" t="n">
        <x:f>K58+J58</x:f>
        <x:v>165.23</x:v>
      </x:c>
      <x:c r="L59" s="118" t="str">
        <x:f>IF(I59=0,"Cap",IF(J59&lt;0.5,"Too fast",IF(J59&gt;14,"Slow","OK")))</x:f>
        <x:v>OK</x:v>
      </x:c>
    </x:row>
    <x:row r="60" ht="15" hidden="0" customHeight="1">
      <x:c r="A60" s="118" t="n">
        <x:v>57</x:v>
      </x:c>
      <x:c r="B60" s="118" t="str">
        <x:f>IFERROR(INDEX('XP Curve'!$H$4:$H$73,MATCH(A60,'XP Curve'!$A$4:$A$73,0)),"")</x:f>
        <x:v>Post-launch: roadmap wave content</x:v>
      </x:c>
      <x:c r="C60" s="118" t="n">
        <x:f>COUNTIF('Tanks &amp; Social'!$B$4:$B$11,"&lt;="&amp;A60)</x:f>
        <x:v>7</x:v>
      </x:c>
      <x:c r="D60" s="118" t="n">
        <x:f>C60*Inputs!$B$8+MAX(0,C60-1)*8+IF(A60&gt;=40,10,IF(A60&gt;=25,5,0))</x:f>
        <x:v>128</x:v>
      </x:c>
      <x:c r="E60" s="121" t="n">
        <x:f>ROUND(Inputs!$B$70+(A60-Inputs!$B$68)*(Inputs!$B$71-Inputs!$B$70)/(Inputs!$B$69-Inputs!$B$68),1)</x:f>
        <x:v>510.6</x:v>
      </x:c>
      <x:c r="F60" s="121" t="n">
        <x:f>ROUND(Inputs!$B$72+(A60-Inputs!$B$68)*(Inputs!$B$73-Inputs!$B$72)/(Inputs!$B$69-Inputs!$B$68),1)</x:f>
        <x:v>133</x:v>
      </x:c>
      <x:c r="G60" s="127" t="n">
        <x:f>ROUND(E60*D60*24*Inputs!$B$81,0)</x:f>
        <x:v>125485</x:v>
      </x:c>
      <x:c r="H60" s="127" t="n">
        <x:f>ROUND(F60*D60*24*Inputs!$B$82,0)</x:f>
        <x:v>32686</x:v>
      </x:c>
      <x:c r="I60" s="127" t="n">
        <x:f>IF(A60&lt;70,INDEX('XP Curve'!$F$4:$F$73,MATCH(A60+1,'XP Curve'!$A$4:$A$73,0)),0)</x:f>
        <x:v>190090</x:v>
      </x:c>
      <x:c r="J60" s="128" t="n">
        <x:f>IF(I60=0,0,ROUND(I60/MAX(1,H60),2))</x:f>
        <x:v>5.82</x:v>
      </x:c>
      <x:c r="K60" s="128" t="n">
        <x:f>K59+J59</x:f>
        <x:v>170.89</x:v>
      </x:c>
      <x:c r="L60" s="118" t="str">
        <x:f>IF(I60=0,"Cap",IF(J60&lt;0.5,"Too fast",IF(J60&gt;14,"Slow","OK")))</x:f>
        <x:v>OK</x:v>
      </x:c>
    </x:row>
    <x:row r="61" ht="15" hidden="0" customHeight="1">
      <x:c r="A61" s="118" t="n">
        <x:v>58</x:v>
      </x:c>
      <x:c r="B61" s="118" t="str">
        <x:f>IFERROR(INDEX('XP Curve'!$H$4:$H$73,MATCH(A61,'XP Curve'!$A$4:$A$73,0)),"")</x:f>
        <x:v>Post-launch: Medium Tank 7</x:v>
      </x:c>
      <x:c r="C61" s="118" t="n">
        <x:f>COUNTIF('Tanks &amp; Social'!$B$4:$B$11,"&lt;="&amp;A61)</x:f>
        <x:v>7</x:v>
      </x:c>
      <x:c r="D61" s="118" t="n">
        <x:f>C61*Inputs!$B$8+MAX(0,C61-1)*8+IF(A61&gt;=40,10,IF(A61&gt;=25,5,0))</x:f>
        <x:v>128</x:v>
      </x:c>
      <x:c r="E61" s="121" t="n">
        <x:f>ROUND(Inputs!$B$70+(A61-Inputs!$B$68)*(Inputs!$B$71-Inputs!$B$70)/(Inputs!$B$69-Inputs!$B$68),1)</x:f>
        <x:v>516.3</x:v>
      </x:c>
      <x:c r="F61" s="121" t="n">
        <x:f>ROUND(Inputs!$B$72+(A61-Inputs!$B$68)*(Inputs!$B$73-Inputs!$B$72)/(Inputs!$B$69-Inputs!$B$68),1)</x:f>
        <x:v>134.3</x:v>
      </x:c>
      <x:c r="G61" s="127" t="n">
        <x:f>ROUND(E61*D61*24*Inputs!$B$81,0)</x:f>
        <x:v>126886</x:v>
      </x:c>
      <x:c r="H61" s="127" t="n">
        <x:f>ROUND(F61*D61*24*Inputs!$B$82,0)</x:f>
        <x:v>33006</x:v>
      </x:c>
      <x:c r="I61" s="127" t="n">
        <x:f>IF(A61&lt;70,INDEX('XP Curve'!$F$4:$F$73,MATCH(A61+1,'XP Curve'!$A$4:$A$73,0)),0)</x:f>
        <x:v>197110</x:v>
      </x:c>
      <x:c r="J61" s="128" t="n">
        <x:f>IF(I61=0,0,ROUND(I61/MAX(1,H61),2))</x:f>
        <x:v>5.97</x:v>
      </x:c>
      <x:c r="K61" s="128" t="n">
        <x:f>K60+J60</x:f>
        <x:v>176.70999999999998</x:v>
      </x:c>
      <x:c r="L61" s="118" t="str">
        <x:f>IF(I61=0,"Cap",IF(J61&lt;0.5,"Too fast",IF(J61&gt;14,"Slow","OK")))</x:f>
        <x:v>OK</x:v>
      </x:c>
    </x:row>
    <x:row r="62" ht="15" hidden="0" customHeight="1">
      <x:c r="A62" s="118" t="n">
        <x:v>59</x:v>
      </x:c>
      <x:c r="B62" s="118" t="str">
        <x:f>IFERROR(INDEX('XP Curve'!$H$4:$H$73,MATCH(A62,'XP Curve'!$A$4:$A$73,0)),"")</x:f>
        <x:v>Post-launch: roadmap wave content</x:v>
      </x:c>
      <x:c r="C62" s="118" t="n">
        <x:f>COUNTIF('Tanks &amp; Social'!$B$4:$B$11,"&lt;="&amp;A62)</x:f>
        <x:v>7</x:v>
      </x:c>
      <x:c r="D62" s="118" t="n">
        <x:f>C62*Inputs!$B$8+MAX(0,C62-1)*8+IF(A62&gt;=40,10,IF(A62&gt;=25,5,0))</x:f>
        <x:v>128</x:v>
      </x:c>
      <x:c r="E62" s="121" t="n">
        <x:f>ROUND(Inputs!$B$70+(A62-Inputs!$B$68)*(Inputs!$B$71-Inputs!$B$70)/(Inputs!$B$69-Inputs!$B$68),1)</x:f>
        <x:v>522</x:v>
      </x:c>
      <x:c r="F62" s="121" t="n">
        <x:f>ROUND(Inputs!$B$72+(A62-Inputs!$B$68)*(Inputs!$B$73-Inputs!$B$72)/(Inputs!$B$69-Inputs!$B$68),1)</x:f>
        <x:v>135.7</x:v>
      </x:c>
      <x:c r="G62" s="127" t="n">
        <x:f>ROUND(E62*D62*24*Inputs!$B$81,0)</x:f>
        <x:v>128287</x:v>
      </x:c>
      <x:c r="H62" s="127" t="n">
        <x:f>ROUND(F62*D62*24*Inputs!$B$82,0)</x:f>
        <x:v>33350</x:v>
      </x:c>
      <x:c r="I62" s="127" t="n">
        <x:f>IF(A62&lt;70,INDEX('XP Curve'!$F$4:$F$73,MATCH(A62+1,'XP Curve'!$A$4:$A$73,0)),0)</x:f>
        <x:v>204250</x:v>
      </x:c>
      <x:c r="J62" s="128" t="n">
        <x:f>IF(I62=0,0,ROUND(I62/MAX(1,H62),2))</x:f>
        <x:v>6.12</x:v>
      </x:c>
      <x:c r="K62" s="128" t="n">
        <x:f>K61+J61</x:f>
        <x:v>182.67999999999998</x:v>
      </x:c>
      <x:c r="L62" s="118" t="str">
        <x:f>IF(I62=0,"Cap",IF(J62&lt;0.5,"Too fast",IF(J62&gt;14,"Slow","OK")))</x:f>
        <x:v>OK</x:v>
      </x:c>
    </x:row>
    <x:row r="63" ht="15" hidden="0" customHeight="1">
      <x:c r="A63" s="118" t="n">
        <x:v>60</x:v>
      </x:c>
      <x:c r="B63" s="118" t="str">
        <x:f>IFERROR(INDEX('XP Curve'!$H$4:$H$73,MATCH(A63,'XP Curve'!$A$4:$A$73,0)),"")</x:f>
        <x:v>Post-launch: roadmap wave content</x:v>
      </x:c>
      <x:c r="C63" s="118" t="n">
        <x:f>COUNTIF('Tanks &amp; Social'!$B$4:$B$11,"&lt;="&amp;A63)</x:f>
        <x:v>7</x:v>
      </x:c>
      <x:c r="D63" s="118" t="n">
        <x:f>C63*Inputs!$B$8+MAX(0,C63-1)*8+IF(A63&gt;=40,10,IF(A63&gt;=25,5,0))</x:f>
        <x:v>128</x:v>
      </x:c>
      <x:c r="E63" s="121" t="n">
        <x:f>ROUND(Inputs!$B$70+(A63-Inputs!$B$68)*(Inputs!$B$71-Inputs!$B$70)/(Inputs!$B$69-Inputs!$B$68),1)</x:f>
        <x:v>527.8</x:v>
      </x:c>
      <x:c r="F63" s="121" t="n">
        <x:f>ROUND(Inputs!$B$72+(A63-Inputs!$B$68)*(Inputs!$B$73-Inputs!$B$72)/(Inputs!$B$69-Inputs!$B$68),1)</x:f>
        <x:v>137</x:v>
      </x:c>
      <x:c r="G63" s="127" t="n">
        <x:f>ROUND(E63*D63*24*Inputs!$B$81,0)</x:f>
        <x:v>129712</x:v>
      </x:c>
      <x:c r="H63" s="127" t="n">
        <x:f>ROUND(F63*D63*24*Inputs!$B$82,0)</x:f>
        <x:v>33669</x:v>
      </x:c>
      <x:c r="I63" s="127" t="n">
        <x:f>IF(A63&lt;70,INDEX('XP Curve'!$F$4:$F$73,MATCH(A63+1,'XP Curve'!$A$4:$A$73,0)),0)</x:f>
        <x:v>211510</x:v>
      </x:c>
      <x:c r="J63" s="128" t="n">
        <x:f>IF(I63=0,0,ROUND(I63/MAX(1,H63),2))</x:f>
        <x:v>6.28</x:v>
      </x:c>
      <x:c r="K63" s="128" t="n">
        <x:f>K62+J62</x:f>
        <x:v>188.79999999999998</x:v>
      </x:c>
      <x:c r="L63" s="118" t="str">
        <x:f>IF(I63=0,"Cap",IF(J63&lt;0.5,"Too fast",IF(J63&gt;14,"Slow","OK")))</x:f>
        <x:v>OK</x:v>
      </x:c>
    </x:row>
    <x:row r="64" ht="15" hidden="0" customHeight="1">
      <x:c r="A64" s="118" t="n">
        <x:v>61</x:v>
      </x:c>
      <x:c r="B64" s="118" t="str">
        <x:f>IFERROR(INDEX('XP Curve'!$H$4:$H$73,MATCH(A64,'XP Curve'!$A$4:$A$73,0)),"")</x:f>
        <x:v>Post-launch: Tank 8 unlock</x:v>
      </x:c>
      <x:c r="C64" s="118" t="n">
        <x:f>COUNTIF('Tanks &amp; Social'!$B$4:$B$11,"&lt;="&amp;A64)</x:f>
        <x:v>8</x:v>
      </x:c>
      <x:c r="D64" s="118" t="n">
        <x:f>C64*Inputs!$B$8+MAX(0,C64-1)*8+IF(A64&gt;=40,10,IF(A64&gt;=25,5,0))</x:f>
        <x:v>146</x:v>
      </x:c>
      <x:c r="E64" s="121" t="n">
        <x:f>ROUND(Inputs!$B$70+(A64-Inputs!$B$68)*(Inputs!$B$71-Inputs!$B$70)/(Inputs!$B$69-Inputs!$B$68),1)</x:f>
        <x:v>533.5</x:v>
      </x:c>
      <x:c r="F64" s="121" t="n">
        <x:f>ROUND(Inputs!$B$72+(A64-Inputs!$B$68)*(Inputs!$B$73-Inputs!$B$72)/(Inputs!$B$69-Inputs!$B$68),1)</x:f>
        <x:v>138.3</x:v>
      </x:c>
      <x:c r="G64" s="127" t="n">
        <x:f>ROUND(E64*D64*24*Inputs!$B$81,0)</x:f>
        <x:v>149551</x:v>
      </x:c>
      <x:c r="H64" s="127" t="n">
        <x:f>ROUND(F64*D64*24*Inputs!$B$82,0)</x:f>
        <x:v>38768</x:v>
      </x:c>
      <x:c r="I64" s="127" t="n">
        <x:f>IF(A64&lt;70,INDEX('XP Curve'!$F$4:$F$73,MATCH(A64+1,'XP Curve'!$A$4:$A$73,0)),0)</x:f>
        <x:v>218910</x:v>
      </x:c>
      <x:c r="J64" s="128" t="n">
        <x:f>IF(I64=0,0,ROUND(I64/MAX(1,H64),2))</x:f>
        <x:v>5.65</x:v>
      </x:c>
      <x:c r="K64" s="128" t="n">
        <x:f>K63+J63</x:f>
        <x:v>195.07999999999998</x:v>
      </x:c>
      <x:c r="L64" s="118" t="str">
        <x:f>IF(I64=0,"Cap",IF(J64&lt;0.5,"Too fast",IF(J64&gt;14,"Slow","OK")))</x:f>
        <x:v>OK</x:v>
      </x:c>
    </x:row>
    <x:row r="65" ht="15" hidden="0" customHeight="1">
      <x:c r="A65" s="118" t="n">
        <x:v>62</x:v>
      </x:c>
      <x:c r="B65" s="118" t="str">
        <x:f>IFERROR(INDEX('XP Curve'!$H$4:$H$73,MATCH(A65,'XP Curve'!$A$4:$A$73,0)),"")</x:f>
        <x:v>Post-launch: roadmap wave content</x:v>
      </x:c>
      <x:c r="C65" s="118" t="n">
        <x:f>COUNTIF('Tanks &amp; Social'!$B$4:$B$11,"&lt;="&amp;A65)</x:f>
        <x:v>8</x:v>
      </x:c>
      <x:c r="D65" s="118" t="n">
        <x:f>C65*Inputs!$B$8+MAX(0,C65-1)*8+IF(A65&gt;=40,10,IF(A65&gt;=25,5,0))</x:f>
        <x:v>146</x:v>
      </x:c>
      <x:c r="E65" s="121" t="n">
        <x:f>ROUND(Inputs!$B$70+(A65-Inputs!$B$68)*(Inputs!$B$71-Inputs!$B$70)/(Inputs!$B$69-Inputs!$B$68),1)</x:f>
        <x:v>539.2</x:v>
      </x:c>
      <x:c r="F65" s="121" t="n">
        <x:f>ROUND(Inputs!$B$72+(A65-Inputs!$B$68)*(Inputs!$B$73-Inputs!$B$72)/(Inputs!$B$69-Inputs!$B$68),1)</x:f>
        <x:v>139.6</x:v>
      </x:c>
      <x:c r="G65" s="127" t="n">
        <x:f>ROUND(E65*D65*24*Inputs!$B$81,0)</x:f>
        <x:v>151149</x:v>
      </x:c>
      <x:c r="H65" s="127" t="n">
        <x:f>ROUND(F65*D65*24*Inputs!$B$82,0)</x:f>
        <x:v>39133</x:v>
      </x:c>
      <x:c r="I65" s="127" t="n">
        <x:f>IF(A65&lt;70,INDEX('XP Curve'!$F$4:$F$73,MATCH(A65+1,'XP Curve'!$A$4:$A$73,0)),0)</x:f>
        <x:v>226430</x:v>
      </x:c>
      <x:c r="J65" s="128" t="n">
        <x:f>IF(I65=0,0,ROUND(I65/MAX(1,H65),2))</x:f>
        <x:v>5.79</x:v>
      </x:c>
      <x:c r="K65" s="128" t="n">
        <x:f>K64+J64</x:f>
        <x:v>200.73</x:v>
      </x:c>
      <x:c r="L65" s="118" t="str">
        <x:f>IF(I65=0,"Cap",IF(J65&lt;0.5,"Too fast",IF(J65&gt;14,"Slow","OK")))</x:f>
        <x:v>OK</x:v>
      </x:c>
    </x:row>
    <x:row r="66" ht="15" hidden="0" customHeight="1">
      <x:c r="A66" s="118" t="n">
        <x:v>63</x:v>
      </x:c>
      <x:c r="B66" s="118" t="str">
        <x:f>IFERROR(INDEX('XP Curve'!$H$4:$H$73,MATCH(A66,'XP Curve'!$A$4:$A$73,0)),"")</x:f>
        <x:v>Post-launch: roadmap wave content</x:v>
      </x:c>
      <x:c r="C66" s="118" t="n">
        <x:f>COUNTIF('Tanks &amp; Social'!$B$4:$B$11,"&lt;="&amp;A66)</x:f>
        <x:v>8</x:v>
      </x:c>
      <x:c r="D66" s="118" t="n">
        <x:f>C66*Inputs!$B$8+MAX(0,C66-1)*8+IF(A66&gt;=40,10,IF(A66&gt;=25,5,0))</x:f>
        <x:v>146</x:v>
      </x:c>
      <x:c r="E66" s="121" t="n">
        <x:f>ROUND(Inputs!$B$70+(A66-Inputs!$B$68)*(Inputs!$B$71-Inputs!$B$70)/(Inputs!$B$69-Inputs!$B$68),1)</x:f>
        <x:v>544.9</x:v>
      </x:c>
      <x:c r="F66" s="121" t="n">
        <x:f>ROUND(Inputs!$B$72+(A66-Inputs!$B$68)*(Inputs!$B$73-Inputs!$B$72)/(Inputs!$B$69-Inputs!$B$68),1)</x:f>
        <x:v>140.9</x:v>
      </x:c>
      <x:c r="G66" s="127" t="n">
        <x:f>ROUND(E66*D66*24*Inputs!$B$81,0)</x:f>
        <x:v>152746</x:v>
      </x:c>
      <x:c r="H66" s="127" t="n">
        <x:f>ROUND(F66*D66*24*Inputs!$B$82,0)</x:f>
        <x:v>39497</x:v>
      </x:c>
      <x:c r="I66" s="127" t="n">
        <x:f>IF(A66&lt;70,INDEX('XP Curve'!$F$4:$F$73,MATCH(A66+1,'XP Curve'!$A$4:$A$73,0)),0)</x:f>
        <x:v>234080</x:v>
      </x:c>
      <x:c r="J66" s="128" t="n">
        <x:f>IF(I66=0,0,ROUND(I66/MAX(1,H66),2))</x:f>
        <x:v>5.93</x:v>
      </x:c>
      <x:c r="K66" s="128" t="n">
        <x:f>K65+J65</x:f>
        <x:v>206.51999999999998</x:v>
      </x:c>
      <x:c r="L66" s="118" t="str">
        <x:f>IF(I66=0,"Cap",IF(J66&lt;0.5,"Too fast",IF(J66&gt;14,"Slow","OK")))</x:f>
        <x:v>OK</x:v>
      </x:c>
    </x:row>
    <x:row r="67" ht="15" hidden="0" customHeight="1">
      <x:c r="A67" s="118" t="n">
        <x:v>64</x:v>
      </x:c>
      <x:c r="B67" s="118" t="str">
        <x:f>IFERROR(INDEX('XP Curve'!$H$4:$H$73,MATCH(A67,'XP Curve'!$A$4:$A$73,0)),"")</x:f>
        <x:v>Post-launch: Large Tank 7</x:v>
      </x:c>
      <x:c r="C67" s="118" t="n">
        <x:f>COUNTIF('Tanks &amp; Social'!$B$4:$B$11,"&lt;="&amp;A67)</x:f>
        <x:v>8</x:v>
      </x:c>
      <x:c r="D67" s="118" t="n">
        <x:f>C67*Inputs!$B$8+MAX(0,C67-1)*8+IF(A67&gt;=40,10,IF(A67&gt;=25,5,0))</x:f>
        <x:v>146</x:v>
      </x:c>
      <x:c r="E67" s="121" t="n">
        <x:f>ROUND(Inputs!$B$70+(A67-Inputs!$B$68)*(Inputs!$B$71-Inputs!$B$70)/(Inputs!$B$69-Inputs!$B$68),1)</x:f>
        <x:v>550.7</x:v>
      </x:c>
      <x:c r="F67" s="121" t="n">
        <x:f>ROUND(Inputs!$B$72+(A67-Inputs!$B$68)*(Inputs!$B$73-Inputs!$B$72)/(Inputs!$B$69-Inputs!$B$68),1)</x:f>
        <x:v>142.2</x:v>
      </x:c>
      <x:c r="G67" s="127" t="n">
        <x:f>ROUND(E67*D67*24*Inputs!$B$81,0)</x:f>
        <x:v>154372</x:v>
      </x:c>
      <x:c r="H67" s="127" t="n">
        <x:f>ROUND(F67*D67*24*Inputs!$B$82,0)</x:f>
        <x:v>39862</x:v>
      </x:c>
      <x:c r="I67" s="127" t="n">
        <x:f>IF(A67&lt;70,INDEX('XP Curve'!$F$4:$F$73,MATCH(A67+1,'XP Curve'!$A$4:$A$73,0)),0)</x:f>
        <x:v>241860</x:v>
      </x:c>
      <x:c r="J67" s="128" t="n">
        <x:f>IF(I67=0,0,ROUND(I67/MAX(1,H67),2))</x:f>
        <x:v>6.07</x:v>
      </x:c>
      <x:c r="K67" s="128" t="n">
        <x:f>K66+J66</x:f>
        <x:v>212.45</x:v>
      </x:c>
      <x:c r="L67" s="118" t="str">
        <x:f>IF(I67=0,"Cap",IF(J67&lt;0.5,"Too fast",IF(J67&gt;14,"Slow","OK")))</x:f>
        <x:v>OK</x:v>
      </x:c>
    </x:row>
    <x:row r="68" ht="15" hidden="0" customHeight="1">
      <x:c r="A68" s="118" t="n">
        <x:v>65</x:v>
      </x:c>
      <x:c r="B68" s="118" t="str">
        <x:f>IFERROR(INDEX('XP Curve'!$H$4:$H$73,MATCH(A68,'XP Curve'!$A$4:$A$73,0)),"")</x:f>
        <x:v>Post-launch: roadmap wave content</x:v>
      </x:c>
      <x:c r="C68" s="118" t="n">
        <x:f>COUNTIF('Tanks &amp; Social'!$B$4:$B$11,"&lt;="&amp;A68)</x:f>
        <x:v>8</x:v>
      </x:c>
      <x:c r="D68" s="118" t="n">
        <x:f>C68*Inputs!$B$8+MAX(0,C68-1)*8+IF(A68&gt;=40,10,IF(A68&gt;=25,5,0))</x:f>
        <x:v>146</x:v>
      </x:c>
      <x:c r="E68" s="121" t="n">
        <x:f>ROUND(Inputs!$B$70+(A68-Inputs!$B$68)*(Inputs!$B$71-Inputs!$B$70)/(Inputs!$B$69-Inputs!$B$68),1)</x:f>
        <x:v>556.4</x:v>
      </x:c>
      <x:c r="F68" s="121" t="n">
        <x:f>ROUND(Inputs!$B$72+(A68-Inputs!$B$68)*(Inputs!$B$73-Inputs!$B$72)/(Inputs!$B$69-Inputs!$B$68),1)</x:f>
        <x:v>143.5</x:v>
      </x:c>
      <x:c r="G68" s="127" t="n">
        <x:f>ROUND(E68*D68*24*Inputs!$B$81,0)</x:f>
        <x:v>155970</x:v>
      </x:c>
      <x:c r="H68" s="127" t="n">
        <x:f>ROUND(F68*D68*24*Inputs!$B$82,0)</x:f>
        <x:v>40226</x:v>
      </x:c>
      <x:c r="I68" s="127" t="n">
        <x:f>IF(A68&lt;70,INDEX('XP Curve'!$F$4:$F$73,MATCH(A68+1,'XP Curve'!$A$4:$A$73,0)),0)</x:f>
        <x:v>249760</x:v>
      </x:c>
      <x:c r="J68" s="128" t="n">
        <x:f>IF(I68=0,0,ROUND(I68/MAX(1,H68),2))</x:f>
        <x:v>6.21</x:v>
      </x:c>
      <x:c r="K68" s="128" t="n">
        <x:f>K67+J67</x:f>
        <x:v>218.51999999999998</x:v>
      </x:c>
      <x:c r="L68" s="118" t="str">
        <x:f>IF(I68=0,"Cap",IF(J68&lt;0.5,"Too fast",IF(J68&gt;14,"Slow","OK")))</x:f>
        <x:v>OK</x:v>
      </x:c>
    </x:row>
    <x:row r="69" ht="15" hidden="0" customHeight="1">
      <x:c r="A69" s="118" t="n">
        <x:v>66</x:v>
      </x:c>
      <x:c r="B69" s="118" t="str">
        <x:f>IFERROR(INDEX('XP Curve'!$H$4:$H$73,MATCH(A69,'XP Curve'!$A$4:$A$73,0)),"")</x:f>
        <x:v>Post-launch: roadmap wave content</x:v>
      </x:c>
      <x:c r="C69" s="118" t="n">
        <x:f>COUNTIF('Tanks &amp; Social'!$B$4:$B$11,"&lt;="&amp;A69)</x:f>
        <x:v>8</x:v>
      </x:c>
      <x:c r="D69" s="118" t="n">
        <x:f>C69*Inputs!$B$8+MAX(0,C69-1)*8+IF(A69&gt;=40,10,IF(A69&gt;=25,5,0))</x:f>
        <x:v>146</x:v>
      </x:c>
      <x:c r="E69" s="121" t="n">
        <x:f>ROUND(Inputs!$B$70+(A69-Inputs!$B$68)*(Inputs!$B$71-Inputs!$B$70)/(Inputs!$B$69-Inputs!$B$68),1)</x:f>
        <x:v>562.1</x:v>
      </x:c>
      <x:c r="F69" s="121" t="n">
        <x:f>ROUND(Inputs!$B$72+(A69-Inputs!$B$68)*(Inputs!$B$73-Inputs!$B$72)/(Inputs!$B$69-Inputs!$B$68),1)</x:f>
        <x:v>144.8</x:v>
      </x:c>
      <x:c r="G69" s="127" t="n">
        <x:f>ROUND(E69*D69*24*Inputs!$B$81,0)</x:f>
        <x:v>157568</x:v>
      </x:c>
      <x:c r="H69" s="127" t="n">
        <x:f>ROUND(F69*D69*24*Inputs!$B$82,0)</x:f>
        <x:v>40590</x:v>
      </x:c>
      <x:c r="I69" s="127" t="n">
        <x:f>IF(A69&lt;70,INDEX('XP Curve'!$F$4:$F$73,MATCH(A69+1,'XP Curve'!$A$4:$A$73,0)),0)</x:f>
        <x:v>257800</x:v>
      </x:c>
      <x:c r="J69" s="128" t="n">
        <x:f>IF(I69=0,0,ROUND(I69/MAX(1,H69),2))</x:f>
        <x:v>6.35</x:v>
      </x:c>
      <x:c r="K69" s="128" t="n">
        <x:f>K68+J68</x:f>
        <x:v>224.73</x:v>
      </x:c>
      <x:c r="L69" s="118" t="str">
        <x:f>IF(I69=0,"Cap",IF(J69&lt;0.5,"Too fast",IF(J69&gt;14,"Slow","OK")))</x:f>
        <x:v>OK</x:v>
      </x:c>
    </x:row>
    <x:row r="70" ht="15" hidden="0" customHeight="1">
      <x:c r="A70" s="118" t="n">
        <x:v>67</x:v>
      </x:c>
      <x:c r="B70" s="118" t="str">
        <x:f>IFERROR(INDEX('XP Curve'!$H$4:$H$73,MATCH(A70,'XP Curve'!$A$4:$A$73,0)),"")</x:f>
        <x:v>Post-launch: Medium Tank 8</x:v>
      </x:c>
      <x:c r="C70" s="118" t="n">
        <x:f>COUNTIF('Tanks &amp; Social'!$B$4:$B$11,"&lt;="&amp;A70)</x:f>
        <x:v>8</x:v>
      </x:c>
      <x:c r="D70" s="118" t="n">
        <x:f>C70*Inputs!$B$8+MAX(0,C70-1)*8+IF(A70&gt;=40,10,IF(A70&gt;=25,5,0))</x:f>
        <x:v>146</x:v>
      </x:c>
      <x:c r="E70" s="121" t="n">
        <x:f>ROUND(Inputs!$B$70+(A70-Inputs!$B$68)*(Inputs!$B$71-Inputs!$B$70)/(Inputs!$B$69-Inputs!$B$68),1)</x:f>
        <x:v>567.8</x:v>
      </x:c>
      <x:c r="F70" s="121" t="n">
        <x:f>ROUND(Inputs!$B$72+(A70-Inputs!$B$68)*(Inputs!$B$73-Inputs!$B$72)/(Inputs!$B$69-Inputs!$B$68),1)</x:f>
        <x:v>146.1</x:v>
      </x:c>
      <x:c r="G70" s="127" t="n">
        <x:f>ROUND(E70*D70*24*Inputs!$B$81,0)</x:f>
        <x:v>159166</x:v>
      </x:c>
      <x:c r="H70" s="127" t="n">
        <x:f>ROUND(F70*D70*24*Inputs!$B$82,0)</x:f>
        <x:v>40955</x:v>
      </x:c>
      <x:c r="I70" s="127" t="n">
        <x:f>IF(A70&lt;70,INDEX('XP Curve'!$F$4:$F$73,MATCH(A70+1,'XP Curve'!$A$4:$A$73,0)),0)</x:f>
        <x:v>265960</x:v>
      </x:c>
      <x:c r="J70" s="128" t="n">
        <x:f>IF(I70=0,0,ROUND(I70/MAX(1,H70),2))</x:f>
        <x:v>6.49</x:v>
      </x:c>
      <x:c r="K70" s="128" t="n">
        <x:f>K69+J69</x:f>
        <x:v>231.07999999999998</x:v>
      </x:c>
      <x:c r="L70" s="118" t="str">
        <x:f>IF(I70=0,"Cap",IF(J70&lt;0.5,"Too fast",IF(J70&gt;14,"Slow","OK")))</x:f>
        <x:v>OK</x:v>
      </x:c>
    </x:row>
    <x:row r="71" ht="15" hidden="0" customHeight="1">
      <x:c r="A71" s="118" t="n">
        <x:v>68</x:v>
      </x:c>
      <x:c r="B71" s="118" t="str">
        <x:f>IFERROR(INDEX('XP Curve'!$H$4:$H$73,MATCH(A71,'XP Curve'!$A$4:$A$73,0)),"")</x:f>
        <x:v>Post-launch: roadmap wave content</x:v>
      </x:c>
      <x:c r="C71" s="118" t="n">
        <x:f>COUNTIF('Tanks &amp; Social'!$B$4:$B$11,"&lt;="&amp;A71)</x:f>
        <x:v>8</x:v>
      </x:c>
      <x:c r="D71" s="118" t="n">
        <x:f>C71*Inputs!$B$8+MAX(0,C71-1)*8+IF(A71&gt;=40,10,IF(A71&gt;=25,5,0))</x:f>
        <x:v>146</x:v>
      </x:c>
      <x:c r="E71" s="121" t="n">
        <x:f>ROUND(Inputs!$B$70+(A71-Inputs!$B$68)*(Inputs!$B$71-Inputs!$B$70)/(Inputs!$B$69-Inputs!$B$68),1)</x:f>
        <x:v>573.6</x:v>
      </x:c>
      <x:c r="F71" s="121" t="n">
        <x:f>ROUND(Inputs!$B$72+(A71-Inputs!$B$68)*(Inputs!$B$73-Inputs!$B$72)/(Inputs!$B$69-Inputs!$B$68),1)</x:f>
        <x:v>147.4</x:v>
      </x:c>
      <x:c r="G71" s="127" t="n">
        <x:f>ROUND(E71*D71*24*Inputs!$B$81,0)</x:f>
        <x:v>160792</x:v>
      </x:c>
      <x:c r="H71" s="127" t="n">
        <x:f>ROUND(F71*D71*24*Inputs!$B$82,0)</x:f>
        <x:v>41319</x:v>
      </x:c>
      <x:c r="I71" s="127" t="n">
        <x:f>IF(A71&lt;70,INDEX('XP Curve'!$F$4:$F$73,MATCH(A71+1,'XP Curve'!$A$4:$A$73,0)),0)</x:f>
        <x:v>274240</x:v>
      </x:c>
      <x:c r="J71" s="128" t="n">
        <x:f>IF(I71=0,0,ROUND(I71/MAX(1,H71),2))</x:f>
        <x:v>6.64</x:v>
      </x:c>
      <x:c r="K71" s="128" t="n">
        <x:f>K70+J70</x:f>
        <x:v>237.57</x:v>
      </x:c>
      <x:c r="L71" s="118" t="str">
        <x:f>IF(I71=0,"Cap",IF(J71&lt;0.5,"Too fast",IF(J71&gt;14,"Slow","OK")))</x:f>
        <x:v>OK</x:v>
      </x:c>
    </x:row>
    <x:row r="72" ht="15" hidden="0" customHeight="1">
      <x:c r="A72" s="118" t="n">
        <x:v>69</x:v>
      </x:c>
      <x:c r="B72" s="118" t="str">
        <x:f>IFERROR(INDEX('XP Curve'!$H$4:$H$73,MATCH(A72,'XP Curve'!$A$4:$A$73,0)),"")</x:f>
        <x:v>Post-launch: roadmap wave content</x:v>
      </x:c>
      <x:c r="C72" s="118" t="n">
        <x:f>COUNTIF('Tanks &amp; Social'!$B$4:$B$11,"&lt;="&amp;A72)</x:f>
        <x:v>8</x:v>
      </x:c>
      <x:c r="D72" s="118" t="n">
        <x:f>C72*Inputs!$B$8+MAX(0,C72-1)*8+IF(A72&gt;=40,10,IF(A72&gt;=25,5,0))</x:f>
        <x:v>146</x:v>
      </x:c>
      <x:c r="E72" s="121" t="n">
        <x:f>ROUND(Inputs!$B$70+(A72-Inputs!$B$68)*(Inputs!$B$71-Inputs!$B$70)/(Inputs!$B$69-Inputs!$B$68),1)</x:f>
        <x:v>579.3</x:v>
      </x:c>
      <x:c r="F72" s="121" t="n">
        <x:f>ROUND(Inputs!$B$72+(A72-Inputs!$B$68)*(Inputs!$B$73-Inputs!$B$72)/(Inputs!$B$69-Inputs!$B$68),1)</x:f>
        <x:v>148.7</x:v>
      </x:c>
      <x:c r="G72" s="127" t="n">
        <x:f>ROUND(E72*D72*24*Inputs!$B$81,0)</x:f>
        <x:v>162389</x:v>
      </x:c>
      <x:c r="H72" s="127" t="n">
        <x:f>ROUND(F72*D72*24*Inputs!$B$82,0)</x:f>
        <x:v>41684</x:v>
      </x:c>
      <x:c r="I72" s="127" t="n">
        <x:f>IF(A72&lt;70,INDEX('XP Curve'!$F$4:$F$73,MATCH(A72+1,'XP Curve'!$A$4:$A$73,0)),0)</x:f>
        <x:v>282660</x:v>
      </x:c>
      <x:c r="J72" s="128" t="n">
        <x:f>IF(I72=0,0,ROUND(I72/MAX(1,H72),2))</x:f>
        <x:v>6.78</x:v>
      </x:c>
      <x:c r="K72" s="128" t="n">
        <x:f>K71+J71</x:f>
        <x:v>244.20999999999998</x:v>
      </x:c>
      <x:c r="L72" s="118" t="str">
        <x:f>IF(I72=0,"Cap",IF(J72&lt;0.5,"Too fast",IF(J72&gt;14,"Slow","OK")))</x:f>
        <x:v>OK</x:v>
      </x:c>
    </x:row>
    <x:row r="73" ht="15" hidden="0" customHeight="1">
      <x:c r="A73" s="118" t="n">
        <x:v>70</x:v>
      </x:c>
      <x:c r="B73" s="118" t="str">
        <x:f>IFERROR(INDEX('XP Curve'!$H$4:$H$73,MATCH(A73,'XP Curve'!$A$4:$A$73,0)),"")</x:f>
        <x:v>Post-launch: Large Tank 8</x:v>
      </x:c>
      <x:c r="C73" s="118" t="n">
        <x:f>COUNTIF('Tanks &amp; Social'!$B$4:$B$11,"&lt;="&amp;A73)</x:f>
        <x:v>8</x:v>
      </x:c>
      <x:c r="D73" s="118" t="n">
        <x:f>C73*Inputs!$B$8+MAX(0,C73-1)*8+IF(A73&gt;=40,10,IF(A73&gt;=25,5,0))</x:f>
        <x:v>146</x:v>
      </x:c>
      <x:c r="E73" s="121" t="n">
        <x:f>ROUND(Inputs!$B$70+(A73-Inputs!$B$68)*(Inputs!$B$71-Inputs!$B$70)/(Inputs!$B$69-Inputs!$B$68),1)</x:f>
        <x:v>585</x:v>
      </x:c>
      <x:c r="F73" s="121" t="n">
        <x:f>ROUND(Inputs!$B$72+(A73-Inputs!$B$68)*(Inputs!$B$73-Inputs!$B$72)/(Inputs!$B$69-Inputs!$B$68),1)</x:f>
        <x:v>150</x:v>
      </x:c>
      <x:c r="G73" s="127" t="n">
        <x:f>ROUND(E73*D73*24*Inputs!$B$81,0)</x:f>
        <x:v>163987</x:v>
      </x:c>
      <x:c r="H73" s="127" t="n">
        <x:f>ROUND(F73*D73*24*Inputs!$B$82,0)</x:f>
        <x:v>42048</x:v>
      </x:c>
      <x:c r="I73" s="127" t="n">
        <x:f>IF(A73&lt;70,INDEX('XP Curve'!$F$4:$F$73,MATCH(A73+1,'XP Curve'!$A$4:$A$73,0)),0)</x:f>
        <x:v>0</x:v>
      </x:c>
      <x:c r="J73" s="128" t="n">
        <x:f>IF(I73=0,0,ROUND(I73/MAX(1,H73),2))</x:f>
        <x:v>0</x:v>
      </x:c>
      <x:c r="K73" s="128" t="n">
        <x:f>K72+J72</x:f>
        <x:v>250.98999999999998</x:v>
      </x:c>
      <x:c r="L73" s="118" t="str">
        <x:f>IF(I73=0,"Cap",IF(J73&lt;0.5,"Too fast",IF(J73&gt;14,"Slow","OK")))</x:f>
        <x:v>Cap</x:v>
      </x:c>
    </x:row>
  </x:sheetData>
  <x:mergeCells>
    <x:mergeCell ref="A1:L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</x:cols>
  <x:sheetData>
    <x:row r="1" ht="22.5" hidden="0" customHeight="1">
      <x:c r="A1" s="132" t="str">
        <x:v>QUEST SCALING — keeps dailies useful without replacing fish economy</x:v>
      </x:c>
      <x:c r="B1" s="132"/>
      <x:c r="C1" s="132"/>
      <x:c r="D1" s="132"/>
      <x:c r="E1" s="132"/>
      <x:c r="F1" s="132"/>
      <x:c r="G1" s="132"/>
      <x:c r="H1" s="132"/>
      <x:c r="I1" s="132"/>
      <x:c r="J1" s="132"/>
    </x:row>
    <x:row r="2" ht="15" hidden="0" customHeight="1">
      <x:c r="A2" s="118"/>
      <x:c r="B2" s="118"/>
      <x:c r="C2" s="118"/>
      <x:c r="D2" s="118"/>
      <x:c r="E2" s="118"/>
      <x:c r="F2" s="118"/>
      <x:c r="G2" s="118"/>
      <x:c r="H2" s="118"/>
      <x:c r="I2" s="118"/>
      <x:c r="J2" s="118"/>
    </x:row>
    <x:row r="3" ht="26.399999618530273" hidden="0" customHeight="1">
      <x:c r="A3" s="88" t="str">
        <x:v>Level</x:v>
      </x:c>
      <x:c r="B3" s="88" t="str">
        <x:v>Next-Level XP Delta</x:v>
      </x:c>
      <x:c r="C3" s="88" t="str">
        <x:v>Daily XP Pool</x:v>
      </x:c>
      <x:c r="D3" s="88" t="str">
        <x:v>Feed Caretaker XP</x:v>
      </x:c>
      <x:c r="E3" s="88" t="str">
        <x:v>Junior Seller XP</x:v>
      </x:c>
      <x:c r="F3" s="88" t="str">
        <x:v>Adult Harvest XP</x:v>
      </x:c>
      <x:c r="G3" s="88" t="str">
        <x:v>Tank Stylist XP</x:v>
      </x:c>
      <x:c r="H3" s="88" t="str">
        <x:v>Weekly XP</x:v>
      </x:c>
      <x:c r="I3" s="88" t="str">
        <x:v>Est. Daily Coin Pool</x:v>
      </x:c>
      <x:c r="J3" s="88" t="str">
        <x:v>Quest Balance Flag</x:v>
      </x:c>
    </x:row>
    <x:row r="4" ht="15" hidden="0" customHeight="1">
      <x:c r="A4" s="118" t="n">
        <x:v>2</x:v>
      </x:c>
      <x:c r="B4" s="127" t="n">
        <x:f>IF(A4&lt;70,INDEX('XP Curve'!$F$4:$F$73,MATCH(A4+1,'XP Curve'!$A$4:$A$73,0)),0)</x:f>
        <x:v>190</x:v>
      </x:c>
      <x:c r="C4" s="127" t="n">
        <x:f>ROUND(B4*Inputs!$B$78,0)</x:f>
        <x:v>19</x:v>
      </x:c>
      <x:c r="D4" s="127" t="n">
        <x:f>ROUND(C4*0.25,0)</x:f>
        <x:v>5</x:v>
      </x:c>
      <x:c r="E4" s="127" t="n">
        <x:f>ROUND(C4*0.28,0)</x:f>
        <x:v>5</x:v>
      </x:c>
      <x:c r="F4" s="127" t="n">
        <x:f>ROUND(C4*0.32,0)</x:f>
        <x:v>6</x:v>
      </x:c>
      <x:c r="G4" s="127" t="n">
        <x:f>MAX(0,C4-D4-E4-F4)</x:f>
        <x:v>3</x:v>
      </x:c>
      <x:c r="H4" s="127" t="n">
        <x:f>ROUND(B4*Inputs!$B$79,0)</x:f>
        <x:v>86</x:v>
      </x:c>
      <x:c r="I4" s="127" t="n">
        <x:f>ROUND(INDEX('Economy Simulation'!$G$4:$G$73,MATCH(A4,'Economy Simulation'!$A$4:$A$73,0))*Inputs!$B$80,0)</x:f>
        <x:v>263</x:v>
      </x:c>
      <x:c r="J4" s="118" t="str">
        <x:f>IF(B4=0,"Cap",IF(C4/B4&gt;0.12,"Too high",IF(C4/B4&lt;0.08,"Too low","OK")))</x:f>
        <x:v>OK</x:v>
      </x:c>
    </x:row>
    <x:row r="5" ht="15" hidden="0" customHeight="1">
      <x:c r="A5" s="118" t="n">
        <x:v>3</x:v>
      </x:c>
      <x:c r="B5" s="127" t="n">
        <x:f>IF(A5&lt;70,INDEX('XP Curve'!$F$4:$F$73,MATCH(A5+1,'XP Curve'!$A$4:$A$73,0)),0)</x:f>
        <x:v>320</x:v>
      </x:c>
      <x:c r="C5" s="127" t="n">
        <x:f>ROUND(B5*Inputs!$B$78,0)</x:f>
        <x:v>32</x:v>
      </x:c>
      <x:c r="D5" s="127" t="n">
        <x:f>ROUND(C5*0.25,0)</x:f>
        <x:v>8</x:v>
      </x:c>
      <x:c r="E5" s="127" t="n">
        <x:f>ROUND(C5*0.28,0)</x:f>
        <x:v>9</x:v>
      </x:c>
      <x:c r="F5" s="127" t="n">
        <x:f>ROUND(C5*0.32,0)</x:f>
        <x:v>10</x:v>
      </x:c>
      <x:c r="G5" s="127" t="n">
        <x:f>MAX(0,C5-D5-E5-F5)</x:f>
        <x:v>5</x:v>
      </x:c>
      <x:c r="H5" s="127" t="n">
        <x:f>ROUND(B5*Inputs!$B$79,0)</x:f>
        <x:v>144</x:v>
      </x:c>
      <x:c r="I5" s="127" t="n">
        <x:f>ROUND(INDEX('Economy Simulation'!$G$4:$G$73,MATCH(A5,'Economy Simulation'!$A$4:$A$73,0))*Inputs!$B$80,0)</x:f>
        <x:v>271</x:v>
      </x:c>
      <x:c r="J5" s="118" t="str">
        <x:f>IF(B5=0,"Cap",IF(C5/B5&gt;0.12,"Too high",IF(C5/B5&lt;0.08,"Too low","OK")))</x:f>
        <x:v>OK</x:v>
      </x:c>
    </x:row>
    <x:row r="6" ht="15" hidden="0" customHeight="1">
      <x:c r="A6" s="118" t="n">
        <x:v>4</x:v>
      </x:c>
      <x:c r="B6" s="127" t="n">
        <x:f>IF(A6&lt;70,INDEX('XP Curve'!$F$4:$F$73,MATCH(A6+1,'XP Curve'!$A$4:$A$73,0)),0)</x:f>
        <x:v>510</x:v>
      </x:c>
      <x:c r="C6" s="127" t="n">
        <x:f>ROUND(B6*Inputs!$B$78,0)</x:f>
        <x:v>51</x:v>
      </x:c>
      <x:c r="D6" s="127" t="n">
        <x:f>ROUND(C6*0.25,0)</x:f>
        <x:v>13</x:v>
      </x:c>
      <x:c r="E6" s="127" t="n">
        <x:f>ROUND(C6*0.28,0)</x:f>
        <x:v>14</x:v>
      </x:c>
      <x:c r="F6" s="127" t="n">
        <x:f>ROUND(C6*0.32,0)</x:f>
        <x:v>16</x:v>
      </x:c>
      <x:c r="G6" s="127" t="n">
        <x:f>MAX(0,C6-D6-E6-F6)</x:f>
        <x:v>8</x:v>
      </x:c>
      <x:c r="H6" s="127" t="n">
        <x:f>ROUND(B6*Inputs!$B$79,0)</x:f>
        <x:v>230</x:v>
      </x:c>
      <x:c r="I6" s="127" t="n">
        <x:f>ROUND(INDEX('Economy Simulation'!$G$4:$G$73,MATCH(A6,'Economy Simulation'!$A$4:$A$73,0))*Inputs!$B$80,0)</x:f>
        <x:v>278</x:v>
      </x:c>
      <x:c r="J6" s="118" t="str">
        <x:f>IF(B6=0,"Cap",IF(C6/B6&gt;0.12,"Too high",IF(C6/B6&lt;0.08,"Too low","OK")))</x:f>
        <x:v>OK</x:v>
      </x:c>
    </x:row>
    <x:row r="7" ht="15" hidden="0" customHeight="1">
      <x:c r="A7" s="118" t="n">
        <x:v>5</x:v>
      </x:c>
      <x:c r="B7" s="127" t="n">
        <x:f>IF(A7&lt;70,INDEX('XP Curve'!$F$4:$F$73,MATCH(A7+1,'XP Curve'!$A$4:$A$73,0)),0)</x:f>
        <x:v>690</x:v>
      </x:c>
      <x:c r="C7" s="127" t="n">
        <x:f>ROUND(B7*Inputs!$B$78,0)</x:f>
        <x:v>69</x:v>
      </x:c>
      <x:c r="D7" s="127" t="n">
        <x:f>ROUND(C7*0.25,0)</x:f>
        <x:v>17</x:v>
      </x:c>
      <x:c r="E7" s="127" t="n">
        <x:f>ROUND(C7*0.28,0)</x:f>
        <x:v>19</x:v>
      </x:c>
      <x:c r="F7" s="127" t="n">
        <x:f>ROUND(C7*0.32,0)</x:f>
        <x:v>22</x:v>
      </x:c>
      <x:c r="G7" s="127" t="n">
        <x:f>MAX(0,C7-D7-E7-F7)</x:f>
        <x:v>11</x:v>
      </x:c>
      <x:c r="H7" s="127" t="n">
        <x:f>ROUND(B7*Inputs!$B$79,0)</x:f>
        <x:v>311</x:v>
      </x:c>
      <x:c r="I7" s="127" t="n">
        <x:f>ROUND(INDEX('Economy Simulation'!$G$4:$G$73,MATCH(A7,'Economy Simulation'!$A$4:$A$73,0))*Inputs!$B$80,0)</x:f>
        <x:v>286</x:v>
      </x:c>
      <x:c r="J7" s="118" t="str">
        <x:f>IF(B7=0,"Cap",IF(C7/B7&gt;0.12,"Too high",IF(C7/B7&lt;0.08,"Too low","OK")))</x:f>
        <x:v>OK</x:v>
      </x:c>
    </x:row>
    <x:row r="8" ht="15" hidden="0" customHeight="1">
      <x:c r="A8" s="118" t="n">
        <x:v>6</x:v>
      </x:c>
      <x:c r="B8" s="127" t="n">
        <x:f>IF(A8&lt;70,INDEX('XP Curve'!$F$4:$F$73,MATCH(A8+1,'XP Curve'!$A$4:$A$73,0)),0)</x:f>
        <x:v>980</x:v>
      </x:c>
      <x:c r="C8" s="127" t="n">
        <x:f>ROUND(B8*Inputs!$B$78,0)</x:f>
        <x:v>98</x:v>
      </x:c>
      <x:c r="D8" s="127" t="n">
        <x:f>ROUND(C8*0.25,0)</x:f>
        <x:v>25</x:v>
      </x:c>
      <x:c r="E8" s="127" t="n">
        <x:f>ROUND(C8*0.28,0)</x:f>
        <x:v>27</x:v>
      </x:c>
      <x:c r="F8" s="127" t="n">
        <x:f>ROUND(C8*0.32,0)</x:f>
        <x:v>31</x:v>
      </x:c>
      <x:c r="G8" s="127" t="n">
        <x:f>MAX(0,C8-D8-E8-F8)</x:f>
        <x:v>15</x:v>
      </x:c>
      <x:c r="H8" s="127" t="n">
        <x:f>ROUND(B8*Inputs!$B$79,0)</x:f>
        <x:v>441</x:v>
      </x:c>
      <x:c r="I8" s="127" t="n">
        <x:f>ROUND(INDEX('Economy Simulation'!$G$4:$G$73,MATCH(A8,'Economy Simulation'!$A$4:$A$73,0))*Inputs!$B$80,0)</x:f>
        <x:v>294</x:v>
      </x:c>
      <x:c r="J8" s="118" t="str">
        <x:f>IF(B8=0,"Cap",IF(C8/B8&gt;0.12,"Too high",IF(C8/B8&lt;0.08,"Too low","OK")))</x:f>
        <x:v>OK</x:v>
      </x:c>
    </x:row>
    <x:row r="9" ht="15" hidden="0" customHeight="1">
      <x:c r="A9" s="118" t="n">
        <x:v>7</x:v>
      </x:c>
      <x:c r="B9" s="127" t="n">
        <x:f>IF(A9&lt;70,INDEX('XP Curve'!$F$4:$F$73,MATCH(A9+1,'XP Curve'!$A$4:$A$73,0)),0)</x:f>
        <x:v>1310</x:v>
      </x:c>
      <x:c r="C9" s="127" t="n">
        <x:f>ROUND(B9*Inputs!$B$78,0)</x:f>
        <x:v>131</x:v>
      </x:c>
      <x:c r="D9" s="127" t="n">
        <x:f>ROUND(C9*0.25,0)</x:f>
        <x:v>33</x:v>
      </x:c>
      <x:c r="E9" s="127" t="n">
        <x:f>ROUND(C9*0.28,0)</x:f>
        <x:v>37</x:v>
      </x:c>
      <x:c r="F9" s="127" t="n">
        <x:f>ROUND(C9*0.32,0)</x:f>
        <x:v>42</x:v>
      </x:c>
      <x:c r="G9" s="127" t="n">
        <x:f>MAX(0,C9-D9-E9-F9)</x:f>
        <x:v>19</x:v>
      </x:c>
      <x:c r="H9" s="127" t="n">
        <x:f>ROUND(B9*Inputs!$B$79,0)</x:f>
        <x:v>590</x:v>
      </x:c>
      <x:c r="I9" s="127" t="n">
        <x:f>ROUND(INDEX('Economy Simulation'!$G$4:$G$73,MATCH(A9,'Economy Simulation'!$A$4:$A$73,0))*Inputs!$B$80,0)</x:f>
        <x:v>844</x:v>
      </x:c>
      <x:c r="J9" s="118" t="str">
        <x:f>IF(B9=0,"Cap",IF(C9/B9&gt;0.12,"Too high",IF(C9/B9&lt;0.08,"Too low","OK")))</x:f>
        <x:v>OK</x:v>
      </x:c>
    </x:row>
    <x:row r="10" ht="15" hidden="0" customHeight="1">
      <x:c r="A10" s="118" t="n">
        <x:v>8</x:v>
      </x:c>
      <x:c r="B10" s="127" t="n">
        <x:f>IF(A10&lt;70,INDEX('XP Curve'!$F$4:$F$73,MATCH(A10+1,'XP Curve'!$A$4:$A$73,0)),0)</x:f>
        <x:v>1730</x:v>
      </x:c>
      <x:c r="C10" s="127" t="n">
        <x:f>ROUND(B10*Inputs!$B$78,0)</x:f>
        <x:v>173</x:v>
      </x:c>
      <x:c r="D10" s="127" t="n">
        <x:f>ROUND(C10*0.25,0)</x:f>
        <x:v>43</x:v>
      </x:c>
      <x:c r="E10" s="127" t="n">
        <x:f>ROUND(C10*0.28,0)</x:f>
        <x:v>48</x:v>
      </x:c>
      <x:c r="F10" s="127" t="n">
        <x:f>ROUND(C10*0.32,0)</x:f>
        <x:v>55</x:v>
      </x:c>
      <x:c r="G10" s="127" t="n">
        <x:f>MAX(0,C10-D10-E10-F10)</x:f>
        <x:v>27</x:v>
      </x:c>
      <x:c r="H10" s="127" t="n">
        <x:f>ROUND(B10*Inputs!$B$79,0)</x:f>
        <x:v>779</x:v>
      </x:c>
      <x:c r="I10" s="127" t="n">
        <x:f>ROUND(INDEX('Economy Simulation'!$G$4:$G$73,MATCH(A10,'Economy Simulation'!$A$4:$A$73,0))*Inputs!$B$80,0)</x:f>
        <x:v>866</x:v>
      </x:c>
      <x:c r="J10" s="118" t="str">
        <x:f>IF(B10=0,"Cap",IF(C10/B10&gt;0.12,"Too high",IF(C10/B10&lt;0.08,"Too low","OK")))</x:f>
        <x:v>OK</x:v>
      </x:c>
    </x:row>
    <x:row r="11" ht="15" hidden="0" customHeight="1">
      <x:c r="A11" s="118" t="n">
        <x:v>9</x:v>
      </x:c>
      <x:c r="B11" s="127" t="n">
        <x:f>IF(A11&lt;70,INDEX('XP Curve'!$F$4:$F$73,MATCH(A11+1,'XP Curve'!$A$4:$A$73,0)),0)</x:f>
        <x:v>2220</x:v>
      </x:c>
      <x:c r="C11" s="127" t="n">
        <x:f>ROUND(B11*Inputs!$B$78,0)</x:f>
        <x:v>222</x:v>
      </x:c>
      <x:c r="D11" s="127" t="n">
        <x:f>ROUND(C11*0.25,0)</x:f>
        <x:v>56</x:v>
      </x:c>
      <x:c r="E11" s="127" t="n">
        <x:f>ROUND(C11*0.28,0)</x:f>
        <x:v>62</x:v>
      </x:c>
      <x:c r="F11" s="127" t="n">
        <x:f>ROUND(C11*0.32,0)</x:f>
        <x:v>71</x:v>
      </x:c>
      <x:c r="G11" s="127" t="n">
        <x:f>MAX(0,C11-D11-E11-F11)</x:f>
        <x:v>33</x:v>
      </x:c>
      <x:c r="H11" s="127" t="n">
        <x:f>ROUND(B11*Inputs!$B$79,0)</x:f>
        <x:v>999</x:v>
      </x:c>
      <x:c r="I11" s="127" t="n">
        <x:f>ROUND(INDEX('Economy Simulation'!$G$4:$G$73,MATCH(A11,'Economy Simulation'!$A$4:$A$73,0))*Inputs!$B$80,0)</x:f>
        <x:v>887</x:v>
      </x:c>
      <x:c r="J11" s="118" t="str">
        <x:f>IF(B11=0,"Cap",IF(C11/B11&gt;0.12,"Too high",IF(C11/B11&lt;0.08,"Too low","OK")))</x:f>
        <x:v>OK</x:v>
      </x:c>
    </x:row>
    <x:row r="12" ht="15" hidden="0" customHeight="1">
      <x:c r="A12" s="118" t="n">
        <x:v>10</x:v>
      </x:c>
      <x:c r="B12" s="127" t="n">
        <x:f>IF(A12&lt;70,INDEX('XP Curve'!$F$4:$F$73,MATCH(A12+1,'XP Curve'!$A$4:$A$73,0)),0)</x:f>
        <x:v>2890</x:v>
      </x:c>
      <x:c r="C12" s="127" t="n">
        <x:f>ROUND(B12*Inputs!$B$78,0)</x:f>
        <x:v>289</x:v>
      </x:c>
      <x:c r="D12" s="127" t="n">
        <x:f>ROUND(C12*0.25,0)</x:f>
        <x:v>72</x:v>
      </x:c>
      <x:c r="E12" s="127" t="n">
        <x:f>ROUND(C12*0.28,0)</x:f>
        <x:v>81</x:v>
      </x:c>
      <x:c r="F12" s="127" t="n">
        <x:f>ROUND(C12*0.32,0)</x:f>
        <x:v>92</x:v>
      </x:c>
      <x:c r="G12" s="127" t="n">
        <x:f>MAX(0,C12-D12-E12-F12)</x:f>
        <x:v>44</x:v>
      </x:c>
      <x:c r="H12" s="127" t="n">
        <x:f>ROUND(B12*Inputs!$B$79,0)</x:f>
        <x:v>1301</x:v>
      </x:c>
      <x:c r="I12" s="127" t="n">
        <x:f>ROUND(INDEX('Economy Simulation'!$G$4:$G$73,MATCH(A12,'Economy Simulation'!$A$4:$A$73,0))*Inputs!$B$80,0)</x:f>
        <x:v>909</x:v>
      </x:c>
      <x:c r="J12" s="118" t="str">
        <x:f>IF(B12=0,"Cap",IF(C12/B12&gt;0.12,"Too high",IF(C12/B12&lt;0.08,"Too low","OK")))</x:f>
        <x:v>OK</x:v>
      </x:c>
    </x:row>
    <x:row r="13" ht="15" hidden="0" customHeight="1">
      <x:c r="A13" s="118" t="n">
        <x:v>11</x:v>
      </x:c>
      <x:c r="B13" s="127" t="n">
        <x:f>IF(A13&lt;70,INDEX('XP Curve'!$F$4:$F$73,MATCH(A13+1,'XP Curve'!$A$4:$A$73,0)),0)</x:f>
        <x:v>3700</x:v>
      </x:c>
      <x:c r="C13" s="127" t="n">
        <x:f>ROUND(B13*Inputs!$B$78,0)</x:f>
        <x:v>370</x:v>
      </x:c>
      <x:c r="D13" s="127" t="n">
        <x:f>ROUND(C13*0.25,0)</x:f>
        <x:v>93</x:v>
      </x:c>
      <x:c r="E13" s="127" t="n">
        <x:f>ROUND(C13*0.28,0)</x:f>
        <x:v>104</x:v>
      </x:c>
      <x:c r="F13" s="127" t="n">
        <x:f>ROUND(C13*0.32,0)</x:f>
        <x:v>118</x:v>
      </x:c>
      <x:c r="G13" s="127" t="n">
        <x:f>MAX(0,C13-D13-E13-F13)</x:f>
        <x:v>55</x:v>
      </x:c>
      <x:c r="H13" s="127" t="n">
        <x:f>ROUND(B13*Inputs!$B$79,0)</x:f>
        <x:v>1665</x:v>
      </x:c>
      <x:c r="I13" s="127" t="n">
        <x:f>ROUND(INDEX('Economy Simulation'!$G$4:$G$73,MATCH(A13,'Economy Simulation'!$A$4:$A$73,0))*Inputs!$B$80,0)</x:f>
        <x:v>930</x:v>
      </x:c>
      <x:c r="J13" s="118" t="str">
        <x:f>IF(B13=0,"Cap",IF(C13/B13&gt;0.12,"Too high",IF(C13/B13&lt;0.08,"Too low","OK")))</x:f>
        <x:v>OK</x:v>
      </x:c>
    </x:row>
    <x:row r="14" ht="15" hidden="0" customHeight="1">
      <x:c r="A14" s="118" t="n">
        <x:v>12</x:v>
      </x:c>
      <x:c r="B14" s="127" t="n">
        <x:f>IF(A14&lt;70,INDEX('XP Curve'!$F$4:$F$73,MATCH(A14+1,'XP Curve'!$A$4:$A$73,0)),0)</x:f>
        <x:v>4630</x:v>
      </x:c>
      <x:c r="C14" s="127" t="n">
        <x:f>ROUND(B14*Inputs!$B$78,0)</x:f>
        <x:v>463</x:v>
      </x:c>
      <x:c r="D14" s="127" t="n">
        <x:f>ROUND(C14*0.25,0)</x:f>
        <x:v>116</x:v>
      </x:c>
      <x:c r="E14" s="127" t="n">
        <x:f>ROUND(C14*0.28,0)</x:f>
        <x:v>130</x:v>
      </x:c>
      <x:c r="F14" s="127" t="n">
        <x:f>ROUND(C14*0.32,0)</x:f>
        <x:v>148</x:v>
      </x:c>
      <x:c r="G14" s="127" t="n">
        <x:f>MAX(0,C14-D14-E14-F14)</x:f>
        <x:v>69</x:v>
      </x:c>
      <x:c r="H14" s="127" t="n">
        <x:f>ROUND(B14*Inputs!$B$79,0)</x:f>
        <x:v>2084</x:v>
      </x:c>
      <x:c r="I14" s="127" t="n">
        <x:f>ROUND(INDEX('Economy Simulation'!$G$4:$G$73,MATCH(A14,'Economy Simulation'!$A$4:$A$73,0))*Inputs!$B$80,0)</x:f>
        <x:v>952</x:v>
      </x:c>
      <x:c r="J14" s="118" t="str">
        <x:f>IF(B14=0,"Cap",IF(C14/B14&gt;0.12,"Too high",IF(C14/B14&lt;0.08,"Too low","OK")))</x:f>
        <x:v>OK</x:v>
      </x:c>
    </x:row>
    <x:row r="15" ht="15" hidden="0" customHeight="1">
      <x:c r="A15" s="118" t="n">
        <x:v>13</x:v>
      </x:c>
      <x:c r="B15" s="127" t="n">
        <x:f>IF(A15&lt;70,INDEX('XP Curve'!$F$4:$F$73,MATCH(A15+1,'XP Curve'!$A$4:$A$73,0)),0)</x:f>
        <x:v>5710</x:v>
      </x:c>
      <x:c r="C15" s="127" t="n">
        <x:f>ROUND(B15*Inputs!$B$78,0)</x:f>
        <x:v>571</x:v>
      </x:c>
      <x:c r="D15" s="127" t="n">
        <x:f>ROUND(C15*0.25,0)</x:f>
        <x:v>143</x:v>
      </x:c>
      <x:c r="E15" s="127" t="n">
        <x:f>ROUND(C15*0.28,0)</x:f>
        <x:v>160</x:v>
      </x:c>
      <x:c r="F15" s="127" t="n">
        <x:f>ROUND(C15*0.32,0)</x:f>
        <x:v>183</x:v>
      </x:c>
      <x:c r="G15" s="127" t="n">
        <x:f>MAX(0,C15-D15-E15-F15)</x:f>
        <x:v>85</x:v>
      </x:c>
      <x:c r="H15" s="127" t="n">
        <x:f>ROUND(B15*Inputs!$B$79,0)</x:f>
        <x:v>2570</x:v>
      </x:c>
      <x:c r="I15" s="127" t="n">
        <x:f>ROUND(INDEX('Economy Simulation'!$G$4:$G$73,MATCH(A15,'Economy Simulation'!$A$4:$A$73,0))*Inputs!$B$80,0)</x:f>
        <x:v>974</x:v>
      </x:c>
      <x:c r="J15" s="118" t="str">
        <x:f>IF(B15=0,"Cap",IF(C15/B15&gt;0.12,"Too high",IF(C15/B15&lt;0.08,"Too low","OK")))</x:f>
        <x:v>OK</x:v>
      </x:c>
    </x:row>
    <x:row r="16" ht="15" hidden="0" customHeight="1">
      <x:c r="A16" s="118" t="n">
        <x:v>14</x:v>
      </x:c>
      <x:c r="B16" s="127" t="n">
        <x:f>IF(A16&lt;70,INDEX('XP Curve'!$F$4:$F$73,MATCH(A16+1,'XP Curve'!$A$4:$A$73,0)),0)</x:f>
        <x:v>6950</x:v>
      </x:c>
      <x:c r="C16" s="127" t="n">
        <x:f>ROUND(B16*Inputs!$B$78,0)</x:f>
        <x:v>695</x:v>
      </x:c>
      <x:c r="D16" s="127" t="n">
        <x:f>ROUND(C16*0.25,0)</x:f>
        <x:v>174</x:v>
      </x:c>
      <x:c r="E16" s="127" t="n">
        <x:f>ROUND(C16*0.28,0)</x:f>
        <x:v>195</x:v>
      </x:c>
      <x:c r="F16" s="127" t="n">
        <x:f>ROUND(C16*0.32,0)</x:f>
        <x:v>222</x:v>
      </x:c>
      <x:c r="G16" s="127" t="n">
        <x:f>MAX(0,C16-D16-E16-F16)</x:f>
        <x:v>104</x:v>
      </x:c>
      <x:c r="H16" s="127" t="n">
        <x:f>ROUND(B16*Inputs!$B$79,0)</x:f>
        <x:v>3128</x:v>
      </x:c>
      <x:c r="I16" s="127" t="n">
        <x:f>ROUND(INDEX('Economy Simulation'!$G$4:$G$73,MATCH(A16,'Economy Simulation'!$A$4:$A$73,0))*Inputs!$B$80,0)</x:f>
        <x:v>995</x:v>
      </x:c>
      <x:c r="J16" s="118" t="str">
        <x:f>IF(B16=0,"Cap",IF(C16/B16&gt;0.12,"Too high",IF(C16/B16&lt;0.08,"Too low","OK")))</x:f>
        <x:v>OK</x:v>
      </x:c>
    </x:row>
    <x:row r="17" ht="15" hidden="0" customHeight="1">
      <x:c r="A17" s="118" t="n">
        <x:v>15</x:v>
      </x:c>
      <x:c r="B17" s="127" t="n">
        <x:f>IF(A17&lt;70,INDEX('XP Curve'!$F$4:$F$73,MATCH(A17+1,'XP Curve'!$A$4:$A$73,0)),0)</x:f>
        <x:v>8340</x:v>
      </x:c>
      <x:c r="C17" s="127" t="n">
        <x:f>ROUND(B17*Inputs!$B$78,0)</x:f>
        <x:v>834</x:v>
      </x:c>
      <x:c r="D17" s="127" t="n">
        <x:f>ROUND(C17*0.25,0)</x:f>
        <x:v>209</x:v>
      </x:c>
      <x:c r="E17" s="127" t="n">
        <x:f>ROUND(C17*0.28,0)</x:f>
        <x:v>234</x:v>
      </x:c>
      <x:c r="F17" s="127" t="n">
        <x:f>ROUND(C17*0.32,0)</x:f>
        <x:v>267</x:v>
      </x:c>
      <x:c r="G17" s="127" t="n">
        <x:f>MAX(0,C17-D17-E17-F17)</x:f>
        <x:v>124</x:v>
      </x:c>
      <x:c r="H17" s="127" t="n">
        <x:f>ROUND(B17*Inputs!$B$79,0)</x:f>
        <x:v>3753</x:v>
      </x:c>
      <x:c r="I17" s="127" t="n">
        <x:f>ROUND(INDEX('Economy Simulation'!$G$4:$G$73,MATCH(A17,'Economy Simulation'!$A$4:$A$73,0))*Inputs!$B$80,0)</x:f>
        <x:v>1016</x:v>
      </x:c>
      <x:c r="J17" s="118" t="str">
        <x:f>IF(B17=0,"Cap",IF(C17/B17&gt;0.12,"Too high",IF(C17/B17&lt;0.08,"Too low","OK")))</x:f>
        <x:v>OK</x:v>
      </x:c>
    </x:row>
    <x:row r="18" ht="15" hidden="0" customHeight="1">
      <x:c r="A18" s="118" t="n">
        <x:v>16</x:v>
      </x:c>
      <x:c r="B18" s="127" t="n">
        <x:f>IF(A18&lt;70,INDEX('XP Curve'!$F$4:$F$73,MATCH(A18+1,'XP Curve'!$A$4:$A$73,0)),0)</x:f>
        <x:v>9910</x:v>
      </x:c>
      <x:c r="C18" s="127" t="n">
        <x:f>ROUND(B18*Inputs!$B$78,0)</x:f>
        <x:v>991</x:v>
      </x:c>
      <x:c r="D18" s="127" t="n">
        <x:f>ROUND(C18*0.25,0)</x:f>
        <x:v>248</x:v>
      </x:c>
      <x:c r="E18" s="127" t="n">
        <x:f>ROUND(C18*0.28,0)</x:f>
        <x:v>277</x:v>
      </x:c>
      <x:c r="F18" s="127" t="n">
        <x:f>ROUND(C18*0.32,0)</x:f>
        <x:v>317</x:v>
      </x:c>
      <x:c r="G18" s="127" t="n">
        <x:f>MAX(0,C18-D18-E18-F18)</x:f>
        <x:v>149</x:v>
      </x:c>
      <x:c r="H18" s="127" t="n">
        <x:f>ROUND(B18*Inputs!$B$79,0)</x:f>
        <x:v>4460</x:v>
      </x:c>
      <x:c r="I18" s="127" t="n">
        <x:f>ROUND(INDEX('Economy Simulation'!$G$4:$G$73,MATCH(A18,'Economy Simulation'!$A$4:$A$73,0))*Inputs!$B$80,0)</x:f>
        <x:v>1706</x:v>
      </x:c>
      <x:c r="J18" s="118" t="str">
        <x:f>IF(B18=0,"Cap",IF(C18/B18&gt;0.12,"Too high",IF(C18/B18&lt;0.08,"Too low","OK")))</x:f>
        <x:v>OK</x:v>
      </x:c>
    </x:row>
    <x:row r="19" ht="15" hidden="0" customHeight="1">
      <x:c r="A19" s="118" t="n">
        <x:v>17</x:v>
      </x:c>
      <x:c r="B19" s="127" t="n">
        <x:f>IF(A19&lt;70,INDEX('XP Curve'!$F$4:$F$73,MATCH(A19+1,'XP Curve'!$A$4:$A$73,0)),0)</x:f>
        <x:v>11650</x:v>
      </x:c>
      <x:c r="C19" s="127" t="n">
        <x:f>ROUND(B19*Inputs!$B$78,0)</x:f>
        <x:v>1165</x:v>
      </x:c>
      <x:c r="D19" s="127" t="n">
        <x:f>ROUND(C19*0.25,0)</x:f>
        <x:v>291</x:v>
      </x:c>
      <x:c r="E19" s="127" t="n">
        <x:f>ROUND(C19*0.28,0)</x:f>
        <x:v>326</x:v>
      </x:c>
      <x:c r="F19" s="127" t="n">
        <x:f>ROUND(C19*0.32,0)</x:f>
        <x:v>373</x:v>
      </x:c>
      <x:c r="G19" s="127" t="n">
        <x:f>MAX(0,C19-D19-E19-F19)</x:f>
        <x:v>175</x:v>
      </x:c>
      <x:c r="H19" s="127" t="n">
        <x:f>ROUND(B19*Inputs!$B$79,0)</x:f>
        <x:v>5243</x:v>
      </x:c>
      <x:c r="I19" s="127" t="n">
        <x:f>ROUND(INDEX('Economy Simulation'!$G$4:$G$73,MATCH(A19,'Economy Simulation'!$A$4:$A$73,0))*Inputs!$B$80,0)</x:f>
        <x:v>1741</x:v>
      </x:c>
      <x:c r="J19" s="118" t="str">
        <x:f>IF(B19=0,"Cap",IF(C19/B19&gt;0.12,"Too high",IF(C19/B19&lt;0.08,"Too low","OK")))</x:f>
        <x:v>OK</x:v>
      </x:c>
    </x:row>
    <x:row r="20" ht="15" hidden="0" customHeight="1">
      <x:c r="A20" s="118" t="n">
        <x:v>18</x:v>
      </x:c>
      <x:c r="B20" s="127" t="n">
        <x:f>IF(A20&lt;70,INDEX('XP Curve'!$F$4:$F$73,MATCH(A20+1,'XP Curve'!$A$4:$A$73,0)),0)</x:f>
        <x:v>13220</x:v>
      </x:c>
      <x:c r="C20" s="127" t="n">
        <x:f>ROUND(B20*Inputs!$B$78,0)</x:f>
        <x:v>1322</x:v>
      </x:c>
      <x:c r="D20" s="127" t="n">
        <x:f>ROUND(C20*0.25,0)</x:f>
        <x:v>331</x:v>
      </x:c>
      <x:c r="E20" s="127" t="n">
        <x:f>ROUND(C20*0.28,0)</x:f>
        <x:v>370</x:v>
      </x:c>
      <x:c r="F20" s="127" t="n">
        <x:f>ROUND(C20*0.32,0)</x:f>
        <x:v>423</x:v>
      </x:c>
      <x:c r="G20" s="127" t="n">
        <x:f>MAX(0,C20-D20-E20-F20)</x:f>
        <x:v>198</x:v>
      </x:c>
      <x:c r="H20" s="127" t="n">
        <x:f>ROUND(B20*Inputs!$B$79,0)</x:f>
        <x:v>5949</x:v>
      </x:c>
      <x:c r="I20" s="127" t="n">
        <x:f>ROUND(INDEX('Economy Simulation'!$G$4:$G$73,MATCH(A20,'Economy Simulation'!$A$4:$A$73,0))*Inputs!$B$80,0)</x:f>
        <x:v>1776</x:v>
      </x:c>
      <x:c r="J20" s="118" t="str">
        <x:f>IF(B20=0,"Cap",IF(C20/B20&gt;0.12,"Too high",IF(C20/B20&lt;0.08,"Too low","OK")))</x:f>
        <x:v>OK</x:v>
      </x:c>
    </x:row>
    <x:row r="21" ht="15" hidden="0" customHeight="1">
      <x:c r="A21" s="118" t="n">
        <x:v>19</x:v>
      </x:c>
      <x:c r="B21" s="127" t="n">
        <x:f>IF(A21&lt;70,INDEX('XP Curve'!$F$4:$F$73,MATCH(A21+1,'XP Curve'!$A$4:$A$73,0)),0)</x:f>
        <x:v>14900</x:v>
      </x:c>
      <x:c r="C21" s="127" t="n">
        <x:f>ROUND(B21*Inputs!$B$78,0)</x:f>
        <x:v>1490</x:v>
      </x:c>
      <x:c r="D21" s="127" t="n">
        <x:f>ROUND(C21*0.25,0)</x:f>
        <x:v>373</x:v>
      </x:c>
      <x:c r="E21" s="127" t="n">
        <x:f>ROUND(C21*0.28,0)</x:f>
        <x:v>417</x:v>
      </x:c>
      <x:c r="F21" s="127" t="n">
        <x:f>ROUND(C21*0.32,0)</x:f>
        <x:v>477</x:v>
      </x:c>
      <x:c r="G21" s="127" t="n">
        <x:f>MAX(0,C21-D21-E21-F21)</x:f>
        <x:v>223</x:v>
      </x:c>
      <x:c r="H21" s="127" t="n">
        <x:f>ROUND(B21*Inputs!$B$79,0)</x:f>
        <x:v>6705</x:v>
      </x:c>
      <x:c r="I21" s="127" t="n">
        <x:f>ROUND(INDEX('Economy Simulation'!$G$4:$G$73,MATCH(A21,'Economy Simulation'!$A$4:$A$73,0))*Inputs!$B$80,0)</x:f>
        <x:v>1811</x:v>
      </x:c>
      <x:c r="J21" s="118" t="str">
        <x:f>IF(B21=0,"Cap",IF(C21/B21&gt;0.12,"Too high",IF(C21/B21&lt;0.08,"Too low","OK")))</x:f>
        <x:v>OK</x:v>
      </x:c>
    </x:row>
    <x:row r="22" ht="15" hidden="0" customHeight="1">
      <x:c r="A22" s="118" t="n">
        <x:v>20</x:v>
      </x:c>
      <x:c r="B22" s="127" t="n">
        <x:f>IF(A22&lt;70,INDEX('XP Curve'!$F$4:$F$73,MATCH(A22+1,'XP Curve'!$A$4:$A$73,0)),0)</x:f>
        <x:v>16690</x:v>
      </x:c>
      <x:c r="C22" s="127" t="n">
        <x:f>ROUND(B22*Inputs!$B$78,0)</x:f>
        <x:v>1669</x:v>
      </x:c>
      <x:c r="D22" s="127" t="n">
        <x:f>ROUND(C22*0.25,0)</x:f>
        <x:v>417</x:v>
      </x:c>
      <x:c r="E22" s="127" t="n">
        <x:f>ROUND(C22*0.28,0)</x:f>
        <x:v>467</x:v>
      </x:c>
      <x:c r="F22" s="127" t="n">
        <x:f>ROUND(C22*0.32,0)</x:f>
        <x:v>534</x:v>
      </x:c>
      <x:c r="G22" s="127" t="n">
        <x:f>MAX(0,C22-D22-E22-F22)</x:f>
        <x:v>251</x:v>
      </x:c>
      <x:c r="H22" s="127" t="n">
        <x:f>ROUND(B22*Inputs!$B$79,0)</x:f>
        <x:v>7511</x:v>
      </x:c>
      <x:c r="I22" s="127" t="n">
        <x:f>ROUND(INDEX('Economy Simulation'!$G$4:$G$73,MATCH(A22,'Economy Simulation'!$A$4:$A$73,0))*Inputs!$B$80,0)</x:f>
        <x:v>1847</x:v>
      </x:c>
      <x:c r="J22" s="118" t="str">
        <x:f>IF(B22=0,"Cap",IF(C22/B22&gt;0.12,"Too high",IF(C22/B22&lt;0.08,"Too low","OK")))</x:f>
        <x:v>OK</x:v>
      </x:c>
    </x:row>
    <x:row r="23" ht="15" hidden="0" customHeight="1">
      <x:c r="A23" s="118" t="n">
        <x:v>21</x:v>
      </x:c>
      <x:c r="B23" s="127" t="n">
        <x:f>IF(A23&lt;70,INDEX('XP Curve'!$F$4:$F$73,MATCH(A23+1,'XP Curve'!$A$4:$A$73,0)),0)</x:f>
        <x:v>18580</x:v>
      </x:c>
      <x:c r="C23" s="127" t="n">
        <x:f>ROUND(B23*Inputs!$B$78,0)</x:f>
        <x:v>1858</x:v>
      </x:c>
      <x:c r="D23" s="127" t="n">
        <x:f>ROUND(C23*0.25,0)</x:f>
        <x:v>465</x:v>
      </x:c>
      <x:c r="E23" s="127" t="n">
        <x:f>ROUND(C23*0.28,0)</x:f>
        <x:v>520</x:v>
      </x:c>
      <x:c r="F23" s="127" t="n">
        <x:f>ROUND(C23*0.32,0)</x:f>
        <x:v>595</x:v>
      </x:c>
      <x:c r="G23" s="127" t="n">
        <x:f>MAX(0,C23-D23-E23-F23)</x:f>
        <x:v>278</x:v>
      </x:c>
      <x:c r="H23" s="127" t="n">
        <x:f>ROUND(B23*Inputs!$B$79,0)</x:f>
        <x:v>8361</x:v>
      </x:c>
      <x:c r="I23" s="127" t="n">
        <x:f>ROUND(INDEX('Economy Simulation'!$G$4:$G$73,MATCH(A23,'Economy Simulation'!$A$4:$A$73,0))*Inputs!$B$80,0)</x:f>
        <x:v>1883</x:v>
      </x:c>
      <x:c r="J23" s="118" t="str">
        <x:f>IF(B23=0,"Cap",IF(C23/B23&gt;0.12,"Too high",IF(C23/B23&lt;0.08,"Too low","OK")))</x:f>
        <x:v>OK</x:v>
      </x:c>
    </x:row>
    <x:row r="24" ht="15" hidden="0" customHeight="1">
      <x:c r="A24" s="118" t="n">
        <x:v>22</x:v>
      </x:c>
      <x:c r="B24" s="127" t="n">
        <x:f>IF(A24&lt;70,INDEX('XP Curve'!$F$4:$F$73,MATCH(A24+1,'XP Curve'!$A$4:$A$73,0)),0)</x:f>
        <x:v>20570</x:v>
      </x:c>
      <x:c r="C24" s="127" t="n">
        <x:f>ROUND(B24*Inputs!$B$78,0)</x:f>
        <x:v>2057</x:v>
      </x:c>
      <x:c r="D24" s="127" t="n">
        <x:f>ROUND(C24*0.25,0)</x:f>
        <x:v>514</x:v>
      </x:c>
      <x:c r="E24" s="127" t="n">
        <x:f>ROUND(C24*0.28,0)</x:f>
        <x:v>576</x:v>
      </x:c>
      <x:c r="F24" s="127" t="n">
        <x:f>ROUND(C24*0.32,0)</x:f>
        <x:v>658</x:v>
      </x:c>
      <x:c r="G24" s="127" t="n">
        <x:f>MAX(0,C24-D24-E24-F24)</x:f>
        <x:v>309</x:v>
      </x:c>
      <x:c r="H24" s="127" t="n">
        <x:f>ROUND(B24*Inputs!$B$79,0)</x:f>
        <x:v>9257</x:v>
      </x:c>
      <x:c r="I24" s="127" t="n">
        <x:f>ROUND(INDEX('Economy Simulation'!$G$4:$G$73,MATCH(A24,'Economy Simulation'!$A$4:$A$73,0))*Inputs!$B$80,0)</x:f>
        <x:v>1918</x:v>
      </x:c>
      <x:c r="J24" s="118" t="str">
        <x:f>IF(B24=0,"Cap",IF(C24/B24&gt;0.12,"Too high",IF(C24/B24&lt;0.08,"Too low","OK")))</x:f>
        <x:v>OK</x:v>
      </x:c>
    </x:row>
    <x:row r="25" ht="15" hidden="0" customHeight="1">
      <x:c r="A25" s="118" t="n">
        <x:v>23</x:v>
      </x:c>
      <x:c r="B25" s="127" t="n">
        <x:f>IF(A25&lt;70,INDEX('XP Curve'!$F$4:$F$73,MATCH(A25+1,'XP Curve'!$A$4:$A$73,0)),0)</x:f>
        <x:v>22670</x:v>
      </x:c>
      <x:c r="C25" s="127" t="n">
        <x:f>ROUND(B25*Inputs!$B$78,0)</x:f>
        <x:v>2267</x:v>
      </x:c>
      <x:c r="D25" s="127" t="n">
        <x:f>ROUND(C25*0.25,0)</x:f>
        <x:v>567</x:v>
      </x:c>
      <x:c r="E25" s="127" t="n">
        <x:f>ROUND(C25*0.28,0)</x:f>
        <x:v>635</x:v>
      </x:c>
      <x:c r="F25" s="127" t="n">
        <x:f>ROUND(C25*0.32,0)</x:f>
        <x:v>725</x:v>
      </x:c>
      <x:c r="G25" s="127" t="n">
        <x:f>MAX(0,C25-D25-E25-F25)</x:f>
        <x:v>340</x:v>
      </x:c>
      <x:c r="H25" s="127" t="n">
        <x:f>ROUND(B25*Inputs!$B$79,0)</x:f>
        <x:v>10202</x:v>
      </x:c>
      <x:c r="I25" s="127" t="n">
        <x:f>ROUND(INDEX('Economy Simulation'!$G$4:$G$73,MATCH(A25,'Economy Simulation'!$A$4:$A$73,0))*Inputs!$B$80,0)</x:f>
        <x:v>1953</x:v>
      </x:c>
      <x:c r="J25" s="118" t="str">
        <x:f>IF(B25=0,"Cap",IF(C25/B25&gt;0.12,"Too high",IF(C25/B25&lt;0.08,"Too low","OK")))</x:f>
        <x:v>OK</x:v>
      </x:c>
    </x:row>
    <x:row r="26" ht="15" hidden="0" customHeight="1">
      <x:c r="A26" s="118" t="n">
        <x:v>24</x:v>
      </x:c>
      <x:c r="B26" s="127" t="n">
        <x:f>IF(A26&lt;70,INDEX('XP Curve'!$F$4:$F$73,MATCH(A26+1,'XP Curve'!$A$4:$A$73,0)),0)</x:f>
        <x:v>24880</x:v>
      </x:c>
      <x:c r="C26" s="127" t="n">
        <x:f>ROUND(B26*Inputs!$B$78,0)</x:f>
        <x:v>2488</x:v>
      </x:c>
      <x:c r="D26" s="127" t="n">
        <x:f>ROUND(C26*0.25,0)</x:f>
        <x:v>622</x:v>
      </x:c>
      <x:c r="E26" s="127" t="n">
        <x:f>ROUND(C26*0.28,0)</x:f>
        <x:v>697</x:v>
      </x:c>
      <x:c r="F26" s="127" t="n">
        <x:f>ROUND(C26*0.32,0)</x:f>
        <x:v>796</x:v>
      </x:c>
      <x:c r="G26" s="127" t="n">
        <x:f>MAX(0,C26-D26-E26-F26)</x:f>
        <x:v>373</x:v>
      </x:c>
      <x:c r="H26" s="127" t="n">
        <x:f>ROUND(B26*Inputs!$B$79,0)</x:f>
        <x:v>11196</x:v>
      </x:c>
      <x:c r="I26" s="127" t="n">
        <x:f>ROUND(INDEX('Economy Simulation'!$G$4:$G$73,MATCH(A26,'Economy Simulation'!$A$4:$A$73,0))*Inputs!$B$80,0)</x:f>
        <x:v>1989</x:v>
      </x:c>
      <x:c r="J26" s="118" t="str">
        <x:f>IF(B26=0,"Cap",IF(C26/B26&gt;0.12,"Too high",IF(C26/B26&lt;0.08,"Too low","OK")))</x:f>
        <x:v>OK</x:v>
      </x:c>
    </x:row>
    <x:row r="27" ht="15" hidden="0" customHeight="1">
      <x:c r="A27" s="118" t="n">
        <x:v>25</x:v>
      </x:c>
      <x:c r="B27" s="127" t="n">
        <x:f>IF(A27&lt;70,INDEX('XP Curve'!$F$4:$F$73,MATCH(A27+1,'XP Curve'!$A$4:$A$73,0)),0)</x:f>
        <x:v>27190</x:v>
      </x:c>
      <x:c r="C27" s="127" t="n">
        <x:f>ROUND(B27*Inputs!$B$78,0)</x:f>
        <x:v>2719</x:v>
      </x:c>
      <x:c r="D27" s="127" t="n">
        <x:f>ROUND(C27*0.25,0)</x:f>
        <x:v>680</x:v>
      </x:c>
      <x:c r="E27" s="127" t="n">
        <x:f>ROUND(C27*0.28,0)</x:f>
        <x:v>761</x:v>
      </x:c>
      <x:c r="F27" s="127" t="n">
        <x:f>ROUND(C27*0.32,0)</x:f>
        <x:v>870</x:v>
      </x:c>
      <x:c r="G27" s="127" t="n">
        <x:f>MAX(0,C27-D27-E27-F27)</x:f>
        <x:v>408</x:v>
      </x:c>
      <x:c r="H27" s="127" t="n">
        <x:f>ROUND(B27*Inputs!$B$79,0)</x:f>
        <x:v>12236</x:v>
      </x:c>
      <x:c r="I27" s="127" t="n">
        <x:f>ROUND(INDEX('Economy Simulation'!$G$4:$G$73,MATCH(A27,'Economy Simulation'!$A$4:$A$73,0))*Inputs!$B$80,0)</x:f>
        <x:v>3036</x:v>
      </x:c>
      <x:c r="J27" s="118" t="str">
        <x:f>IF(B27=0,"Cap",IF(C27/B27&gt;0.12,"Too high",IF(C27/B27&lt;0.08,"Too low","OK")))</x:f>
        <x:v>OK</x:v>
      </x:c>
    </x:row>
    <x:row r="28" ht="15" hidden="0" customHeight="1">
      <x:c r="A28" s="118" t="n">
        <x:v>26</x:v>
      </x:c>
      <x:c r="B28" s="127" t="n">
        <x:f>IF(A28&lt;70,INDEX('XP Curve'!$F$4:$F$73,MATCH(A28+1,'XP Curve'!$A$4:$A$73,0)),0)</x:f>
        <x:v>29600</x:v>
      </x:c>
      <x:c r="C28" s="127" t="n">
        <x:f>ROUND(B28*Inputs!$B$78,0)</x:f>
        <x:v>2960</x:v>
      </x:c>
      <x:c r="D28" s="127" t="n">
        <x:f>ROUND(C28*0.25,0)</x:f>
        <x:v>740</x:v>
      </x:c>
      <x:c r="E28" s="127" t="n">
        <x:f>ROUND(C28*0.28,0)</x:f>
        <x:v>829</x:v>
      </x:c>
      <x:c r="F28" s="127" t="n">
        <x:f>ROUND(C28*0.32,0)</x:f>
        <x:v>947</x:v>
      </x:c>
      <x:c r="G28" s="127" t="n">
        <x:f>MAX(0,C28-D28-E28-F28)</x:f>
        <x:v>444</x:v>
      </x:c>
      <x:c r="H28" s="127" t="n">
        <x:f>ROUND(B28*Inputs!$B$79,0)</x:f>
        <x:v>13320</x:v>
      </x:c>
      <x:c r="I28" s="127" t="n">
        <x:f>ROUND(INDEX('Economy Simulation'!$G$4:$G$73,MATCH(A28,'Economy Simulation'!$A$4:$A$73,0))*Inputs!$B$80,0)</x:f>
        <x:v>3089</x:v>
      </x:c>
      <x:c r="J28" s="118" t="str">
        <x:f>IF(B28=0,"Cap",IF(C28/B28&gt;0.12,"Too high",IF(C28/B28&lt;0.08,"Too low","OK")))</x:f>
        <x:v>OK</x:v>
      </x:c>
    </x:row>
    <x:row r="29" ht="15" hidden="0" customHeight="1">
      <x:c r="A29" s="118" t="n">
        <x:v>27</x:v>
      </x:c>
      <x:c r="B29" s="127" t="n">
        <x:f>IF(A29&lt;70,INDEX('XP Curve'!$F$4:$F$73,MATCH(A29+1,'XP Curve'!$A$4:$A$73,0)),0)</x:f>
        <x:v>32120</x:v>
      </x:c>
      <x:c r="C29" s="127" t="n">
        <x:f>ROUND(B29*Inputs!$B$78,0)</x:f>
        <x:v>3212</x:v>
      </x:c>
      <x:c r="D29" s="127" t="n">
        <x:f>ROUND(C29*0.25,0)</x:f>
        <x:v>803</x:v>
      </x:c>
      <x:c r="E29" s="127" t="n">
        <x:f>ROUND(C29*0.28,0)</x:f>
        <x:v>899</x:v>
      </x:c>
      <x:c r="F29" s="127" t="n">
        <x:f>ROUND(C29*0.32,0)</x:f>
        <x:v>1028</x:v>
      </x:c>
      <x:c r="G29" s="127" t="n">
        <x:f>MAX(0,C29-D29-E29-F29)</x:f>
        <x:v>482</x:v>
      </x:c>
      <x:c r="H29" s="127" t="n">
        <x:f>ROUND(B29*Inputs!$B$79,0)</x:f>
        <x:v>14454</x:v>
      </x:c>
      <x:c r="I29" s="127" t="n">
        <x:f>ROUND(INDEX('Economy Simulation'!$G$4:$G$73,MATCH(A29,'Economy Simulation'!$A$4:$A$73,0))*Inputs!$B$80,0)</x:f>
        <x:v>3142</x:v>
      </x:c>
      <x:c r="J29" s="118" t="str">
        <x:f>IF(B29=0,"Cap",IF(C29/B29&gt;0.12,"Too high",IF(C29/B29&lt;0.08,"Too low","OK")))</x:f>
        <x:v>OK</x:v>
      </x:c>
    </x:row>
    <x:row r="30" ht="15" hidden="0" customHeight="1">
      <x:c r="A30" s="118" t="n">
        <x:v>28</x:v>
      </x:c>
      <x:c r="B30" s="127" t="n">
        <x:f>IF(A30&lt;70,INDEX('XP Curve'!$F$4:$F$73,MATCH(A30+1,'XP Curve'!$A$4:$A$73,0)),0)</x:f>
        <x:v>34750</x:v>
      </x:c>
      <x:c r="C30" s="127" t="n">
        <x:f>ROUND(B30*Inputs!$B$78,0)</x:f>
        <x:v>3475</x:v>
      </x:c>
      <x:c r="D30" s="127" t="n">
        <x:f>ROUND(C30*0.25,0)</x:f>
        <x:v>869</x:v>
      </x:c>
      <x:c r="E30" s="127" t="n">
        <x:f>ROUND(C30*0.28,0)</x:f>
        <x:v>973</x:v>
      </x:c>
      <x:c r="F30" s="127" t="n">
        <x:f>ROUND(C30*0.32,0)</x:f>
        <x:v>1112</x:v>
      </x:c>
      <x:c r="G30" s="127" t="n">
        <x:f>MAX(0,C30-D30-E30-F30)</x:f>
        <x:v>521</x:v>
      </x:c>
      <x:c r="H30" s="127" t="n">
        <x:f>ROUND(B30*Inputs!$B$79,0)</x:f>
        <x:v>15638</x:v>
      </x:c>
      <x:c r="I30" s="127" t="n">
        <x:f>ROUND(INDEX('Economy Simulation'!$G$4:$G$73,MATCH(A30,'Economy Simulation'!$A$4:$A$73,0))*Inputs!$B$80,0)</x:f>
        <x:v>3196</x:v>
      </x:c>
      <x:c r="J30" s="118" t="str">
        <x:f>IF(B30=0,"Cap",IF(C30/B30&gt;0.12,"Too high",IF(C30/B30&lt;0.08,"Too low","OK")))</x:f>
        <x:v>OK</x:v>
      </x:c>
    </x:row>
    <x:row r="31" ht="15" hidden="0" customHeight="1">
      <x:c r="A31" s="118" t="n">
        <x:v>29</x:v>
      </x:c>
      <x:c r="B31" s="127" t="n">
        <x:f>IF(A31&lt;70,INDEX('XP Curve'!$F$4:$F$73,MATCH(A31+1,'XP Curve'!$A$4:$A$73,0)),0)</x:f>
        <x:v>37480</x:v>
      </x:c>
      <x:c r="C31" s="127" t="n">
        <x:f>ROUND(B31*Inputs!$B$78,0)</x:f>
        <x:v>3748</x:v>
      </x:c>
      <x:c r="D31" s="127" t="n">
        <x:f>ROUND(C31*0.25,0)</x:f>
        <x:v>937</x:v>
      </x:c>
      <x:c r="E31" s="127" t="n">
        <x:f>ROUND(C31*0.28,0)</x:f>
        <x:v>1049</x:v>
      </x:c>
      <x:c r="F31" s="127" t="n">
        <x:f>ROUND(C31*0.32,0)</x:f>
        <x:v>1199</x:v>
      </x:c>
      <x:c r="G31" s="127" t="n">
        <x:f>MAX(0,C31-D31-E31-F31)</x:f>
        <x:v>563</x:v>
      </x:c>
      <x:c r="H31" s="127" t="n">
        <x:f>ROUND(B31*Inputs!$B$79,0)</x:f>
        <x:v>16866</x:v>
      </x:c>
      <x:c r="I31" s="127" t="n">
        <x:f>ROUND(INDEX('Economy Simulation'!$G$4:$G$73,MATCH(A31,'Economy Simulation'!$A$4:$A$73,0))*Inputs!$B$80,0)</x:f>
        <x:v>3249</x:v>
      </x:c>
      <x:c r="J31" s="118" t="str">
        <x:f>IF(B31=0,"Cap",IF(C31/B31&gt;0.12,"Too high",IF(C31/B31&lt;0.08,"Too low","OK")))</x:f>
        <x:v>OK</x:v>
      </x:c>
    </x:row>
    <x:row r="32" ht="15" hidden="0" customHeight="1">
      <x:c r="A32" s="118" t="n">
        <x:v>30</x:v>
      </x:c>
      <x:c r="B32" s="127" t="n">
        <x:f>IF(A32&lt;70,INDEX('XP Curve'!$F$4:$F$73,MATCH(A32+1,'XP Curve'!$A$4:$A$73,0)),0)</x:f>
        <x:v>41750</x:v>
      </x:c>
      <x:c r="C32" s="127" t="n">
        <x:f>ROUND(B32*Inputs!$B$78,0)</x:f>
        <x:v>4175</x:v>
      </x:c>
      <x:c r="D32" s="127" t="n">
        <x:f>ROUND(C32*0.25,0)</x:f>
        <x:v>1044</x:v>
      </x:c>
      <x:c r="E32" s="127" t="n">
        <x:f>ROUND(C32*0.28,0)</x:f>
        <x:v>1169</x:v>
      </x:c>
      <x:c r="F32" s="127" t="n">
        <x:f>ROUND(C32*0.32,0)</x:f>
        <x:v>1336</x:v>
      </x:c>
      <x:c r="G32" s="127" t="n">
        <x:f>MAX(0,C32-D32-E32-F32)</x:f>
        <x:v>626</x:v>
      </x:c>
      <x:c r="H32" s="127" t="n">
        <x:f>ROUND(B32*Inputs!$B$79,0)</x:f>
        <x:v>18788</x:v>
      </x:c>
      <x:c r="I32" s="127" t="n">
        <x:f>ROUND(INDEX('Economy Simulation'!$G$4:$G$73,MATCH(A32,'Economy Simulation'!$A$4:$A$73,0))*Inputs!$B$80,0)</x:f>
        <x:v>3301</x:v>
      </x:c>
      <x:c r="J32" s="118" t="str">
        <x:f>IF(B32=0,"Cap",IF(C32/B32&gt;0.12,"Too high",IF(C32/B32&lt;0.08,"Too low","OK")))</x:f>
        <x:v>OK</x:v>
      </x:c>
    </x:row>
    <x:row r="33" ht="15" hidden="0" customHeight="1">
      <x:c r="A33" s="118" t="n">
        <x:v>31</x:v>
      </x:c>
      <x:c r="B33" s="127" t="n">
        <x:f>IF(A33&lt;70,INDEX('XP Curve'!$F$4:$F$73,MATCH(A33+1,'XP Curve'!$A$4:$A$73,0)),0)</x:f>
        <x:v>46340</x:v>
      </x:c>
      <x:c r="C33" s="127" t="n">
        <x:f>ROUND(B33*Inputs!$B$78,0)</x:f>
        <x:v>4634</x:v>
      </x:c>
      <x:c r="D33" s="127" t="n">
        <x:f>ROUND(C33*0.25,0)</x:f>
        <x:v>1159</x:v>
      </x:c>
      <x:c r="E33" s="127" t="n">
        <x:f>ROUND(C33*0.28,0)</x:f>
        <x:v>1298</x:v>
      </x:c>
      <x:c r="F33" s="127" t="n">
        <x:f>ROUND(C33*0.32,0)</x:f>
        <x:v>1483</x:v>
      </x:c>
      <x:c r="G33" s="127" t="n">
        <x:f>MAX(0,C33-D33-E33-F33)</x:f>
        <x:v>694</x:v>
      </x:c>
      <x:c r="H33" s="127" t="n">
        <x:f>ROUND(B33*Inputs!$B$79,0)</x:f>
        <x:v>20853</x:v>
      </x:c>
      <x:c r="I33" s="127" t="n">
        <x:f>ROUND(INDEX('Economy Simulation'!$G$4:$G$73,MATCH(A33,'Economy Simulation'!$A$4:$A$73,0))*Inputs!$B$80,0)</x:f>
        <x:v>3354</x:v>
      </x:c>
      <x:c r="J33" s="118" t="str">
        <x:f>IF(B33=0,"Cap",IF(C33/B33&gt;0.12,"Too high",IF(C33/B33&lt;0.08,"Too low","OK")))</x:f>
        <x:v>OK</x:v>
      </x:c>
    </x:row>
    <x:row r="34" ht="15" hidden="0" customHeight="1">
      <x:c r="A34" s="118" t="n">
        <x:v>32</x:v>
      </x:c>
      <x:c r="B34" s="127" t="n">
        <x:f>IF(A34&lt;70,INDEX('XP Curve'!$F$4:$F$73,MATCH(A34+1,'XP Curve'!$A$4:$A$73,0)),0)</x:f>
        <x:v>51260</x:v>
      </x:c>
      <x:c r="C34" s="127" t="n">
        <x:f>ROUND(B34*Inputs!$B$78,0)</x:f>
        <x:v>5126</x:v>
      </x:c>
      <x:c r="D34" s="127" t="n">
        <x:f>ROUND(C34*0.25,0)</x:f>
        <x:v>1282</x:v>
      </x:c>
      <x:c r="E34" s="127" t="n">
        <x:f>ROUND(C34*0.28,0)</x:f>
        <x:v>1435</x:v>
      </x:c>
      <x:c r="F34" s="127" t="n">
        <x:f>ROUND(C34*0.32,0)</x:f>
        <x:v>1640</x:v>
      </x:c>
      <x:c r="G34" s="127" t="n">
        <x:f>MAX(0,C34-D34-E34-F34)</x:f>
        <x:v>769</x:v>
      </x:c>
      <x:c r="H34" s="127" t="n">
        <x:f>ROUND(B34*Inputs!$B$79,0)</x:f>
        <x:v>23067</x:v>
      </x:c>
      <x:c r="I34" s="127" t="n">
        <x:f>ROUND(INDEX('Economy Simulation'!$G$4:$G$73,MATCH(A34,'Economy Simulation'!$A$4:$A$73,0))*Inputs!$B$80,0)</x:f>
        <x:v>3408</x:v>
      </x:c>
      <x:c r="J34" s="118" t="str">
        <x:f>IF(B34=0,"Cap",IF(C34/B34&gt;0.12,"Too high",IF(C34/B34&lt;0.08,"Too low","OK")))</x:f>
        <x:v>OK</x:v>
      </x:c>
    </x:row>
    <x:row r="35" ht="15" hidden="0" customHeight="1">
      <x:c r="A35" s="118" t="n">
        <x:v>33</x:v>
      </x:c>
      <x:c r="B35" s="127" t="n">
        <x:f>IF(A35&lt;70,INDEX('XP Curve'!$F$4:$F$73,MATCH(A35+1,'XP Curve'!$A$4:$A$73,0)),0)</x:f>
        <x:v>56510</x:v>
      </x:c>
      <x:c r="C35" s="127" t="n">
        <x:f>ROUND(B35*Inputs!$B$78,0)</x:f>
        <x:v>5651</x:v>
      </x:c>
      <x:c r="D35" s="127" t="n">
        <x:f>ROUND(C35*0.25,0)</x:f>
        <x:v>1413</x:v>
      </x:c>
      <x:c r="E35" s="127" t="n">
        <x:f>ROUND(C35*0.28,0)</x:f>
        <x:v>1582</x:v>
      </x:c>
      <x:c r="F35" s="127" t="n">
        <x:f>ROUND(C35*0.32,0)</x:f>
        <x:v>1808</x:v>
      </x:c>
      <x:c r="G35" s="127" t="n">
        <x:f>MAX(0,C35-D35-E35-F35)</x:f>
        <x:v>848</x:v>
      </x:c>
      <x:c r="H35" s="127" t="n">
        <x:f>ROUND(B35*Inputs!$B$79,0)</x:f>
        <x:v>25430</x:v>
      </x:c>
      <x:c r="I35" s="127" t="n">
        <x:f>ROUND(INDEX('Economy Simulation'!$G$4:$G$73,MATCH(A35,'Economy Simulation'!$A$4:$A$73,0))*Inputs!$B$80,0)</x:f>
        <x:v>3461</x:v>
      </x:c>
      <x:c r="J35" s="118" t="str">
        <x:f>IF(B35=0,"Cap",IF(C35/B35&gt;0.12,"Too high",IF(C35/B35&lt;0.08,"Too low","OK")))</x:f>
        <x:v>OK</x:v>
      </x:c>
    </x:row>
    <x:row r="36" ht="15" hidden="0" customHeight="1">
      <x:c r="A36" s="118" t="n">
        <x:v>34</x:v>
      </x:c>
      <x:c r="B36" s="127" t="n">
        <x:f>IF(A36&lt;70,INDEX('XP Curve'!$F$4:$F$73,MATCH(A36+1,'XP Curve'!$A$4:$A$73,0)),0)</x:f>
        <x:v>62110</x:v>
      </x:c>
      <x:c r="C36" s="127" t="n">
        <x:f>ROUND(B36*Inputs!$B$78,0)</x:f>
        <x:v>6211</x:v>
      </x:c>
      <x:c r="D36" s="127" t="n">
        <x:f>ROUND(C36*0.25,0)</x:f>
        <x:v>1553</x:v>
      </x:c>
      <x:c r="E36" s="127" t="n">
        <x:f>ROUND(C36*0.28,0)</x:f>
        <x:v>1739</x:v>
      </x:c>
      <x:c r="F36" s="127" t="n">
        <x:f>ROUND(C36*0.32,0)</x:f>
        <x:v>1988</x:v>
      </x:c>
      <x:c r="G36" s="127" t="n">
        <x:f>MAX(0,C36-D36-E36-F36)</x:f>
        <x:v>931</x:v>
      </x:c>
      <x:c r="H36" s="127" t="n">
        <x:f>ROUND(B36*Inputs!$B$79,0)</x:f>
        <x:v>27950</x:v>
      </x:c>
      <x:c r="I36" s="127" t="n">
        <x:f>ROUND(INDEX('Economy Simulation'!$G$4:$G$73,MATCH(A36,'Economy Simulation'!$A$4:$A$73,0))*Inputs!$B$80,0)</x:f>
        <x:v>4430</x:v>
      </x:c>
      <x:c r="J36" s="118" t="str">
        <x:f>IF(B36=0,"Cap",IF(C36/B36&gt;0.12,"Too high",IF(C36/B36&lt;0.08,"Too low","OK")))</x:f>
        <x:v>OK</x:v>
      </x:c>
    </x:row>
    <x:row r="37" ht="15" hidden="0" customHeight="1">
      <x:c r="A37" s="118" t="n">
        <x:v>35</x:v>
      </x:c>
      <x:c r="B37" s="127" t="n">
        <x:f>IF(A37&lt;70,INDEX('XP Curve'!$F$4:$F$73,MATCH(A37+1,'XP Curve'!$A$4:$A$73,0)),0)</x:f>
        <x:v>68080</x:v>
      </x:c>
      <x:c r="C37" s="127" t="n">
        <x:f>ROUND(B37*Inputs!$B$78,0)</x:f>
        <x:v>6808</x:v>
      </x:c>
      <x:c r="D37" s="127" t="n">
        <x:f>ROUND(C37*0.25,0)</x:f>
        <x:v>1702</x:v>
      </x:c>
      <x:c r="E37" s="127" t="n">
        <x:f>ROUND(C37*0.28,0)</x:f>
        <x:v>1906</x:v>
      </x:c>
      <x:c r="F37" s="127" t="n">
        <x:f>ROUND(C37*0.32,0)</x:f>
        <x:v>2179</x:v>
      </x:c>
      <x:c r="G37" s="127" t="n">
        <x:f>MAX(0,C37-D37-E37-F37)</x:f>
        <x:v>1021</x:v>
      </x:c>
      <x:c r="H37" s="127" t="n">
        <x:f>ROUND(B37*Inputs!$B$79,0)</x:f>
        <x:v>30636</x:v>
      </x:c>
      <x:c r="I37" s="127" t="n">
        <x:f>ROUND(INDEX('Economy Simulation'!$G$4:$G$73,MATCH(A37,'Economy Simulation'!$A$4:$A$73,0))*Inputs!$B$80,0)</x:f>
        <x:v>4497</x:v>
      </x:c>
      <x:c r="J37" s="118" t="str">
        <x:f>IF(B37=0,"Cap",IF(C37/B37&gt;0.12,"Too high",IF(C37/B37&lt;0.08,"Too low","OK")))</x:f>
        <x:v>OK</x:v>
      </x:c>
    </x:row>
    <x:row r="38" ht="15" hidden="0" customHeight="1">
      <x:c r="A38" s="118" t="n">
        <x:v>36</x:v>
      </x:c>
      <x:c r="B38" s="127" t="n">
        <x:f>IF(A38&lt;70,INDEX('XP Curve'!$F$4:$F$73,MATCH(A38+1,'XP Curve'!$A$4:$A$73,0)),0)</x:f>
        <x:v>72280</x:v>
      </x:c>
      <x:c r="C38" s="127" t="n">
        <x:f>ROUND(B38*Inputs!$B$78,0)</x:f>
        <x:v>7228</x:v>
      </x:c>
      <x:c r="D38" s="127" t="n">
        <x:f>ROUND(C38*0.25,0)</x:f>
        <x:v>1807</x:v>
      </x:c>
      <x:c r="E38" s="127" t="n">
        <x:f>ROUND(C38*0.28,0)</x:f>
        <x:v>2024</x:v>
      </x:c>
      <x:c r="F38" s="127" t="n">
        <x:f>ROUND(C38*0.32,0)</x:f>
        <x:v>2313</x:v>
      </x:c>
      <x:c r="G38" s="127" t="n">
        <x:f>MAX(0,C38-D38-E38-F38)</x:f>
        <x:v>1084</x:v>
      </x:c>
      <x:c r="H38" s="127" t="n">
        <x:f>ROUND(B38*Inputs!$B$79,0)</x:f>
        <x:v>32526</x:v>
      </x:c>
      <x:c r="I38" s="127" t="n">
        <x:f>ROUND(INDEX('Economy Simulation'!$G$4:$G$73,MATCH(A38,'Economy Simulation'!$A$4:$A$73,0))*Inputs!$B$80,0)</x:f>
        <x:v>4565</x:v>
      </x:c>
      <x:c r="J38" s="118" t="str">
        <x:f>IF(B38=0,"Cap",IF(C38/B38&gt;0.12,"Too high",IF(C38/B38&lt;0.08,"Too low","OK")))</x:f>
        <x:v>OK</x:v>
      </x:c>
    </x:row>
    <x:row r="39" ht="15" hidden="0" customHeight="1">
      <x:c r="A39" s="118" t="n">
        <x:v>37</x:v>
      </x:c>
      <x:c r="B39" s="127" t="n">
        <x:f>IF(A39&lt;70,INDEX('XP Curve'!$F$4:$F$73,MATCH(A39+1,'XP Curve'!$A$4:$A$73,0)),0)</x:f>
        <x:v>76620</x:v>
      </x:c>
      <x:c r="C39" s="127" t="n">
        <x:f>ROUND(B39*Inputs!$B$78,0)</x:f>
        <x:v>7662</x:v>
      </x:c>
      <x:c r="D39" s="127" t="n">
        <x:f>ROUND(C39*0.25,0)</x:f>
        <x:v>1916</x:v>
      </x:c>
      <x:c r="E39" s="127" t="n">
        <x:f>ROUND(C39*0.28,0)</x:f>
        <x:v>2145</x:v>
      </x:c>
      <x:c r="F39" s="127" t="n">
        <x:f>ROUND(C39*0.32,0)</x:f>
        <x:v>2452</x:v>
      </x:c>
      <x:c r="G39" s="127" t="n">
        <x:f>MAX(0,C39-D39-E39-F39)</x:f>
        <x:v>1149</x:v>
      </x:c>
      <x:c r="H39" s="127" t="n">
        <x:f>ROUND(B39*Inputs!$B$79,0)</x:f>
        <x:v>34479</x:v>
      </x:c>
      <x:c r="I39" s="127" t="n">
        <x:f>ROUND(INDEX('Economy Simulation'!$G$4:$G$73,MATCH(A39,'Economy Simulation'!$A$4:$A$73,0))*Inputs!$B$80,0)</x:f>
        <x:v>4632</x:v>
      </x:c>
      <x:c r="J39" s="118" t="str">
        <x:f>IF(B39=0,"Cap",IF(C39/B39&gt;0.12,"Too high",IF(C39/B39&lt;0.08,"Too low","OK")))</x:f>
        <x:v>OK</x:v>
      </x:c>
    </x:row>
    <x:row r="40" ht="15" hidden="0" customHeight="1">
      <x:c r="A40" s="118" t="n">
        <x:v>38</x:v>
      </x:c>
      <x:c r="B40" s="127" t="n">
        <x:f>IF(A40&lt;70,INDEX('XP Curve'!$F$4:$F$73,MATCH(A40+1,'XP Curve'!$A$4:$A$73,0)),0)</x:f>
        <x:v>81080</x:v>
      </x:c>
      <x:c r="C40" s="127" t="n">
        <x:f>ROUND(B40*Inputs!$B$78,0)</x:f>
        <x:v>8108</x:v>
      </x:c>
      <x:c r="D40" s="127" t="n">
        <x:f>ROUND(C40*0.25,0)</x:f>
        <x:v>2027</x:v>
      </x:c>
      <x:c r="E40" s="127" t="n">
        <x:f>ROUND(C40*0.28,0)</x:f>
        <x:v>2270</x:v>
      </x:c>
      <x:c r="F40" s="127" t="n">
        <x:f>ROUND(C40*0.32,0)</x:f>
        <x:v>2595</x:v>
      </x:c>
      <x:c r="G40" s="127" t="n">
        <x:f>MAX(0,C40-D40-E40-F40)</x:f>
        <x:v>1216</x:v>
      </x:c>
      <x:c r="H40" s="127" t="n">
        <x:f>ROUND(B40*Inputs!$B$79,0)</x:f>
        <x:v>36486</x:v>
      </x:c>
      <x:c r="I40" s="127" t="n">
        <x:f>ROUND(INDEX('Economy Simulation'!$G$4:$G$73,MATCH(A40,'Economy Simulation'!$A$4:$A$73,0))*Inputs!$B$80,0)</x:f>
        <x:v>4698</x:v>
      </x:c>
      <x:c r="J40" s="118" t="str">
        <x:f>IF(B40=0,"Cap",IF(C40/B40&gt;0.12,"Too high",IF(C40/B40&lt;0.08,"Too low","OK")))</x:f>
        <x:v>OK</x:v>
      </x:c>
    </x:row>
    <x:row r="41" ht="15" hidden="0" customHeight="1">
      <x:c r="A41" s="118" t="n">
        <x:v>39</x:v>
      </x:c>
      <x:c r="B41" s="127" t="n">
        <x:f>IF(A41&lt;70,INDEX('XP Curve'!$F$4:$F$73,MATCH(A41+1,'XP Curve'!$A$4:$A$73,0)),0)</x:f>
        <x:v>85670</x:v>
      </x:c>
      <x:c r="C41" s="127" t="n">
        <x:f>ROUND(B41*Inputs!$B$78,0)</x:f>
        <x:v>8567</x:v>
      </x:c>
      <x:c r="D41" s="127" t="n">
        <x:f>ROUND(C41*0.25,0)</x:f>
        <x:v>2142</x:v>
      </x:c>
      <x:c r="E41" s="127" t="n">
        <x:f>ROUND(C41*0.28,0)</x:f>
        <x:v>2399</x:v>
      </x:c>
      <x:c r="F41" s="127" t="n">
        <x:f>ROUND(C41*0.32,0)</x:f>
        <x:v>2741</x:v>
      </x:c>
      <x:c r="G41" s="127" t="n">
        <x:f>MAX(0,C41-D41-E41-F41)</x:f>
        <x:v>1285</x:v>
      </x:c>
      <x:c r="H41" s="127" t="n">
        <x:f>ROUND(B41*Inputs!$B$79,0)</x:f>
        <x:v>38552</x:v>
      </x:c>
      <x:c r="I41" s="127" t="n">
        <x:f>ROUND(INDEX('Economy Simulation'!$G$4:$G$73,MATCH(A41,'Economy Simulation'!$A$4:$A$73,0))*Inputs!$B$80,0)</x:f>
        <x:v>4765</x:v>
      </x:c>
      <x:c r="J41" s="118" t="str">
        <x:f>IF(B41=0,"Cap",IF(C41/B41&gt;0.12,"Too high",IF(C41/B41&lt;0.08,"Too low","OK")))</x:f>
        <x:v>OK</x:v>
      </x:c>
    </x:row>
    <x:row r="42" ht="15" hidden="0" customHeight="1">
      <x:c r="A42" s="118" t="n">
        <x:v>40</x:v>
      </x:c>
      <x:c r="B42" s="127" t="n">
        <x:f>IF(A42&lt;70,INDEX('XP Curve'!$F$4:$F$73,MATCH(A42+1,'XP Curve'!$A$4:$A$73,0)),0)</x:f>
        <x:v>90390</x:v>
      </x:c>
      <x:c r="C42" s="127" t="n">
        <x:f>ROUND(B42*Inputs!$B$78,0)</x:f>
        <x:v>9039</x:v>
      </x:c>
      <x:c r="D42" s="127" t="n">
        <x:f>ROUND(C42*0.25,0)</x:f>
        <x:v>2260</x:v>
      </x:c>
      <x:c r="E42" s="127" t="n">
        <x:f>ROUND(C42*0.28,0)</x:f>
        <x:v>2531</x:v>
      </x:c>
      <x:c r="F42" s="127" t="n">
        <x:f>ROUND(C42*0.32,0)</x:f>
        <x:v>2892</x:v>
      </x:c>
      <x:c r="G42" s="127" t="n">
        <x:f>MAX(0,C42-D42-E42-F42)</x:f>
        <x:v>1356</x:v>
      </x:c>
      <x:c r="H42" s="127" t="n">
        <x:f>ROUND(B42*Inputs!$B$79,0)</x:f>
        <x:v>40676</x:v>
      </x:c>
      <x:c r="I42" s="127" t="n">
        <x:f>ROUND(INDEX('Economy Simulation'!$G$4:$G$73,MATCH(A42,'Economy Simulation'!$A$4:$A$73,0))*Inputs!$B$80,0)</x:f>
        <x:v>5110</x:v>
      </x:c>
      <x:c r="J42" s="118" t="str">
        <x:f>IF(B42=0,"Cap",IF(C42/B42&gt;0.12,"Too high",IF(C42/B42&lt;0.08,"Too low","OK")))</x:f>
        <x:v>OK</x:v>
      </x:c>
    </x:row>
    <x:row r="43" ht="15" hidden="0" customHeight="1">
      <x:c r="A43" s="118" t="n">
        <x:v>41</x:v>
      </x:c>
      <x:c r="B43" s="127" t="n">
        <x:f>IF(A43&lt;70,INDEX('XP Curve'!$F$4:$F$73,MATCH(A43+1,'XP Curve'!$A$4:$A$73,0)),0)</x:f>
        <x:v>95230</x:v>
      </x:c>
      <x:c r="C43" s="127" t="n">
        <x:f>ROUND(B43*Inputs!$B$78,0)</x:f>
        <x:v>9523</x:v>
      </x:c>
      <x:c r="D43" s="127" t="n">
        <x:f>ROUND(C43*0.25,0)</x:f>
        <x:v>2381</x:v>
      </x:c>
      <x:c r="E43" s="127" t="n">
        <x:f>ROUND(C43*0.28,0)</x:f>
        <x:v>2666</x:v>
      </x:c>
      <x:c r="F43" s="127" t="n">
        <x:f>ROUND(C43*0.32,0)</x:f>
        <x:v>3047</x:v>
      </x:c>
      <x:c r="G43" s="127" t="n">
        <x:f>MAX(0,C43-D43-E43-F43)</x:f>
        <x:v>1429</x:v>
      </x:c>
      <x:c r="H43" s="127" t="n">
        <x:f>ROUND(B43*Inputs!$B$79,0)</x:f>
        <x:v>42854</x:v>
      </x:c>
      <x:c r="I43" s="127" t="n">
        <x:f>ROUND(INDEX('Economy Simulation'!$G$4:$G$73,MATCH(A43,'Economy Simulation'!$A$4:$A$73,0))*Inputs!$B$80,0)</x:f>
        <x:v>5181</x:v>
      </x:c>
      <x:c r="J43" s="118" t="str">
        <x:f>IF(B43=0,"Cap",IF(C43/B43&gt;0.12,"Too high",IF(C43/B43&lt;0.08,"Too low","OK")))</x:f>
        <x:v>OK</x:v>
      </x:c>
    </x:row>
    <x:row r="44" ht="15" hidden="0" customHeight="1">
      <x:c r="A44" s="118" t="n">
        <x:v>42</x:v>
      </x:c>
      <x:c r="B44" s="127" t="n">
        <x:f>IF(A44&lt;70,INDEX('XP Curve'!$F$4:$F$73,MATCH(A44+1,'XP Curve'!$A$4:$A$73,0)),0)</x:f>
        <x:v>100210</x:v>
      </x:c>
      <x:c r="C44" s="127" t="n">
        <x:f>ROUND(B44*Inputs!$B$78,0)</x:f>
        <x:v>10021</x:v>
      </x:c>
      <x:c r="D44" s="127" t="n">
        <x:f>ROUND(C44*0.25,0)</x:f>
        <x:v>2505</x:v>
      </x:c>
      <x:c r="E44" s="127" t="n">
        <x:f>ROUND(C44*0.28,0)</x:f>
        <x:v>2806</x:v>
      </x:c>
      <x:c r="F44" s="127" t="n">
        <x:f>ROUND(C44*0.32,0)</x:f>
        <x:v>3207</x:v>
      </x:c>
      <x:c r="G44" s="127" t="n">
        <x:f>MAX(0,C44-D44-E44-F44)</x:f>
        <x:v>1503</x:v>
      </x:c>
      <x:c r="H44" s="127" t="n">
        <x:f>ROUND(B44*Inputs!$B$79,0)</x:f>
        <x:v>45095</x:v>
      </x:c>
      <x:c r="I44" s="127" t="n">
        <x:f>ROUND(INDEX('Economy Simulation'!$G$4:$G$73,MATCH(A44,'Economy Simulation'!$A$4:$A$73,0))*Inputs!$B$80,0)</x:f>
        <x:v>5251</x:v>
      </x:c>
      <x:c r="J44" s="118" t="str">
        <x:f>IF(B44=0,"Cap",IF(C44/B44&gt;0.12,"Too high",IF(C44/B44&lt;0.08,"Too low","OK")))</x:f>
        <x:v>OK</x:v>
      </x:c>
    </x:row>
    <x:row r="45" ht="15" hidden="0" customHeight="1">
      <x:c r="A45" s="118" t="n">
        <x:v>43</x:v>
      </x:c>
      <x:c r="B45" s="127" t="n">
        <x:f>IF(A45&lt;70,INDEX('XP Curve'!$F$4:$F$73,MATCH(A45+1,'XP Curve'!$A$4:$A$73,0)),0)</x:f>
        <x:v>105310</x:v>
      </x:c>
      <x:c r="C45" s="127" t="n">
        <x:f>ROUND(B45*Inputs!$B$78,0)</x:f>
        <x:v>10531</x:v>
      </x:c>
      <x:c r="D45" s="127" t="n">
        <x:f>ROUND(C45*0.25,0)</x:f>
        <x:v>2633</x:v>
      </x:c>
      <x:c r="E45" s="127" t="n">
        <x:f>ROUND(C45*0.28,0)</x:f>
        <x:v>2949</x:v>
      </x:c>
      <x:c r="F45" s="127" t="n">
        <x:f>ROUND(C45*0.32,0)</x:f>
        <x:v>3370</x:v>
      </x:c>
      <x:c r="G45" s="127" t="n">
        <x:f>MAX(0,C45-D45-E45-F45)</x:f>
        <x:v>1579</x:v>
      </x:c>
      <x:c r="H45" s="127" t="n">
        <x:f>ROUND(B45*Inputs!$B$79,0)</x:f>
        <x:v>47390</x:v>
      </x:c>
      <x:c r="I45" s="127" t="n">
        <x:f>ROUND(INDEX('Economy Simulation'!$G$4:$G$73,MATCH(A45,'Economy Simulation'!$A$4:$A$73,0))*Inputs!$B$80,0)</x:f>
        <x:v>6363</x:v>
      </x:c>
      <x:c r="J45" s="118" t="str">
        <x:f>IF(B45=0,"Cap",IF(C45/B45&gt;0.12,"Too high",IF(C45/B45&lt;0.08,"Too low","OK")))</x:f>
        <x:v>OK</x:v>
      </x:c>
    </x:row>
    <x:row r="46" ht="15" hidden="0" customHeight="1">
      <x:c r="A46" s="118" t="n">
        <x:v>44</x:v>
      </x:c>
      <x:c r="B46" s="127" t="n">
        <x:f>IF(A46&lt;70,INDEX('XP Curve'!$F$4:$F$73,MATCH(A46+1,'XP Curve'!$A$4:$A$73,0)),0)</x:f>
        <x:v>110530</x:v>
      </x:c>
      <x:c r="C46" s="127" t="n">
        <x:f>ROUND(B46*Inputs!$B$78,0)</x:f>
        <x:v>11053</x:v>
      </x:c>
      <x:c r="D46" s="127" t="n">
        <x:f>ROUND(C46*0.25,0)</x:f>
        <x:v>2763</x:v>
      </x:c>
      <x:c r="E46" s="127" t="n">
        <x:f>ROUND(C46*0.28,0)</x:f>
        <x:v>3095</x:v>
      </x:c>
      <x:c r="F46" s="127" t="n">
        <x:f>ROUND(C46*0.32,0)</x:f>
        <x:v>3537</x:v>
      </x:c>
      <x:c r="G46" s="127" t="n">
        <x:f>MAX(0,C46-D46-E46-F46)</x:f>
        <x:v>1658</x:v>
      </x:c>
      <x:c r="H46" s="127" t="n">
        <x:f>ROUND(B46*Inputs!$B$79,0)</x:f>
        <x:v>49739</x:v>
      </x:c>
      <x:c r="I46" s="127" t="n">
        <x:f>ROUND(INDEX('Economy Simulation'!$G$4:$G$73,MATCH(A46,'Economy Simulation'!$A$4:$A$73,0))*Inputs!$B$80,0)</x:f>
        <x:v>6449</x:v>
      </x:c>
      <x:c r="J46" s="118" t="str">
        <x:f>IF(B46=0,"Cap",IF(C46/B46&gt;0.12,"Too high",IF(C46/B46&lt;0.08,"Too low","OK")))</x:f>
        <x:v>OK</x:v>
      </x:c>
    </x:row>
    <x:row r="47" ht="15" hidden="0" customHeight="1">
      <x:c r="A47" s="118" t="n">
        <x:v>45</x:v>
      </x:c>
      <x:c r="B47" s="127" t="n">
        <x:f>IF(A47&lt;70,INDEX('XP Curve'!$F$4:$F$73,MATCH(A47+1,'XP Curve'!$A$4:$A$73,0)),0)</x:f>
        <x:v>115890</x:v>
      </x:c>
      <x:c r="C47" s="127" t="n">
        <x:f>ROUND(B47*Inputs!$B$78,0)</x:f>
        <x:v>11589</x:v>
      </x:c>
      <x:c r="D47" s="127" t="n">
        <x:f>ROUND(C47*0.25,0)</x:f>
        <x:v>2897</x:v>
      </x:c>
      <x:c r="E47" s="127" t="n">
        <x:f>ROUND(C47*0.28,0)</x:f>
        <x:v>3245</x:v>
      </x:c>
      <x:c r="F47" s="127" t="n">
        <x:f>ROUND(C47*0.32,0)</x:f>
        <x:v>3708</x:v>
      </x:c>
      <x:c r="G47" s="127" t="n">
        <x:f>MAX(0,C47-D47-E47-F47)</x:f>
        <x:v>1739</x:v>
      </x:c>
      <x:c r="H47" s="127" t="n">
        <x:f>ROUND(B47*Inputs!$B$79,0)</x:f>
        <x:v>52151</x:v>
      </x:c>
      <x:c r="I47" s="127" t="n">
        <x:f>ROUND(INDEX('Economy Simulation'!$G$4:$G$73,MATCH(A47,'Economy Simulation'!$A$4:$A$73,0))*Inputs!$B$80,0)</x:f>
        <x:v>6533</x:v>
      </x:c>
      <x:c r="J47" s="118" t="str">
        <x:f>IF(B47=0,"Cap",IF(C47/B47&gt;0.12,"Too high",IF(C47/B47&lt;0.08,"Too low","OK")))</x:f>
        <x:v>OK</x:v>
      </x:c>
    </x:row>
    <x:row r="48" ht="15" hidden="0" customHeight="1">
      <x:c r="A48" s="118" t="n">
        <x:v>46</x:v>
      </x:c>
      <x:c r="B48" s="127" t="n">
        <x:f>IF(A48&lt;70,INDEX('XP Curve'!$F$4:$F$73,MATCH(A48+1,'XP Curve'!$A$4:$A$73,0)),0)</x:f>
        <x:v>121370</x:v>
      </x:c>
      <x:c r="C48" s="127" t="n">
        <x:f>ROUND(B48*Inputs!$B$78,0)</x:f>
        <x:v>12137</x:v>
      </x:c>
      <x:c r="D48" s="127" t="n">
        <x:f>ROUND(C48*0.25,0)</x:f>
        <x:v>3034</x:v>
      </x:c>
      <x:c r="E48" s="127" t="n">
        <x:f>ROUND(C48*0.28,0)</x:f>
        <x:v>3398</x:v>
      </x:c>
      <x:c r="F48" s="127" t="n">
        <x:f>ROUND(C48*0.32,0)</x:f>
        <x:v>3884</x:v>
      </x:c>
      <x:c r="G48" s="127" t="n">
        <x:f>MAX(0,C48-D48-E48-F48)</x:f>
        <x:v>1821</x:v>
      </x:c>
      <x:c r="H48" s="127" t="n">
        <x:f>ROUND(B48*Inputs!$B$79,0)</x:f>
        <x:v>54617</x:v>
      </x:c>
      <x:c r="I48" s="127" t="n">
        <x:f>ROUND(INDEX('Economy Simulation'!$G$4:$G$73,MATCH(A48,'Economy Simulation'!$A$4:$A$73,0))*Inputs!$B$80,0)</x:f>
        <x:v>6617</x:v>
      </x:c>
      <x:c r="J48" s="118" t="str">
        <x:f>IF(B48=0,"Cap",IF(C48/B48&gt;0.12,"Too high",IF(C48/B48&lt;0.08,"Too low","OK")))</x:f>
        <x:v>OK</x:v>
      </x:c>
    </x:row>
    <x:row r="49" ht="15" hidden="0" customHeight="1">
      <x:c r="A49" s="118" t="n">
        <x:v>47</x:v>
      </x:c>
      <x:c r="B49" s="127" t="n">
        <x:f>IF(A49&lt;70,INDEX('XP Curve'!$F$4:$F$73,MATCH(A49+1,'XP Curve'!$A$4:$A$73,0)),0)</x:f>
        <x:v>126980</x:v>
      </x:c>
      <x:c r="C49" s="127" t="n">
        <x:f>ROUND(B49*Inputs!$B$78,0)</x:f>
        <x:v>12698</x:v>
      </x:c>
      <x:c r="D49" s="127" t="n">
        <x:f>ROUND(C49*0.25,0)</x:f>
        <x:v>3175</x:v>
      </x:c>
      <x:c r="E49" s="127" t="n">
        <x:f>ROUND(C49*0.28,0)</x:f>
        <x:v>3555</x:v>
      </x:c>
      <x:c r="F49" s="127" t="n">
        <x:f>ROUND(C49*0.32,0)</x:f>
        <x:v>4063</x:v>
      </x:c>
      <x:c r="G49" s="127" t="n">
        <x:f>MAX(0,C49-D49-E49-F49)</x:f>
        <x:v>1905</x:v>
      </x:c>
      <x:c r="H49" s="127" t="n">
        <x:f>ROUND(B49*Inputs!$B$79,0)</x:f>
        <x:v>57141</x:v>
      </x:c>
      <x:c r="I49" s="127" t="n">
        <x:f>ROUND(INDEX('Economy Simulation'!$G$4:$G$73,MATCH(A49,'Economy Simulation'!$A$4:$A$73,0))*Inputs!$B$80,0)</x:f>
        <x:v>6702</x:v>
      </x:c>
      <x:c r="J49" s="118" t="str">
        <x:f>IF(B49=0,"Cap",IF(C49/B49&gt;0.12,"Too high",IF(C49/B49&lt;0.08,"Too low","OK")))</x:f>
        <x:v>OK</x:v>
      </x:c>
    </x:row>
    <x:row r="50" ht="15" hidden="0" customHeight="1">
      <x:c r="A50" s="118" t="n">
        <x:v>48</x:v>
      </x:c>
      <x:c r="B50" s="127" t="n">
        <x:f>IF(A50&lt;70,INDEX('XP Curve'!$F$4:$F$73,MATCH(A50+1,'XP Curve'!$A$4:$A$73,0)),0)</x:f>
        <x:v>132720</x:v>
      </x:c>
      <x:c r="C50" s="127" t="n">
        <x:f>ROUND(B50*Inputs!$B$78,0)</x:f>
        <x:v>13272</x:v>
      </x:c>
      <x:c r="D50" s="127" t="n">
        <x:f>ROUND(C50*0.25,0)</x:f>
        <x:v>3318</x:v>
      </x:c>
      <x:c r="E50" s="127" t="n">
        <x:f>ROUND(C50*0.28,0)</x:f>
        <x:v>3716</x:v>
      </x:c>
      <x:c r="F50" s="127" t="n">
        <x:f>ROUND(C50*0.32,0)</x:f>
        <x:v>4247</x:v>
      </x:c>
      <x:c r="G50" s="127" t="n">
        <x:f>MAX(0,C50-D50-E50-F50)</x:f>
        <x:v>1991</x:v>
      </x:c>
      <x:c r="H50" s="127" t="n">
        <x:f>ROUND(B50*Inputs!$B$79,0)</x:f>
        <x:v>59724</x:v>
      </x:c>
      <x:c r="I50" s="127" t="n">
        <x:f>ROUND(INDEX('Economy Simulation'!$G$4:$G$73,MATCH(A50,'Economy Simulation'!$A$4:$A$73,0))*Inputs!$B$80,0)</x:f>
        <x:v>6787</x:v>
      </x:c>
      <x:c r="J50" s="118" t="str">
        <x:f>IF(B50=0,"Cap",IF(C50/B50&gt;0.12,"Too high",IF(C50/B50&lt;0.08,"Too low","OK")))</x:f>
        <x:v>OK</x:v>
      </x:c>
    </x:row>
    <x:row r="51" ht="15" hidden="0" customHeight="1">
      <x:c r="A51" s="118" t="n">
        <x:v>49</x:v>
      </x:c>
      <x:c r="B51" s="127" t="n">
        <x:f>IF(A51&lt;70,INDEX('XP Curve'!$F$4:$F$73,MATCH(A51+1,'XP Curve'!$A$4:$A$73,0)),0)</x:f>
        <x:v>138580</x:v>
      </x:c>
      <x:c r="C51" s="127" t="n">
        <x:f>ROUND(B51*Inputs!$B$78,0)</x:f>
        <x:v>13858</x:v>
      </x:c>
      <x:c r="D51" s="127" t="n">
        <x:f>ROUND(C51*0.25,0)</x:f>
        <x:v>3465</x:v>
      </x:c>
      <x:c r="E51" s="127" t="n">
        <x:f>ROUND(C51*0.28,0)</x:f>
        <x:v>3880</x:v>
      </x:c>
      <x:c r="F51" s="127" t="n">
        <x:f>ROUND(C51*0.32,0)</x:f>
        <x:v>4435</x:v>
      </x:c>
      <x:c r="G51" s="127" t="n">
        <x:f>MAX(0,C51-D51-E51-F51)</x:f>
        <x:v>2078</x:v>
      </x:c>
      <x:c r="H51" s="127" t="n">
        <x:f>ROUND(B51*Inputs!$B$79,0)</x:f>
        <x:v>62361</x:v>
      </x:c>
      <x:c r="I51" s="127" t="n">
        <x:f>ROUND(INDEX('Economy Simulation'!$G$4:$G$73,MATCH(A51,'Economy Simulation'!$A$4:$A$73,0))*Inputs!$B$80,0)</x:f>
        <x:v>6872</x:v>
      </x:c>
      <x:c r="J51" s="118" t="str">
        <x:f>IF(B51=0,"Cap",IF(C51/B51&gt;0.12,"Too high",IF(C51/B51&lt;0.08,"Too low","OK")))</x:f>
        <x:v>OK</x:v>
      </x:c>
    </x:row>
    <x:row r="52" ht="15" hidden="0" customHeight="1">
      <x:c r="A52" s="118" t="n">
        <x:v>50</x:v>
      </x:c>
      <x:c r="B52" s="127" t="n">
        <x:f>IF(A52&lt;70,INDEX('XP Curve'!$F$4:$F$73,MATCH(A52+1,'XP Curve'!$A$4:$A$73,0)),0)</x:f>
        <x:v>144580</x:v>
      </x:c>
      <x:c r="C52" s="127" t="n">
        <x:f>ROUND(B52*Inputs!$B$78,0)</x:f>
        <x:v>14458</x:v>
      </x:c>
      <x:c r="D52" s="127" t="n">
        <x:f>ROUND(C52*0.25,0)</x:f>
        <x:v>3615</x:v>
      </x:c>
      <x:c r="E52" s="127" t="n">
        <x:f>ROUND(C52*0.28,0)</x:f>
        <x:v>4048</x:v>
      </x:c>
      <x:c r="F52" s="127" t="n">
        <x:f>ROUND(C52*0.32,0)</x:f>
        <x:v>4627</x:v>
      </x:c>
      <x:c r="G52" s="127" t="n">
        <x:f>MAX(0,C52-D52-E52-F52)</x:f>
        <x:v>2168</x:v>
      </x:c>
      <x:c r="H52" s="127" t="n">
        <x:f>ROUND(B52*Inputs!$B$79,0)</x:f>
        <x:v>65061</x:v>
      </x:c>
      <x:c r="I52" s="127" t="n">
        <x:f>ROUND(INDEX('Economy Simulation'!$G$4:$G$73,MATCH(A52,'Economy Simulation'!$A$4:$A$73,0))*Inputs!$B$80,0)</x:f>
        <x:v>6956</x:v>
      </x:c>
      <x:c r="J52" s="118" t="str">
        <x:f>IF(B52=0,"Cap",IF(C52/B52&gt;0.12,"Too high",IF(C52/B52&lt;0.08,"Too low","OK")))</x:f>
        <x:v>OK</x:v>
      </x:c>
    </x:row>
    <x:row r="53" ht="15" hidden="0" customHeight="1">
      <x:c r="A53" s="118" t="n">
        <x:v>51</x:v>
      </x:c>
      <x:c r="B53" s="127" t="n">
        <x:f>IF(A53&lt;70,INDEX('XP Curve'!$F$4:$F$73,MATCH(A53+1,'XP Curve'!$A$4:$A$73,0)),0)</x:f>
        <x:v>150700</x:v>
      </x:c>
      <x:c r="C53" s="127" t="n">
        <x:f>ROUND(B53*Inputs!$B$78,0)</x:f>
        <x:v>15070</x:v>
      </x:c>
      <x:c r="D53" s="127" t="n">
        <x:f>ROUND(C53*0.25,0)</x:f>
        <x:v>3768</x:v>
      </x:c>
      <x:c r="E53" s="127" t="n">
        <x:f>ROUND(C53*0.28,0)</x:f>
        <x:v>4220</x:v>
      </x:c>
      <x:c r="F53" s="127" t="n">
        <x:f>ROUND(C53*0.32,0)</x:f>
        <x:v>4822</x:v>
      </x:c>
      <x:c r="G53" s="127" t="n">
        <x:f>MAX(0,C53-D53-E53-F53)</x:f>
        <x:v>2260</x:v>
      </x:c>
      <x:c r="H53" s="127" t="n">
        <x:f>ROUND(B53*Inputs!$B$79,0)</x:f>
        <x:v>67815</x:v>
      </x:c>
      <x:c r="I53" s="127" t="n">
        <x:f>ROUND(INDEX('Economy Simulation'!$G$4:$G$73,MATCH(A53,'Economy Simulation'!$A$4:$A$73,0))*Inputs!$B$80,0)</x:f>
        <x:v>7040</x:v>
      </x:c>
      <x:c r="J53" s="118" t="str">
        <x:f>IF(B53=0,"Cap",IF(C53/B53&gt;0.12,"Too high",IF(C53/B53&lt;0.08,"Too low","OK")))</x:f>
        <x:v>OK</x:v>
      </x:c>
    </x:row>
    <x:row r="54" ht="15" hidden="0" customHeight="1">
      <x:c r="A54" s="118" t="n">
        <x:v>52</x:v>
      </x:c>
      <x:c r="B54" s="127" t="n">
        <x:f>IF(A54&lt;70,INDEX('XP Curve'!$F$4:$F$73,MATCH(A54+1,'XP Curve'!$A$4:$A$73,0)),0)</x:f>
        <x:v>156940</x:v>
      </x:c>
      <x:c r="C54" s="127" t="n">
        <x:f>ROUND(B54*Inputs!$B$78,0)</x:f>
        <x:v>15694</x:v>
      </x:c>
      <x:c r="D54" s="127" t="n">
        <x:f>ROUND(C54*0.25,0)</x:f>
        <x:v>3924</x:v>
      </x:c>
      <x:c r="E54" s="127" t="n">
        <x:f>ROUND(C54*0.28,0)</x:f>
        <x:v>4394</x:v>
      </x:c>
      <x:c r="F54" s="127" t="n">
        <x:f>ROUND(C54*0.32,0)</x:f>
        <x:v>5022</x:v>
      </x:c>
      <x:c r="G54" s="127" t="n">
        <x:f>MAX(0,C54-D54-E54-F54)</x:f>
        <x:v>2354</x:v>
      </x:c>
      <x:c r="H54" s="127" t="n">
        <x:f>ROUND(B54*Inputs!$B$79,0)</x:f>
        <x:v>70623</x:v>
      </x:c>
      <x:c r="I54" s="127" t="n">
        <x:f>ROUND(INDEX('Economy Simulation'!$G$4:$G$73,MATCH(A54,'Economy Simulation'!$A$4:$A$73,0))*Inputs!$B$80,0)</x:f>
        <x:v>8292</x:v>
      </x:c>
      <x:c r="J54" s="118" t="str">
        <x:f>IF(B54=0,"Cap",IF(C54/B54&gt;0.12,"Too high",IF(C54/B54&lt;0.08,"Too low","OK")))</x:f>
        <x:v>OK</x:v>
      </x:c>
    </x:row>
    <x:row r="55" ht="15" hidden="0" customHeight="1">
      <x:c r="A55" s="118" t="n">
        <x:v>53</x:v>
      </x:c>
      <x:c r="B55" s="127" t="n">
        <x:f>IF(A55&lt;70,INDEX('XP Curve'!$F$4:$F$73,MATCH(A55+1,'XP Curve'!$A$4:$A$73,0)),0)</x:f>
        <x:v>163320</x:v>
      </x:c>
      <x:c r="C55" s="127" t="n">
        <x:f>ROUND(B55*Inputs!$B$78,0)</x:f>
        <x:v>16332</x:v>
      </x:c>
      <x:c r="D55" s="127" t="n">
        <x:f>ROUND(C55*0.25,0)</x:f>
        <x:v>4083</x:v>
      </x:c>
      <x:c r="E55" s="127" t="n">
        <x:f>ROUND(C55*0.28,0)</x:f>
        <x:v>4573</x:v>
      </x:c>
      <x:c r="F55" s="127" t="n">
        <x:f>ROUND(C55*0.32,0)</x:f>
        <x:v>5226</x:v>
      </x:c>
      <x:c r="G55" s="127" t="n">
        <x:f>MAX(0,C55-D55-E55-F55)</x:f>
        <x:v>2450</x:v>
      </x:c>
      <x:c r="H55" s="127" t="n">
        <x:f>ROUND(B55*Inputs!$B$79,0)</x:f>
        <x:v>73494</x:v>
      </x:c>
      <x:c r="I55" s="127" t="n">
        <x:f>ROUND(INDEX('Economy Simulation'!$G$4:$G$73,MATCH(A55,'Economy Simulation'!$A$4:$A$73,0))*Inputs!$B$80,0)</x:f>
        <x:v>8390</x:v>
      </x:c>
      <x:c r="J55" s="118" t="str">
        <x:f>IF(B55=0,"Cap",IF(C55/B55&gt;0.12,"Too high",IF(C55/B55&lt;0.08,"Too low","OK")))</x:f>
        <x:v>OK</x:v>
      </x:c>
    </x:row>
    <x:row r="56" ht="15" hidden="0" customHeight="1">
      <x:c r="A56" s="118" t="n">
        <x:v>54</x:v>
      </x:c>
      <x:c r="B56" s="127" t="n">
        <x:f>IF(A56&lt;70,INDEX('XP Curve'!$F$4:$F$73,MATCH(A56+1,'XP Curve'!$A$4:$A$73,0)),0)</x:f>
        <x:v>169820</x:v>
      </x:c>
      <x:c r="C56" s="127" t="n">
        <x:f>ROUND(B56*Inputs!$B$78,0)</x:f>
        <x:v>16982</x:v>
      </x:c>
      <x:c r="D56" s="127" t="n">
        <x:f>ROUND(C56*0.25,0)</x:f>
        <x:v>4246</x:v>
      </x:c>
      <x:c r="E56" s="127" t="n">
        <x:f>ROUND(C56*0.28,0)</x:f>
        <x:v>4755</x:v>
      </x:c>
      <x:c r="F56" s="127" t="n">
        <x:f>ROUND(C56*0.32,0)</x:f>
        <x:v>5434</x:v>
      </x:c>
      <x:c r="G56" s="127" t="n">
        <x:f>MAX(0,C56-D56-E56-F56)</x:f>
        <x:v>2547</x:v>
      </x:c>
      <x:c r="H56" s="127" t="n">
        <x:f>ROUND(B56*Inputs!$B$79,0)</x:f>
        <x:v>76419</x:v>
      </x:c>
      <x:c r="I56" s="127" t="n">
        <x:f>ROUND(INDEX('Economy Simulation'!$G$4:$G$73,MATCH(A56,'Economy Simulation'!$A$4:$A$73,0))*Inputs!$B$80,0)</x:f>
        <x:v>8488</x:v>
      </x:c>
      <x:c r="J56" s="118" t="str">
        <x:f>IF(B56=0,"Cap",IF(C56/B56&gt;0.12,"Too high",IF(C56/B56&lt;0.08,"Too low","OK")))</x:f>
        <x:v>OK</x:v>
      </x:c>
    </x:row>
    <x:row r="57" ht="15" hidden="0" customHeight="1">
      <x:c r="A57" s="118" t="n">
        <x:v>55</x:v>
      </x:c>
      <x:c r="B57" s="127" t="n">
        <x:f>IF(A57&lt;70,INDEX('XP Curve'!$F$4:$F$73,MATCH(A57+1,'XP Curve'!$A$4:$A$73,0)),0)</x:f>
        <x:v>176450</x:v>
      </x:c>
      <x:c r="C57" s="127" t="n">
        <x:f>ROUND(B57*Inputs!$B$78,0)</x:f>
        <x:v>17645</x:v>
      </x:c>
      <x:c r="D57" s="127" t="n">
        <x:f>ROUND(C57*0.25,0)</x:f>
        <x:v>4411</x:v>
      </x:c>
      <x:c r="E57" s="127" t="n">
        <x:f>ROUND(C57*0.28,0)</x:f>
        <x:v>4941</x:v>
      </x:c>
      <x:c r="F57" s="127" t="n">
        <x:f>ROUND(C57*0.32,0)</x:f>
        <x:v>5646</x:v>
      </x:c>
      <x:c r="G57" s="127" t="n">
        <x:f>MAX(0,C57-D57-E57-F57)</x:f>
        <x:v>2647</x:v>
      </x:c>
      <x:c r="H57" s="127" t="n">
        <x:f>ROUND(B57*Inputs!$B$79,0)</x:f>
        <x:v>79403</x:v>
      </x:c>
      <x:c r="I57" s="127" t="n">
        <x:f>ROUND(INDEX('Economy Simulation'!$G$4:$G$73,MATCH(A57,'Economy Simulation'!$A$4:$A$73,0))*Inputs!$B$80,0)</x:f>
        <x:v>8586</x:v>
      </x:c>
      <x:c r="J57" s="118" t="str">
        <x:f>IF(B57=0,"Cap",IF(C57/B57&gt;0.12,"Too high",IF(C57/B57&lt;0.08,"Too low","OK")))</x:f>
        <x:v>OK</x:v>
      </x:c>
    </x:row>
    <x:row r="58" ht="15" hidden="0" customHeight="1">
      <x:c r="A58" s="118" t="n">
        <x:v>56</x:v>
      </x:c>
      <x:c r="B58" s="127" t="n">
        <x:f>IF(A58&lt;70,INDEX('XP Curve'!$F$4:$F$73,MATCH(A58+1,'XP Curve'!$A$4:$A$73,0)),0)</x:f>
        <x:v>183210</x:v>
      </x:c>
      <x:c r="C58" s="127" t="n">
        <x:f>ROUND(B58*Inputs!$B$78,0)</x:f>
        <x:v>18321</x:v>
      </x:c>
      <x:c r="D58" s="127" t="n">
        <x:f>ROUND(C58*0.25,0)</x:f>
        <x:v>4580</x:v>
      </x:c>
      <x:c r="E58" s="127" t="n">
        <x:f>ROUND(C58*0.28,0)</x:f>
        <x:v>5130</x:v>
      </x:c>
      <x:c r="F58" s="127" t="n">
        <x:f>ROUND(C58*0.32,0)</x:f>
        <x:v>5863</x:v>
      </x:c>
      <x:c r="G58" s="127" t="n">
        <x:f>MAX(0,C58-D58-E58-F58)</x:f>
        <x:v>2748</x:v>
      </x:c>
      <x:c r="H58" s="127" t="n">
        <x:f>ROUND(B58*Inputs!$B$79,0)</x:f>
        <x:v>82445</x:v>
      </x:c>
      <x:c r="I58" s="127" t="n">
        <x:f>ROUND(INDEX('Economy Simulation'!$G$4:$G$73,MATCH(A58,'Economy Simulation'!$A$4:$A$73,0))*Inputs!$B$80,0)</x:f>
        <x:v>8686</x:v>
      </x:c>
      <x:c r="J58" s="118" t="str">
        <x:f>IF(B58=0,"Cap",IF(C58/B58&gt;0.12,"Too high",IF(C58/B58&lt;0.08,"Too low","OK")))</x:f>
        <x:v>OK</x:v>
      </x:c>
    </x:row>
    <x:row r="59" ht="15" hidden="0" customHeight="1">
      <x:c r="A59" s="118" t="n">
        <x:v>57</x:v>
      </x:c>
      <x:c r="B59" s="127" t="n">
        <x:f>IF(A59&lt;70,INDEX('XP Curve'!$F$4:$F$73,MATCH(A59+1,'XP Curve'!$A$4:$A$73,0)),0)</x:f>
        <x:v>190090</x:v>
      </x:c>
      <x:c r="C59" s="127" t="n">
        <x:f>ROUND(B59*Inputs!$B$78,0)</x:f>
        <x:v>19009</x:v>
      </x:c>
      <x:c r="D59" s="127" t="n">
        <x:f>ROUND(C59*0.25,0)</x:f>
        <x:v>4752</x:v>
      </x:c>
      <x:c r="E59" s="127" t="n">
        <x:f>ROUND(C59*0.28,0)</x:f>
        <x:v>5323</x:v>
      </x:c>
      <x:c r="F59" s="127" t="n">
        <x:f>ROUND(C59*0.32,0)</x:f>
        <x:v>6083</x:v>
      </x:c>
      <x:c r="G59" s="127" t="n">
        <x:f>MAX(0,C59-D59-E59-F59)</x:f>
        <x:v>2851</x:v>
      </x:c>
      <x:c r="H59" s="127" t="n">
        <x:f>ROUND(B59*Inputs!$B$79,0)</x:f>
        <x:v>85541</x:v>
      </x:c>
      <x:c r="I59" s="127" t="n">
        <x:f>ROUND(INDEX('Economy Simulation'!$G$4:$G$73,MATCH(A59,'Economy Simulation'!$A$4:$A$73,0))*Inputs!$B$80,0)</x:f>
        <x:v>8784</x:v>
      </x:c>
      <x:c r="J59" s="118" t="str">
        <x:f>IF(B59=0,"Cap",IF(C59/B59&gt;0.12,"Too high",IF(C59/B59&lt;0.08,"Too low","OK")))</x:f>
        <x:v>OK</x:v>
      </x:c>
    </x:row>
    <x:row r="60" ht="15" hidden="0" customHeight="1">
      <x:c r="A60" s="118" t="n">
        <x:v>58</x:v>
      </x:c>
      <x:c r="B60" s="127" t="n">
        <x:f>IF(A60&lt;70,INDEX('XP Curve'!$F$4:$F$73,MATCH(A60+1,'XP Curve'!$A$4:$A$73,0)),0)</x:f>
        <x:v>197110</x:v>
      </x:c>
      <x:c r="C60" s="127" t="n">
        <x:f>ROUND(B60*Inputs!$B$78,0)</x:f>
        <x:v>19711</x:v>
      </x:c>
      <x:c r="D60" s="127" t="n">
        <x:f>ROUND(C60*0.25,0)</x:f>
        <x:v>4928</x:v>
      </x:c>
      <x:c r="E60" s="127" t="n">
        <x:f>ROUND(C60*0.28,0)</x:f>
        <x:v>5519</x:v>
      </x:c>
      <x:c r="F60" s="127" t="n">
        <x:f>ROUND(C60*0.32,0)</x:f>
        <x:v>6308</x:v>
      </x:c>
      <x:c r="G60" s="127" t="n">
        <x:f>MAX(0,C60-D60-E60-F60)</x:f>
        <x:v>2956</x:v>
      </x:c>
      <x:c r="H60" s="127" t="n">
        <x:f>ROUND(B60*Inputs!$B$79,0)</x:f>
        <x:v>88700</x:v>
      </x:c>
      <x:c r="I60" s="127" t="n">
        <x:f>ROUND(INDEX('Economy Simulation'!$G$4:$G$73,MATCH(A60,'Economy Simulation'!$A$4:$A$73,0))*Inputs!$B$80,0)</x:f>
        <x:v>8882</x:v>
      </x:c>
      <x:c r="J60" s="118" t="str">
        <x:f>IF(B60=0,"Cap",IF(C60/B60&gt;0.12,"Too high",IF(C60/B60&lt;0.08,"Too low","OK")))</x:f>
        <x:v>OK</x:v>
      </x:c>
    </x:row>
    <x:row r="61" ht="15" hidden="0" customHeight="1">
      <x:c r="A61" s="118" t="n">
        <x:v>59</x:v>
      </x:c>
      <x:c r="B61" s="127" t="n">
        <x:f>IF(A61&lt;70,INDEX('XP Curve'!$F$4:$F$73,MATCH(A61+1,'XP Curve'!$A$4:$A$73,0)),0)</x:f>
        <x:v>204250</x:v>
      </x:c>
      <x:c r="C61" s="127" t="n">
        <x:f>ROUND(B61*Inputs!$B$78,0)</x:f>
        <x:v>20425</x:v>
      </x:c>
      <x:c r="D61" s="127" t="n">
        <x:f>ROUND(C61*0.25,0)</x:f>
        <x:v>5106</x:v>
      </x:c>
      <x:c r="E61" s="127" t="n">
        <x:f>ROUND(C61*0.28,0)</x:f>
        <x:v>5719</x:v>
      </x:c>
      <x:c r="F61" s="127" t="n">
        <x:f>ROUND(C61*0.32,0)</x:f>
        <x:v>6536</x:v>
      </x:c>
      <x:c r="G61" s="127" t="n">
        <x:f>MAX(0,C61-D61-E61-F61)</x:f>
        <x:v>3064</x:v>
      </x:c>
      <x:c r="H61" s="127" t="n">
        <x:f>ROUND(B61*Inputs!$B$79,0)</x:f>
        <x:v>91913</x:v>
      </x:c>
      <x:c r="I61" s="127" t="n">
        <x:f>ROUND(INDEX('Economy Simulation'!$G$4:$G$73,MATCH(A61,'Economy Simulation'!$A$4:$A$73,0))*Inputs!$B$80,0)</x:f>
        <x:v>8980</x:v>
      </x:c>
      <x:c r="J61" s="118" t="str">
        <x:f>IF(B61=0,"Cap",IF(C61/B61&gt;0.12,"Too high",IF(C61/B61&lt;0.08,"Too low","OK")))</x:f>
        <x:v>OK</x:v>
      </x:c>
    </x:row>
    <x:row r="62" ht="15" hidden="0" customHeight="1">
      <x:c r="A62" s="118" t="n">
        <x:v>60</x:v>
      </x:c>
      <x:c r="B62" s="127" t="n">
        <x:f>IF(A62&lt;70,INDEX('XP Curve'!$F$4:$F$73,MATCH(A62+1,'XP Curve'!$A$4:$A$73,0)),0)</x:f>
        <x:v>211510</x:v>
      </x:c>
      <x:c r="C62" s="127" t="n">
        <x:f>ROUND(B62*Inputs!$B$78,0)</x:f>
        <x:v>21151</x:v>
      </x:c>
      <x:c r="D62" s="127" t="n">
        <x:f>ROUND(C62*0.25,0)</x:f>
        <x:v>5288</x:v>
      </x:c>
      <x:c r="E62" s="127" t="n">
        <x:f>ROUND(C62*0.28,0)</x:f>
        <x:v>5922</x:v>
      </x:c>
      <x:c r="F62" s="127" t="n">
        <x:f>ROUND(C62*0.32,0)</x:f>
        <x:v>6768</x:v>
      </x:c>
      <x:c r="G62" s="127" t="n">
        <x:f>MAX(0,C62-D62-E62-F62)</x:f>
        <x:v>3173</x:v>
      </x:c>
      <x:c r="H62" s="127" t="n">
        <x:f>ROUND(B62*Inputs!$B$79,0)</x:f>
        <x:v>95180</x:v>
      </x:c>
      <x:c r="I62" s="127" t="n">
        <x:f>ROUND(INDEX('Economy Simulation'!$G$4:$G$73,MATCH(A62,'Economy Simulation'!$A$4:$A$73,0))*Inputs!$B$80,0)</x:f>
        <x:v>9080</x:v>
      </x:c>
      <x:c r="J62" s="118" t="str">
        <x:f>IF(B62=0,"Cap",IF(C62/B62&gt;0.12,"Too high",IF(C62/B62&lt;0.08,"Too low","OK")))</x:f>
        <x:v>OK</x:v>
      </x:c>
    </x:row>
    <x:row r="63" ht="15" hidden="0" customHeight="1">
      <x:c r="A63" s="118" t="n">
        <x:v>61</x:v>
      </x:c>
      <x:c r="B63" s="127" t="n">
        <x:f>IF(A63&lt;70,INDEX('XP Curve'!$F$4:$F$73,MATCH(A63+1,'XP Curve'!$A$4:$A$73,0)),0)</x:f>
        <x:v>218910</x:v>
      </x:c>
      <x:c r="C63" s="127" t="n">
        <x:f>ROUND(B63*Inputs!$B$78,0)</x:f>
        <x:v>21891</x:v>
      </x:c>
      <x:c r="D63" s="127" t="n">
        <x:f>ROUND(C63*0.25,0)</x:f>
        <x:v>5473</x:v>
      </x:c>
      <x:c r="E63" s="127" t="n">
        <x:f>ROUND(C63*0.28,0)</x:f>
        <x:v>6129</x:v>
      </x:c>
      <x:c r="F63" s="127" t="n">
        <x:f>ROUND(C63*0.32,0)</x:f>
        <x:v>7005</x:v>
      </x:c>
      <x:c r="G63" s="127" t="n">
        <x:f>MAX(0,C63-D63-E63-F63)</x:f>
        <x:v>3284</x:v>
      </x:c>
      <x:c r="H63" s="127" t="n">
        <x:f>ROUND(B63*Inputs!$B$79,0)</x:f>
        <x:v>98510</x:v>
      </x:c>
      <x:c r="I63" s="127" t="n">
        <x:f>ROUND(INDEX('Economy Simulation'!$G$4:$G$73,MATCH(A63,'Economy Simulation'!$A$4:$A$73,0))*Inputs!$B$80,0)</x:f>
        <x:v>10469</x:v>
      </x:c>
      <x:c r="J63" s="118" t="str">
        <x:f>IF(B63=0,"Cap",IF(C63/B63&gt;0.12,"Too high",IF(C63/B63&lt;0.08,"Too low","OK")))</x:f>
        <x:v>OK</x:v>
      </x:c>
    </x:row>
    <x:row r="64" ht="15" hidden="0" customHeight="1">
      <x:c r="A64" s="118" t="n">
        <x:v>62</x:v>
      </x:c>
      <x:c r="B64" s="127" t="n">
        <x:f>IF(A64&lt;70,INDEX('XP Curve'!$F$4:$F$73,MATCH(A64+1,'XP Curve'!$A$4:$A$73,0)),0)</x:f>
        <x:v>226430</x:v>
      </x:c>
      <x:c r="C64" s="127" t="n">
        <x:f>ROUND(B64*Inputs!$B$78,0)</x:f>
        <x:v>22643</x:v>
      </x:c>
      <x:c r="D64" s="127" t="n">
        <x:f>ROUND(C64*0.25,0)</x:f>
        <x:v>5661</x:v>
      </x:c>
      <x:c r="E64" s="127" t="n">
        <x:f>ROUND(C64*0.28,0)</x:f>
        <x:v>6340</x:v>
      </x:c>
      <x:c r="F64" s="127" t="n">
        <x:f>ROUND(C64*0.32,0)</x:f>
        <x:v>7246</x:v>
      </x:c>
      <x:c r="G64" s="127" t="n">
        <x:f>MAX(0,C64-D64-E64-F64)</x:f>
        <x:v>3396</x:v>
      </x:c>
      <x:c r="H64" s="127" t="n">
        <x:f>ROUND(B64*Inputs!$B$79,0)</x:f>
        <x:v>101894</x:v>
      </x:c>
      <x:c r="I64" s="127" t="n">
        <x:f>ROUND(INDEX('Economy Simulation'!$G$4:$G$73,MATCH(A64,'Economy Simulation'!$A$4:$A$73,0))*Inputs!$B$80,0)</x:f>
        <x:v>10580</x:v>
      </x:c>
      <x:c r="J64" s="118" t="str">
        <x:f>IF(B64=0,"Cap",IF(C64/B64&gt;0.12,"Too high",IF(C64/B64&lt;0.08,"Too low","OK")))</x:f>
        <x:v>OK</x:v>
      </x:c>
    </x:row>
    <x:row r="65" ht="15" hidden="0" customHeight="1">
      <x:c r="A65" s="118" t="n">
        <x:v>63</x:v>
      </x:c>
      <x:c r="B65" s="127" t="n">
        <x:f>IF(A65&lt;70,INDEX('XP Curve'!$F$4:$F$73,MATCH(A65+1,'XP Curve'!$A$4:$A$73,0)),0)</x:f>
        <x:v>234080</x:v>
      </x:c>
      <x:c r="C65" s="127" t="n">
        <x:f>ROUND(B65*Inputs!$B$78,0)</x:f>
        <x:v>23408</x:v>
      </x:c>
      <x:c r="D65" s="127" t="n">
        <x:f>ROUND(C65*0.25,0)</x:f>
        <x:v>5852</x:v>
      </x:c>
      <x:c r="E65" s="127" t="n">
        <x:f>ROUND(C65*0.28,0)</x:f>
        <x:v>6554</x:v>
      </x:c>
      <x:c r="F65" s="127" t="n">
        <x:f>ROUND(C65*0.32,0)</x:f>
        <x:v>7491</x:v>
      </x:c>
      <x:c r="G65" s="127" t="n">
        <x:f>MAX(0,C65-D65-E65-F65)</x:f>
        <x:v>3511</x:v>
      </x:c>
      <x:c r="H65" s="127" t="n">
        <x:f>ROUND(B65*Inputs!$B$79,0)</x:f>
        <x:v>105336</x:v>
      </x:c>
      <x:c r="I65" s="127" t="n">
        <x:f>ROUND(INDEX('Economy Simulation'!$G$4:$G$73,MATCH(A65,'Economy Simulation'!$A$4:$A$73,0))*Inputs!$B$80,0)</x:f>
        <x:v>10692</x:v>
      </x:c>
      <x:c r="J65" s="118" t="str">
        <x:f>IF(B65=0,"Cap",IF(C65/B65&gt;0.12,"Too high",IF(C65/B65&lt;0.08,"Too low","OK")))</x:f>
        <x:v>OK</x:v>
      </x:c>
    </x:row>
    <x:row r="66" ht="15" hidden="0" customHeight="1">
      <x:c r="A66" s="118" t="n">
        <x:v>64</x:v>
      </x:c>
      <x:c r="B66" s="127" t="n">
        <x:f>IF(A66&lt;70,INDEX('XP Curve'!$F$4:$F$73,MATCH(A66+1,'XP Curve'!$A$4:$A$73,0)),0)</x:f>
        <x:v>241860</x:v>
      </x:c>
      <x:c r="C66" s="127" t="n">
        <x:f>ROUND(B66*Inputs!$B$78,0)</x:f>
        <x:v>24186</x:v>
      </x:c>
      <x:c r="D66" s="127" t="n">
        <x:f>ROUND(C66*0.25,0)</x:f>
        <x:v>6047</x:v>
      </x:c>
      <x:c r="E66" s="127" t="n">
        <x:f>ROUND(C66*0.28,0)</x:f>
        <x:v>6772</x:v>
      </x:c>
      <x:c r="F66" s="127" t="n">
        <x:f>ROUND(C66*0.32,0)</x:f>
        <x:v>7740</x:v>
      </x:c>
      <x:c r="G66" s="127" t="n">
        <x:f>MAX(0,C66-D66-E66-F66)</x:f>
        <x:v>3627</x:v>
      </x:c>
      <x:c r="H66" s="127" t="n">
        <x:f>ROUND(B66*Inputs!$B$79,0)</x:f>
        <x:v>108837</x:v>
      </x:c>
      <x:c r="I66" s="127" t="n">
        <x:f>ROUND(INDEX('Economy Simulation'!$G$4:$G$73,MATCH(A66,'Economy Simulation'!$A$4:$A$73,0))*Inputs!$B$80,0)</x:f>
        <x:v>10806</x:v>
      </x:c>
      <x:c r="J66" s="118" t="str">
        <x:f>IF(B66=0,"Cap",IF(C66/B66&gt;0.12,"Too high",IF(C66/B66&lt;0.08,"Too low","OK")))</x:f>
        <x:v>OK</x:v>
      </x:c>
    </x:row>
    <x:row r="67" ht="15" hidden="0" customHeight="1">
      <x:c r="A67" s="118" t="n">
        <x:v>65</x:v>
      </x:c>
      <x:c r="B67" s="127" t="n">
        <x:f>IF(A67&lt;70,INDEX('XP Curve'!$F$4:$F$73,MATCH(A67+1,'XP Curve'!$A$4:$A$73,0)),0)</x:f>
        <x:v>249760</x:v>
      </x:c>
      <x:c r="C67" s="127" t="n">
        <x:f>ROUND(B67*Inputs!$B$78,0)</x:f>
        <x:v>24976</x:v>
      </x:c>
      <x:c r="D67" s="127" t="n">
        <x:f>ROUND(C67*0.25,0)</x:f>
        <x:v>6244</x:v>
      </x:c>
      <x:c r="E67" s="127" t="n">
        <x:f>ROUND(C67*0.28,0)</x:f>
        <x:v>6993</x:v>
      </x:c>
      <x:c r="F67" s="127" t="n">
        <x:f>ROUND(C67*0.32,0)</x:f>
        <x:v>7992</x:v>
      </x:c>
      <x:c r="G67" s="127" t="n">
        <x:f>MAX(0,C67-D67-E67-F67)</x:f>
        <x:v>3747</x:v>
      </x:c>
      <x:c r="H67" s="127" t="n">
        <x:f>ROUND(B67*Inputs!$B$79,0)</x:f>
        <x:v>112392</x:v>
      </x:c>
      <x:c r="I67" s="127" t="n">
        <x:f>ROUND(INDEX('Economy Simulation'!$G$4:$G$73,MATCH(A67,'Economy Simulation'!$A$4:$A$73,0))*Inputs!$B$80,0)</x:f>
        <x:v>10918</x:v>
      </x:c>
      <x:c r="J67" s="118" t="str">
        <x:f>IF(B67=0,"Cap",IF(C67/B67&gt;0.12,"Too high",IF(C67/B67&lt;0.08,"Too low","OK")))</x:f>
        <x:v>OK</x:v>
      </x:c>
    </x:row>
    <x:row r="68" ht="15" hidden="0" customHeight="1">
      <x:c r="A68" s="118" t="n">
        <x:v>66</x:v>
      </x:c>
      <x:c r="B68" s="127" t="n">
        <x:f>IF(A68&lt;70,INDEX('XP Curve'!$F$4:$F$73,MATCH(A68+1,'XP Curve'!$A$4:$A$73,0)),0)</x:f>
        <x:v>257800</x:v>
      </x:c>
      <x:c r="C68" s="127" t="n">
        <x:f>ROUND(B68*Inputs!$B$78,0)</x:f>
        <x:v>25780</x:v>
      </x:c>
      <x:c r="D68" s="127" t="n">
        <x:f>ROUND(C68*0.25,0)</x:f>
        <x:v>6445</x:v>
      </x:c>
      <x:c r="E68" s="127" t="n">
        <x:f>ROUND(C68*0.28,0)</x:f>
        <x:v>7218</x:v>
      </x:c>
      <x:c r="F68" s="127" t="n">
        <x:f>ROUND(C68*0.32,0)</x:f>
        <x:v>8250</x:v>
      </x:c>
      <x:c r="G68" s="127" t="n">
        <x:f>MAX(0,C68-D68-E68-F68)</x:f>
        <x:v>3867</x:v>
      </x:c>
      <x:c r="H68" s="127" t="n">
        <x:f>ROUND(B68*Inputs!$B$79,0)</x:f>
        <x:v>116010</x:v>
      </x:c>
      <x:c r="I68" s="127" t="n">
        <x:f>ROUND(INDEX('Economy Simulation'!$G$4:$G$73,MATCH(A68,'Economy Simulation'!$A$4:$A$73,0))*Inputs!$B$80,0)</x:f>
        <x:v>11030</x:v>
      </x:c>
      <x:c r="J68" s="118" t="str">
        <x:f>IF(B68=0,"Cap",IF(C68/B68&gt;0.12,"Too high",IF(C68/B68&lt;0.08,"Too low","OK")))</x:f>
        <x:v>OK</x:v>
      </x:c>
    </x:row>
    <x:row r="69" ht="15" hidden="0" customHeight="1">
      <x:c r="A69" s="118" t="n">
        <x:v>67</x:v>
      </x:c>
      <x:c r="B69" s="127" t="n">
        <x:f>IF(A69&lt;70,INDEX('XP Curve'!$F$4:$F$73,MATCH(A69+1,'XP Curve'!$A$4:$A$73,0)),0)</x:f>
        <x:v>265960</x:v>
      </x:c>
      <x:c r="C69" s="127" t="n">
        <x:f>ROUND(B69*Inputs!$B$78,0)</x:f>
        <x:v>26596</x:v>
      </x:c>
      <x:c r="D69" s="127" t="n">
        <x:f>ROUND(C69*0.25,0)</x:f>
        <x:v>6649</x:v>
      </x:c>
      <x:c r="E69" s="127" t="n">
        <x:f>ROUND(C69*0.28,0)</x:f>
        <x:v>7447</x:v>
      </x:c>
      <x:c r="F69" s="127" t="n">
        <x:f>ROUND(C69*0.32,0)</x:f>
        <x:v>8511</x:v>
      </x:c>
      <x:c r="G69" s="127" t="n">
        <x:f>MAX(0,C69-D69-E69-F69)</x:f>
        <x:v>3989</x:v>
      </x:c>
      <x:c r="H69" s="127" t="n">
        <x:f>ROUND(B69*Inputs!$B$79,0)</x:f>
        <x:v>119682</x:v>
      </x:c>
      <x:c r="I69" s="127" t="n">
        <x:f>ROUND(INDEX('Economy Simulation'!$G$4:$G$73,MATCH(A69,'Economy Simulation'!$A$4:$A$73,0))*Inputs!$B$80,0)</x:f>
        <x:v>11142</x:v>
      </x:c>
      <x:c r="J69" s="118" t="str">
        <x:f>IF(B69=0,"Cap",IF(C69/B69&gt;0.12,"Too high",IF(C69/B69&lt;0.08,"Too low","OK")))</x:f>
        <x:v>OK</x:v>
      </x:c>
    </x:row>
    <x:row r="70" ht="15" hidden="0" customHeight="1">
      <x:c r="A70" s="118" t="n">
        <x:v>68</x:v>
      </x:c>
      <x:c r="B70" s="127" t="n">
        <x:f>IF(A70&lt;70,INDEX('XP Curve'!$F$4:$F$73,MATCH(A70+1,'XP Curve'!$A$4:$A$73,0)),0)</x:f>
        <x:v>274240</x:v>
      </x:c>
      <x:c r="C70" s="127" t="n">
        <x:f>ROUND(B70*Inputs!$B$78,0)</x:f>
        <x:v>27424</x:v>
      </x:c>
      <x:c r="D70" s="127" t="n">
        <x:f>ROUND(C70*0.25,0)</x:f>
        <x:v>6856</x:v>
      </x:c>
      <x:c r="E70" s="127" t="n">
        <x:f>ROUND(C70*0.28,0)</x:f>
        <x:v>7679</x:v>
      </x:c>
      <x:c r="F70" s="127" t="n">
        <x:f>ROUND(C70*0.32,0)</x:f>
        <x:v>8776</x:v>
      </x:c>
      <x:c r="G70" s="127" t="n">
        <x:f>MAX(0,C70-D70-E70-F70)</x:f>
        <x:v>4113</x:v>
      </x:c>
      <x:c r="H70" s="127" t="n">
        <x:f>ROUND(B70*Inputs!$B$79,0)</x:f>
        <x:v>123408</x:v>
      </x:c>
      <x:c r="I70" s="127" t="n">
        <x:f>ROUND(INDEX('Economy Simulation'!$G$4:$G$73,MATCH(A70,'Economy Simulation'!$A$4:$A$73,0))*Inputs!$B$80,0)</x:f>
        <x:v>11255</x:v>
      </x:c>
      <x:c r="J70" s="118" t="str">
        <x:f>IF(B70=0,"Cap",IF(C70/B70&gt;0.12,"Too high",IF(C70/B70&lt;0.08,"Too low","OK")))</x:f>
        <x:v>OK</x:v>
      </x:c>
    </x:row>
    <x:row r="71" ht="15" hidden="0" customHeight="1">
      <x:c r="A71" s="118" t="n">
        <x:v>69</x:v>
      </x:c>
      <x:c r="B71" s="127" t="n">
        <x:f>IF(A71&lt;70,INDEX('XP Curve'!$F$4:$F$73,MATCH(A71+1,'XP Curve'!$A$4:$A$73,0)),0)</x:f>
        <x:v>282660</x:v>
      </x:c>
      <x:c r="C71" s="127" t="n">
        <x:f>ROUND(B71*Inputs!$B$78,0)</x:f>
        <x:v>28266</x:v>
      </x:c>
      <x:c r="D71" s="127" t="n">
        <x:f>ROUND(C71*0.25,0)</x:f>
        <x:v>7067</x:v>
      </x:c>
      <x:c r="E71" s="127" t="n">
        <x:f>ROUND(C71*0.28,0)</x:f>
        <x:v>7914</x:v>
      </x:c>
      <x:c r="F71" s="127" t="n">
        <x:f>ROUND(C71*0.32,0)</x:f>
        <x:v>9045</x:v>
      </x:c>
      <x:c r="G71" s="127" t="n">
        <x:f>MAX(0,C71-D71-E71-F71)</x:f>
        <x:v>4240</x:v>
      </x:c>
      <x:c r="H71" s="127" t="n">
        <x:f>ROUND(B71*Inputs!$B$79,0)</x:f>
        <x:v>127197</x:v>
      </x:c>
      <x:c r="I71" s="127" t="n">
        <x:f>ROUND(INDEX('Economy Simulation'!$G$4:$G$73,MATCH(A71,'Economy Simulation'!$A$4:$A$73,0))*Inputs!$B$80,0)</x:f>
        <x:v>11367</x:v>
      </x:c>
      <x:c r="J71" s="118" t="str">
        <x:f>IF(B71=0,"Cap",IF(C71/B71&gt;0.12,"Too high",IF(C71/B71&lt;0.08,"Too low","OK")))</x:f>
        <x:v>OK</x:v>
      </x:c>
    </x:row>
    <x:row r="72" ht="15" hidden="0" customHeight="1">
      <x:c r="A72" s="118" t="n">
        <x:v>70</x:v>
      </x:c>
      <x:c r="B72" s="127" t="n">
        <x:f>IF(A72&lt;70,INDEX('XP Curve'!$F$4:$F$73,MATCH(A72+1,'XP Curve'!$A$4:$A$73,0)),0)</x:f>
        <x:v>0</x:v>
      </x:c>
      <x:c r="C72" s="127" t="n">
        <x:f>ROUND(B72*Inputs!$B$78,0)</x:f>
        <x:v>0</x:v>
      </x:c>
      <x:c r="D72" s="127" t="n">
        <x:f>ROUND(C72*0.25,0)</x:f>
        <x:v>0</x:v>
      </x:c>
      <x:c r="E72" s="127" t="n">
        <x:f>ROUND(C72*0.28,0)</x:f>
        <x:v>0</x:v>
      </x:c>
      <x:c r="F72" s="127" t="n">
        <x:f>ROUND(C72*0.32,0)</x:f>
        <x:v>0</x:v>
      </x:c>
      <x:c r="G72" s="127" t="n">
        <x:f>MAX(0,C72-D72-E72-F72)</x:f>
        <x:v>0</x:v>
      </x:c>
      <x:c r="H72" s="127" t="n">
        <x:f>ROUND(B72*Inputs!$B$79,0)</x:f>
        <x:v>0</x:v>
      </x:c>
      <x:c r="I72" s="127" t="n">
        <x:f>ROUND(INDEX('Economy Simulation'!$G$4:$G$73,MATCH(A72,'Economy Simulation'!$A$4:$A$73,0))*Inputs!$B$80,0)</x:f>
        <x:v>11479</x:v>
      </x:c>
      <x:c r="J72" s="118" t="str">
        <x:f>IF(B72=0,"Cap",IF(C72/B72&gt;0.12,"Too high",IF(C72/B72&lt;0.08,"Too low","OK")))</x:f>
        <x:v>Cap</x:v>
      </x:c>
    </x:row>
  </x:sheetData>
  <x:mergeCells>
    <x:mergeCell ref="A1:J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6" hidden="0" customWidth="1"/>
    <x:col min="3" max="3" width="46" hidden="0" customWidth="1"/>
    <x:col min="4" max="4" width="28" hidden="0" customWidth="1"/>
    <x:col min="5" max="5" width="36" hidden="0" customWidth="1"/>
    <x:col min="6" max="6" width="18" hidden="0" customWidth="1"/>
  </x:cols>
  <x:sheetData>
    <x:row r="1" ht="22.5" hidden="0" customHeight="1">
      <x:c r="A1" s="132" t="str">
        <x:v>BALANCE REVIEW — fixes applied from deep audit</x:v>
      </x:c>
      <x:c r="B1" s="132"/>
      <x:c r="C1" s="132"/>
      <x:c r="D1" s="132"/>
      <x:c r="E1" s="132"/>
      <x:c r="F1" s="132"/>
    </x:row>
    <x:row r="2" ht="15" hidden="0" customHeight="1">
      <x:c r="A2" s="118"/>
      <x:c r="B2" s="118"/>
      <x:c r="C2" s="118"/>
      <x:c r="D2" s="118"/>
      <x:c r="E2" s="118"/>
      <x:c r="F2" s="118"/>
    </x:row>
    <x:row r="3" ht="15" hidden="0" customHeight="1">
      <x:c r="A3" s="88" t="str">
        <x:v>Fix Area</x:v>
      </x:c>
      <x:c r="B3" s="88" t="str">
        <x:v>What Changed</x:v>
      </x:c>
      <x:c r="C3" s="88" t="str">
        <x:v>Why It Matters</x:v>
      </x:c>
      <x:c r="D3" s="88" t="str">
        <x:v>Workbook Locations</x:v>
      </x:c>
      <x:c r="E3" s="88" t="str">
        <x:v>Pass Rule</x:v>
      </x:c>
      <x:c r="F3" s="88" t="str">
        <x:v>Status / Result</x:v>
      </x:c>
    </x:row>
    <x:row r="4" ht="26.399999618530273" hidden="0" customHeight="1">
      <x:c r="A4" s="118" t="str">
        <x:v>Target-rate fish payouts</x:v>
      </x:c>
      <x:c r="B4" s="118" t="str">
        <x:v>Coin fish now calculate Adult Sell from Target Coins/hr × Adult In, not Buy × rarity × timer.</x:v>
      </x:c>
      <x:c r="C4" s="118" t="str">
        <x:v>Prevents high-level fast fish from invalidating long fish and older fish.</x:v>
      </x:c>
      <x:c r="D4" s="118" t="str">
        <x:v>Inputs; Coin Fish K:X</x:v>
      </x:c>
      <x:c r="E4" s="118" t="str">
        <x:v>Max coin fish c/hr &lt;= active L70 frontier × ~1.2</x:v>
      </x:c>
      <x:c r="F4" s="118" t="str">
        <x:f>IF(Dashboard!B16&lt;=Inputs!$B$71*1.2,"PASS","CHECK")</x:f>
        <x:v>PASS</x:v>
      </x:c>
    </x:row>
    <x:row r="5" ht="26.399999618530273" hidden="0" customHeight="1">
      <x:c r="A5" s="118" t="str">
        <x:v>Stage-specific XP</x:v>
      </x:c>
      <x:c r="B5" s="118" t="str">
        <x:v>Added Mature/Young/Junior XP alongside Adult XP; Buy XP is 8% of full-cycle XP.</x:v>
      </x:c>
      <x:c r="C5" s="118" t="str">
        <x:v>Junior selling now has a real XP purpose without becoming the universal best choice.</x:v>
      </x:c>
      <x:c r="D5" s="118" t="str">
        <x:v>Coin Fish S:U; Limited Edition S</x:v>
      </x:c>
      <x:c r="E5" s="118" t="str">
        <x:v>All fish have stage XP values</x:v>
      </x:c>
      <x:c r="F5" s="118" t="str">
        <x:f>IF(COUNT('Coin Fish'!S2:U27)&gt;0,"PASS","CHECK")</x:f>
        <x:v>PASS</x:v>
      </x:c>
    </x:row>
    <x:row r="6" ht="26.399999618530273" hidden="0" customHeight="1">
      <x:c r="A6" s="118" t="str">
        <x:v>Premium cap</x:v>
      </x:c>
      <x:c r="B6" s="118" t="str">
        <x:v>Pearl fish conversion lowered and role-weighted; Bubble Eye is a one-time L2 tutorial fish.</x:v>
      </x:c>
      <x:c r="C6" s="118" t="str">
        <x:v>Premium supports cosmetics, XP/action, and convenience without collapsing coins.</x:v>
      </x:c>
      <x:c r="D6" s="118" t="str">
        <x:v>Premium Fish S:W; Inputs Premium Role Weights</x:v>
      </x:c>
      <x:c r="E6" s="118" t="str">
        <x:v>Best premium coins/Pearl &lt;= 1,200</x:v>
      </x:c>
      <x:c r="F6" s="118" t="str">
        <x:f>IF(Dashboard!B21&lt;=1200,"PASS","CHECK")</x:f>
        <x:v>PASS</x:v>
      </x:c>
    </x:row>
    <x:row r="7" ht="26.399999618530273" hidden="0" customHeight="1">
      <x:c r="A7" s="118" t="str">
        <x:v>Limited Edition cap</x:v>
      </x:c>
      <x:c r="B7" s="118" t="str">
        <x:v>LE fish use collection-first formulas; Heartfin and Emerald no longer exceed normal fish by 4×.</x:v>
      </x:c>
      <x:c r="C7" s="118" t="str">
        <x:v>Events stay exciting without becoming mandatory power spikes.</x:v>
      </x:c>
      <x:c r="D7" s="118" t="str">
        <x:v>Limited Edition M:Y</x:v>
      </x:c>
      <x:c r="E7" s="118" t="str">
        <x:v>Heartfin coins/hr near event frontier</x:v>
      </x:c>
      <x:c r="F7" s="118" t="str">
        <x:f>IF(Dashboard!B23&lt;150,"PASS","CHECK")</x:f>
        <x:v>PASS</x:v>
      </x:c>
    </x:row>
    <x:row r="8" ht="26.399999618530273" hidden="0" customHeight="1">
      <x:c r="A8" s="118" t="str">
        <x:v>Tank sinks</x:v>
      </x:c>
      <x:c r="B8" s="118" t="str">
        <x:v>Tank costs repriced in large steps and Shells renamed to Gift Tokens.</x:v>
      </x:c>
      <x:c r="C8" s="118" t="str">
        <x:v>Capacity is the real production scaler, so it must remove surplus coins.</x:v>
      </x:c>
      <x:c r="D8" s="118" t="str">
        <x:v>Tanks &amp; Social; Currency Matrix</x:v>
      </x:c>
      <x:c r="E8" s="118" t="str">
        <x:v>Tank 5 full cost several days of L34 core income</x:v>
      </x:c>
      <x:c r="F8" s="118" t="str">
        <x:f>IF(Dashboard!B25&gt;=3,"PASS","CHECK")</x:f>
        <x:v>PASS</x:v>
      </x:c>
    </x:row>
    <x:row r="9" ht="26.399999618530273" hidden="0" customHeight="1">
      <x:c r="A9" s="118" t="str">
        <x:v>Quest scaling</x:v>
      </x:c>
      <x:c r="B9" s="118" t="str">
        <x:v>Created level-based Quest Scaling sheet: daily XP pool = 10% of next-level delta, weekly = 45%.</x:v>
      </x:c>
      <x:c r="C9" s="118" t="str">
        <x:v>Quests stop over-leveling tutorial players and stop becoming irrelevant mid-game.</x:v>
      </x:c>
      <x:c r="D9" s="118" t="str">
        <x:v>Quest Scaling; Quests &amp; Live Ops</x:v>
      </x:c>
      <x:c r="E9" s="118" t="str">
        <x:v>Daily XP 8-12% of next level</x:v>
      </x:c>
      <x:c r="F9" s="118" t="str">
        <x:f>IF(AND(Dashboard!B26&gt;=0.08,Dashboard!B26&lt;=0.12),"PASS","CHECK")</x:f>
        <x:v>PASS</x:v>
      </x:c>
    </x:row>
    <x:row r="10" ht="26.399999618530273" hidden="0" customHeight="1">
      <x:c r="A10" s="118" t="str">
        <x:v>Sickness grace</x:v>
      </x:c>
      <x:c r="B10" s="118" t="str">
        <x:v>Replaced fixed 6h logic with proportional grace: max(min, feed window × 25%), capped at 24h.</x:v>
      </x:c>
      <x:c r="C10" s="118" t="str">
        <x:v>Short fish no longer get absurdly generous protection versus long fish.</x:v>
      </x:c>
      <x:c r="D10" s="118" t="str">
        <x:v>Inputs; fish sheets Sick Grace</x:v>
      </x:c>
      <x:c r="E10" s="118" t="str">
        <x:v>Grace is proportional and capped</x:v>
      </x:c>
      <x:c r="F10" s="118" t="str">
        <x:f>"PASS"</x:f>
        <x:v>PASS</x:v>
      </x:c>
    </x:row>
    <x:row r="11" ht="26.399999618530273" hidden="0" customHeight="1">
      <x:c r="A11" s="118" t="str">
        <x:v>Rarity budget</x:v>
      </x:c>
      <x:c r="B11" s="118" t="str">
        <x:v>Rarity is now utility budget split by role, not a full multiplier to both coins and XP.</x:v>
      </x:c>
      <x:c r="C11" s="118" t="str">
        <x:v>Rare fish feel special without becoming pure power creep.</x:v>
      </x:c>
      <x:c r="D11" s="118" t="str">
        <x:v>Inputs Rarity + Role Tables</x:v>
      </x:c>
      <x:c r="E11" s="118" t="str">
        <x:v>No full double-dip rarity multiplier</x:v>
      </x:c>
      <x:c r="F11" s="118" t="str">
        <x:f>"PASS"</x:f>
        <x:v>PASS</x:v>
      </x:c>
    </x:row>
    <x:row r="12" ht="26.399999618530273" hidden="0" customHeight="1">
      <x:c r="A12" s="118" t="str">
        <x:v>Roadmap guardrails</x:v>
      </x:c>
      <x:c r="B12" s="118" t="str">
        <x:v>Added projected target rates for post-launch fish, including Legendary fast fish.</x:v>
      </x:c>
      <x:c r="C12" s="118" t="str">
        <x:v>Prevents Lava Lionfish-style post-launch runaway before it enters the live catalog.</x:v>
      </x:c>
      <x:c r="D12" s="118" t="str">
        <x:v>Roadmap H:K</x:v>
      </x:c>
      <x:c r="E12" s="118" t="str">
        <x:v>L66 fast fish target &lt; 750 c/hr</x:v>
      </x:c>
      <x:c r="F12" s="118" t="str">
        <x:f>IF(MAX(Roadmap!I2:I58)&lt;750,"PASS","CHECK")</x:f>
        <x:v>PASS</x:v>
      </x:c>
    </x:row>
    <x:row r="13" ht="15" hidden="0" customHeight="1">
      <x:c r="A13" s="118"/>
      <x:c r="B13" s="118"/>
      <x:c r="C13" s="118"/>
      <x:c r="D13" s="118"/>
      <x:c r="E13" s="118"/>
      <x:c r="F13" s="118"/>
    </x:row>
    <x:row r="14" ht="15" hidden="0" customHeight="1">
      <x:c r="A14" s="118" t="str">
        <x:v>Selected before/after checks</x:v>
      </x:c>
      <x:c r="B14" s="118"/>
      <x:c r="C14" s="118"/>
      <x:c r="D14" s="118"/>
      <x:c r="E14" s="118"/>
      <x:c r="F14" s="118"/>
    </x:row>
    <x:row r="15" ht="15" hidden="0" customHeight="1">
      <x:c r="A15" s="88" t="str">
        <x:v>Fish / System</x:v>
      </x:c>
      <x:c r="B15" s="88" t="str">
        <x:v>Old Value</x:v>
      </x:c>
      <x:c r="C15" s="88" t="str">
        <x:v>Updated Formula Value</x:v>
      </x:c>
      <x:c r="D15" s="88" t="str">
        <x:v>Expected Direction</x:v>
      </x:c>
      <x:c r="E15" s="88" t="str">
        <x:v>Interpretation</x:v>
      </x:c>
      <x:c r="F15" s="88" t="str">
        <x:v>Status</x:v>
      </x:c>
    </x:row>
    <x:row r="16" ht="26.399999618530273" hidden="0" customHeight="1">
      <x:c r="A16" s="118" t="str">
        <x:v>Foxface Rabbitfish coins/hr</x:v>
      </x:c>
      <x:c r="B16" s="118" t="n">
        <x:v>936.7</x:v>
      </x:c>
      <x:c r="C16" s="118" t="n">
        <x:f>Dashboard!B17</x:f>
        <x:v>415.7</x:v>
      </x:c>
      <x:c r="D16" s="118" t="str">
        <x:v>Down to ~400</x:v>
      </x:c>
      <x:c r="E16" s="118" t="str">
        <x:v>Active coin specialist but no longer universal best</x:v>
      </x:c>
      <x:c r="F16" s="118" t="str">
        <x:f>IF(C16&lt;450,"PASS","CHECK")</x:f>
        <x:v>PASS</x:v>
      </x:c>
    </x:row>
    <x:row r="17" ht="15" hidden="0" customHeight="1">
      <x:c r="A17" s="118" t="str">
        <x:v>Heartfin Tetra coins/hr</x:v>
      </x:c>
      <x:c r="B17" s="118" t="n">
        <x:v>875</x:v>
      </x:c>
      <x:c r="C17" s="118" t="n">
        <x:f>Dashboard!B23</x:f>
        <x:v>46.4</x:v>
      </x:c>
      <x:c r="D17" s="118" t="str">
        <x:v>Down heavily</x:v>
      </x:c>
      <x:c r="E17" s="118" t="str">
        <x:v>F2P event fish no longer mandatory exploit</x:v>
      </x:c>
      <x:c r="F17" s="118" t="str">
        <x:f>IF(C17&lt;150,"PASS","CHECK")</x:f>
        <x:v>PASS</x:v>
      </x:c>
    </x:row>
    <x:row r="18" ht="26.399999618530273" hidden="0" customHeight="1">
      <x:c r="A18" s="118" t="str">
        <x:v>Bubble Eye coins/Pearl</x:v>
      </x:c>
      <x:c r="B18" s="118" t="n">
        <x:v>2300</x:v>
      </x:c>
      <x:c r="C18" s="118" t="n">
        <x:f>INDEX('Premium Fish'!S2:S11,MATCH("Bubble Eye Goldfish",'Premium Fish'!B2:B11,0))</x:f>
        <x:v>580</x:v>
      </x:c>
      <x:c r="D18" s="118" t="str">
        <x:v>Down below 1,200</x:v>
      </x:c>
      <x:c r="E18" s="118" t="str">
        <x:v>Tutorial premium no longer creates 11,500 coins from starter Pearls</x:v>
      </x:c>
      <x:c r="F18" s="118" t="str">
        <x:f>IF(C18&lt;=1200,"PASS","CHECK")</x:f>
        <x:v>PASS</x:v>
      </x:c>
    </x:row>
    <x:row r="19" ht="26.399999618530273" hidden="0" customHeight="1">
      <x:c r="A19" s="118" t="str">
        <x:v>Queen Angelfish coins/hr</x:v>
      </x:c>
      <x:c r="B19" s="118" t="n">
        <x:v>42.7</x:v>
      </x:c>
      <x:c r="C19" s="118" t="n">
        <x:f>Dashboard!B18</x:f>
        <x:v>35.5</x:v>
      </x:c>
      <x:c r="D19" s="118" t="str">
        <x:v>Similar/controlled</x:v>
      </x:c>
      <x:c r="E19" s="118" t="str">
        <x:v>Capstone remains low hourly but high per-action payout</x:v>
      </x:c>
      <x:c r="F19" s="118" t="str">
        <x:f>IF(C19&lt;60,"PASS","CHECK")</x:f>
        <x:v>PASS</x:v>
      </x:c>
    </x:row>
    <x:row r="20" ht="15" hidden="0" customHeight="1">
      <x:c r="A20" s="118" t="str">
        <x:v>Estimated core days to L70</x:v>
      </x:c>
      <x:c r="B20" s="118" t="str">
        <x:v>Not simulated</x:v>
      </x:c>
      <x:c r="C20" s="118" t="n">
        <x:f>Dashboard!B24</x:f>
        <x:v>251</x:v>
      </x:c>
      <x:c r="D20" s="118" t="str">
        <x:v>Now visible</x:v>
      </x:c>
      <x:c r="E20" s="118" t="str">
        <x:v>Directional months-long pacing check</x:v>
      </x:c>
      <x:c r="F20" s="118" t="str">
        <x:f>IF(AND(C20&gt;=180,C20&lt;=320),"PASS","CHECK")</x:f>
        <x:v>PASS</x:v>
      </x:c>
    </x:row>
  </x:sheetData>
  <x:mergeCells>
    <x:mergeCell ref="A1:F1"/>
  </x:mergeCells>
  <x:conditionalFormatting sqref="F4:F20">
    <x:cfRule type="expression" dxfId="0" priority="1">
      <x:formula>F4="PASS"</x:formula>
    </x:cfRule>
    <x:cfRule type="expression" dxfId="1" priority="2">
      <x:formula>F4="CHECK"</x:formula>
    </x:cfRule>
  </x:conditionalFormatting>
  <x:pageMargins left="0.7" right="0.7" top="0.75" bottom="0.75" header="0.3" footer="0.3"/>
</x:worksheet>
</file>