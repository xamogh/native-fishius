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19.xml" ContentType="application/vnd.openxmlformats-officedocument.spreadsheetml.worksheet+xml"/>
  <Override PartName="/xl/tables/table1.xml" ContentType="application/vnd.openxmlformats-officedocument.spreadsheetml.table+xml"/>
  <Override PartName="/xl/worksheets/sheet20.xml" ContentType="application/vnd.openxmlformats-officedocument.spreadsheetml.worksheet+xml"/>
  <Override PartName="/xl/tables/table2.xml" ContentType="application/vnd.openxmlformats-officedocument.spreadsheetml.table+xml"/>
  <Override PartName="/xl/worksheets/sheet21.xml" ContentType="application/vnd.openxmlformats-officedocument.spreadsheetml.worksheet+xml"/>
  <Override PartName="/xl/tables/table3.xml" ContentType="application/vnd.openxmlformats-officedocument.spreadsheetml.table+xml"/>
  <Override PartName="/xl/worksheets/sheet22.xml" ContentType="application/vnd.openxmlformats-officedocument.spreadsheetml.worksheet+xml"/>
  <Override PartName="/xl/tables/table4.xml" ContentType="application/vnd.openxmlformats-officedocument.spreadsheetml.table+xml"/>
  <Override PartName="/xl/worksheets/sheet2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d1e42947c294981" /></Relationships>
</file>

<file path=xl/workbook.xml><?xml version="1.0" encoding="utf-8"?>
<x:workbook xmlns:x="http://schemas.openxmlformats.org/spreadsheetml/2006/main">
  <x:sheets>
    <x:sheet xmlns:r="http://schemas.openxmlformats.org/officeDocument/2006/relationships" name="Overview" sheetId="1" r:id="R611b8f7572154c15"/>
    <x:sheet xmlns:r="http://schemas.openxmlformats.org/officeDocument/2006/relationships" name="Inputs" sheetId="2" r:id="R1b0d85c1f9f4471d"/>
    <x:sheet xmlns:r="http://schemas.openxmlformats.org/officeDocument/2006/relationships" name="XP Curve" sheetId="3" r:id="Rcf0e3d1620114c10"/>
    <x:sheet xmlns:r="http://schemas.openxmlformats.org/officeDocument/2006/relationships" name="Coin Fish" sheetId="4" r:id="R346eadd4b7724e87"/>
    <x:sheet xmlns:r="http://schemas.openxmlformats.org/officeDocument/2006/relationships" name="Premium Fish" sheetId="5" r:id="Rd495c6d0f31842e6"/>
    <x:sheet xmlns:r="http://schemas.openxmlformats.org/officeDocument/2006/relationships" name="Limited Edition" sheetId="6" r:id="Rcea907cd49c44554"/>
    <x:sheet xmlns:r="http://schemas.openxmlformats.org/officeDocument/2006/relationships" name="Unlock Plan" sheetId="7" r:id="R186ff85176a64aae"/>
    <x:sheet xmlns:r="http://schemas.openxmlformats.org/officeDocument/2006/relationships" name="Tanks &amp; Social" sheetId="8" r:id="R437781a825db406a"/>
    <x:sheet xmlns:r="http://schemas.openxmlformats.org/officeDocument/2006/relationships" name="Onboarding" sheetId="9" r:id="R8440eb98fa5941ae"/>
    <x:sheet xmlns:r="http://schemas.openxmlformats.org/officeDocument/2006/relationships" name="Quests &amp; Live Ops" sheetId="10" r:id="Ra2134a64cc184725"/>
    <x:sheet xmlns:r="http://schemas.openxmlformats.org/officeDocument/2006/relationships" name="Currency Matrix" sheetId="11" r:id="Rea1356285e6046e1"/>
    <x:sheet xmlns:r="http://schemas.openxmlformats.org/officeDocument/2006/relationships" name="Dashboard" sheetId="12" r:id="Ra5ec9a327e284a5c"/>
    <x:sheet xmlns:r="http://schemas.openxmlformats.org/officeDocument/2006/relationships" name="Roadmap" sheetId="13" r:id="Rd6c2604736d6462d"/>
    <x:sheet xmlns:r="http://schemas.openxmlformats.org/officeDocument/2006/relationships" name="Sources" sheetId="14" r:id="Ra3a5900b88a84774"/>
    <x:sheet xmlns:r="http://schemas.openxmlformats.org/officeDocument/2006/relationships" name="Economy Simulation" sheetId="15" r:id="R2389f878ff954b8a"/>
    <x:sheet xmlns:r="http://schemas.openxmlformats.org/officeDocument/2006/relationships" name="Quest Scaling" sheetId="16" r:id="R0745128da2244650"/>
    <x:sheet xmlns:r="http://schemas.openxmlformats.org/officeDocument/2006/relationships" name="Balance Review" sheetId="17" r:id="Rfc7cd5e8d72f4c75"/>
    <x:sheet xmlns:r="http://schemas.openxmlformats.org/officeDocument/2006/relationships" name="Decor Dashboard" sheetId="18" r:id="R40af7b68d50046d9"/>
    <x:sheet xmlns:r="http://schemas.openxmlformats.org/officeDocument/2006/relationships" name="Decor Catalog" sheetId="19" r:id="R4640e252f4dc4466"/>
    <x:sheet xmlns:r="http://schemas.openxmlformats.org/officeDocument/2006/relationships" name="Decor Art Briefs" sheetId="20" r:id="R766f8dc766014398"/>
    <x:sheet xmlns:r="http://schemas.openxmlformats.org/officeDocument/2006/relationships" name="Decor Live Ops" sheetId="21" r:id="Ra6c8d11f4fc444a6"/>
    <x:sheet xmlns:r="http://schemas.openxmlformats.org/officeDocument/2006/relationships" name="Decor Progression" sheetId="22" r:id="Rd2e61f15905f44d3"/>
    <x:sheet xmlns:r="http://schemas.openxmlformats.org/officeDocument/2006/relationships" name="Decor Guide" sheetId="23" r:id="Rc5c0da8077014785"/>
  </x:sheets>
</x:workbook>
</file>

<file path=xl/sharedStrings.xml><?xml version="1.0" encoding="utf-8"?>
<x:sst xmlns:x="http://schemas.openxmlformats.org/spreadsheetml/2006/main">
  <x:si>
    <x:t xml:space="preserve">LEVEL-BY-LEVEL UNLOCK PLAN (static snapshot — re-check after retuning catalogs)</x:t>
  </x:si>
  <x:si>
    <x:t xml:space="preserve">Level</x:t>
  </x:si>
  <x:si>
    <x:t xml:space="preserve">Band</x:t>
  </x:si>
  <x:si>
    <x:t xml:space="preserve">Coin Fish Unlock</x:t>
  </x:si>
  <x:si>
    <x:t xml:space="preserve">Rarity</x:t>
  </x:si>
  <x:si>
    <x:t xml:space="preserve">Growth</x:t>
  </x:si>
  <x:si>
    <x:t xml:space="preserve">Premium Fish Unlock</x:t>
  </x:si>
  <x:si>
    <x:t xml:space="preserve">Tank / Capacity Beat</x:t>
  </x:si>
  <x:si>
    <x:t xml:space="preserve">Decor Theme</x:t>
  </x:si>
  <x:si>
    <x:t xml:space="preserve">Social Beat</x:t>
  </x:si>
  <x:si>
    <x:t xml:space="preserve">Economy Hook</x:t>
  </x:si>
  <x:si>
    <x:t xml:space="preserve">Tutorial</x:t>
  </x:si>
  <x:si>
    <x:t xml:space="preserve">Neon Tetra, Guppy, Platy, Molly</x:t>
  </x:si>
  <x:si>
    <x:t xml:space="preserve">Common</x:t>
  </x:si>
  <x:si>
    <x:t xml:space="preserve">5 min, 4 h, 12 h, 24 h (1 d)</x:t>
  </x:si>
  <x:si>
    <x:t xml:space="preserve">-</x:t>
  </x:si>
  <x:si>
    <x:t xml:space="preserve">Coral</x:t>
  </x:si>
  <x:si>
    <x:t xml:space="preserve">Teach buy-feed-sell loop; fast rewards</x:t>
  </x:si>
  <x:si>
    <x:t xml:space="preserve">Zebra Danio</x:t>
  </x:si>
  <x:si>
    <x:t xml:space="preserve">30 min</x:t>
  </x:si>
  <x:si>
    <x:t xml:space="preserve">Shipwreck</x:t>
  </x:si>
  <x:si>
    <x:t xml:space="preserve">Reward crate + roadmap fish slot</x:t>
  </x:si>
  <x:si>
    <x:t xml:space="preserve">Tropical</x:t>
  </x:si>
  <x:si>
    <x:t xml:space="preserve">Ember Tetra</x:t>
  </x:si>
  <x:si>
    <x:t xml:space="preserve">5 min</x:t>
  </x:si>
  <x:si>
    <x:t xml:space="preserve">Medium Tank 1</x:t>
  </x:si>
  <x:si>
    <x:t xml:space="preserve">Zen</x:t>
  </x:si>
  <x:si>
    <x:t xml:space="preserve">Koi</x:t>
  </x:si>
  <x:si>
    <x:t xml:space="preserve">Ruins</x:t>
  </x:si>
  <x:si>
    <x:t xml:space="preserve">Daily gifting unlocked</x:t>
  </x:si>
  <x:si>
    <x:t xml:space="preserve">Early</x:t>
  </x:si>
  <x:si>
    <x:t xml:space="preserve">Harlequin Rasbora</x:t>
  </x:si>
  <x:si>
    <x:t xml:space="preserve">6 h</x:t>
  </x:si>
  <x:si>
    <x:t xml:space="preserve">Deep Sea</x:t>
  </x:si>
  <x:si>
    <x:t xml:space="preserve">Short-session fish; same-day level-ups</x:t>
  </x:si>
  <x:si>
    <x:t xml:space="preserve">Tank 2 unlock</x:t>
  </x:si>
  <x:si>
    <x:t xml:space="preserve">Fantasy</x:t>
  </x:si>
  <x:si>
    <x:t xml:space="preserve">Green Chromis</x:t>
  </x:si>
  <x:si>
    <x:t xml:space="preserve">Uncommon</x:t>
  </x:si>
  <x:si>
    <x:t xml:space="preserve">16 h</x:t>
  </x:si>
  <x:si>
    <x:t xml:space="preserve">Platinum Betta</x:t>
  </x:si>
  <x:si>
    <x:t xml:space="preserve">Mandarin Dragonet</x:t>
  </x:si>
  <x:si>
    <x:t xml:space="preserve">Large Tank 1</x:t>
  </x:si>
  <x:si>
    <x:t xml:space="preserve">Habit</x:t>
  </x:si>
  <x:si>
    <x:t xml:space="preserve">Pajama Cardinalfish</x:t>
  </x:si>
  <x:si>
    <x:t xml:space="preserve">2 h</x:t>
  </x:si>
  <x:si>
    <x:t xml:space="preserve">Daily-cycle fish; quest habit forming</x:t>
  </x:si>
  <x:si>
    <x:t xml:space="preserve">Pearl Gourami</x:t>
  </x:si>
  <x:si>
    <x:t xml:space="preserve">48 h (2 d)</x:t>
  </x:si>
  <x:si>
    <x:t xml:space="preserve">Axolotl</x:t>
  </x:si>
  <x:si>
    <x:t xml:space="preserve">Friend assist / NPC helper</x:t>
  </x:si>
  <x:si>
    <x:t xml:space="preserve">Medium Tank 2</x:t>
  </x:si>
  <x:si>
    <x:t xml:space="preserve">Sixline Wrasse</x:t>
  </x:si>
  <x:si>
    <x:t xml:space="preserve">Shy Hamlet</x:t>
  </x:si>
  <x:si>
    <x:t xml:space="preserve">4 h</x:t>
  </x:si>
  <x:si>
    <x:t xml:space="preserve">Hawaiian Hogfish</x:t>
  </x:si>
  <x:si>
    <x:t xml:space="preserve">12 h</x:t>
  </x:si>
  <x:si>
    <x:t xml:space="preserve">Flashlight Fish</x:t>
  </x:si>
  <x:si>
    <x:t xml:space="preserve">Tank 3 unlock</x:t>
  </x:si>
  <x:si>
    <x:t xml:space="preserve">Scooter Blenny</x:t>
  </x:si>
  <x:si>
    <x:t xml:space="preserve">24 h (1 d)</x:t>
  </x:si>
  <x:si>
    <x:t xml:space="preserve">Gift variety upgrade</x:t>
  </x:si>
  <x:si>
    <x:t xml:space="preserve">Large Tank 2</x:t>
  </x:si>
  <x:si>
    <x:t xml:space="preserve">Ocellaris Clownfish</x:t>
  </x:si>
  <x:si>
    <x:t xml:space="preserve">Golden Arowana</x:t>
  </x:si>
  <x:si>
    <x:t xml:space="preserve">Mid</x:t>
  </x:si>
  <x:si>
    <x:t xml:space="preserve">Rare tier opens; tank expansion focus</x:t>
  </x:si>
  <x:si>
    <x:t xml:space="preserve">Yellow Tang</x:t>
  </x:si>
  <x:si>
    <x:t xml:space="preserve">Rare</x:t>
  </x:si>
  <x:si>
    <x:t xml:space="preserve">20 h</x:t>
  </x:si>
  <x:si>
    <x:t xml:space="preserve">Medium Tank 3</x:t>
  </x:si>
  <x:si>
    <x:t xml:space="preserve">Banggai Cardinalfish</x:t>
  </x:si>
  <x:si>
    <x:t xml:space="preserve">Peppermint Angelfish</x:t>
  </x:si>
  <x:si>
    <x:t xml:space="preserve">Tank 4 unlock</x:t>
  </x:si>
  <x:si>
    <x:t xml:space="preserve">Coral Beauty</x:t>
  </x:si>
  <x:si>
    <x:t xml:space="preserve">Neighbor fish preview</x:t>
  </x:si>
  <x:si>
    <x:t xml:space="preserve">Large Tank 3</x:t>
  </x:si>
  <x:si>
    <x:t xml:space="preserve">Flame Angelfish</x:t>
  </x:si>
  <x:si>
    <x:t xml:space="preserve">Longhorn Cowfish</x:t>
  </x:si>
  <x:si>
    <x:t xml:space="preserve">Medium Tank 4</x:t>
  </x:si>
  <x:si>
    <x:t xml:space="preserve">Foxface Rabbitfish</x:t>
  </x:si>
  <x:si>
    <x:t xml:space="preserve">Picasso Triggerfish</x:t>
  </x:si>
  <x:si>
    <x:t xml:space="preserve">Tank 5 unlock</x:t>
  </x:si>
  <x:si>
    <x:t xml:space="preserve">Discus</x:t>
  </x:si>
  <x:si>
    <x:t xml:space="preserve">36 h (1.5 d)</x:t>
  </x:si>
  <x:si>
    <x:t xml:space="preserve">Black Diamond Stingray</x:t>
  </x:si>
  <x:si>
    <x:t xml:space="preserve">Advanced</x:t>
  </x:si>
  <x:si>
    <x:t xml:space="preserve">Moorish Idol</x:t>
  </x:si>
  <x:si>
    <x:t xml:space="preserve">Epic</x:t>
  </x:si>
  <x:si>
    <x:t xml:space="preserve">Co-op tank visits</x:t>
  </x:si>
  <x:si>
    <x:t xml:space="preserve">Epic tier; overnight planning + collections</x:t>
  </x:si>
  <x:si>
    <x:t xml:space="preserve">Large Tank 4</x:t>
  </x:si>
  <x:si>
    <x:t xml:space="preserve">Blueline Triggerfish</x:t>
  </x:si>
  <x:si>
    <x:t xml:space="preserve">5 h</x:t>
  </x:si>
  <x:si>
    <x:t xml:space="preserve">Queen Angelfish</x:t>
  </x:si>
  <x:si>
    <x:t xml:space="preserve">Platinum Arowana</x:t>
  </x:si>
  <x:si>
    <x:t xml:space="preserve">Medium Tank 5</x:t>
  </x:si>
  <x:si>
    <x:t xml:space="preserve">LAUNCH CAP: Level 40. Levels 41-70 ship via post-launch waves - see the Roadmap sheet. Fishless levels above are pre-wired slots for Content Refresh fish.</x:t>
  </x:si>
  <x:si>
    <x:t xml:space="preserve">FIRST-SESSION ONBOARDING — player reaches Level 2 by the end</x:t>
  </x:si>
  <x:si>
    <x:t xml:space="preserve">Step</x:t>
  </x:si>
  <x:si>
    <x:t xml:space="preserve">Moment</x:t>
  </x:si>
  <x:si>
    <x:t xml:space="preserve">Player Action</x:t>
  </x:si>
  <x:si>
    <x:t xml:space="preserve">Design Purpose</x:t>
  </x:si>
  <x:si>
    <x:t xml:space="preserve">Reward</x:t>
  </x:si>
  <x:si>
    <x:t xml:space="preserve">Tutorial Gate</x:t>
  </x:si>
  <x:si>
    <x:t xml:space="preserve">Primary Metric</x:t>
  </x:si>
  <x:si>
    <x:t xml:space="preserve">Choose tank look</x:t>
  </x:si>
  <x:si>
    <x:t xml:space="preserve">Pick background and gravel</x:t>
  </x:si>
  <x:si>
    <x:t xml:space="preserve">Personalizes the first tank; reduces blank-screen anxiety</x:t>
  </x:si>
  <x:si>
    <x:t xml:space="preserve">4 starter fish placed</x:t>
  </x:si>
  <x:si>
    <x:t xml:space="preserve">Store disabled until choice</x:t>
  </x:si>
  <x:si>
    <x:t xml:space="preserve">Start-to-choice completion</x:t>
  </x:si>
  <x:si>
    <x:t xml:space="preserve">Meet fish</x:t>
  </x:si>
  <x:si>
    <x:t xml:space="preserve">Tap each starter fish</x:t>
  </x:si>
  <x:si>
    <x:t xml:space="preserve">Shows names, hunger bars, growth timers</x:t>
  </x:si>
  <x:si>
    <x:t xml:space="preserve">20 XP</x:t>
  </x:si>
  <x:si>
    <x:t xml:space="preserve">Highlight fish one at a time</x:t>
  </x:si>
  <x:si>
    <x:t xml:space="preserve">Tap comprehension</x:t>
  </x:si>
  <x:si>
    <x:t xml:space="preserve">Feed</x:t>
  </x:si>
  <x:si>
    <x:t xml:space="preserve">Feed all fish</x:t>
  </x:si>
  <x:si>
    <x:t xml:space="preserve">Feeding prevents sickness and advances growth</x:t>
  </x:si>
  <x:si>
    <x:t xml:space="preserve">25 XP</x:t>
  </x:si>
  <x:si>
    <x:t xml:space="preserve">Only Feed button active</x:t>
  </x:si>
  <x:si>
    <x:t xml:space="preserve">Feed-all completion</x:t>
  </x:si>
  <x:si>
    <x:t xml:space="preserve">Buy fish</x:t>
  </x:si>
  <x:si>
    <x:t xml:space="preserve">Open Store, buy Neon Tetra</x:t>
  </x:si>
  <x:si>
    <x:t xml:space="preserve">Teaches coin sink + purchase XP</x:t>
  </x:si>
  <x:si>
    <x:t xml:space="preserve">Purchase XP</x:t>
  </x:si>
  <x:si>
    <x:t xml:space="preserve">One fish card enabled</x:t>
  </x:si>
  <x:si>
    <x:t xml:space="preserve">First purchase</x:t>
  </x:si>
  <x:si>
    <x:t xml:space="preserve">Place fish</x:t>
  </x:si>
  <x:si>
    <x:t xml:space="preserve">Place into open slot</x:t>
  </x:si>
  <x:si>
    <x:t xml:space="preserve">Connects catalog to tank capacity</x:t>
  </x:si>
  <x:si>
    <x:t xml:space="preserve">10 XP</x:t>
  </x:si>
  <x:si>
    <x:t xml:space="preserve">Highlight empty slot</x:t>
  </x:si>
  <x:si>
    <x:t xml:space="preserve">Placement success</x:t>
  </x:si>
  <x:si>
    <x:t xml:space="preserve">Speed demo</x:t>
  </x:si>
  <x:si>
    <x:t xml:space="preserve">Free tutorial instant-grow on one fish</x:t>
  </x:si>
  <x:si>
    <x:t xml:space="preserve">Demonstrates real-time growth without waiting</x:t>
  </x:si>
  <x:si>
    <x:t xml:space="preserve">No pearl cost</x:t>
  </x:si>
  <x:si>
    <x:t xml:space="preserve">Tutorial consumable only</x:t>
  </x:si>
  <x:si>
    <x:t xml:space="preserve">Understood grow cycle</x:t>
  </x:si>
  <x:si>
    <x:t xml:space="preserve">Sell Junior</x:t>
  </x:si>
  <x:si>
    <x:t xml:space="preserve">Sell the Junior fish</x:t>
  </x:si>
  <x:si>
    <x:t xml:space="preserve">Coins + XP reward; reinvestment loop</x:t>
  </x:si>
  <x:si>
    <x:t xml:space="preserve">Coins + XP</x:t>
  </x:si>
  <x:si>
    <x:t xml:space="preserve">Before/after wallet shown</x:t>
  </x:si>
  <x:si>
    <x:t xml:space="preserve">First sale</x:t>
  </x:si>
  <x:si>
    <x:t xml:space="preserve">Decorate</x:t>
  </x:si>
  <x:si>
    <x:t xml:space="preserve">First decoration</x:t>
  </x:si>
  <x:si>
    <x:t xml:space="preserve">Level up</x:t>
  </x:si>
  <x:si>
    <x:t xml:space="preserve">Claim Level 2 reward</x:t>
  </x:si>
  <x:si>
    <x:t xml:space="preserve">Connects XP to unlocks; shows next fish</x:t>
  </x:si>
  <x:si>
    <x:t xml:space="preserve">Coins, 1 Pearl, new fish</x:t>
  </x:si>
  <x:si>
    <x:t xml:space="preserve">Level-up modal</x:t>
  </x:si>
  <x:si>
    <x:t xml:space="preserve">Reached Level 2</x:t>
  </x:si>
  <x:si>
    <x:t xml:space="preserve">Quest</x:t>
  </x:si>
  <x:si>
    <x:t xml:space="preserve">Claim first quest; view Daily Quests</x:t>
  </x:si>
  <x:si>
    <x:t xml:space="preserve">Turns loop into directed goals</x:t>
  </x:si>
  <x:si>
    <x:t xml:space="preserve">Daily quest XP/coins</x:t>
  </x:si>
  <x:si>
    <x:t xml:space="preserve">Quest panel pulse</x:t>
  </x:si>
  <x:si>
    <x:t xml:space="preserve">Quest claim rate</x:t>
  </x:si>
  <x:si>
    <x:t xml:space="preserve">Social gift</x:t>
  </x:si>
  <x:si>
    <x:t xml:space="preserve">Send a free gift (NPC friend if none)</x:t>
  </x:si>
  <x:si>
    <x:t xml:space="preserve">Shows social loop, solo-completable</x:t>
  </x:si>
  <x:si>
    <x:t xml:space="preserve">Gift Box item</x:t>
  </x:si>
  <x:si>
    <x:t xml:space="preserve">NPC fallback</x:t>
  </x:si>
  <x:si>
    <x:t xml:space="preserve">Gift accept/send</x:t>
  </x:si>
  <x:si>
    <x:t xml:space="preserve">Return timer</x:t>
  </x:si>
  <x:si>
    <x:t xml:space="preserve">See next feed deadline / set reminder</x:t>
  </x:si>
  <x:si>
    <x:t xml:space="preserve">Converts real-time system into retention</x:t>
  </x:si>
  <x:si>
    <x:t xml:space="preserve">Starter egg in 24h</x:t>
  </x:si>
  <x:si>
    <x:t xml:space="preserve">End tutorial</x:t>
  </x:si>
  <x:si>
    <x:t xml:space="preserve">D1 return</x:t>
  </x:si>
  <x:si>
    <x:t xml:space="preserve">SOURCE REGISTER</x:t>
  </x:si>
  <x:si>
    <x:t xml:space="preserve">ID</x:t>
  </x:si>
  <x:si>
    <x:t xml:space="preserve">Source</x:t>
  </x:si>
  <x:si>
    <x:t xml:space="preserve">URL</x:t>
  </x:si>
  <x:si>
    <x:t xml:space="preserve">Used For</x:t>
  </x:si>
  <x:si>
    <x:t xml:space="preserve">S1</x:t>
  </x:si>
  <x:si>
    <x:t xml:space="preserve">FishVille Wiki - Fish</x:t>
  </x:si>
  <x:si>
    <x:t xml:space="preserve">https://fishville.fandom.com/wiki/Fish</x:t>
  </x:si>
  <x:si>
    <x:t xml:space="preserve">Lifecycle, growth periods, feed deadlines, Junior/Adult timing, fish examples</x:t>
  </x:si>
  <x:si>
    <x:t xml:space="preserve">S2</x:t>
  </x:si>
  <x:si>
    <x:t xml:space="preserve">FishVille Wiki - Level</x:t>
  </x:si>
  <x:si>
    <x:t xml:space="preserve">https://fishville.fandom.com/wiki/Level</x:t>
  </x:si>
  <x:si>
    <x:t xml:space="preserve">Reference XP table and level-gated unlocks to L70</x:t>
  </x:si>
  <x:si>
    <x:t xml:space="preserve">S3</x:t>
  </x:si>
  <x:si>
    <x:t xml:space="preserve">FishVille Wiki - Experience</x:t>
  </x:si>
  <x:si>
    <x:t xml:space="preserve">https://fishville.fandom.com/wiki/Experience</x:t>
  </x:si>
  <x:si>
    <x:t xml:space="preserve">XP sources and formulas L6-70</x:t>
  </x:si>
  <x:si>
    <x:t xml:space="preserve">S4</x:t>
  </x:si>
  <x:si>
    <x:t xml:space="preserve">FishVille Wiki - Coins</x:t>
  </x:si>
  <x:si>
    <x:t xml:space="preserve">https://fishville.fandom.com/wiki/Coins</x:t>
  </x:si>
  <x:si>
    <x:t xml:space="preserve">Soft currency sources/sinks</x:t>
  </x:si>
  <x:si>
    <x:t xml:space="preserve">S5</x:t>
  </x:si>
  <x:si>
    <x:t xml:space="preserve">FishVille Wiki - Sand Dollars</x:t>
  </x:si>
  <x:si>
    <x:t xml:space="preserve">https://fishville.fandom.com/wiki/Sand_Dollars</x:t>
  </x:si>
  <x:si>
    <x:t xml:space="preserve">Premium currency role</x:t>
  </x:si>
  <x:si>
    <x:t xml:space="preserve">S6</x:t>
  </x:si>
  <x:si>
    <x:t xml:space="preserve">FishVille Wiki - Store</x:t>
  </x:si>
  <x:si>
    <x:t xml:space="preserve">https://fishville.fandom.com/wiki/Store</x:t>
  </x:si>
  <x:si>
    <x:t xml:space="preserve">Store categories, level gating</x:t>
  </x:si>
  <x:si>
    <x:t xml:space="preserve">S7</x:t>
  </x:si>
  <x:si>
    <x:t xml:space="preserve">FishVille Wiki - Tank</x:t>
  </x:si>
  <x:si>
    <x:t xml:space="preserve">https://fishville.fandom.com/wiki/Tank</x:t>
  </x:si>
  <x:si>
    <x:t xml:space="preserve">Tank capacity/expansion (page flags data issues)</x:t>
  </x:si>
  <x:si>
    <x:t xml:space="preserve">S8</x:t>
  </x:si>
  <x:si>
    <x:t xml:space="preserve">FishVille Wiki - Gift</x:t>
  </x:si>
  <x:si>
    <x:t xml:space="preserve">https://fishville.fandom.com/wiki/Gift</x:t>
  </x:si>
  <x:si>
    <x:t xml:space="preserve">Free gifts, Gift Store, daily gifting</x:t>
  </x:si>
  <x:si>
    <x:t xml:space="preserve">S9</x:t>
  </x:si>
  <x:si>
    <x:t xml:space="preserve">FishVille Wiki - Decoration</x:t>
  </x:si>
  <x:si>
    <x:t xml:space="preserve">https://fishville.fandom.com/wiki/Decoration</x:t>
  </x:si>
  <x:si>
    <x:t xml:space="preserve">Decorations grant XP on purchase</x:t>
  </x:si>
  <x:si>
    <x:t xml:space="preserve">S10</x:t>
  </x:si>
  <x:si>
    <x:t xml:space="preserve">FishVille Wiki - Plant</x:t>
  </x:si>
  <x:si>
    <x:t xml:space="preserve">https://fishville.fandom.com/wiki/Plant</x:t>
  </x:si>
  <x:si>
    <x:t xml:space="preserve">Plants grant XP on purchase</x:t>
  </x:si>
  <x:si>
    <x:t xml:space="preserve">S11</x:t>
  </x:si>
  <x:si>
    <x:t xml:space="preserve">FishVille Wiki - Neighbour Fish</x:t>
  </x:si>
  <x:si>
    <x:t xml:space="preserve">https://fishville.fandom.com/wiki/Neighbour_Fish</x:t>
  </x:si>
  <x:si>
    <x:t xml:space="preserve">Friend-gated coin fish</x:t>
  </x:si>
  <x:si>
    <x:t xml:space="preserve">S12</x:t>
  </x:si>
  <x:si>
    <x:t xml:space="preserve">FishVille Wiki - FishVille</x:t>
  </x:si>
  <x:si>
    <x:t xml:space="preserve">https://fishville.fandom.com/wiki/FishVille</x:t>
  </x:si>
  <x:si>
    <x:t xml:space="preserve">High-level premise; closure</x:t>
  </x:si>
  <x:si>
    <x:t xml:space="preserve">S13</x:t>
  </x:si>
  <x:si>
    <x:t xml:space="preserve">Wikipedia - FishVille</x:t>
  </x:si>
  <x:si>
    <x:t xml:space="preserve">https://en.wikipedia.org/wiki/FishVille</x:t>
  </x:si>
  <x:si>
    <x:t xml:space="preserve">Independent overview: onboarding, starter fish, selling</x:t>
  </x:si>
  <x:si>
    <x:t xml:space="preserve">S14</x:t>
  </x:si>
  <x:si>
    <x:t xml:space="preserve">FishVille Strategy blog</x:t>
  </x:si>
  <x:si>
    <x:t xml:space="preserve">https://fishville.wordpress.com/2009/11/11/fishville-strategy-purchasing-fish/</x:t>
  </x:si>
  <x:si>
    <x:t xml:space="preserve">Growth-time examples (Mini Dart Goby 5m, Shy Hamlet 4h, Hogfish 12h, Scooter Blenny 24h); Sand Dollar fish</x:t>
  </x:si>
  <x:si>
    <x:t xml:space="preserve">S15</x:t>
  </x:si>
  <x:si>
    <x:t xml:space="preserve">Adam Nash - FishVille Economics pt 1</x:t>
  </x:si>
  <x:si>
    <x:t xml:space="preserve">https://adamnash.blog/2009/11/12/fishville-economics-points-experience-levels/</x:t>
  </x:si>
  <x:si>
    <x:t xml:space="preserve">Buy-XP + sell-XP dual-award pattern; coins/XP per hour framing</x:t>
  </x:si>
  <x:si>
    <x:t xml:space="preserve">S16</x:t>
  </x:si>
  <x:si>
    <x:t xml:space="preserve">Adam Nash - FishVille Economics pt 3</x:t>
  </x:si>
  <x:si>
    <x:t xml:space="preserve">https://adamnash.blog/2009/12/24/fishville-economics-points-experience-levels-part-3/</x:t>
  </x:si>
  <x:si>
    <x:t xml:space="preserve">Sell-XP = 3x/4x/9x buy-XP by growth time; Sand Dollar fish economics</x:t>
  </x:si>
  <x:si>
    <x:t xml:space="preserve">S17</x:t>
  </x:si>
  <x:si>
    <x:t xml:space="preserve">Gamezebo FishVille Walkthrough</x:t>
  </x:si>
  <x:si>
    <x:t xml:space="preserve">https://www.gamezebo.com/walkthroughs/fishville-walkthrough/</x:t>
  </x:si>
  <x:si>
    <x:t xml:space="preserve">Starting resources, fast-fish strategy, neighbor visit rewards</x:t>
  </x:si>
</x:sst>
</file>

<file path=xl/styles.xml><?xml version="1.0" encoding="utf-8"?>
<x:styleSheet xmlns:x="http://schemas.openxmlformats.org/spreadsheetml/2006/main">
  <x:numFmts count="13">
    <x:numFmt numFmtId="164" formatCode="General"/>
    <x:numFmt numFmtId="165" formatCode="#,##0"/>
    <x:numFmt numFmtId="166" formatCode="0"/>
    <x:numFmt numFmtId="167" formatCode="0.00"/>
    <x:numFmt numFmtId="168" formatCode="0.0"/>
    <x:numFmt numFmtId="169" formatCode="#,##0.0"/>
    <x:numFmt numFmtId="200" formatCode="0.###"/>
    <x:numFmt numFmtId="201" formatCode="0%"/>
    <x:numFmt numFmtId="202" formatCode="#,##0&quot; Coins&quot;"/>
    <x:numFmt numFmtId="203" formatCode="0&quot; Pearls&quot;"/>
    <x:numFmt numFmtId="204" formatCode="#,##0&quot; Pearls&quot;"/>
    <x:numFmt numFmtId="205" formatCode="#,##0&quot; XP&quot;"/>
    <x:numFmt numFmtId="206" formatCode="0.0#"/>
  </x:numFmts>
  <x:fonts count="22">
    <x:font>
      <x:sz val="11"/>
      <x:color theme="1"/>
      <x:name val="Calibri"/>
    </x:font>
    <x:font>
      <x:sz val="10"/>
      <x:name val="Arial"/>
    </x:font>
    <x:font>
      <x:sz val="10"/>
      <x:name val="Arial"/>
    </x:font>
    <x:font>
      <x:sz val="10"/>
      <x:name val="Arial"/>
    </x:font>
    <x:font>
      <x:b/>
      <x:sz val="14"/>
      <x:color rgb="FF1F4E79"/>
      <x:name val="Arial"/>
    </x:font>
    <x:font>
      <x:sz val="10"/>
      <x:name val="Arial"/>
    </x:font>
    <x:font>
      <x:b/>
      <x:sz val="11"/>
      <x:color rgb="FF1F4E79"/>
      <x:name val="Arial"/>
    </x:font>
    <x:font>
      <x:sz val="10"/>
      <x:color rgb="FF0000FF"/>
      <x:name val="Arial"/>
    </x:font>
    <x:font>
      <x:b/>
      <x:sz val="10"/>
      <x:color rgb="FFFFFFFF"/>
      <x:name val="Arial"/>
    </x:font>
    <x:font>
      <x:b/>
      <x:sz val="14"/>
      <x:color rgb="FFFFFFFF"/>
      <x:name val="Calibri"/>
    </x:font>
    <x:font>
      <x:b/>
      <x:sz val="11"/>
      <x:color rgb="FFFFFFFF"/>
      <x:name val="Calibri"/>
    </x:font>
    <x:font>
      <x:b/>
      <x:sz val="11"/>
      <x:color rgb="FF0B1F2A"/>
      <x:name val="Calibri"/>
    </x:font>
    <x:font>
      <x:b/>
      <x:sz val="16"/>
      <x:color rgb="FFFFFFFF"/>
      <x:name val="Calibri"/>
    </x:font>
    <x:font>
      <x:sz val="11"/>
      <x:color rgb="FF587278"/>
      <x:name val="Calibri"/>
    </x:font>
    <x:font>
      <x:sz val="11"/>
      <x:color rgb="FF183C43"/>
      <x:name val="Calibri"/>
    </x:font>
    <x:font>
      <x:b/>
      <x:sz val="11"/>
      <x:color rgb="FF134E4A"/>
      <x:name val="Calibri"/>
    </x:font>
    <x:font>
      <x:b/>
      <x:sz val="12"/>
      <x:color rgb="FFFFFFFF"/>
      <x:name val="Calibri"/>
    </x:font>
    <x:font>
      <x:b/>
      <x:sz val="11"/>
      <x:color rgb="FF183C43"/>
      <x:name val="Calibri"/>
    </x:font>
    <x:font>
      <x:b/>
      <x:sz val="17"/>
      <x:color rgb="FFFFFFFF"/>
      <x:name val="Calibri"/>
    </x:font>
    <x:font>
      <x:b/>
      <x:sz val="10"/>
      <x:color rgb="FFFFFFFF"/>
      <x:name val="Calibri"/>
    </x:font>
    <x:font>
      <x:b/>
      <x:sz val="27"/>
      <x:color rgb="FF134E4A"/>
      <x:name val="Calibri"/>
    </x:font>
    <x:font>
      <x:b/>
      <x:sz val="14"/>
      <x:color rgb="FF0F766E"/>
      <x:name val="Calibri"/>
    </x:font>
  </x:fonts>
  <x:fills count="18">
    <x:fill>
      <x:patternFill patternType="none"/>
    </x:fill>
    <x:fill>
      <x:patternFill patternType="gray125"/>
    </x:fill>
    <x:fill>
      <x:patternFill patternType="solid">
        <x:fgColor rgb="FFFFFF00"/>
      </x:patternFill>
    </x:fill>
    <x:fill>
      <x:patternFill patternType="solid">
        <x:fgColor rgb="FF1F4E79"/>
      </x:patternFill>
    </x:fill>
    <x:fill>
      <x:patternFill patternType="solid">
        <x:fgColor rgb="FFD9D9D9"/>
      </x:patternFill>
    </x:fill>
    <x:fill>
      <x:patternFill patternType="solid">
        <x:fgColor rgb="FFC6EFCE"/>
      </x:patternFill>
    </x:fill>
    <x:fill>
      <x:patternFill patternType="solid">
        <x:fgColor rgb="FFBDD7EE"/>
      </x:patternFill>
    </x:fill>
    <x:fill>
      <x:patternFill patternType="solid">
        <x:fgColor rgb="FFE1CCF0"/>
      </x:patternFill>
    </x:fill>
    <x:fill>
      <x:patternFill patternType="solid">
        <x:fgColor rgb="FFFFD966"/>
      </x:patternFill>
    </x:fill>
    <x:fill>
      <x:patternFill patternType="solid">
        <x:fgColor rgb="FFF8CBAD"/>
      </x:patternFill>
    </x:fill>
    <x:fill>
      <x:patternFill patternType="solid">
        <x:fgColor rgb="FFFFE699"/>
      </x:patternFill>
    </x:fill>
    <x:fill>
      <x:patternFill patternType="solid">
        <x:fgColor rgb="FF0B1F2A"/>
      </x:patternFill>
    </x:fill>
    <x:fill>
      <x:patternFill patternType="solid">
        <x:fgColor rgb="FF0F766E"/>
      </x:patternFill>
    </x:fill>
    <x:fill>
      <x:patternFill patternType="solid">
        <x:fgColor rgb="FFDBEAFE"/>
      </x:patternFill>
    </x:fill>
    <x:fill>
      <x:patternFill patternType="solid">
        <x:fgColor rgb="FF0F766E"/>
      </x:patternFill>
    </x:fill>
    <x:fill>
      <x:patternFill patternType="solid">
        <x:fgColor rgb="FFFFF4CC"/>
      </x:patternFill>
    </x:fill>
    <x:fill>
      <x:patternFill patternType="solid">
        <x:fgColor rgb="FFE8F1FB"/>
      </x:patternFill>
    </x:fill>
    <x:fill>
      <x:patternFill patternType="solid">
        <x:fgColor rgb="FFF0FDFA"/>
      </x:patternFill>
    </x:fill>
  </x:fills>
  <x:borders count="4">
    <x:border diagonalUp="0" diagonalDown="0"/>
    <x:border diagonalUp="0" diagonalDown="0">
      <x:left style="thin">
        <x:color rgb="FFBFBFBF"/>
      </x:left>
      <x:right style="thin">
        <x:color rgb="FFBFBFBF"/>
      </x:right>
      <x:top style="thin">
        <x:color rgb="FFBFBFBF"/>
      </x:top>
      <x:bottom style="thin">
        <x:color rgb="FFBFBFBF"/>
      </x:bottom>
    </x:border>
    <x:border diagonalUp="0" diagonalDown="0"/>
    <x:border diagonalUp="0" diagonalDown="0">
      <x:left style="thin">
        <x:color rgb="FFBFBFBF"/>
      </x:left>
      <x:right style="thin">
        <x:color rgb="FFBFBFBF"/>
      </x:right>
      <x:top style="thin">
        <x:color rgb="FFBFBFBF"/>
      </x:top>
      <x:bottom style="thin">
        <x:color rgb="FFBFBFBF"/>
      </x:bottom>
    </x:border>
  </x:borders>
  <x:cellStyleXfs count="20">
    <x:xf numFmtId="164" fontId="0" fillId="0" borderId="0" applyFont="1" applyBorder="1" applyAlignment="1" applyProtection="1">
      <x:alignment horizontal="general" vertical="bottom" wrapText="0" shrinkToFit="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cellStyleXfs>
  <x:cellXfs count="239">
    <x:xf numFmtId="164" fontId="0" fillId="0" borderId="0" xfId="0" applyFont="0" applyBorder="0" applyAlignment="0">
      <x:alignment horizontal="general" vertical="bottom" wrapText="0"/>
    </x:xf>
    <x:xf numFmtId="164" fontId="4" fillId="0" borderId="0" xfId="0" applyFont="1" applyBorder="0" applyAlignment="1">
      <x:alignment horizontal="general" vertical="top" wrapText="1"/>
    </x:xf>
    <x:xf numFmtId="164" fontId="5" fillId="0" borderId="0" xfId="0" applyFont="1" applyBorder="0" applyAlignment="1">
      <x:alignment horizontal="general" vertical="top" wrapText="1"/>
    </x:xf>
    <x:xf numFmtId="164" fontId="6" fillId="0" borderId="0" xfId="0" applyFont="1" applyBorder="0" applyAlignment="1">
      <x:alignment horizontal="general" vertical="top" wrapText="1"/>
    </x:xf>
    <x:xf numFmtId="164" fontId="4" fillId="0" borderId="0" xfId="0" applyFont="1" applyBorder="0" applyAlignment="0">
      <x:alignment horizontal="general" vertical="bottom" wrapText="0"/>
    </x:xf>
    <x:xf numFmtId="164" fontId="6" fillId="0" borderId="0" xfId="0" applyFont="1" applyBorder="0" applyAlignment="0">
      <x:alignment horizontal="general" vertical="bottom" wrapText="0"/>
    </x:xf>
    <x:xf numFmtId="164" fontId="5" fillId="0" borderId="0" xfId="0" applyFont="1" applyBorder="0" applyAlignment="0">
      <x:alignment horizontal="general" vertical="bottom" wrapText="0"/>
    </x:xf>
    <x:xf numFmtId="164" fontId="7" fillId="2" borderId="1" xfId="0" applyFont="1" applyBorder="1" applyAlignment="0">
      <x:alignment horizontal="general" vertical="bottom" wrapText="0"/>
    </x:xf>
    <x:xf numFmtId="165" fontId="7" fillId="2" borderId="1" xfId="0" applyFont="1" applyBorder="1" applyAlignment="0">
      <x:alignment horizontal="general" vertical="bottom" wrapText="0"/>
    </x:xf>
    <x:xf numFmtId="166" fontId="7" fillId="2" borderId="1" xfId="0" applyFont="1" applyBorder="1" applyAlignment="0">
      <x:alignment horizontal="general" vertical="bottom" wrapText="0"/>
    </x:xf>
    <x:xf numFmtId="167" fontId="7" fillId="2" borderId="1" xfId="0" applyFont="1" applyBorder="1" applyAlignment="0">
      <x:alignment horizontal="general" vertical="bottom" wrapText="0"/>
    </x:xf>
    <x:xf numFmtId="164" fontId="8" fillId="3" borderId="1" xfId="0" applyFont="1" applyBorder="1" applyAlignment="0">
      <x:alignment horizontal="general" vertical="bottom" wrapText="0"/>
    </x:xf>
    <x:xf numFmtId="168" fontId="7" fillId="0" borderId="1" xfId="0" applyFont="1" applyBorder="1" applyAlignment="0">
      <x:alignment horizontal="general" vertical="bottom" wrapText="0"/>
    </x:xf>
    <x:xf numFmtId="164" fontId="5" fillId="0" borderId="1" xfId="0" applyFont="1" applyBorder="1" applyAlignment="0">
      <x:alignment horizontal="general" vertical="bottom" wrapText="0"/>
    </x:xf>
    <x:xf numFmtId="168" fontId="7" fillId="2" borderId="1" xfId="0" applyFont="1" applyBorder="1" applyAlignment="0">
      <x:alignment horizontal="general" vertical="bottom" wrapText="0"/>
    </x:xf>
    <x:xf numFmtId="164" fontId="5" fillId="4" borderId="1" xfId="0" applyFont="1" applyBorder="1" applyAlignment="0">
      <x:alignment horizontal="general" vertical="bottom" wrapText="0"/>
    </x:xf>
    <x:xf numFmtId="164" fontId="5" fillId="5" borderId="1" xfId="0" applyFont="1" applyBorder="1" applyAlignment="0">
      <x:alignment horizontal="general" vertical="bottom" wrapText="0"/>
    </x:xf>
    <x:xf numFmtId="164" fontId="5" fillId="6" borderId="1" xfId="0" applyFont="1" applyBorder="1" applyAlignment="0">
      <x:alignment horizontal="general" vertical="bottom" wrapText="0"/>
    </x:xf>
    <x:xf numFmtId="164" fontId="5" fillId="7" borderId="1" xfId="0" applyFont="1" applyBorder="1" applyAlignment="0">
      <x:alignment horizontal="general" vertical="bottom" wrapText="0"/>
    </x:xf>
    <x:xf numFmtId="164" fontId="5" fillId="8" borderId="1" xfId="0" applyFont="1" applyBorder="1" applyAlignment="0">
      <x:alignment horizontal="general" vertical="bottom" wrapText="0"/>
    </x:xf>
    <x:xf numFmtId="164" fontId="5" fillId="9" borderId="1" xfId="0" applyFont="1" applyBorder="1" applyAlignment="0">
      <x:alignment horizontal="general" vertical="bottom" wrapText="0"/>
    </x:xf>
    <x:xf numFmtId="164" fontId="5" fillId="10" borderId="1" xfId="0" applyFont="1" applyBorder="1" applyAlignment="0">
      <x:alignment horizontal="general" vertical="bottom" wrapText="0"/>
    </x:xf>
    <x:xf numFmtId="164" fontId="8" fillId="3" borderId="1" xfId="0" applyFont="1" applyBorder="1" applyAlignment="1">
      <x:alignment horizontal="center" vertical="center" wrapText="1"/>
    </x:xf>
    <x:xf numFmtId="166" fontId="5" fillId="0" borderId="1" xfId="0" applyFont="1" applyBorder="1" applyAlignment="0">
      <x:alignment horizontal="general" vertical="bottom" wrapText="0"/>
    </x:xf>
    <x:xf numFmtId="165" fontId="5" fillId="0" borderId="1" xfId="0" applyFont="1" applyBorder="1" applyAlignment="0">
      <x:alignment horizontal="general" vertical="bottom" wrapText="0"/>
    </x:xf>
    <x:xf numFmtId="167" fontId="5" fillId="0" borderId="1" xfId="0" applyFont="1" applyBorder="1" applyAlignment="0">
      <x:alignment horizontal="general" vertical="bottom" wrapText="0"/>
    </x:xf>
    <x:xf numFmtId="164" fontId="5" fillId="0" borderId="1" xfId="0" applyFont="1" applyBorder="1" applyAlignment="1">
      <x:alignment horizontal="general" vertical="top" wrapText="1"/>
    </x:xf>
    <x:xf numFmtId="164" fontId="7" fillId="0" borderId="1" xfId="0" applyFont="1" applyBorder="1" applyAlignment="0">
      <x:alignment horizontal="general" vertical="bottom" wrapText="0"/>
    </x:xf>
    <x:xf numFmtId="164" fontId="7" fillId="4" borderId="1" xfId="0" applyFont="1" applyBorder="1" applyAlignment="0">
      <x:alignment horizontal="general" vertical="bottom" wrapText="0"/>
    </x:xf>
    <x:xf numFmtId="166" fontId="7" fillId="0" borderId="1" xfId="0" applyFont="1" applyBorder="1" applyAlignment="0">
      <x:alignment horizontal="general" vertical="bottom" wrapText="0"/>
    </x:xf>
    <x:xf numFmtId="165" fontId="7" fillId="0" borderId="1" xfId="0" applyFont="1" applyBorder="1" applyAlignment="0">
      <x:alignment horizontal="general" vertical="bottom" wrapText="0"/>
    </x:xf>
    <x:xf numFmtId="167" fontId="7" fillId="0" borderId="1" xfId="0" applyFont="1" applyBorder="1" applyAlignment="0">
      <x:alignment horizontal="general" vertical="bottom" wrapText="0"/>
    </x:xf>
    <x:xf numFmtId="168" fontId="5" fillId="0" borderId="1" xfId="0" applyFont="1" applyBorder="1" applyAlignment="0">
      <x:alignment horizontal="general" vertical="bottom" wrapText="0"/>
    </x:xf>
    <x:xf numFmtId="169" fontId="5" fillId="0" borderId="1" xfId="0" applyFont="1" applyBorder="1" applyAlignment="0">
      <x:alignment horizontal="general" vertical="bottom" wrapText="0"/>
    </x:xf>
    <x:xf numFmtId="164" fontId="7" fillId="5" borderId="1" xfId="0" applyFont="1" applyBorder="1" applyAlignment="0">
      <x:alignment horizontal="general" vertical="bottom" wrapText="0"/>
    </x:xf>
    <x:xf numFmtId="164" fontId="7" fillId="6" borderId="1" xfId="0" applyFont="1" applyBorder="1" applyAlignment="0">
      <x:alignment horizontal="general" vertical="bottom" wrapText="0"/>
    </x:xf>
    <x:xf numFmtId="164" fontId="7" fillId="7" borderId="1" xfId="0" applyFont="1" applyBorder="1" applyAlignment="0">
      <x:alignment horizontal="general" vertical="bottom" wrapText="0"/>
    </x:xf>
    <x:xf numFmtId="164" fontId="7" fillId="10" borderId="1" xfId="0" applyFont="1" applyBorder="1" applyAlignment="0">
      <x:alignment horizontal="general" vertical="bottom" wrapText="0"/>
    </x:xf>
    <x:xf numFmtId="164" fontId="7" fillId="9" borderId="1" xfId="0" applyFont="1" applyBorder="1" applyAlignment="0">
      <x:alignment horizontal="general" vertical="bottom" wrapText="0"/>
    </x:xf>
    <x:xf numFmtId="164" fontId="0" fillId="0" borderId="2" xfId="0" applyNumberFormat="1" applyFont="1" applyFill="1" applyBorder="1" applyAlignment="1">
      <x:alignment horizontal="general" vertical="bottom" wrapText="0"/>
    </x:xf>
    <x:xf numFmtId="164" fontId="4" fillId="0" borderId="2" xfId="0" applyNumberFormat="1" applyFont="1" applyFill="1" applyBorder="1" applyAlignment="1">
      <x:alignment horizontal="general" vertical="top" wrapText="1"/>
    </x:xf>
    <x:xf numFmtId="164" fontId="1" fillId="0" borderId="2" xfId="0" applyNumberFormat="1" applyFont="1" applyFill="1" applyBorder="1" applyAlignment="1">
      <x:alignment horizontal="general" vertical="top" wrapText="1"/>
    </x:xf>
    <x:xf numFmtId="164" fontId="6" fillId="0" borderId="2" xfId="0" applyNumberFormat="1" applyFont="1" applyFill="1" applyBorder="1" applyAlignment="1">
      <x:alignment horizontal="general" vertical="top" wrapText="1"/>
    </x:xf>
    <x:xf numFmtId="164" fontId="4" fillId="0" borderId="2" xfId="0" applyNumberFormat="1" applyFont="1" applyFill="1" applyBorder="1" applyAlignment="1">
      <x:alignment horizontal="general" vertical="bottom" wrapText="0"/>
    </x:xf>
    <x:xf numFmtId="164" fontId="6" fillId="0" borderId="2" xfId="0" applyNumberFormat="1" applyFont="1" applyFill="1" applyBorder="1" applyAlignment="1">
      <x:alignment horizontal="general" vertical="bottom" wrapText="0"/>
    </x:xf>
    <x:xf numFmtId="164" fontId="1" fillId="0" borderId="2" xfId="0" applyNumberFormat="1" applyFont="1" applyFill="1" applyBorder="1" applyAlignment="1">
      <x:alignment horizontal="general" vertical="bottom" wrapText="0"/>
    </x:xf>
    <x:xf numFmtId="164" fontId="7" fillId="2" borderId="3" xfId="0" applyNumberFormat="1" applyFont="1" applyFill="1" applyBorder="1" applyAlignment="1">
      <x:alignment horizontal="general" vertical="bottom" wrapText="0"/>
    </x:xf>
    <x:xf numFmtId="165" fontId="7" fillId="2" borderId="3" xfId="0" applyNumberFormat="1" applyFont="1" applyFill="1" applyBorder="1" applyAlignment="1">
      <x:alignment horizontal="general" vertical="bottom" wrapText="0"/>
    </x:xf>
    <x:xf numFmtId="166" fontId="7" fillId="2" borderId="3" xfId="0" applyNumberFormat="1" applyFont="1" applyFill="1" applyBorder="1" applyAlignment="1">
      <x:alignment horizontal="general" vertical="bottom" wrapText="0"/>
    </x:xf>
    <x:xf numFmtId="167" fontId="7" fillId="2" borderId="3" xfId="0" applyNumberFormat="1" applyFont="1" applyFill="1" applyBorder="1" applyAlignment="1">
      <x:alignment horizontal="general" vertical="bottom" wrapText="0"/>
    </x:xf>
    <x:xf numFmtId="164" fontId="8" fillId="3" borderId="3" xfId="0" applyNumberFormat="1" applyFont="1" applyFill="1" applyBorder="1" applyAlignment="1">
      <x:alignment horizontal="general" vertical="bottom" wrapText="0"/>
    </x:xf>
    <x:xf numFmtId="168" fontId="7" fillId="0" borderId="3" xfId="0" applyNumberFormat="1" applyFont="1" applyFill="1" applyBorder="1" applyAlignment="1">
      <x:alignment horizontal="general" vertical="bottom" wrapText="0"/>
    </x:xf>
    <x:xf numFmtId="164" fontId="1" fillId="0" borderId="3" xfId="0" applyNumberFormat="1" applyFont="1" applyFill="1" applyBorder="1" applyAlignment="1">
      <x:alignment horizontal="general" vertical="bottom" wrapText="0"/>
    </x:xf>
    <x:xf numFmtId="168" fontId="7" fillId="2" borderId="3" xfId="0" applyNumberFormat="1" applyFont="1" applyFill="1" applyBorder="1" applyAlignment="1">
      <x:alignment horizontal="general" vertical="bottom" wrapText="0"/>
    </x:xf>
    <x:xf numFmtId="164" fontId="1" fillId="4" borderId="3" xfId="0" applyNumberFormat="1" applyFont="1" applyFill="1" applyBorder="1" applyAlignment="1">
      <x:alignment horizontal="general" vertical="bottom" wrapText="0"/>
    </x:xf>
    <x:xf numFmtId="164" fontId="1" fillId="5" borderId="3" xfId="0" applyNumberFormat="1" applyFont="1" applyFill="1" applyBorder="1" applyAlignment="1">
      <x:alignment horizontal="general" vertical="bottom" wrapText="0"/>
    </x:xf>
    <x:xf numFmtId="164" fontId="1" fillId="6" borderId="3" xfId="0" applyNumberFormat="1" applyFont="1" applyFill="1" applyBorder="1" applyAlignment="1">
      <x:alignment horizontal="general" vertical="bottom" wrapText="0"/>
    </x:xf>
    <x:xf numFmtId="164" fontId="1" fillId="7" borderId="3" xfId="0" applyNumberFormat="1" applyFont="1" applyFill="1" applyBorder="1" applyAlignment="1">
      <x:alignment horizontal="general" vertical="bottom" wrapText="0"/>
    </x:xf>
    <x:xf numFmtId="164" fontId="1" fillId="8" borderId="3" xfId="0" applyNumberFormat="1" applyFont="1" applyFill="1" applyBorder="1" applyAlignment="1">
      <x:alignment horizontal="general" vertical="bottom" wrapText="0"/>
    </x:xf>
    <x:xf numFmtId="164" fontId="1" fillId="9" borderId="3" xfId="0" applyNumberFormat="1" applyFont="1" applyFill="1" applyBorder="1" applyAlignment="1">
      <x:alignment horizontal="general" vertical="bottom" wrapText="0"/>
    </x:xf>
    <x:xf numFmtId="164" fontId="1" fillId="10" borderId="3" xfId="0" applyNumberFormat="1" applyFont="1" applyFill="1" applyBorder="1" applyAlignment="1">
      <x:alignment horizontal="general" vertical="bottom" wrapText="0"/>
    </x:xf>
    <x:xf numFmtId="164" fontId="8" fillId="3" borderId="3" xfId="0" applyNumberFormat="1" applyFont="1" applyFill="1" applyBorder="1" applyAlignment="1">
      <x:alignment horizontal="center" vertical="center" wrapText="1"/>
    </x:xf>
    <x:xf numFmtId="166" fontId="1" fillId="0" borderId="3" xfId="0" applyNumberFormat="1" applyFont="1" applyFill="1" applyBorder="1" applyAlignment="1">
      <x:alignment horizontal="general" vertical="bottom" wrapText="0"/>
    </x:xf>
    <x:xf numFmtId="165" fontId="1" fillId="0" borderId="3" xfId="0" applyNumberFormat="1" applyFont="1" applyFill="1" applyBorder="1" applyAlignment="1">
      <x:alignment horizontal="general" vertical="bottom" wrapText="0"/>
    </x:xf>
    <x:xf numFmtId="167" fontId="1" fillId="0" borderId="3" xfId="0" applyNumberFormat="1" applyFont="1" applyFill="1" applyBorder="1" applyAlignment="1">
      <x:alignment horizontal="general" vertical="bottom" wrapText="0"/>
    </x:xf>
    <x:xf numFmtId="164" fontId="1" fillId="0" borderId="3" xfId="0" applyNumberFormat="1" applyFont="1" applyFill="1" applyBorder="1" applyAlignment="1">
      <x:alignment horizontal="general" vertical="top" wrapText="1"/>
    </x:xf>
    <x:xf numFmtId="164" fontId="7" fillId="0" borderId="3" xfId="0" applyNumberFormat="1" applyFont="1" applyFill="1" applyBorder="1" applyAlignment="1">
      <x:alignment horizontal="general" vertical="bottom" wrapText="0"/>
    </x:xf>
    <x:xf numFmtId="164" fontId="7" fillId="4" borderId="3" xfId="0" applyNumberFormat="1" applyFont="1" applyFill="1" applyBorder="1" applyAlignment="1">
      <x:alignment horizontal="general" vertical="bottom" wrapText="0"/>
    </x:xf>
    <x:xf numFmtId="166" fontId="7" fillId="0" borderId="3" xfId="0" applyNumberFormat="1" applyFont="1" applyFill="1" applyBorder="1" applyAlignment="1">
      <x:alignment horizontal="general" vertical="bottom" wrapText="0"/>
    </x:xf>
    <x:xf numFmtId="165" fontId="7" fillId="0" borderId="3" xfId="0" applyNumberFormat="1" applyFont="1" applyFill="1" applyBorder="1" applyAlignment="1">
      <x:alignment horizontal="general" vertical="bottom" wrapText="0"/>
    </x:xf>
    <x:xf numFmtId="167" fontId="7" fillId="0" borderId="3" xfId="0" applyNumberFormat="1" applyFont="1" applyFill="1" applyBorder="1" applyAlignment="1">
      <x:alignment horizontal="general" vertical="bottom" wrapText="0"/>
    </x:xf>
    <x:xf numFmtId="168" fontId="1" fillId="0" borderId="3" xfId="0" applyNumberFormat="1" applyFont="1" applyFill="1" applyBorder="1" applyAlignment="1">
      <x:alignment horizontal="general" vertical="bottom" wrapText="0"/>
    </x:xf>
    <x:xf numFmtId="169" fontId="1" fillId="0" borderId="3" xfId="0" applyNumberFormat="1" applyFont="1" applyFill="1" applyBorder="1" applyAlignment="1">
      <x:alignment horizontal="general" vertical="bottom" wrapText="0"/>
    </x:xf>
    <x:xf numFmtId="164" fontId="7" fillId="5" borderId="3" xfId="0" applyNumberFormat="1" applyFont="1" applyFill="1" applyBorder="1" applyAlignment="1">
      <x:alignment horizontal="general" vertical="bottom" wrapText="0"/>
    </x:xf>
    <x:xf numFmtId="164" fontId="7" fillId="6" borderId="3" xfId="0" applyNumberFormat="1" applyFont="1" applyFill="1" applyBorder="1" applyAlignment="1">
      <x:alignment horizontal="general" vertical="bottom" wrapText="0"/>
    </x:xf>
    <x:xf numFmtId="164" fontId="7" fillId="7" borderId="3" xfId="0" applyNumberFormat="1" applyFont="1" applyFill="1" applyBorder="1" applyAlignment="1">
      <x:alignment horizontal="general" vertical="bottom" wrapText="0"/>
    </x:xf>
    <x:xf numFmtId="164" fontId="7" fillId="10" borderId="3" xfId="0" applyNumberFormat="1" applyFont="1" applyFill="1" applyBorder="1" applyAlignment="1">
      <x:alignment horizontal="general" vertical="bottom" wrapText="0"/>
    </x:xf>
    <x:xf numFmtId="164" fontId="7" fillId="9" borderId="3" xfId="0" applyNumberFormat="1" applyFont="1" applyFill="1" applyBorder="1" applyAlignment="1">
      <x:alignment horizontal="general" vertical="bottom" wrapText="0"/>
    </x:xf>
    <x:xf numFmtId="164" fontId="0" fillId="11" borderId="0" xfId="0" applyNumberFormat="1" applyFont="1" applyFill="1" applyBorder="1" applyAlignment="1">
      <x:alignment horizontal="general" vertical="bottom" wrapText="0"/>
    </x:xf>
    <x:xf numFmtId="164" fontId="9" fillId="11" borderId="0" xfId="0" applyNumberFormat="1" applyFont="1" applyFill="1" applyBorder="1" applyAlignment="1">
      <x:alignment horizontal="general" vertical="bottom" wrapText="0"/>
    </x:xf>
    <x:xf numFmtId="164" fontId="9" fillId="11" borderId="0" xfId="0" applyNumberFormat="1" applyFont="1" applyFill="1" applyBorder="1" applyAlignment="1">
      <x:alignment horizontal="general" vertical="bottom" wrapText="1"/>
    </x:xf>
    <x:xf numFmtId="164" fontId="0" fillId="11" borderId="2" xfId="0" applyNumberFormat="1" applyFont="1" applyFill="1" applyBorder="1" applyAlignment="1">
      <x:alignment horizontal="general" vertical="bottom" wrapText="0"/>
    </x:xf>
    <x:xf numFmtId="164" fontId="9" fillId="11" borderId="2" xfId="0" applyNumberFormat="1" applyFont="1" applyFill="1" applyBorder="1" applyAlignment="1">
      <x:alignment horizontal="general" vertical="bottom" wrapText="0"/>
    </x:xf>
    <x:xf numFmtId="164" fontId="9" fillId="11" borderId="2" xfId="0" applyNumberFormat="1" applyFont="1" applyFill="1" applyBorder="1" applyAlignment="1">
      <x:alignment horizontal="general" vertical="bottom" wrapText="1"/>
    </x:xf>
    <x:xf numFmtId="164" fontId="0" fillId="12" borderId="0" xfId="0" applyNumberFormat="1" applyFont="1" applyFill="1" applyBorder="1" applyAlignment="1">
      <x:alignment horizontal="general" vertical="bottom" wrapText="0"/>
    </x:xf>
    <x:xf numFmtId="164" fontId="10" fillId="12" borderId="0" xfId="0" applyNumberFormat="1" applyFont="1" applyFill="1" applyBorder="1" applyAlignment="1">
      <x:alignment horizontal="general" vertical="bottom" wrapText="0"/>
    </x:xf>
    <x:xf numFmtId="164" fontId="10" fillId="12" borderId="0" xfId="0" applyNumberFormat="1" applyFont="1" applyFill="1" applyBorder="1" applyAlignment="1">
      <x:alignment horizontal="general" vertical="bottom" wrapText="1"/>
    </x:xf>
    <x:xf numFmtId="164" fontId="10" fillId="12" borderId="0" xfId="0" applyNumberFormat="1" applyFont="1" applyFill="1" applyBorder="1" applyAlignment="1">
      <x:alignment horizontal="center" vertical="bottom" wrapText="1"/>
    </x:xf>
    <x:xf numFmtId="164" fontId="10" fillId="12" borderId="0" xfId="0" applyNumberFormat="1" applyFont="1" applyFill="1" applyBorder="1" applyAlignment="1">
      <x:alignment horizontal="center" vertical="center" wrapText="1"/>
    </x:xf>
    <x:xf numFmtId="164" fontId="0" fillId="12" borderId="2" xfId="0" applyNumberFormat="1" applyFont="1" applyFill="1" applyBorder="1" applyAlignment="1">
      <x:alignment horizontal="general" vertical="bottom" wrapText="0"/>
    </x:xf>
    <x:xf numFmtId="164" fontId="10" fillId="12" borderId="2" xfId="0" applyNumberFormat="1" applyFont="1" applyFill="1" applyBorder="1" applyAlignment="1">
      <x:alignment horizontal="general" vertical="bottom" wrapText="0"/>
    </x:xf>
    <x:xf numFmtId="164" fontId="10" fillId="12" borderId="2" xfId="0" applyNumberFormat="1" applyFont="1" applyFill="1" applyBorder="1" applyAlignment="1">
      <x:alignment horizontal="general" vertical="bottom" wrapText="1"/>
    </x:xf>
    <x:xf numFmtId="164" fontId="10" fillId="12" borderId="2" xfId="0" applyNumberFormat="1" applyFont="1" applyFill="1" applyBorder="1" applyAlignment="1">
      <x:alignment horizontal="center" vertical="bottom" wrapText="1"/>
    </x:xf>
    <x:xf numFmtId="164" fontId="10" fillId="12" borderId="2" xfId="0" applyNumberFormat="1" applyFont="1" applyFill="1" applyBorder="1" applyAlignment="1">
      <x:alignment horizontal="center" vertical="center" wrapText="1"/>
    </x:xf>
    <x:xf numFmtId="164" fontId="9" fillId="12" borderId="0" xfId="0" applyNumberFormat="1" applyFont="1" applyFill="1" applyBorder="1" applyAlignment="1">
      <x:alignment horizontal="general" vertical="bottom" wrapText="1"/>
    </x:xf>
    <x:xf numFmtId="164" fontId="9" fillId="12" borderId="0" xfId="0" applyNumberFormat="1" applyFont="1" applyFill="1" applyBorder="1" applyAlignment="1">
      <x:alignment horizontal="center" vertical="bottom" wrapText="1"/>
    </x:xf>
    <x:xf numFmtId="164" fontId="9" fillId="12" borderId="0" xfId="0" applyNumberFormat="1" applyFont="1" applyFill="1" applyBorder="1" applyAlignment="1">
      <x:alignment horizontal="center" vertical="center" wrapText="1"/>
    </x:xf>
    <x:xf numFmtId="164" fontId="9" fillId="12" borderId="2" xfId="0" applyNumberFormat="1" applyFont="1" applyFill="1" applyBorder="1" applyAlignment="1">
      <x:alignment horizontal="general" vertical="bottom" wrapText="1"/>
    </x:xf>
    <x:xf numFmtId="164" fontId="9" fillId="12" borderId="2" xfId="0" applyNumberFormat="1" applyFont="1" applyFill="1" applyBorder="1" applyAlignment="1">
      <x:alignment horizontal="center" vertical="bottom" wrapText="1"/>
    </x:xf>
    <x:xf numFmtId="164" fontId="9" fillId="12" borderId="2" xfId="0" applyNumberFormat="1" applyFont="1" applyFill="1" applyBorder="1" applyAlignment="1">
      <x:alignment horizontal="center" vertical="center" wrapText="1"/>
    </x:xf>
    <x:xf numFmtId="164" fontId="0" fillId="13" borderId="0" xfId="0" applyNumberFormat="1" applyFont="1" applyFill="1" applyBorder="1" applyAlignment="1">
      <x:alignment horizontal="general" vertical="bottom" wrapText="0"/>
    </x:xf>
    <x:xf numFmtId="164" fontId="11" fillId="13" borderId="0" xfId="0" applyNumberFormat="1" applyFont="1" applyFill="1" applyBorder="1" applyAlignment="1">
      <x:alignment horizontal="general" vertical="bottom" wrapText="0"/>
    </x:xf>
    <x:xf numFmtId="164" fontId="11" fillId="13" borderId="0" xfId="0" applyNumberFormat="1" applyFont="1" applyFill="1" applyBorder="1" applyAlignment="1">
      <x:alignment horizontal="general" vertical="bottom" wrapText="1"/>
    </x:xf>
    <x:xf numFmtId="164" fontId="0" fillId="13" borderId="2" xfId="0" applyNumberFormat="1" applyFont="1" applyFill="1" applyBorder="1" applyAlignment="1">
      <x:alignment horizontal="general" vertical="bottom" wrapText="0"/>
    </x:xf>
    <x:xf numFmtId="164" fontId="11" fillId="13" borderId="2" xfId="0" applyNumberFormat="1" applyFont="1" applyFill="1" applyBorder="1" applyAlignment="1">
      <x:alignment horizontal="general" vertical="bottom" wrapText="0"/>
    </x:xf>
    <x:xf numFmtId="164" fontId="11" fillId="13" borderId="2" xfId="0" applyNumberFormat="1" applyFont="1" applyFill="1" applyBorder="1" applyAlignment="1">
      <x:alignment horizontal="general" vertical="bottom" wrapText="1"/>
    </x:xf>
    <x:xf numFmtId="200" fontId="0" fillId="0" borderId="0" xfId="0" applyNumberFormat="1" applyFont="1" applyFill="1" applyBorder="1" applyAlignment="1">
      <x:alignment horizontal="general" vertical="bottom" wrapText="0"/>
    </x:xf>
    <x:xf numFmtId="200" fontId="0" fillId="0" borderId="2" xfId="0" applyNumberFormat="1" applyFont="1" applyFill="1" applyBorder="1" applyAlignment="1">
      <x:alignment horizontal="general" vertical="bottom" wrapText="0"/>
    </x:xf>
    <x:xf numFmtId="168" fontId="0" fillId="0" borderId="0" xfId="0" applyNumberFormat="1" applyFont="1" applyFill="1" applyBorder="1" applyAlignment="1">
      <x:alignment horizontal="general" vertical="bottom" wrapText="0"/>
    </x:xf>
    <x:xf numFmtId="168" fontId="0" fillId="0" borderId="2" xfId="0" applyNumberFormat="1" applyFont="1" applyFill="1" applyBorder="1" applyAlignment="1">
      <x:alignment horizontal="general" vertical="bottom" wrapText="0"/>
    </x:xf>
    <x:xf numFmtId="165" fontId="0" fillId="0" borderId="0" xfId="0" applyNumberFormat="1" applyFont="1" applyFill="1" applyBorder="1" applyAlignment="1">
      <x:alignment horizontal="general" vertical="bottom" wrapText="0"/>
    </x:xf>
    <x:xf numFmtId="165" fontId="0" fillId="0" borderId="2" xfId="0" applyNumberFormat="1" applyFont="1" applyFill="1" applyBorder="1" applyAlignment="1">
      <x:alignment horizontal="general" vertical="bottom" wrapText="0"/>
    </x:xf>
    <x:xf numFmtId="169" fontId="0" fillId="0" borderId="0" xfId="0" applyNumberFormat="1" applyFont="1" applyFill="1" applyBorder="1" applyAlignment="1">
      <x:alignment horizontal="general" vertical="bottom" wrapText="0"/>
    </x:xf>
    <x:xf numFmtId="169" fontId="0" fillId="0" borderId="2" xfId="0" applyNumberFormat="1" applyFont="1" applyFill="1" applyBorder="1" applyAlignment="1">
      <x:alignment horizontal="general" vertical="bottom" wrapText="0"/>
    </x:xf>
    <x:xf numFmtId="167" fontId="0" fillId="0" borderId="0" xfId="0" applyNumberFormat="1" applyFont="1" applyFill="1" applyBorder="1" applyAlignment="1">
      <x:alignment horizontal="general" vertical="bottom" wrapText="0"/>
    </x:xf>
    <x:xf numFmtId="167" fontId="0" fillId="0" borderId="2" xfId="0" applyNumberFormat="1" applyFont="1" applyFill="1" applyBorder="1" applyAlignment="1">
      <x:alignment horizontal="general" vertical="bottom" wrapText="0"/>
    </x:xf>
    <x:xf numFmtId="201" fontId="0" fillId="0" borderId="0" xfId="0" applyNumberFormat="1" applyFont="1" applyFill="1" applyBorder="1" applyAlignment="1">
      <x:alignment horizontal="general" vertical="bottom" wrapText="0"/>
    </x:xf>
    <x:xf numFmtId="201" fontId="0" fillId="0" borderId="2" xfId="0" applyNumberFormat="1" applyFont="1" applyFill="1" applyBorder="1" applyAlignment="1">
      <x:alignment horizontal="general" vertical="bottom" wrapText="0"/>
    </x:xf>
    <x:xf numFmtId="164" fontId="0" fillId="0" borderId="0" xfId="0" applyNumberFormat="1" applyFont="1" applyFill="1" applyBorder="1" applyAlignment="1">
      <x:alignment horizontal="general" vertical="bottom" wrapText="1"/>
    </x:xf>
    <x:xf numFmtId="164" fontId="0" fillId="0" borderId="2" xfId="0" applyNumberFormat="1" applyFont="1" applyFill="1" applyBorder="1" applyAlignment="1">
      <x:alignment horizontal="general" vertical="bottom" wrapText="1"/>
    </x:xf>
    <x:xf numFmtId="167" fontId="0" fillId="0" borderId="0" xfId="0" applyNumberFormat="1" applyFont="1" applyFill="1" applyBorder="1" applyAlignment="1">
      <x:alignment horizontal="general" vertical="bottom" wrapText="1"/>
    </x:xf>
    <x:xf numFmtId="169" fontId="0" fillId="0" borderId="0" xfId="0" applyNumberFormat="1" applyFont="1" applyFill="1" applyBorder="1" applyAlignment="1">
      <x:alignment horizontal="general" vertical="bottom" wrapText="1"/>
    </x:xf>
    <x:xf numFmtId="201" fontId="0" fillId="0" borderId="0" xfId="0" applyNumberFormat="1" applyFont="1" applyFill="1" applyBorder="1" applyAlignment="1">
      <x:alignment horizontal="general" vertical="bottom" wrapText="1"/>
    </x:xf>
    <x:xf numFmtId="167" fontId="0" fillId="0" borderId="2" xfId="0" applyNumberFormat="1" applyFont="1" applyFill="1" applyBorder="1" applyAlignment="1">
      <x:alignment horizontal="general" vertical="bottom" wrapText="1"/>
    </x:xf>
    <x:xf numFmtId="169" fontId="0" fillId="0" borderId="2" xfId="0" applyNumberFormat="1" applyFont="1" applyFill="1" applyBorder="1" applyAlignment="1">
      <x:alignment horizontal="general" vertical="bottom" wrapText="1"/>
    </x:xf>
    <x:xf numFmtId="201" fontId="0" fillId="0" borderId="2" xfId="0" applyNumberFormat="1" applyFont="1" applyFill="1" applyBorder="1" applyAlignment="1">
      <x:alignment horizontal="general" vertical="bottom" wrapText="1"/>
    </x:xf>
    <x:xf numFmtId="200" fontId="0" fillId="0" borderId="0" xfId="0" applyNumberFormat="1" applyFont="1" applyFill="1" applyBorder="1" applyAlignment="1">
      <x:alignment horizontal="general" vertical="bottom" wrapText="1"/>
    </x:xf>
    <x:xf numFmtId="165" fontId="0" fillId="0" borderId="0" xfId="0" applyNumberFormat="1" applyFont="1" applyFill="1" applyBorder="1" applyAlignment="1">
      <x:alignment horizontal="general" vertical="bottom" wrapText="1"/>
    </x:xf>
    <x:xf numFmtId="168" fontId="0" fillId="0" borderId="0" xfId="0" applyNumberFormat="1" applyFont="1" applyFill="1" applyBorder="1" applyAlignment="1">
      <x:alignment horizontal="general" vertical="bottom" wrapText="1"/>
    </x:xf>
    <x:xf numFmtId="200" fontId="0" fillId="0" borderId="2" xfId="0" applyNumberFormat="1" applyFont="1" applyFill="1" applyBorder="1" applyAlignment="1">
      <x:alignment horizontal="general" vertical="bottom" wrapText="1"/>
    </x:xf>
    <x:xf numFmtId="165" fontId="0" fillId="0" borderId="2" xfId="0" applyNumberFormat="1" applyFont="1" applyFill="1" applyBorder="1" applyAlignment="1">
      <x:alignment horizontal="general" vertical="bottom" wrapText="1"/>
    </x:xf>
    <x:xf numFmtId="168" fontId="0" fillId="0" borderId="2" xfId="0" applyNumberFormat="1" applyFont="1" applyFill="1" applyBorder="1" applyAlignment="1">
      <x:alignment horizontal="general" vertical="bottom" wrapText="1"/>
    </x:xf>
    <x:xf numFmtId="164" fontId="9" fillId="11" borderId="0" xfId="0" applyNumberFormat="1" applyFont="1" applyFill="1" applyBorder="1" applyAlignment="1">
      <x:alignment horizontal="general" vertical="center" wrapText="0"/>
    </x:xf>
    <x:xf numFmtId="164" fontId="0" fillId="0" borderId="0" xfId="0" applyNumberFormat="1" applyFont="1" applyFill="1" applyBorder="1" applyAlignment="1">
      <x:alignment horizontal="general" vertical="center" wrapText="1"/>
    </x:xf>
    <x:xf numFmtId="164" fontId="1" fillId="0" borderId="0" xfId="0" applyNumberFormat="1" applyFont="1" applyFill="1" applyBorder="1" applyAlignment="1">
      <x:alignment horizontal="general" vertical="top" wrapText="1"/>
    </x:xf>
    <x:xf numFmtId="164" fontId="1" fillId="0" borderId="0" xfId="0" applyNumberFormat="1" applyFont="1" applyFill="1" applyBorder="1" applyAlignment="1">
      <x:alignment horizontal="general" vertical="center" wrapText="1"/>
    </x:xf>
    <x:xf numFmtId="164" fontId="1" fillId="0" borderId="1" xfId="0" applyNumberFormat="1" applyFont="1" applyFill="1" applyBorder="1" applyAlignment="1">
      <x:alignment horizontal="general" vertical="bottom" wrapText="1"/>
    </x:xf>
    <x:xf numFmtId="164" fontId="0" fillId="0" borderId="0" xfId="0" applyNumberFormat="1" applyFont="1" applyFill="1" applyBorder="1" applyAlignment="1">
      <x:alignment horizontal="general" vertical="bottom" wrapText="0"/>
    </x:xf>
    <x:xf numFmtId="164" fontId="4" fillId="0" borderId="0" xfId="0" applyNumberFormat="1" applyFont="1" applyFill="1" applyBorder="1" applyAlignment="1">
      <x:alignment horizontal="general" vertical="top" wrapText="1"/>
    </x:xf>
    <x:xf numFmtId="164" fontId="6" fillId="0" borderId="0" xfId="0" applyNumberFormat="1" applyFont="1" applyFill="1" applyBorder="1" applyAlignment="1">
      <x:alignment horizontal="general" vertical="top" wrapText="1"/>
    </x:xf>
    <x:xf numFmtId="164" fontId="4" fillId="0" borderId="0" xfId="0" applyNumberFormat="1" applyFont="1" applyFill="1" applyBorder="1" applyAlignment="1">
      <x:alignment horizontal="general" vertical="bottom" wrapText="0"/>
    </x:xf>
    <x:xf numFmtId="164" fontId="6" fillId="0" borderId="0" xfId="0" applyNumberFormat="1" applyFont="1" applyFill="1" applyBorder="1" applyAlignment="1">
      <x:alignment horizontal="general" vertical="bottom" wrapText="0"/>
    </x:xf>
    <x:xf numFmtId="164" fontId="1" fillId="0" borderId="0" xfId="0" applyNumberFormat="1" applyFont="1" applyFill="1" applyBorder="1" applyAlignment="1">
      <x:alignment horizontal="general" vertical="bottom" wrapText="0"/>
    </x:xf>
    <x:xf numFmtId="164" fontId="7" fillId="2" borderId="1" xfId="0" applyNumberFormat="1" applyFont="1" applyFill="1" applyBorder="1" applyAlignment="1">
      <x:alignment horizontal="general" vertical="bottom" wrapText="0"/>
    </x:xf>
    <x:xf numFmtId="165" fontId="7" fillId="2" borderId="1" xfId="0" applyNumberFormat="1" applyFont="1" applyFill="1" applyBorder="1" applyAlignment="1">
      <x:alignment horizontal="general" vertical="bottom" wrapText="0"/>
    </x:xf>
    <x:xf numFmtId="166" fontId="7" fillId="2" borderId="1" xfId="0" applyNumberFormat="1" applyFont="1" applyFill="1" applyBorder="1" applyAlignment="1">
      <x:alignment horizontal="general" vertical="bottom" wrapText="0"/>
    </x:xf>
    <x:xf numFmtId="167" fontId="7" fillId="2" borderId="1" xfId="0" applyNumberFormat="1" applyFont="1" applyFill="1" applyBorder="1" applyAlignment="1">
      <x:alignment horizontal="general" vertical="bottom" wrapText="0"/>
    </x:xf>
    <x:xf numFmtId="164" fontId="8" fillId="3" borderId="1" xfId="0" applyNumberFormat="1" applyFont="1" applyFill="1" applyBorder="1" applyAlignment="1">
      <x:alignment horizontal="general" vertical="bottom" wrapText="0"/>
    </x:xf>
    <x:xf numFmtId="168" fontId="7" fillId="0" borderId="1" xfId="0" applyNumberFormat="1" applyFont="1" applyFill="1" applyBorder="1" applyAlignment="1">
      <x:alignment horizontal="general" vertical="bottom" wrapText="0"/>
    </x:xf>
    <x:xf numFmtId="164" fontId="1" fillId="0" borderId="1" xfId="0" applyNumberFormat="1" applyFont="1" applyFill="1" applyBorder="1" applyAlignment="1">
      <x:alignment horizontal="general" vertical="bottom" wrapText="0"/>
    </x:xf>
    <x:xf numFmtId="168" fontId="7" fillId="2" borderId="1" xfId="0" applyNumberFormat="1" applyFont="1" applyFill="1" applyBorder="1" applyAlignment="1">
      <x:alignment horizontal="general" vertical="bottom" wrapText="0"/>
    </x:xf>
    <x:xf numFmtId="164" fontId="1" fillId="4" borderId="1" xfId="0" applyNumberFormat="1" applyFont="1" applyFill="1" applyBorder="1" applyAlignment="1">
      <x:alignment horizontal="general" vertical="bottom" wrapText="0"/>
    </x:xf>
    <x:xf numFmtId="164" fontId="1" fillId="5" borderId="1" xfId="0" applyNumberFormat="1" applyFont="1" applyFill="1" applyBorder="1" applyAlignment="1">
      <x:alignment horizontal="general" vertical="bottom" wrapText="0"/>
    </x:xf>
    <x:xf numFmtId="164" fontId="1" fillId="6" borderId="1" xfId="0" applyNumberFormat="1" applyFont="1" applyFill="1" applyBorder="1" applyAlignment="1">
      <x:alignment horizontal="general" vertical="bottom" wrapText="0"/>
    </x:xf>
    <x:xf numFmtId="164" fontId="1" fillId="7" borderId="1" xfId="0" applyNumberFormat="1" applyFont="1" applyFill="1" applyBorder="1" applyAlignment="1">
      <x:alignment horizontal="general" vertical="bottom" wrapText="0"/>
    </x:xf>
    <x:xf numFmtId="164" fontId="1" fillId="8" borderId="1" xfId="0" applyNumberFormat="1" applyFont="1" applyFill="1" applyBorder="1" applyAlignment="1">
      <x:alignment horizontal="general" vertical="bottom" wrapText="0"/>
    </x:xf>
    <x:xf numFmtId="164" fontId="1" fillId="9" borderId="1" xfId="0" applyNumberFormat="1" applyFont="1" applyFill="1" applyBorder="1" applyAlignment="1">
      <x:alignment horizontal="general" vertical="bottom" wrapText="0"/>
    </x:xf>
    <x:xf numFmtId="164" fontId="1" fillId="10" borderId="1" xfId="0" applyNumberFormat="1" applyFont="1" applyFill="1" applyBorder="1" applyAlignment="1">
      <x:alignment horizontal="general" vertical="bottom" wrapText="0"/>
    </x:xf>
    <x:xf numFmtId="164" fontId="8" fillId="3" borderId="1" xfId="0" applyNumberFormat="1" applyFont="1" applyFill="1" applyBorder="1" applyAlignment="1">
      <x:alignment horizontal="center" vertical="center" wrapText="1"/>
    </x:xf>
    <x:xf numFmtId="166" fontId="1" fillId="0" borderId="1" xfId="0" applyNumberFormat="1" applyFont="1" applyFill="1" applyBorder="1" applyAlignment="1">
      <x:alignment horizontal="general" vertical="bottom" wrapText="0"/>
    </x:xf>
    <x:xf numFmtId="165" fontId="1" fillId="0" borderId="1" xfId="0" applyNumberFormat="1" applyFont="1" applyFill="1" applyBorder="1" applyAlignment="1">
      <x:alignment horizontal="general" vertical="bottom" wrapText="0"/>
    </x:xf>
    <x:xf numFmtId="167" fontId="1" fillId="0" borderId="1" xfId="0" applyNumberFormat="1" applyFont="1" applyFill="1" applyBorder="1" applyAlignment="1">
      <x:alignment horizontal="general" vertical="bottom" wrapText="0"/>
    </x:xf>
    <x:xf numFmtId="164" fontId="1" fillId="0" borderId="1" xfId="0" applyNumberFormat="1" applyFont="1" applyFill="1" applyBorder="1" applyAlignment="1">
      <x:alignment horizontal="general" vertical="top" wrapText="1"/>
    </x:xf>
    <x:xf numFmtId="164" fontId="7" fillId="0" borderId="1" xfId="0" applyNumberFormat="1" applyFont="1" applyFill="1" applyBorder="1" applyAlignment="1">
      <x:alignment horizontal="general" vertical="bottom" wrapText="0"/>
    </x:xf>
    <x:xf numFmtId="164" fontId="7" fillId="4" borderId="1" xfId="0" applyNumberFormat="1" applyFont="1" applyFill="1" applyBorder="1" applyAlignment="1">
      <x:alignment horizontal="general" vertical="bottom" wrapText="0"/>
    </x:xf>
    <x:xf numFmtId="166" fontId="7" fillId="0" borderId="1" xfId="0" applyNumberFormat="1" applyFont="1" applyFill="1" applyBorder="1" applyAlignment="1">
      <x:alignment horizontal="general" vertical="bottom" wrapText="0"/>
    </x:xf>
    <x:xf numFmtId="165" fontId="7" fillId="0" borderId="1" xfId="0" applyNumberFormat="1" applyFont="1" applyFill="1" applyBorder="1" applyAlignment="1">
      <x:alignment horizontal="general" vertical="bottom" wrapText="0"/>
    </x:xf>
    <x:xf numFmtId="167" fontId="7" fillId="0" borderId="1" xfId="0" applyNumberFormat="1" applyFont="1" applyFill="1" applyBorder="1" applyAlignment="1">
      <x:alignment horizontal="general" vertical="bottom" wrapText="0"/>
    </x:xf>
    <x:xf numFmtId="168" fontId="1" fillId="0" borderId="1" xfId="0" applyNumberFormat="1" applyFont="1" applyFill="1" applyBorder="1" applyAlignment="1">
      <x:alignment horizontal="general" vertical="bottom" wrapText="0"/>
    </x:xf>
    <x:xf numFmtId="169" fontId="1" fillId="0" borderId="1" xfId="0" applyNumberFormat="1" applyFont="1" applyFill="1" applyBorder="1" applyAlignment="1">
      <x:alignment horizontal="general" vertical="bottom" wrapText="0"/>
    </x:xf>
    <x:xf numFmtId="164" fontId="7" fillId="5" borderId="1" xfId="0" applyNumberFormat="1" applyFont="1" applyFill="1" applyBorder="1" applyAlignment="1">
      <x:alignment horizontal="general" vertical="bottom" wrapText="0"/>
    </x:xf>
    <x:xf numFmtId="164" fontId="7" fillId="6" borderId="1" xfId="0" applyNumberFormat="1" applyFont="1" applyFill="1" applyBorder="1" applyAlignment="1">
      <x:alignment horizontal="general" vertical="bottom" wrapText="0"/>
    </x:xf>
    <x:xf numFmtId="164" fontId="7" fillId="7" borderId="1" xfId="0" applyNumberFormat="1" applyFont="1" applyFill="1" applyBorder="1" applyAlignment="1">
      <x:alignment horizontal="general" vertical="bottom" wrapText="0"/>
    </x:xf>
    <x:xf numFmtId="164" fontId="7" fillId="10" borderId="1" xfId="0" applyNumberFormat="1" applyFont="1" applyFill="1" applyBorder="1" applyAlignment="1">
      <x:alignment horizontal="general" vertical="bottom" wrapText="0"/>
    </x:xf>
    <x:xf numFmtId="164" fontId="7" fillId="9" borderId="1" xfId="0" applyNumberFormat="1" applyFont="1" applyFill="1" applyBorder="1" applyAlignment="1">
      <x:alignment horizontal="general" vertical="bottom" wrapText="0"/>
    </x:xf>
    <x:xf numFmtId="164" fontId="0" fillId="14" borderId="0" xfId="0" applyNumberFormat="1" applyFont="1" applyFill="1" applyBorder="1" applyAlignment="1">
      <x:alignment horizontal="general" vertical="bottom" wrapText="0"/>
    </x:xf>
    <x:xf numFmtId="164" fontId="12" fillId="14" borderId="0" xfId="0" applyNumberFormat="1" applyFont="1" applyFill="1" applyBorder="1" applyAlignment="1">
      <x:alignment horizontal="general" vertical="bottom" wrapText="0"/>
    </x:xf>
    <x:xf numFmtId="164" fontId="12" fillId="14" borderId="0" xfId="0" applyNumberFormat="1" applyFont="1" applyFill="1" applyBorder="1" applyAlignment="1">
      <x:alignment horizontal="general" vertical="center" wrapText="0"/>
    </x:xf>
    <x:xf numFmtId="164" fontId="13" fillId="0" borderId="0" xfId="0" applyNumberFormat="1" applyFont="1" applyFill="1" applyBorder="1" applyAlignment="1">
      <x:alignment horizontal="general" vertical="bottom" wrapText="0"/>
    </x:xf>
    <x:xf numFmtId="164" fontId="13" fillId="0" borderId="0" xfId="0" applyNumberFormat="1" applyFont="1" applyFill="1" applyBorder="1" applyAlignment="1">
      <x:alignment horizontal="general" vertical="bottom" wrapText="1"/>
    </x:xf>
    <x:xf numFmtId="164" fontId="13" fillId="0" borderId="0" xfId="0" applyNumberFormat="1" applyFont="1" applyFill="1" applyBorder="1" applyAlignment="1">
      <x:alignment horizontal="general" vertical="center" wrapText="1"/>
    </x:xf>
    <x:xf numFmtId="164" fontId="10" fillId="14" borderId="0" xfId="0" applyNumberFormat="1" applyFont="1" applyFill="1" applyBorder="1" applyAlignment="1">
      <x:alignment horizontal="general" vertical="bottom" wrapText="0"/>
    </x:xf>
    <x:xf numFmtId="164" fontId="10" fillId="14" borderId="0" xfId="0" applyNumberFormat="1" applyFont="1" applyFill="1" applyBorder="1" applyAlignment="1">
      <x:alignment horizontal="general" vertical="bottom" wrapText="1"/>
    </x:xf>
    <x:xf numFmtId="164" fontId="10" fillId="14" borderId="0" xfId="0" applyNumberFormat="1" applyFont="1" applyFill="1" applyBorder="1" applyAlignment="1">
      <x:alignment horizontal="center" vertical="bottom" wrapText="1"/>
    </x:xf>
    <x:xf numFmtId="164" fontId="10" fillId="14" borderId="0" xfId="0" applyNumberFormat="1" applyFont="1" applyFill="1" applyBorder="1" applyAlignment="1">
      <x:alignment horizontal="center" vertical="center" wrapText="1"/>
    </x:xf>
    <x:xf numFmtId="164" fontId="0" fillId="15" borderId="0" xfId="0" applyNumberFormat="1" applyFont="1" applyFill="1" applyBorder="1" applyAlignment="1">
      <x:alignment horizontal="general" vertical="bottom" wrapText="1"/>
    </x:xf>
    <x:xf numFmtId="164" fontId="0" fillId="16" borderId="0" xfId="0" applyNumberFormat="1" applyFont="1" applyFill="1" applyBorder="1" applyAlignment="1">
      <x:alignment horizontal="general" vertical="bottom" wrapText="1"/>
    </x:xf>
    <x:xf numFmtId="201" fontId="0" fillId="15" borderId="0" xfId="0" applyNumberFormat="1" applyFont="1" applyFill="1" applyBorder="1" applyAlignment="1">
      <x:alignment horizontal="general" vertical="bottom" wrapText="1"/>
    </x:xf>
    <x:xf numFmtId="168" fontId="0" fillId="15" borderId="0" xfId="0" applyNumberFormat="1" applyFont="1" applyFill="1" applyBorder="1" applyAlignment="1">
      <x:alignment horizontal="general" vertical="bottom" wrapText="1"/>
    </x:xf>
    <x:xf numFmtId="166" fontId="0" fillId="15" borderId="0" xfId="0" applyNumberFormat="1" applyFont="1" applyFill="1" applyBorder="1" applyAlignment="1">
      <x:alignment horizontal="general" vertical="bottom" wrapText="1"/>
    </x:xf>
    <x:xf numFmtId="164" fontId="14" fillId="0" borderId="0" xfId="0" applyNumberFormat="1" applyFont="1" applyFill="1" applyBorder="1" applyAlignment="1">
      <x:alignment horizontal="general" vertical="bottom" wrapText="0"/>
    </x:xf>
    <x:xf numFmtId="164" fontId="14" fillId="0" borderId="0" xfId="0" applyNumberFormat="1" applyFont="1" applyFill="1" applyBorder="1" applyAlignment="1">
      <x:alignment horizontal="general" vertical="bottom" wrapText="1"/>
    </x:xf>
    <x:xf numFmtId="164" fontId="14" fillId="0" borderId="0" xfId="0" applyNumberFormat="1" applyFont="1" applyFill="1" applyBorder="1" applyAlignment="1">
      <x:alignment horizontal="general" vertical="center" wrapText="1"/>
    </x:xf>
    <x:xf numFmtId="165" fontId="14" fillId="0" borderId="0" xfId="0" applyNumberFormat="1" applyFont="1" applyFill="1" applyBorder="1" applyAlignment="1">
      <x:alignment horizontal="general" vertical="center" wrapText="1"/>
    </x:xf>
    <x:xf numFmtId="168" fontId="14" fillId="0" borderId="0" xfId="0" applyNumberFormat="1" applyFont="1" applyFill="1" applyBorder="1" applyAlignment="1">
      <x:alignment horizontal="general" vertical="center" wrapText="1"/>
    </x:xf>
    <x:xf numFmtId="165" fontId="14" fillId="15" borderId="0" xfId="0" applyNumberFormat="1" applyFont="1" applyFill="1" applyBorder="1" applyAlignment="1">
      <x:alignment horizontal="general" vertical="center" wrapText="1"/>
    </x:xf>
    <x:xf numFmtId="165" fontId="14" fillId="16" borderId="0" xfId="0" applyNumberFormat="1" applyFont="1" applyFill="1" applyBorder="1" applyAlignment="1">
      <x:alignment horizontal="general" vertical="center" wrapText="1"/>
    </x:xf>
    <x:xf numFmtId="164" fontId="14" fillId="16" borderId="0" xfId="0" applyNumberFormat="1" applyFont="1" applyFill="1" applyBorder="1" applyAlignment="1">
      <x:alignment horizontal="general" vertical="center" wrapText="1"/>
    </x:xf>
    <x:xf numFmtId="165" fontId="14" fillId="15" borderId="0" xfId="0" applyNumberFormat="1" applyFont="1" applyFill="1" applyBorder="1" applyAlignment="1">
      <x:alignment horizontal="center" vertical="center" wrapText="1"/>
    </x:xf>
    <x:xf numFmtId="165" fontId="14" fillId="0" borderId="0" xfId="0" applyNumberFormat="1" applyFont="1" applyFill="1" applyBorder="1" applyAlignment="1">
      <x:alignment horizontal="center" vertical="center" wrapText="1"/>
    </x:xf>
    <x:xf numFmtId="165" fontId="14" fillId="16" borderId="0" xfId="0" applyNumberFormat="1" applyFont="1" applyFill="1" applyBorder="1" applyAlignment="1">
      <x:alignment horizontal="center" vertical="center" wrapText="1"/>
    </x:xf>
    <x:xf numFmtId="164" fontId="14" fillId="16" borderId="0" xfId="0" applyNumberFormat="1" applyFont="1" applyFill="1" applyBorder="1" applyAlignment="1">
      <x:alignment horizontal="center" vertical="center" wrapText="1"/>
    </x:xf>
    <x:xf numFmtId="168" fontId="14" fillId="0" borderId="0" xfId="0" applyNumberFormat="1" applyFont="1" applyFill="1" applyBorder="1" applyAlignment="1">
      <x:alignment horizontal="center" vertical="center" wrapText="1"/>
    </x:xf>
    <x:xf numFmtId="164" fontId="14" fillId="0" borderId="0" xfId="0" applyNumberFormat="1" applyFont="1" applyFill="1" applyBorder="1" applyAlignment="1">
      <x:alignment horizontal="center" vertical="center" wrapText="1"/>
    </x:xf>
    <x:xf numFmtId="164" fontId="15" fillId="0" borderId="0" xfId="0" applyNumberFormat="1" applyFont="1" applyFill="1" applyBorder="1" applyAlignment="1">
      <x:alignment horizontal="general" vertical="center" wrapText="1"/>
    </x:xf>
    <x:xf numFmtId="164" fontId="14" fillId="15" borderId="0" xfId="0" applyNumberFormat="1" applyFont="1" applyFill="1" applyBorder="1" applyAlignment="1">
      <x:alignment horizontal="general" vertical="center" wrapText="1"/>
    </x:xf>
    <x:xf numFmtId="202" fontId="14" fillId="0" borderId="0" xfId="0" applyNumberFormat="1" applyFont="1" applyFill="1" applyBorder="1" applyAlignment="1">
      <x:alignment horizontal="general" vertical="center" wrapText="1"/>
    </x:xf>
    <x:xf numFmtId="203" fontId="14" fillId="0" borderId="0" xfId="0" applyNumberFormat="1" applyFont="1" applyFill="1" applyBorder="1" applyAlignment="1">
      <x:alignment horizontal="general" vertical="center" wrapText="1"/>
    </x:xf>
    <x:xf numFmtId="164" fontId="16" fillId="14" borderId="0" xfId="0" applyNumberFormat="1" applyFont="1" applyFill="1" applyBorder="1" applyAlignment="1">
      <x:alignment horizontal="general" vertical="bottom" wrapText="0"/>
    </x:xf>
    <x:xf numFmtId="164" fontId="16" fillId="14" borderId="0" xfId="0" applyNumberFormat="1" applyFont="1" applyFill="1" applyBorder="1" applyAlignment="1">
      <x:alignment horizontal="general" vertical="center" wrapText="0"/>
    </x:xf>
    <x:xf numFmtId="164" fontId="14" fillId="17" borderId="0" xfId="0" applyNumberFormat="1" applyFont="1" applyFill="1" applyBorder="1" applyAlignment="1">
      <x:alignment horizontal="general" vertical="center" wrapText="1"/>
    </x:xf>
    <x:xf numFmtId="164" fontId="15" fillId="17" borderId="0" xfId="0" applyNumberFormat="1" applyFont="1" applyFill="1" applyBorder="1" applyAlignment="1">
      <x:alignment horizontal="general" vertical="center" wrapText="1"/>
    </x:xf>
    <x:xf numFmtId="201" fontId="14" fillId="15" borderId="0" xfId="0" applyNumberFormat="1" applyFont="1" applyFill="1" applyBorder="1" applyAlignment="1">
      <x:alignment horizontal="general" vertical="bottom" wrapText="1"/>
    </x:xf>
    <x:xf numFmtId="168" fontId="14" fillId="15" borderId="0" xfId="0" applyNumberFormat="1" applyFont="1" applyFill="1" applyBorder="1" applyAlignment="1">
      <x:alignment horizontal="general" vertical="bottom" wrapText="1"/>
    </x:xf>
    <x:xf numFmtId="166" fontId="14" fillId="15" borderId="0" xfId="0" applyNumberFormat="1" applyFont="1" applyFill="1" applyBorder="1" applyAlignment="1">
      <x:alignment horizontal="general" vertical="bottom" wrapText="1"/>
    </x:xf>
    <x:xf numFmtId="164" fontId="14" fillId="16" borderId="0" xfId="0" applyNumberFormat="1" applyFont="1" applyFill="1" applyBorder="1" applyAlignment="1">
      <x:alignment horizontal="general" vertical="bottom" wrapText="1"/>
    </x:xf>
    <x:xf numFmtId="164" fontId="14" fillId="15" borderId="0" xfId="0" applyNumberFormat="1" applyFont="1" applyFill="1" applyBorder="1" applyAlignment="1">
      <x:alignment horizontal="general" vertical="bottom" wrapText="1"/>
    </x:xf>
    <x:xf numFmtId="166" fontId="14" fillId="0" borderId="0" xfId="0" applyNumberFormat="1" applyFont="1" applyFill="1" applyBorder="1" applyAlignment="1">
      <x:alignment horizontal="general" vertical="center" wrapText="1"/>
    </x:xf>
    <x:xf numFmtId="164" fontId="17" fillId="14" borderId="0" xfId="0" applyNumberFormat="1" applyFont="1" applyFill="1" applyBorder="1" applyAlignment="1">
      <x:alignment horizontal="general" vertical="center" wrapText="0"/>
    </x:xf>
    <x:xf numFmtId="164" fontId="18" fillId="14" borderId="0" xfId="0" applyNumberFormat="1" applyFont="1" applyFill="1" applyBorder="1" applyAlignment="1">
      <x:alignment horizontal="general" vertical="center" wrapText="0"/>
    </x:xf>
    <x:xf numFmtId="164" fontId="14" fillId="14" borderId="0" xfId="0" applyNumberFormat="1" applyFont="1" applyFill="1" applyBorder="1" applyAlignment="1">
      <x:alignment horizontal="general" vertical="bottom" wrapText="0"/>
    </x:xf>
    <x:xf numFmtId="164" fontId="19" fillId="14" borderId="0" xfId="0" applyNumberFormat="1" applyFont="1" applyFill="1" applyBorder="1" applyAlignment="1">
      <x:alignment horizontal="general" vertical="bottom" wrapText="0"/>
    </x:xf>
    <x:xf numFmtId="164" fontId="19" fillId="14" borderId="0" xfId="0" applyNumberFormat="1" applyFont="1" applyFill="1" applyBorder="1" applyAlignment="1">
      <x:alignment horizontal="general" vertical="bottom" wrapText="1"/>
    </x:xf>
    <x:xf numFmtId="164" fontId="19" fillId="14" borderId="0" xfId="0" applyNumberFormat="1" applyFont="1" applyFill="1" applyBorder="1" applyAlignment="1">
      <x:alignment horizontal="center" vertical="bottom" wrapText="1"/>
    </x:xf>
    <x:xf numFmtId="164" fontId="19" fillId="14" borderId="0" xfId="0" applyNumberFormat="1" applyFont="1" applyFill="1" applyBorder="1" applyAlignment="1">
      <x:alignment horizontal="center" vertical="center" wrapText="1"/>
    </x:xf>
    <x:xf numFmtId="164" fontId="14" fillId="17" borderId="0" xfId="0" applyNumberFormat="1" applyFont="1" applyFill="1" applyBorder="1" applyAlignment="1">
      <x:alignment horizontal="general" vertical="bottom" wrapText="0"/>
    </x:xf>
    <x:xf numFmtId="164" fontId="20" fillId="17" borderId="0" xfId="0" applyNumberFormat="1" applyFont="1" applyFill="1" applyBorder="1" applyAlignment="1">
      <x:alignment horizontal="general" vertical="bottom" wrapText="0"/>
    </x:xf>
    <x:xf numFmtId="164" fontId="20" fillId="17" borderId="0" xfId="0" applyNumberFormat="1" applyFont="1" applyFill="1" applyBorder="1" applyAlignment="1">
      <x:alignment horizontal="center" vertical="bottom" wrapText="0"/>
    </x:xf>
    <x:xf numFmtId="164" fontId="20" fillId="17" borderId="0" xfId="0" applyNumberFormat="1" applyFont="1" applyFill="1" applyBorder="1" applyAlignment="1">
      <x:alignment horizontal="center" vertical="center" wrapText="0"/>
    </x:xf>
    <x:xf numFmtId="164" fontId="14" fillId="17" borderId="0" xfId="0" applyNumberFormat="1" applyFont="1" applyFill="1" applyBorder="1" applyAlignment="1">
      <x:alignment horizontal="general" vertical="bottom" wrapText="1"/>
    </x:xf>
    <x:xf numFmtId="164" fontId="15" fillId="17" borderId="0" xfId="0" applyNumberFormat="1" applyFont="1" applyFill="1" applyBorder="1" applyAlignment="1">
      <x:alignment horizontal="general" vertical="bottom" wrapText="0"/>
    </x:xf>
    <x:xf numFmtId="204" fontId="14" fillId="0" borderId="0" xfId="0" applyNumberFormat="1" applyFont="1" applyFill="1" applyBorder="1" applyAlignment="1">
      <x:alignment horizontal="general" vertical="center" wrapText="1"/>
    </x:xf>
    <x:xf numFmtId="205" fontId="14" fillId="0" borderId="0" xfId="0" applyNumberFormat="1" applyFont="1" applyFill="1" applyBorder="1" applyAlignment="1">
      <x:alignment horizontal="general" vertical="center" wrapText="1"/>
    </x:xf>
    <x:xf numFmtId="164" fontId="14" fillId="15" borderId="0" xfId="0" applyNumberFormat="1" applyFont="1" applyFill="1" applyBorder="1" applyAlignment="1">
      <x:alignment horizontal="general" vertical="bottom" wrapText="0"/>
    </x:xf>
    <x:xf numFmtId="164" fontId="21" fillId="0" borderId="0" xfId="0" applyNumberFormat="1" applyFont="1" applyFill="1" applyBorder="1" applyAlignment="1">
      <x:alignment horizontal="general" vertical="bottom" wrapText="1"/>
    </x:xf>
    <x:xf numFmtId="165" fontId="0" fillId="0" borderId="0" xfId="0" applyNumberFormat="1" applyFont="1" applyFill="1" applyBorder="1" applyAlignment="1">
      <x:alignment horizontal="general" vertical="center" wrapText="1"/>
    </x:xf>
    <x:xf numFmtId="206" fontId="14" fillId="0" borderId="0" xfId="0" applyNumberFormat="1" applyFont="1" applyFill="1" applyBorder="1" applyAlignment="1">
      <x:alignment horizontal="center" vertical="center" wrapText="1"/>
    </x:xf>
    <x:xf numFmtId="165" fontId="14" fillId="0" borderId="0" xfId="0" applyNumberFormat="1" applyFont="1" applyFill="1" applyBorder="1" applyAlignment="1">
      <x:alignment horizontal="general" vertical="bottom" wrapText="0"/>
    </x:xf>
    <x:xf numFmtId="165" fontId="15" fillId="17" borderId="0" xfId="0" applyNumberFormat="1" applyFont="1" applyFill="1" applyBorder="1" applyAlignment="1">
      <x:alignment horizontal="general" vertical="bottom" wrapText="0"/>
    </x:xf>
  </x:cellXfs>
  <x:cellStyles count="6">
    <x:cellStyle name="Normal" xfId="0"/>
    <x:cellStyle name="Comma" xfId="15"/>
    <x:cellStyle name="Comma [0]" xfId="16"/>
    <x:cellStyle name="Currency" xfId="17"/>
    <x:cellStyle name="Currency [0]" xfId="18"/>
    <x:cellStyle name="Percent" xfId="19"/>
  </x:cellStyles>
  <x:dxfs count="18">
    <x:dxf>
      <x:font>
        <x:b/>
        <x:color rgb="FF166534"/>
      </x:font>
      <x:fill>
        <x:patternFill>
          <x:bgColor rgb="FFDCFCE7"/>
        </x:patternFill>
      </x:fill>
    </x:dxf>
    <x:dxf>
      <x:font>
        <x:b/>
        <x:color rgb="FF92400E"/>
      </x:font>
      <x:fill>
        <x:patternFill>
          <x:bgColor rgb="FFFEF3C7"/>
        </x:patternFill>
      </x:fill>
    </x:dxf>
    <x:dxf>
      <x:font>
        <x:b/>
        <x:color rgb="FF166534"/>
      </x:font>
      <x:fill>
        <x:patternFill>
          <x:bgColor rgb="FFDCFCE7"/>
        </x:patternFill>
      </x:fill>
    </x:dxf>
    <x:dxf>
      <x:font>
        <x:b/>
        <x:color rgb="FF92400E"/>
      </x:font>
      <x:fill>
        <x:patternFill>
          <x:bgColor rgb="FFFEF3C7"/>
        </x:patternFill>
      </x:fill>
    </x:dxf>
    <x:dxf>
      <x:font>
        <x:b/>
        <x:color rgb="FF166534"/>
      </x:font>
      <x:fill>
        <x:patternFill>
          <x:bgColor rgb="FFDCFCE7"/>
        </x:patternFill>
      </x:fill>
    </x:dxf>
    <x:dxf>
      <x:font>
        <x:b/>
        <x:color rgb="FF92400E"/>
      </x:font>
      <x:fill>
        <x:patternFill>
          <x:bgColor rgb="FFFEF3C7"/>
        </x:patternFill>
      </x:fill>
    </x:dxf>
    <x:dxf>
      <x:font>
        <x:b/>
        <x:color rgb="FF166534"/>
      </x:font>
      <x:fill>
        <x:patternFill>
          <x:bgColor rgb="FFDCFCE7"/>
        </x:patternFill>
      </x:fill>
    </x:dxf>
    <x:dxf>
      <x:font>
        <x:b/>
        <x:color rgb="FF92400E"/>
      </x:font>
      <x:fill>
        <x:patternFill>
          <x:bgColor rgb="FFFEF3C7"/>
        </x:patternFill>
      </x:fill>
    </x:dxf>
    <x:dxf>
      <x:font>
        <x:b/>
      </x:font>
      <x:fill>
        <x:patternFill>
          <x:bgColor rgb="FFF1F5F9"/>
        </x:patternFill>
      </x:fill>
    </x:dxf>
    <x:dxf>
      <x:font>
        <x:b/>
      </x:font>
      <x:fill>
        <x:patternFill>
          <x:bgColor rgb="FFDCFCE7"/>
        </x:patternFill>
      </x:fill>
    </x:dxf>
    <x:dxf>
      <x:font>
        <x:b/>
      </x:font>
      <x:fill>
        <x:patternFill>
          <x:bgColor rgb="FFDBEAFE"/>
        </x:patternFill>
      </x:fill>
    </x:dxf>
    <x:dxf>
      <x:font>
        <x:b/>
      </x:font>
      <x:fill>
        <x:patternFill>
          <x:bgColor rgb="FFEDE9FE"/>
        </x:patternFill>
      </x:fill>
    </x:dxf>
    <x:dxf>
      <x:font>
        <x:b/>
      </x:font>
      <x:fill>
        <x:patternFill>
          <x:bgColor rgb="FFFEF3C7"/>
        </x:patternFill>
      </x:fill>
    </x:dxf>
    <x:dxf>
      <x:fill>
        <x:patternFill>
          <x:bgColor rgb="FFFFF2C7"/>
        </x:patternFill>
      </x:fill>
    </x:dxf>
    <x:dxf>
      <x:fill>
        <x:patternFill>
          <x:bgColor rgb="FFEDE7FF"/>
        </x:patternFill>
      </x:fill>
    </x:dxf>
    <x:dxf>
      <x:fill>
        <x:patternFill>
          <x:bgColor rgb="FFFCE2EC"/>
        </x:patternFill>
      </x:fill>
    </x:dxf>
    <x:dxf>
      <x:font>
        <x:b/>
        <x:color rgb="FF166534"/>
      </x:font>
      <x:fill>
        <x:patternFill>
          <x:bgColor rgb="FFDCFCE7"/>
        </x:patternFill>
      </x:fill>
    </x:dxf>
    <x:dxf>
      <x:font>
        <x:b/>
        <x:color rgb="FF991B1B"/>
      </x:font>
      <x:fill>
        <x:patternFill>
          <x:bgColor rgb="FFFEE2E2"/>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BFBFBF"/>
      <x:rgbColor rgb="FF808080"/>
      <x:rgbColor rgb="FF9999FF"/>
      <x:rgbColor rgb="FF993366"/>
      <x:rgbColor rgb="FFFFFFCC"/>
      <x:rgbColor rgb="FFD9D9D9"/>
      <x:rgbColor rgb="FF660066"/>
      <x:rgbColor rgb="FFFF8080"/>
      <x:rgbColor rgb="FF0066CC"/>
      <x:rgbColor rgb="FFE1CCF0"/>
      <x:rgbColor rgb="FF000080"/>
      <x:rgbColor rgb="FFFF00FF"/>
      <x:rgbColor rgb="FFFFFF00"/>
      <x:rgbColor rgb="FF00FFFF"/>
      <x:rgbColor rgb="FF800080"/>
      <x:rgbColor rgb="FF800000"/>
      <x:rgbColor rgb="FF008080"/>
      <x:rgbColor rgb="FF0000FF"/>
      <x:rgbColor rgb="FF00CCFF"/>
      <x:rgbColor rgb="FFCCFFFF"/>
      <x:rgbColor rgb="FFC6EFCE"/>
      <x:rgbColor rgb="FFFFE699"/>
      <x:rgbColor rgb="FFBDD7EE"/>
      <x:rgbColor rgb="FFFF99CC"/>
      <x:rgbColor rgb="FFCC99FF"/>
      <x:rgbColor rgb="FFF8CBAD"/>
      <x:rgbColor rgb="FF3366FF"/>
      <x:rgbColor rgb="FF33CCCC"/>
      <x:rgbColor rgb="FF99CC00"/>
      <x:rgbColor rgb="FFFFD966"/>
      <x:rgbColor rgb="FFFF9900"/>
      <x:rgbColor rgb="FFFF6600"/>
      <x:rgbColor rgb="FF666699"/>
      <x:rgbColor rgb="FF969696"/>
      <x:rgbColor rgb="FF003366"/>
      <x:rgbColor rgb="FF339966"/>
      <x:rgbColor rgb="FF003300"/>
      <x:rgbColor rgb="FF333300"/>
      <x:rgbColor rgb="FF993300"/>
      <x:rgbColor rgb="FF993366"/>
      <x:rgbColor rgb="FF1F4E79"/>
      <x:rgbColor rgb="FF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22ff37be96940c7" /><Relationship Type="http://schemas.openxmlformats.org/officeDocument/2006/relationships/theme" Target="/xl/theme/theme1.xml" Id="R0d35001518194aba" /><Relationship Type="http://schemas.openxmlformats.org/officeDocument/2006/relationships/sharedStrings" Target="/xl/sharedStrings.xml" Id="R0875175445e04221" /><Relationship Type="http://schemas.openxmlformats.org/officeDocument/2006/relationships/worksheet" Target="/xl/worksheets/sheet1.xml" Id="R611b8f7572154c15" /><Relationship Type="http://schemas.openxmlformats.org/officeDocument/2006/relationships/worksheet" Target="/xl/worksheets/sheet2.xml" Id="R1b0d85c1f9f4471d" /><Relationship Type="http://schemas.openxmlformats.org/officeDocument/2006/relationships/worksheet" Target="/xl/worksheets/sheet3.xml" Id="Rcf0e3d1620114c10" /><Relationship Type="http://schemas.openxmlformats.org/officeDocument/2006/relationships/worksheet" Target="/xl/worksheets/sheet4.xml" Id="R346eadd4b7724e87" /><Relationship Type="http://schemas.openxmlformats.org/officeDocument/2006/relationships/worksheet" Target="/xl/worksheets/sheet5.xml" Id="Rd495c6d0f31842e6" /><Relationship Type="http://schemas.openxmlformats.org/officeDocument/2006/relationships/worksheet" Target="/xl/worksheets/sheet6.xml" Id="Rcea907cd49c44554" /><Relationship Type="http://schemas.openxmlformats.org/officeDocument/2006/relationships/worksheet" Target="/xl/worksheets/sheet7.xml" Id="R186ff85176a64aae" /><Relationship Type="http://schemas.openxmlformats.org/officeDocument/2006/relationships/worksheet" Target="/xl/worksheets/sheet8.xml" Id="R437781a825db406a" /><Relationship Type="http://schemas.openxmlformats.org/officeDocument/2006/relationships/worksheet" Target="/xl/worksheets/sheet9.xml" Id="R8440eb98fa5941ae" /><Relationship Type="http://schemas.openxmlformats.org/officeDocument/2006/relationships/worksheet" Target="/xl/worksheets/sheet10.xml" Id="Ra2134a64cc184725" /><Relationship Type="http://schemas.openxmlformats.org/officeDocument/2006/relationships/worksheet" Target="/xl/worksheets/sheet11.xml" Id="Rea1356285e6046e1" /><Relationship Type="http://schemas.openxmlformats.org/officeDocument/2006/relationships/worksheet" Target="/xl/worksheets/sheet12.xml" Id="Ra5ec9a327e284a5c" /><Relationship Type="http://schemas.openxmlformats.org/officeDocument/2006/relationships/worksheet" Target="/xl/worksheets/sheet13.xml" Id="Rd6c2604736d6462d" /><Relationship Type="http://schemas.openxmlformats.org/officeDocument/2006/relationships/worksheet" Target="/xl/worksheets/sheet14.xml" Id="Ra3a5900b88a84774" /><Relationship Type="http://schemas.openxmlformats.org/officeDocument/2006/relationships/worksheet" Target="/xl/worksheets/sheet15.xml" Id="R2389f878ff954b8a" /><Relationship Type="http://schemas.openxmlformats.org/officeDocument/2006/relationships/worksheet" Target="/xl/worksheets/sheet16.xml" Id="R0745128da2244650" /><Relationship Type="http://schemas.openxmlformats.org/officeDocument/2006/relationships/worksheet" Target="/xl/worksheets/sheet17.xml" Id="Rfc7cd5e8d72f4c75" /><Relationship Type="http://schemas.openxmlformats.org/officeDocument/2006/relationships/worksheet" Target="/xl/worksheets/sheet18.xml" Id="R40af7b68d50046d9" /><Relationship Type="http://schemas.openxmlformats.org/officeDocument/2006/relationships/worksheet" Target="/xl/worksheets/sheet19.xml" Id="R4640e252f4dc4466" /><Relationship Type="http://schemas.openxmlformats.org/officeDocument/2006/relationships/worksheet" Target="/xl/worksheets/sheet20.xml" Id="R766f8dc766014398" /><Relationship Type="http://schemas.openxmlformats.org/officeDocument/2006/relationships/worksheet" Target="/xl/worksheets/sheet21.xml" Id="Ra6c8d11f4fc444a6" /><Relationship Type="http://schemas.openxmlformats.org/officeDocument/2006/relationships/worksheet" Target="/xl/worksheets/sheet22.xml" Id="Rd2e61f15905f44d3" /><Relationship Type="http://schemas.openxmlformats.org/officeDocument/2006/relationships/worksheet" Target="/xl/worksheets/sheet23.xml" Id="Rc5c0da8077014785" /></Relationships>
</file>

<file path=xl/drawings/_rels/drawing1.xml.rels>&#65279;<?xml version="1.0" encoding="utf-8"?><Relationships xmlns="http://schemas.openxmlformats.org/package/2006/relationships"><Relationship Type="http://schemas.openxmlformats.org/officeDocument/2006/relationships/chart" Target="/xl/drawings/charts/chart1.xml" Id="R964cf180cd5b4120"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Catalog mix by edition</a:t>
            </a:r>
          </a:p>
        </c:rich>
      </c:tx>
    </c:title>
    <c:plotArea>
      <c:barChart>
        <c:barDir val="col"/>
        <c:varyColors val="0"/>
        <c:ser>
          <c:idx val="0"/>
          <c:order val="0"/>
          <c:tx>
            <c:v>Items</c:v>
          </c:tx>
          <c:cat>
            <c:strRef>
              <c:f>'Decor Dashboard'!$A$10:$A$12</c:f>
              <c:strCache>
                <c:ptCount val="0"/>
              </c:strCache>
            </c:strRef>
          </c:cat>
          <c:val>
            <c:numRef>
              <c:f>'Decor Dashboard'!$B$10:$B$12</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14</xdr:row>
      <xdr:rowOff>0</xdr:rowOff>
    </xdr:from>
    <xdr:to>
      <xdr:col>12</xdr:col>
      <xdr:colOff>0</xdr:colOff>
      <xdr:row>29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64cf180cd5b4120"/>
        </a:graphicData>
      </a:graphic>
    </xdr:graphicFrame>
    <xdr:clientData/>
  </xdr:twoCellAnchor>
</xdr:wsDr>
</file>

<file path=xl/tables/table1.xml><?xml version="1.0" encoding="utf-8"?>
<x:table xmlns:x="http://schemas.openxmlformats.org/spreadsheetml/2006/main" id="1" name="DecorCatalog" displayName="DecorCatalog" ref="A4:T124" headerRowCount="1" totalsRowCount="0" totalsRowShown="0">
  <x:tableColumns count="20">
    <x:tableColumn id="1" name="ID"/>
    <x:tableColumn id="2" name="Item"/>
    <x:tableColumn id="3" name="Category"/>
    <x:tableColumn id="4" name="Subcategory"/>
    <x:tableColumn id="5" name="Collection / Theme"/>
    <x:tableColumn id="6" name="Edition"/>
    <x:tableColumn id="7" name="Rarity"/>
    <x:tableColumn id="8" name="Unlock Lvl"/>
    <x:tableColumn id="9" name="Currency"/>
    <x:tableColumn id="10" name="Suggested Price"/>
    <x:tableColumn id="11" name="Purchase XP&#10;(first ownership)"/>
    <x:tableColumn id="12" name="Decor Score"/>
    <x:tableColumn id="13" name="Size"/>
    <x:tableColumn id="14" name="Width (U)"/>
    <x:tableColumn id="15" name="Height (U)"/>
    <x:tableColumn id="16" name="Layer"/>
    <x:tableColumn id="17" name="Release Gate"/>
    <x:tableColumn id="18" name="Event"/>
    <x:tableColumn id="19" name="Availability"/>
    <x:tableColumn id="20" name="Balance Check"/>
  </x:tableColumns>
  <x:tableStyleInfo name="TableStyleMedium2" showFirstColumn="0" showLastColumn="0" showRowStripes="1" showColumnStripes="0"/>
</x:table>
</file>

<file path=xl/tables/table2.xml><?xml version="1.0" encoding="utf-8"?>
<x:table xmlns:x="http://schemas.openxmlformats.org/spreadsheetml/2006/main" id="2" name="DecorArtBriefs" displayName="DecorArtBriefs" ref="A4:L124" headerRowCount="1" totalsRowCount="0" totalsRowShown="0">
  <x:tableColumns count="12">
    <x:tableColumn id="1" name="ID"/>
    <x:tableColumn id="2" name="Item"/>
    <x:tableColumn id="3" name="Shape &amp; Silhouette"/>
    <x:tableColumn id="4" name="Palette"/>
    <x:tableColumn id="5" name="Materials &amp; Finish"/>
    <x:tableColumn id="6" name="Size / Footprint"/>
    <x:tableColumn id="7" name="Placement &amp; Layering"/>
    <x:tableColumn id="8" name="Animation Brief"/>
    <x:tableColumn id="9" name="Motion Class"/>
    <x:tableColumn id="10" name="Reduced-motion Still"/>
    <x:tableColumn id="11" name="Mobile Read / Distinctive Hook"/>
    <x:tableColumn id="12" name="Asset Construction"/>
  </x:tableColumns>
  <x:tableStyleInfo name="TableStyleMedium2" showFirstColumn="0" showLastColumn="0" showRowStripes="1" showColumnStripes="0"/>
</x:table>
</file>

<file path=xl/tables/table3.xml><?xml version="1.0" encoding="utf-8"?>
<x:table xmlns:x="http://schemas.openxmlformats.org/spreadsheetml/2006/main" id="3" name="DecorEventCalendar" displayName="DecorEventCalendar" ref="A4:L16" headerRowCount="1" totalsRowCount="0" totalsRowShown="0">
  <x:tableColumns count="12">
    <x:tableColumn id="1" name="Event"/>
    <x:tableColumn id="2" name="Purchase Window"/>
    <x:tableColumn id="3" name="Coin Item ID"/>
    <x:tableColumn id="4" name="Coin Item"/>
    <x:tableColumn id="5" name="Coin Price"/>
    <x:tableColumn id="6" name="Pearl Item ID"/>
    <x:tableColumn id="7" name="Pearl Item"/>
    <x:tableColumn id="8" name="Pearl Price"/>
    <x:tableColumn id="9" name="Access Rule"/>
    <x:tableColumn id="10" name="Return Policy"/>
    <x:tableColumn id="11" name="Existing Fish Tie-in"/>
    <x:tableColumn id="12" name="Calendar / Art Notes"/>
  </x:tableColumns>
  <x:tableStyleInfo name="TableStyleMedium2" showFirstColumn="0" showLastColumn="0" showRowStripes="1" showColumnStripes="0"/>
</x:table>
</file>

<file path=xl/tables/table4.xml><?xml version="1.0" encoding="utf-8"?>
<x:table xmlns:x="http://schemas.openxmlformats.org/spreadsheetml/2006/main" id="4" name="DecorLevelProgression" displayName="DecorLevelProgression" ref="A4:K74" headerRowCount="1" totalsRowCount="0" totalsRowShown="0">
  <x:tableColumns count="11">
    <x:tableColumn id="1" name="Level"/>
    <x:tableColumn id="2" name="Release Band"/>
    <x:tableColumn id="3" name="Coin Plants"/>
    <x:tableColumn id="4" name="Coin Decor"/>
    <x:tableColumn id="5" name="Pearl Plants"/>
    <x:tableColumn id="6" name="Pearl Decor"/>
    <x:tableColumn id="7" name="Event Coin Items"/>
    <x:tableColumn id="8" name="Event Pearl Items"/>
    <x:tableColumn id="9" name="Evergreen Unlocks"/>
    <x:tableColumn id="10" name="All-item First XP"/>
    <x:tableColumn id="11" name="Planning Note"/>
  </x:tableColumns>
  <x:tableStyleInfo name="TableStyleMedium2" showFirstColumn="0" showLastColumn="0" showRowStripes="1" showColumnStripes="0"/>
</x:table>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_rels/sheet18.xml.rels>&#65279;<?xml version="1.0" encoding="utf-8"?><Relationships xmlns="http://schemas.openxmlformats.org/package/2006/relationships"><Relationship Type="http://schemas.openxmlformats.org/officeDocument/2006/relationships/drawing" Target="/xl/drawings/drawing1.xml" Id="R0e6bc5291c664826" /></Relationships>
</file>

<file path=xl/worksheets/_rels/sheet19.xml.rels>&#65279;<?xml version="1.0" encoding="utf-8"?><Relationships xmlns="http://schemas.openxmlformats.org/package/2006/relationships"><Relationship Type="http://schemas.openxmlformats.org/officeDocument/2006/relationships/table" Target="/xl/tables/table1.xml" Id="Rc9e9d823cd6c4fed" /></Relationships>
</file>

<file path=xl/worksheets/_rels/sheet20.xml.rels>&#65279;<?xml version="1.0" encoding="utf-8"?><Relationships xmlns="http://schemas.openxmlformats.org/package/2006/relationships"><Relationship Type="http://schemas.openxmlformats.org/officeDocument/2006/relationships/table" Target="/xl/tables/table2.xml" Id="Raf8dbbaecc8a4e3c" /></Relationships>
</file>

<file path=xl/worksheets/_rels/sheet21.xml.rels>&#65279;<?xml version="1.0" encoding="utf-8"?><Relationships xmlns="http://schemas.openxmlformats.org/package/2006/relationships"><Relationship Type="http://schemas.openxmlformats.org/officeDocument/2006/relationships/table" Target="/xl/tables/table3.xml" Id="R4ab0ca1444a94684" /></Relationships>
</file>

<file path=xl/worksheets/_rels/sheet22.xml.rels>&#65279;<?xml version="1.0" encoding="utf-8"?><Relationships xmlns="http://schemas.openxmlformats.org/package/2006/relationships"><Relationship Type="http://schemas.openxmlformats.org/officeDocument/2006/relationships/table" Target="/xl/tables/table4.xml" Id="R6b8e8905781d488d" /></Relationships>
</file>

<file path=xl/worksheets/sheet1.xml><?xml version="1.0" encoding="utf-8"?>
<x:worksheet xmlns:x="http://schemas.openxmlformats.org/spreadsheetml/2006/main">
  <x:sheetViews>
    <x:sheetView showGridLines="1" workbookViewId="0"/>
  </x:sheetViews>
  <x:sheetFormatPr defaultColWidth="8.6796875" defaultRowHeight="15"/>
  <x:cols>
    <x:col min="1" max="1" width="3" hidden="0" customWidth="1"/>
    <x:col min="2" max="2" width="115" hidden="0" customWidth="1"/>
  </x:cols>
  <x:sheetData>
    <x:row r="1" ht="16.799999237060547" hidden="0" customHeight="1">
      <x:c r="A1"/>
      <x:c r="B1" s="80" t="str">
        <x:v>AQUARIUM GAME — COMBINED ECONOMY &amp; PROGRESSION MODEL v3</x:v>
      </x:c>
    </x:row>
    <x:row r="2" ht="15" hidden="0" customHeight="1">
      <x:c r="A2"/>
      <x:c r="B2" s="118"/>
    </x:row>
    <x:row r="3" ht="15" hidden="0" customHeight="1">
      <x:c r="A3"/>
      <x:c r="B3" s="118" t="str">
        <x:v>What changed in v3</x:v>
      </x:c>
    </x:row>
    <x:row r="4" ht="26.399999618530273" hidden="0" customHeight="1">
      <x:c r="A4"/>
      <x:c r="B4" s="118" t="str">
        <x:v>The economy now uses target-rate payouts. Fish output is based on role, unlock level, schedule factor, and rarity utility budget — not Buy Price × rarity × growth-time multipliers.</x:v>
      </x:c>
    </x:row>
    <x:row r="5" ht="26.399999618530273" hidden="0" customHeight="1">
      <x:c r="A5"/>
      <x:c r="B5" s="118" t="str">
        <x:v>Every fish has a purpose: schedule purpose (active/session/idle), economic purpose (coin, XP, balanced, payout, convenience), and collection/aquarium purpose (mastery, prestige, social, theme). See Coin Fish AA:AB.</x:v>
      </x:c>
    </x:row>
    <x:row r="6" ht="15" hidden="0" customHeight="1">
      <x:c r="A6"/>
      <x:c r="B6" s="118" t="str">
        <x:v>Premium and Limited Edition fish are capped. Pearls buy visual exclusivity, convenience, XP/action, and collection progress, not a dominant coin printer.</x:v>
      </x:c>
    </x:row>
    <x:row r="7" ht="15" hidden="0" customHeight="1">
      <x:c r="A7"/>
      <x:c r="B7" s="118"/>
    </x:row>
    <x:row r="8" ht="15" hidden="0" customHeight="1">
      <x:c r="A8"/>
      <x:c r="B8" s="118" t="str">
        <x:v>Lifecycle</x:v>
      </x:c>
    </x:row>
    <x:row r="9" ht="15" hidden="0" customHeight="1">
      <x:c r="A9"/>
      <x:c r="B9" s="118" t="str">
        <x:v>Egg → Junior (25%) → Young (55%) → Mature (80%) → Adult (100%). Stage Time is one age level; Adult = 4 × Stage Time.</x:v>
      </x:c>
    </x:row>
    <x:row r="10" ht="15" hidden="0" customHeight="1">
      <x:c r="A10"/>
      <x:c r="B10" s="118" t="str">
        <x:v>Stage-specific XP now exists for Junior, Young, Mature, and Adult selling. Buy XP is 8% of the full-cycle XP budget, so selling stage choices are meaningful.</x:v>
      </x:c>
    </x:row>
    <x:row r="11" ht="26.399999618530273" hidden="0" customHeight="1">
      <x:c r="A11"/>
      <x:c r="B11" s="118" t="str">
        <x:v>Sickness grace is proportional: MAX(minimum grace, feed window × 25%), capped at 24h. This fixes the old problem where 5-minute fish effectively had absurdly generous protection.</x:v>
      </x:c>
    </x:row>
    <x:row r="12" ht="15" hidden="0" customHeight="1">
      <x:c r="A12"/>
      <x:c r="B12" s="118"/>
    </x:row>
    <x:row r="13" ht="15" hidden="0" customHeight="1">
      <x:c r="A13"/>
      <x:c r="B13" s="118" t="str">
        <x:v>Progression and sinks</x:v>
      </x:c>
    </x:row>
    <x:row r="14" ht="15" hidden="0" customHeight="1">
      <x:c r="A14"/>
      <x:c r="B14" s="118" t="str">
        <x:v>XP Curve smooths the L10/L11 and L30/L31 transitions while retaining a months-long L70 aspiration for a core player.</x:v>
      </x:c>
    </x:row>
    <x:row r="15" ht="26.399999618530273" hidden="0" customHeight="1">
      <x:c r="A15"/>
      <x:c r="B15" s="118" t="str">
        <x:v>Tank costs were repriced as meaningful coin sinks. Fish purchases are working capital; tanks, capacity, maintenance, food, decor and event crafting remove long-term surplus.</x:v>
      </x:c>
    </x:row>
    <x:row r="16" ht="15" hidden="0" customHeight="1">
      <x:c r="A16"/>
      <x:c r="B16" s="118" t="str">
        <x:v>Quest rewards are no longer static. Quest Scaling sets daily XP to roughly 10% of next-level XP and weekly XP to roughly 45%.</x:v>
      </x:c>
    </x:row>
    <x:row r="17" ht="15" hidden="0" customHeight="1">
      <x:c r="A17"/>
      <x:c r="B17" s="118"/>
    </x:row>
    <x:row r="18" ht="15" hidden="0" customHeight="1">
      <x:c r="A18"/>
      <x:c r="B18" s="118" t="str">
        <x:v>How to tune</x:v>
      </x:c>
    </x:row>
    <x:row r="19" ht="15" hidden="0" customHeight="1">
      <x:c r="A19"/>
      <x:c r="B19" s="118" t="str">
        <x:v>Start from Dashboard and Balance Review. Edit yellow input cells and blue balancing tables on Inputs; fish sheets will reprice through formulas.</x:v>
      </x:c>
    </x:row>
    <x:row r="20" ht="15" hidden="0" customHeight="1">
      <x:c r="A20"/>
      <x:c r="B20" s="118" t="str">
        <x:v>To add a post-launch fish, copy it from Roadmap into Coin Fish or Premium Fish and assign a role before tuning art/value details.</x:v>
      </x:c>
    </x:row>
    <x:row r="22" ht="28" customHeight="1">
      <x:c r="B22" s="234" t="str">
        <x:v>PLANTS &amp; DECOR EXPANSION — 120 PROPOSED COLLECTIBLES</x:v>
      </x:c>
    </x:row>
    <x:row r="23" ht="44" customHeight="1">
      <x:c r="B23" s="118" t="str">
        <x:v>Start with Decor Dashboard. Decor Catalog has the price, rarity, level, XP, score and footprint; Decor Art Briefs has the matching shape, colours, materials, placement, animation and still-pose specification.</x:v>
      </x:c>
    </x:row>
    <x:row r="24" ht="44" customHeight="1">
      <x:c r="B24" s="118" t="str">
        <x:v>64 Coin + 32 Premium + 24 Limited Edition items; 60 plants and 60 decorations. 72 evergreen items fit the L40 launch cap; 24 evergreen items are post-launch. The 24 seasonal items require their event window.</x:v>
      </x:c>
    </x:row>
    <x:row r="25" ht="44" customHeight="1">
      <x:c r="B25" s="118" t="str">
        <x:v>Items are permanent cosmetics. Purchase XP is first ownership only; Decor Score is non-spendable and grants no fish growth, income, health or capacity benefit. Coin and Pearl items of the same size use the same score.</x:v>
      </x:c>
    </x:row>
    <x:row r="26" ht="44" customHeight="1">
      <x:c r="B26" s="118" t="str">
        <x:v>Decor prices are design proposals. Existing fish/tank/simulation formulas are preserved; the economy forecast does not yet include decor spending or one-time decor XP.</x:v>
      </x:c>
    </x:row>
  </x:sheetData>
  <x:pageMargins left="0.7" right="0.7" top="0.75" bottom="0.75" header="0.3" footer="0.3"/>
</x:worksheet>
</file>

<file path=xl/worksheets/sheet2.xml><?xml version="1.0" encoding="utf-8"?>
<x:worksheet xmlns:x="http://schemas.openxmlformats.org/spreadsheetml/2006/main">
  <x:sheetViews>
    <x:sheetView showGridLines="1" workbookViewId="0"/>
  </x:sheetViews>
  <x:sheetFormatPr defaultColWidth="8.6796875" defaultRowHeight="15"/>
  <x:cols>
    <x:col min="1" max="1" width="42" hidden="0" customWidth="1"/>
    <x:col min="2" max="2" width="14" hidden="0" customWidth="1"/>
    <x:col min="3" max="3" width="14" hidden="0" customWidth="1"/>
    <x:col min="4" max="4" width="14" hidden="0" customWidth="1"/>
    <x:col min="5" max="5" width="14" hidden="0" customWidth="1"/>
    <x:col min="6" max="6" width="46" hidden="0" customWidth="1"/>
  </x:cols>
  <x:sheetData>
    <x:row r="1" ht="22.5" hidden="0" customHeight="1">
      <x:c r="A1" s="132" t="str">
        <x:v>INPUTS — edit yellow cells; formulas use target-rate economy, not buy-price multipliers</x:v>
      </x:c>
      <x:c r="B1" s="132"/>
      <x:c r="C1" s="132"/>
      <x:c r="D1" s="132"/>
      <x:c r="E1" s="132"/>
      <x:c r="F1" s="132"/>
    </x:row>
    <x:row r="2" ht="15" hidden="0" customHeight="1">
      <x:c r="A2" s="118"/>
      <x:c r="B2" s="118"/>
      <x:c r="C2" s="118"/>
      <x:c r="D2" s="118"/>
      <x:c r="E2" s="118"/>
      <x:c r="F2" s="118"/>
    </x:row>
    <x:row r="3" ht="15" hidden="0" customHeight="1">
      <x:c r="A3" s="102" t="str">
        <x:v>GLOBAL</x:v>
      </x:c>
      <x:c r="B3" s="102"/>
      <x:c r="C3" s="102"/>
      <x:c r="D3" s="102"/>
      <x:c r="E3" s="102"/>
      <x:c r="F3" s="102"/>
    </x:row>
    <x:row r="4" ht="15" hidden="0" customHeight="1">
      <x:c r="A4" s="118" t="str">
        <x:v>Soft currency name</x:v>
      </x:c>
      <x:c r="B4" s="118" t="str">
        <x:v>Coins</x:v>
      </x:c>
      <x:c r="C4" s="118"/>
      <x:c r="D4" s="118"/>
      <x:c r="E4" s="118"/>
      <x:c r="F4" s="118"/>
    </x:row>
    <x:row r="5" ht="15" hidden="0" customHeight="1">
      <x:c r="A5" s="118" t="str">
        <x:v>Premium currency name</x:v>
      </x:c>
      <x:c r="B5" s="118" t="str">
        <x:v>Pearls</x:v>
      </x:c>
      <x:c r="C5" s="118"/>
      <x:c r="D5" s="118"/>
      <x:c r="E5" s="118"/>
      <x:c r="F5" s="118"/>
    </x:row>
    <x:row r="6" ht="15" hidden="0" customHeight="1">
      <x:c r="A6" s="118" t="str">
        <x:v>Starting Coins</x:v>
      </x:c>
      <x:c r="B6" s="118" t="n">
        <x:v>250</x:v>
      </x:c>
      <x:c r="C6" s="118"/>
      <x:c r="D6" s="118"/>
      <x:c r="E6" s="118"/>
      <x:c r="F6" s="118"/>
    </x:row>
    <x:row r="7" ht="15" hidden="0" customHeight="1">
      <x:c r="A7" s="118" t="str">
        <x:v>Starting Pearls</x:v>
      </x:c>
      <x:c r="B7" s="118" t="n">
        <x:v>0</x:v>
      </x:c>
      <x:c r="C7" s="118"/>
      <x:c r="D7" s="118"/>
      <x:c r="E7" s="118"/>
      <x:c r="F7" s="118"/>
    </x:row>
    <x:row r="8" ht="15" hidden="0" customHeight="1">
      <x:c r="A8" s="118" t="str">
        <x:v>Starting tank capacity</x:v>
      </x:c>
      <x:c r="B8" s="118" t="n">
        <x:v>10</x:v>
      </x:c>
      <x:c r="C8" s="118"/>
      <x:c r="D8" s="118"/>
      <x:c r="E8" s="118"/>
      <x:c r="F8" s="118"/>
    </x:row>
    <x:row r="9" ht="15" hidden="0" customHeight="1">
      <x:c r="A9" s="118" t="str">
        <x:v>Starter fish count</x:v>
      </x:c>
      <x:c r="B9" s="118" t="n">
        <x:v>4</x:v>
      </x:c>
      <x:c r="C9" s="118"/>
      <x:c r="D9" s="118"/>
      <x:c r="E9" s="118"/>
      <x:c r="F9" s="118"/>
    </x:row>
    <x:row r="10" ht="15" hidden="0" customHeight="1">
      <x:c r="A10" s="118" t="str">
        <x:v>Target first session (min)</x:v>
      </x:c>
      <x:c r="B10" s="118" t="n">
        <x:v>6</x:v>
      </x:c>
      <x:c r="C10" s="118"/>
      <x:c r="D10" s="118"/>
      <x:c r="E10" s="118"/>
      <x:c r="F10" s="118"/>
    </x:row>
    <x:row r="11" ht="15" hidden="0" customHeight="1">
      <x:c r="A11" s="118" t="str">
        <x:v>Level 2 Pearl grant</x:v>
      </x:c>
      <x:c r="B11" s="118" t="n">
        <x:v>1</x:v>
      </x:c>
      <x:c r="C11" s="118"/>
      <x:c r="D11" s="118"/>
      <x:c r="E11" s="118"/>
      <x:c r="F11" s="118"/>
    </x:row>
    <x:row r="12" ht="15" hidden="0" customHeight="1">
      <x:c r="A12" s="118"/>
      <x:c r="B12" s="118"/>
      <x:c r="C12" s="118"/>
      <x:c r="D12" s="118"/>
      <x:c r="E12" s="118"/>
      <x:c r="F12" s="118"/>
    </x:row>
    <x:row r="13" ht="26.399999618530273" hidden="0" customHeight="1">
      <x:c r="A13" s="102" t="str">
        <x:v>XP CURVE SCALES (applied to per-level XP DELTAS — L10/L11 transition smoothed in XP Curve)</x:v>
      </x:c>
      <x:c r="B13" s="102"/>
      <x:c r="C13" s="102"/>
      <x:c r="D13" s="102"/>
      <x:c r="E13" s="102"/>
      <x:c r="F13" s="102"/>
    </x:row>
    <x:row r="14" ht="15" hidden="0" customHeight="1">
      <x:c r="A14" s="118" t="str">
        <x:v>Early scale (L1-10)</x:v>
      </x:c>
      <x:c r="B14" s="118" t="n">
        <x:v>0.55</x:v>
      </x:c>
      <x:c r="C14" s="118"/>
      <x:c r="D14" s="118"/>
      <x:c r="E14" s="118"/>
      <x:c r="F14" s="118"/>
    </x:row>
    <x:row r="15" ht="15" hidden="0" customHeight="1">
      <x:c r="A15" s="118" t="str">
        <x:v>Mid scale (L11-30)</x:v>
      </x:c>
      <x:c r="B15" s="118" t="n">
        <x:v>0.7</x:v>
      </x:c>
      <x:c r="C15" s="118"/>
      <x:c r="D15" s="118"/>
      <x:c r="E15" s="118"/>
      <x:c r="F15" s="118"/>
    </x:row>
    <x:row r="16" ht="15" hidden="0" customHeight="1">
      <x:c r="A16" s="118" t="str">
        <x:v>Late scale (L31-70)</x:v>
      </x:c>
      <x:c r="B16" s="118" t="n">
        <x:v>0.85</x:v>
      </x:c>
      <x:c r="C16" s="118"/>
      <x:c r="D16" s="118"/>
      <x:c r="E16" s="118"/>
      <x:c r="F16" s="118"/>
    </x:row>
    <x:row r="17" ht="15" hidden="0" customHeight="1">
      <x:c r="A17" s="118"/>
      <x:c r="B17" s="118"/>
      <x:c r="C17" s="118"/>
      <x:c r="D17" s="118"/>
      <x:c r="E17" s="118"/>
      <x:c r="F17" s="118"/>
    </x:row>
    <x:row r="18" ht="15" hidden="0" customHeight="1">
      <x:c r="A18" s="102" t="str">
        <x:v>FISH LIFECYCLE</x:v>
      </x:c>
      <x:c r="B18" s="102"/>
      <x:c r="C18" s="102"/>
      <x:c r="D18" s="102"/>
      <x:c r="E18" s="102"/>
      <x:c r="F18" s="102"/>
    </x:row>
    <x:row r="19" ht="15" hidden="0" customHeight="1">
      <x:c r="A19" s="118" t="str">
        <x:v>Growth stages to adult</x:v>
      </x:c>
      <x:c r="B19" s="118" t="n">
        <x:v>4</x:v>
      </x:c>
      <x:c r="C19" s="118"/>
      <x:c r="D19" s="118"/>
      <x:c r="E19" s="118"/>
      <x:c r="F19" s="118"/>
    </x:row>
    <x:row r="20" ht="15" hidden="0" customHeight="1">
      <x:c r="A20" s="118" t="str">
        <x:v>Feed window (x stage time)</x:v>
      </x:c>
      <x:c r="B20" s="118" t="n">
        <x:v>2</x:v>
      </x:c>
      <x:c r="C20" s="118"/>
      <x:c r="D20" s="118"/>
      <x:c r="E20" s="118"/>
      <x:c r="F20" s="118"/>
    </x:row>
    <x:row r="21" ht="26.399999618530273" hidden="0" customHeight="1">
      <x:c r="A21" s="118" t="str">
        <x:v>Legacy fixed sick grace (hours; replaced by proportional model)</x:v>
      </x:c>
      <x:c r="B21" s="118" t="n">
        <x:v>6</x:v>
      </x:c>
      <x:c r="C21" s="118"/>
      <x:c r="D21" s="118"/>
      <x:c r="E21" s="118"/>
      <x:c r="F21" s="118"/>
    </x:row>
    <x:row r="22" ht="15" hidden="0" customHeight="1">
      <x:c r="A22" s="118" t="str">
        <x:v>Junior sell ratio (age 1)</x:v>
      </x:c>
      <x:c r="B22" s="118" t="n">
        <x:v>0.25</x:v>
      </x:c>
      <x:c r="C22" s="118"/>
      <x:c r="D22" s="118"/>
      <x:c r="E22" s="118"/>
      <x:c r="F22" s="118"/>
    </x:row>
    <x:row r="23" ht="15" hidden="0" customHeight="1">
      <x:c r="A23" s="118" t="str">
        <x:v>Young sell ratio (age 2)</x:v>
      </x:c>
      <x:c r="B23" s="118" t="n">
        <x:v>0.55</x:v>
      </x:c>
      <x:c r="C23" s="118"/>
      <x:c r="D23" s="118"/>
      <x:c r="E23" s="118"/>
      <x:c r="F23" s="118"/>
    </x:row>
    <x:row r="24" ht="15" hidden="0" customHeight="1">
      <x:c r="A24" s="118" t="str">
        <x:v>Mature sell ratio (age 3)</x:v>
      </x:c>
      <x:c r="B24" s="118" t="n">
        <x:v>0.8</x:v>
      </x:c>
      <x:c r="C24" s="118"/>
      <x:c r="D24" s="118"/>
      <x:c r="E24" s="118"/>
      <x:c r="F24" s="118"/>
    </x:row>
    <x:row r="25" ht="15" hidden="0" customHeight="1">
      <x:c r="A25" s="118" t="str">
        <x:v>Adult sell ratio (age 4)</x:v>
      </x:c>
      <x:c r="B25" s="118" t="n">
        <x:v>1</x:v>
      </x:c>
      <x:c r="C25" s="118"/>
      <x:c r="D25" s="118"/>
      <x:c r="E25" s="118"/>
      <x:c r="F25" s="118"/>
    </x:row>
    <x:row r="26" ht="15" hidden="0" customHeight="1">
      <x:c r="A26" s="118" t="str">
        <x:v>Legacy buy XP rate (not used by target-rate sheets)</x:v>
      </x:c>
      <x:c r="B26" s="118" t="n">
        <x:v>0.65</x:v>
      </x:c>
      <x:c r="C26" s="118"/>
      <x:c r="D26" s="118"/>
      <x:c r="E26" s="118"/>
      <x:c r="F26" s="118"/>
    </x:row>
    <x:row r="27" ht="15" hidden="0" customHeight="1">
      <x:c r="A27" s="118"/>
      <x:c r="B27" s="118"/>
      <x:c r="C27" s="118"/>
      <x:c r="D27" s="118"/>
      <x:c r="E27" s="118"/>
      <x:c r="F27" s="118"/>
    </x:row>
    <x:row r="28" ht="26.399999618530273" hidden="0" customHeight="1">
      <x:c r="A28" s="102" t="str">
        <x:v>GROWTH BANDS — legacy only; target-rate sheets use SCHEDULE FACTORS below</x:v>
      </x:c>
      <x:c r="B28" s="102"/>
      <x:c r="C28" s="102"/>
      <x:c r="D28" s="102"/>
      <x:c r="E28" s="102"/>
      <x:c r="F28" s="102"/>
    </x:row>
    <x:row r="29" ht="15" hidden="0" customHeight="1">
      <x:c r="A29" s="118" t="str">
        <x:v>Stage hrs &gt;=</x:v>
      </x:c>
      <x:c r="B29" s="118" t="str">
        <x:v>Band</x:v>
      </x:c>
      <x:c r="C29" s="118" t="str">
        <x:v>Legacy Sell coin x</x:v>
      </x:c>
      <x:c r="D29" s="118" t="str">
        <x:v>Legacy Sell XP x</x:v>
      </x:c>
      <x:c r="E29" s="118"/>
      <x:c r="F29" s="118"/>
    </x:row>
    <x:row r="30" ht="15" hidden="0" customHeight="1">
      <x:c r="A30" s="118" t="n">
        <x:v>0</x:v>
      </x:c>
      <x:c r="B30" s="118" t="str">
        <x:v>Flash</x:v>
      </x:c>
      <x:c r="C30" s="118" t="n">
        <x:v>10</x:v>
      </x:c>
      <x:c r="D30" s="118" t="n">
        <x:v>3</x:v>
      </x:c>
      <x:c r="E30" s="118"/>
      <x:c r="F30" s="118"/>
    </x:row>
    <x:row r="31" ht="15" hidden="0" customHeight="1">
      <x:c r="A31" s="118" t="n">
        <x:v>0.5</x:v>
      </x:c>
      <x:c r="B31" s="118" t="str">
        <x:v>Quick</x:v>
      </x:c>
      <x:c r="C31" s="118" t="n">
        <x:v>10</x:v>
      </x:c>
      <x:c r="D31" s="118" t="n">
        <x:v>3</x:v>
      </x:c>
      <x:c r="E31" s="118"/>
      <x:c r="F31" s="118"/>
    </x:row>
    <x:row r="32" ht="15" hidden="0" customHeight="1">
      <x:c r="A32" s="118" t="n">
        <x:v>2</x:v>
      </x:c>
      <x:c r="B32" s="118" t="str">
        <x:v>Standard</x:v>
      </x:c>
      <x:c r="C32" s="118" t="n">
        <x:v>10</x:v>
      </x:c>
      <x:c r="D32" s="118" t="n">
        <x:v>4</x:v>
      </x:c>
      <x:c r="E32" s="118"/>
      <x:c r="F32" s="118"/>
    </x:row>
    <x:row r="33" ht="15" hidden="0" customHeight="1">
      <x:c r="A33" s="118" t="n">
        <x:v>8</x:v>
      </x:c>
      <x:c r="B33" s="118" t="str">
        <x:v>Long</x:v>
      </x:c>
      <x:c r="C33" s="118" t="n">
        <x:v>10.4</x:v>
      </x:c>
      <x:c r="D33" s="118" t="n">
        <x:v>6</x:v>
      </x:c>
      <x:c r="E33" s="118"/>
      <x:c r="F33" s="118"/>
    </x:row>
    <x:row r="34" ht="15" hidden="0" customHeight="1">
      <x:c r="A34" s="118" t="n">
        <x:v>24</x:v>
      </x:c>
      <x:c r="B34" s="118" t="str">
        <x:v>Marathon</x:v>
      </x:c>
      <x:c r="C34" s="118" t="n">
        <x:v>10.8</x:v>
      </x:c>
      <x:c r="D34" s="118" t="n">
        <x:v>9</x:v>
      </x:c>
      <x:c r="E34" s="118"/>
      <x:c r="F34" s="118"/>
    </x:row>
    <x:row r="35" ht="15" hidden="0" customHeight="1">
      <x:c r="A35" s="118"/>
      <x:c r="B35" s="118"/>
      <x:c r="C35" s="118"/>
      <x:c r="D35" s="118"/>
      <x:c r="E35" s="118"/>
      <x:c r="F35" s="118"/>
    </x:row>
    <x:row r="36" ht="15" hidden="0" customHeight="1">
      <x:c r="A36" s="102" t="str">
        <x:v>RARITY UTILITY BUDGET (not raw power multiplier)</x:v>
      </x:c>
      <x:c r="B36" s="102"/>
      <x:c r="C36" s="102"/>
      <x:c r="D36" s="102"/>
      <x:c r="E36" s="102"/>
      <x:c r="F36" s="102"/>
    </x:row>
    <x:row r="37" ht="15" hidden="0" customHeight="1">
      <x:c r="A37" s="118" t="str">
        <x:v>Rarity</x:v>
      </x:c>
      <x:c r="B37" s="118" t="str">
        <x:v>Utility Budget</x:v>
      </x:c>
      <x:c r="C37" s="118"/>
      <x:c r="D37" s="118"/>
      <x:c r="E37" s="118"/>
      <x:c r="F37" s="118"/>
    </x:row>
    <x:row r="38" ht="15" hidden="0" customHeight="1">
      <x:c r="A38" s="118" t="str">
        <x:v>Common</x:v>
      </x:c>
      <x:c r="B38" s="118" t="n">
        <x:v>0</x:v>
      </x:c>
      <x:c r="C38" s="118"/>
      <x:c r="D38" s="118"/>
      <x:c r="E38" s="118"/>
      <x:c r="F38" s="118"/>
    </x:row>
    <x:row r="39" ht="15" hidden="0" customHeight="1">
      <x:c r="A39" s="118" t="str">
        <x:v>Uncommon</x:v>
      </x:c>
      <x:c r="B39" s="118" t="n">
        <x:v>0.04</x:v>
      </x:c>
      <x:c r="C39" s="118"/>
      <x:c r="D39" s="118"/>
      <x:c r="E39" s="118"/>
      <x:c r="F39" s="118"/>
    </x:row>
    <x:row r="40" ht="15" hidden="0" customHeight="1">
      <x:c r="A40" s="118" t="str">
        <x:v>Rare</x:v>
      </x:c>
      <x:c r="B40" s="118" t="n">
        <x:v>0.08</x:v>
      </x:c>
      <x:c r="C40" s="118"/>
      <x:c r="D40" s="118"/>
      <x:c r="E40" s="118"/>
      <x:c r="F40" s="118"/>
    </x:row>
    <x:row r="41" ht="15" hidden="0" customHeight="1">
      <x:c r="A41" s="118" t="str">
        <x:v>Epic</x:v>
      </x:c>
      <x:c r="B41" s="118" t="n">
        <x:v>0.12</x:v>
      </x:c>
      <x:c r="C41" s="118"/>
      <x:c r="D41" s="118"/>
      <x:c r="E41" s="118"/>
      <x:c r="F41" s="118"/>
    </x:row>
    <x:row r="42" ht="15" hidden="0" customHeight="1">
      <x:c r="A42" s="118" t="str">
        <x:v>Legendary</x:v>
      </x:c>
      <x:c r="B42" s="118" t="n">
        <x:v>0.16</x:v>
      </x:c>
      <x:c r="C42" s="118"/>
      <x:c r="D42" s="118"/>
      <x:c r="E42" s="118"/>
      <x:c r="F42" s="118"/>
    </x:row>
    <x:row r="43" ht="15" hidden="0" customHeight="1">
      <x:c r="A43" s="118" t="str">
        <x:v>Limited</x:v>
      </x:c>
      <x:c r="B43" s="118" t="n">
        <x:v>0.08</x:v>
      </x:c>
      <x:c r="C43" s="118"/>
      <x:c r="D43" s="118"/>
      <x:c r="E43" s="118"/>
      <x:c r="F43" s="118"/>
    </x:row>
    <x:row r="44" ht="15" hidden="0" customHeight="1">
      <x:c r="A44" s="118" t="str">
        <x:v>Premium</x:v>
      </x:c>
      <x:c r="B44" s="118" t="n">
        <x:v>0</x:v>
      </x:c>
      <x:c r="C44" s="118"/>
      <x:c r="D44" s="118"/>
      <x:c r="E44" s="118"/>
      <x:c r="F44" s="118"/>
    </x:row>
    <x:row r="45" ht="15" hidden="0" customHeight="1">
      <x:c r="A45" s="118"/>
      <x:c r="B45" s="118"/>
      <x:c r="C45" s="118"/>
      <x:c r="D45" s="118"/>
      <x:c r="E45" s="118"/>
      <x:c r="F45" s="118"/>
    </x:row>
    <x:row r="46" ht="15" hidden="0" customHeight="1">
      <x:c r="A46" s="102" t="str">
        <x:v>PREMIUM (PEARL) ECONOMY</x:v>
      </x:c>
      <x:c r="B46" s="102"/>
      <x:c r="C46" s="102"/>
      <x:c r="D46" s="102"/>
      <x:c r="E46" s="102"/>
      <x:c r="F46" s="102"/>
    </x:row>
    <x:row r="47" ht="15" hidden="0" customHeight="1">
      <x:c r="A47" s="118" t="str">
        <x:v>Coin value per pearl (base sell)</x:v>
      </x:c>
      <x:c r="B47" s="118" t="n">
        <x:v>850</x:v>
      </x:c>
      <x:c r="C47" s="118"/>
      <x:c r="D47" s="118"/>
      <x:c r="E47" s="118"/>
      <x:c r="F47" s="118"/>
    </x:row>
    <x:row r="48" ht="15" hidden="0" customHeight="1">
      <x:c r="A48" s="118" t="str">
        <x:v>Sell XP per pearl (base)</x:v>
      </x:c>
      <x:c r="B48" s="118" t="n">
        <x:v>180</x:v>
      </x:c>
      <x:c r="C48" s="118"/>
      <x:c r="D48" s="118"/>
      <x:c r="E48" s="118"/>
      <x:c r="F48" s="118"/>
    </x:row>
    <x:row r="49" ht="15" hidden="0" customHeight="1">
      <x:c r="A49" s="118" t="str">
        <x:v>Buy XP per pearl</x:v>
      </x:c>
      <x:c r="B49" s="118" t="n">
        <x:v>20</x:v>
      </x:c>
      <x:c r="C49" s="118"/>
      <x:c r="D49" s="118"/>
      <x:c r="E49" s="118"/>
      <x:c r="F49" s="118"/>
    </x:row>
    <x:row r="50" ht="15" hidden="0" customHeight="1">
      <x:c r="A50" s="118"/>
      <x:c r="B50" s="118"/>
      <x:c r="C50" s="118"/>
      <x:c r="D50" s="118"/>
      <x:c r="E50" s="118"/>
      <x:c r="F50" s="118"/>
    </x:row>
    <x:row r="51" ht="15" hidden="0" customHeight="1">
      <x:c r="A51" s="102" t="str">
        <x:v>PREMIUM GROWTH BANDS (payout x by stage hrs)</x:v>
      </x:c>
      <x:c r="B51" s="102"/>
      <x:c r="C51" s="102"/>
      <x:c r="D51" s="102"/>
      <x:c r="E51" s="102"/>
      <x:c r="F51" s="102"/>
    </x:row>
    <x:row r="52" ht="15" hidden="0" customHeight="1">
      <x:c r="A52" s="118" t="str">
        <x:v>Stage hrs &gt;=</x:v>
      </x:c>
      <x:c r="B52" s="118" t="str">
        <x:v>Payout x</x:v>
      </x:c>
      <x:c r="C52" s="118"/>
      <x:c r="D52" s="118"/>
      <x:c r="E52" s="118"/>
      <x:c r="F52" s="118"/>
    </x:row>
    <x:row r="53" ht="15" hidden="0" customHeight="1">
      <x:c r="A53" s="118" t="n">
        <x:v>0</x:v>
      </x:c>
      <x:c r="B53" s="118" t="n">
        <x:v>1</x:v>
      </x:c>
      <x:c r="C53" s="118"/>
      <x:c r="D53" s="118"/>
      <x:c r="E53" s="118"/>
      <x:c r="F53" s="118"/>
    </x:row>
    <x:row r="54" ht="15" hidden="0" customHeight="1">
      <x:c r="A54" s="118" t="n">
        <x:v>2</x:v>
      </x:c>
      <x:c r="B54" s="118" t="n">
        <x:v>1.05</x:v>
      </x:c>
      <x:c r="C54" s="118"/>
      <x:c r="D54" s="118"/>
      <x:c r="E54" s="118"/>
      <x:c r="F54" s="118"/>
    </x:row>
    <x:row r="55" ht="15" hidden="0" customHeight="1">
      <x:c r="A55" s="118" t="n">
        <x:v>8</x:v>
      </x:c>
      <x:c r="B55" s="118" t="n">
        <x:v>1.1</x:v>
      </x:c>
      <x:c r="C55" s="118"/>
      <x:c r="D55" s="118"/>
      <x:c r="E55" s="118"/>
      <x:c r="F55" s="118"/>
    </x:row>
    <x:row r="56" ht="15" hidden="0" customHeight="1">
      <x:c r="A56" s="118" t="n">
        <x:v>24</x:v>
      </x:c>
      <x:c r="B56" s="118" t="n">
        <x:v>1.18</x:v>
      </x:c>
      <x:c r="C56" s="118"/>
      <x:c r="D56" s="118"/>
      <x:c r="E56" s="118"/>
      <x:c r="F56" s="118"/>
    </x:row>
    <x:row r="57" ht="15" hidden="0" customHeight="1">
      <x:c r="A57" s="118"/>
      <x:c r="B57" s="118"/>
      <x:c r="C57" s="118"/>
      <x:c r="D57" s="118"/>
      <x:c r="E57" s="118"/>
      <x:c r="F57" s="118"/>
    </x:row>
    <x:row r="58" ht="15" hidden="0" customHeight="1">
      <x:c r="A58" s="118" t="str">
        <x:v>Limited-edition bonus (pearl LE fish)</x:v>
      </x:c>
      <x:c r="B58" s="118" t="n">
        <x:v>1.08</x:v>
      </x:c>
      <x:c r="C58" s="118"/>
      <x:c r="D58" s="118"/>
      <x:c r="E58" s="118"/>
      <x:c r="F58" s="118"/>
    </x:row>
    <x:row r="59" ht="15" hidden="0" customHeight="1">
      <x:c r="A59" s="118"/>
      <x:c r="B59" s="118"/>
      <x:c r="C59" s="118"/>
      <x:c r="D59" s="118"/>
      <x:c r="E59" s="118"/>
      <x:c r="F59" s="118"/>
    </x:row>
    <x:row r="60" ht="15" hidden="0" customHeight="1">
      <x:c r="A60" s="102" t="str">
        <x:v>LIVE OPS / QUESTS</x:v>
      </x:c>
      <x:c r="B60" s="102"/>
      <x:c r="C60" s="102"/>
      <x:c r="D60" s="102"/>
      <x:c r="E60" s="102"/>
      <x:c r="F60" s="102"/>
    </x:row>
    <x:row r="61" ht="15" hidden="0" customHeight="1">
      <x:c r="A61" s="118" t="str">
        <x:v>Daily mission XP (legacy fallback)</x:v>
      </x:c>
      <x:c r="B61" s="118" t="n">
        <x:v>120</x:v>
      </x:c>
      <x:c r="C61" s="118"/>
      <x:c r="D61" s="118"/>
      <x:c r="E61" s="118"/>
      <x:c r="F61" s="118"/>
    </x:row>
    <x:row r="62" ht="15" hidden="0" customHeight="1">
      <x:c r="A62" s="118" t="str">
        <x:v>Daily mission coins (legacy fallback)</x:v>
      </x:c>
      <x:c r="B62" s="118" t="n">
        <x:v>85</x:v>
      </x:c>
      <x:c r="C62" s="118"/>
      <x:c r="D62" s="118"/>
      <x:c r="E62" s="118"/>
      <x:c r="F62" s="118"/>
    </x:row>
    <x:row r="63" ht="15" hidden="0" customHeight="1">
      <x:c r="A63" s="118" t="str">
        <x:v>Max free tank capacity</x:v>
      </x:c>
      <x:c r="B63" s="118" t="n">
        <x:v>40</x:v>
      </x:c>
      <x:c r="C63" s="118"/>
      <x:c r="D63" s="118"/>
      <x:c r="E63" s="118"/>
      <x:c r="F63" s="118"/>
    </x:row>
    <x:row r="64" ht="15" hidden="0" customHeight="1">
      <x:c r="A64" s="118"/>
      <x:c r="B64" s="118"/>
      <x:c r="C64" s="118"/>
      <x:c r="D64" s="118"/>
      <x:c r="E64" s="118"/>
      <x:c r="F64" s="118"/>
    </x:row>
    <x:row r="65" ht="39.599998474121094" hidden="0" customHeight="1">
      <x:c r="A65" s="102" t="str">
        <x:v>LEGEND: yellow cells are tunable inputs; blue tables are balancing weights; formulas should not be overwritten.</x:v>
      </x:c>
      <x:c r="B65" s="102"/>
      <x:c r="C65" s="102"/>
      <x:c r="D65" s="102"/>
      <x:c r="E65" s="102"/>
      <x:c r="F65" s="102"/>
    </x:row>
    <x:row r="66" ht="15" hidden="0" customHeight="1">
      <x:c r="A66" s="118"/>
      <x:c r="B66" s="118"/>
      <x:c r="C66" s="118"/>
      <x:c r="D66" s="118"/>
      <x:c r="E66" s="118"/>
      <x:c r="F66" s="118"/>
    </x:row>
    <x:row r="67" ht="15" hidden="0" customHeight="1">
      <x:c r="A67" s="102" t="str">
        <x:v>TARGET RATE FRONTIER</x:v>
      </x:c>
      <x:c r="B67" s="102"/>
      <x:c r="C67" s="102"/>
      <x:c r="D67" s="102"/>
      <x:c r="E67" s="102"/>
      <x:c r="F67" s="102"/>
    </x:row>
    <x:row r="68" ht="15" hidden="0" customHeight="1">
      <x:c r="A68" s="118" t="str">
        <x:v>Min level for interpolation</x:v>
      </x:c>
      <x:c r="B68" s="118" t="n">
        <x:v>1</x:v>
      </x:c>
      <x:c r="C68" s="118"/>
      <x:c r="D68" s="118"/>
      <x:c r="E68" s="118"/>
      <x:c r="F68" s="118"/>
    </x:row>
    <x:row r="69" ht="15" hidden="0" customHeight="1">
      <x:c r="A69" s="118" t="str">
        <x:v>Max level for interpolation</x:v>
      </x:c>
      <x:c r="B69" s="118" t="n">
        <x:v>70</x:v>
      </x:c>
      <x:c r="C69" s="118"/>
      <x:c r="D69" s="118"/>
      <x:c r="E69" s="118"/>
      <x:c r="F69" s="118"/>
    </x:row>
    <x:row r="70" ht="15" hidden="0" customHeight="1">
      <x:c r="A70" s="118" t="str">
        <x:v>Active coins/hr at L1</x:v>
      </x:c>
      <x:c r="B70" s="118" t="n">
        <x:v>190</x:v>
      </x:c>
      <x:c r="C70" s="118"/>
      <x:c r="D70" s="118"/>
      <x:c r="E70" s="118"/>
      <x:c r="F70" s="118"/>
    </x:row>
    <x:row r="71" ht="15" hidden="0" customHeight="1">
      <x:c r="A71" s="118" t="str">
        <x:v>Active coins/hr at L70</x:v>
      </x:c>
      <x:c r="B71" s="118" t="n">
        <x:v>585</x:v>
      </x:c>
      <x:c r="C71" s="118"/>
      <x:c r="D71" s="118"/>
      <x:c r="E71" s="118"/>
      <x:c r="F71" s="118"/>
    </x:row>
    <x:row r="72" ht="15" hidden="0" customHeight="1">
      <x:c r="A72" s="118" t="str">
        <x:v>Active XP/hr at L1</x:v>
      </x:c>
      <x:c r="B72" s="118" t="n">
        <x:v>60</x:v>
      </x:c>
      <x:c r="C72" s="118"/>
      <x:c r="D72" s="118"/>
      <x:c r="E72" s="118"/>
      <x:c r="F72" s="118"/>
    </x:row>
    <x:row r="73" ht="15" hidden="0" customHeight="1">
      <x:c r="A73" s="118" t="str">
        <x:v>Active XP/hr at L70</x:v>
      </x:c>
      <x:c r="B73" s="118" t="n">
        <x:v>150</x:v>
      </x:c>
      <x:c r="C73" s="118"/>
      <x:c r="D73" s="118"/>
      <x:c r="E73" s="118"/>
      <x:c r="F73" s="118"/>
    </x:row>
    <x:row r="74" ht="15" hidden="0" customHeight="1">
      <x:c r="A74" s="118" t="str">
        <x:v>Buy XP share of full-cycle XP</x:v>
      </x:c>
      <x:c r="B74" s="118" t="n">
        <x:v>0.08</x:v>
      </x:c>
      <x:c r="C74" s="118"/>
      <x:c r="D74" s="118"/>
      <x:c r="E74" s="118"/>
      <x:c r="F74" s="118"/>
    </x:row>
    <x:row r="75" ht="15" hidden="0" customHeight="1">
      <x:c r="A75" s="118" t="str">
        <x:v>Sick grace % of feed window</x:v>
      </x:c>
      <x:c r="B75" s="118" t="n">
        <x:v>0.25</x:v>
      </x:c>
      <x:c r="C75" s="118"/>
      <x:c r="D75" s="118"/>
      <x:c r="E75" s="118"/>
      <x:c r="F75" s="118"/>
    </x:row>
    <x:row r="76" ht="15" hidden="0" customHeight="1">
      <x:c r="A76" s="118" t="str">
        <x:v>Minimum sick grace (hrs)</x:v>
      </x:c>
      <x:c r="B76" s="118" t="n">
        <x:v>0.5</x:v>
      </x:c>
      <x:c r="C76" s="118"/>
      <x:c r="D76" s="118"/>
      <x:c r="E76" s="118"/>
      <x:c r="F76" s="118"/>
    </x:row>
    <x:row r="77" ht="15" hidden="0" customHeight="1">
      <x:c r="A77" s="118" t="str">
        <x:v>Maximum sick grace (hrs)</x:v>
      </x:c>
      <x:c r="B77" s="118" t="n">
        <x:v>24</x:v>
      </x:c>
      <x:c r="C77" s="118"/>
      <x:c r="D77" s="118"/>
      <x:c r="E77" s="118"/>
      <x:c r="F77" s="118"/>
    </x:row>
    <x:row r="78" ht="15" hidden="0" customHeight="1">
      <x:c r="A78" s="118" t="str">
        <x:v>Daily quest XP pool % of next level</x:v>
      </x:c>
      <x:c r="B78" s="118" t="n">
        <x:v>0.1</x:v>
      </x:c>
      <x:c r="C78" s="118"/>
      <x:c r="D78" s="118"/>
      <x:c r="E78" s="118"/>
      <x:c r="F78" s="118"/>
    </x:row>
    <x:row r="79" ht="15" hidden="0" customHeight="1">
      <x:c r="A79" s="118" t="str">
        <x:v>Weekly quest XP pool % of next level</x:v>
      </x:c>
      <x:c r="B79" s="118" t="n">
        <x:v>0.45</x:v>
      </x:c>
      <x:c r="C79" s="118"/>
      <x:c r="D79" s="118"/>
      <x:c r="E79" s="118"/>
      <x:c r="F79" s="118"/>
    </x:row>
    <x:row r="80" ht="15" hidden="0" customHeight="1">
      <x:c r="A80" s="118" t="str">
        <x:v>Daily quest coins % of estimated daily income</x:v>
      </x:c>
      <x:c r="B80" s="118" t="n">
        <x:v>0.07</x:v>
      </x:c>
      <x:c r="C80" s="118"/>
      <x:c r="D80" s="118"/>
      <x:c r="E80" s="118"/>
      <x:c r="F80" s="118"/>
    </x:row>
    <x:row r="81" ht="15" hidden="0" customHeight="1">
      <x:c r="A81" s="118" t="str">
        <x:v>Core effective coin utilization of 24h</x:v>
      </x:c>
      <x:c r="B81" s="118" t="n">
        <x:v>0.08</x:v>
      </x:c>
      <x:c r="C81" s="118"/>
      <x:c r="D81" s="118"/>
      <x:c r="E81" s="118"/>
      <x:c r="F81" s="118"/>
    </x:row>
    <x:row r="82" ht="15" hidden="0" customHeight="1">
      <x:c r="A82" s="118" t="str">
        <x:v>Core effective XP utilization of 24h</x:v>
      </x:c>
      <x:c r="B82" s="118" t="n">
        <x:v>0.08</x:v>
      </x:c>
      <x:c r="C82" s="118"/>
      <x:c r="D82" s="118"/>
      <x:c r="E82" s="118"/>
      <x:c r="F82" s="118"/>
    </x:row>
    <x:row r="83" ht="15" hidden="0" customHeight="1">
      <x:c r="A83" s="118" t="str">
        <x:v>Recurring sink target % gross income</x:v>
      </x:c>
      <x:c r="B83" s="118" t="n">
        <x:v>0.12</x:v>
      </x:c>
      <x:c r="C83" s="118"/>
      <x:c r="D83" s="118"/>
      <x:c r="E83" s="118"/>
      <x:c r="F83" s="118"/>
    </x:row>
    <x:row r="84" ht="15" hidden="0" customHeight="1">
      <x:c r="A84" s="118"/>
      <x:c r="B84" s="118"/>
      <x:c r="C84" s="118"/>
      <x:c r="D84" s="118"/>
      <x:c r="E84" s="118"/>
      <x:c r="F84" s="118"/>
    </x:row>
    <x:row r="85" ht="26.399999618530273" hidden="0" customHeight="1">
      <x:c r="A85" s="102" t="str">
        <x:v>SCHEDULE FACTORS — long fish lower hourly rate, higher convenience/action value</x:v>
      </x:c>
      <x:c r="B85" s="102"/>
      <x:c r="C85" s="102"/>
      <x:c r="D85" s="102"/>
      <x:c r="E85" s="102"/>
      <x:c r="F85" s="102"/>
    </x:row>
    <x:row r="86" ht="15" hidden="0" customHeight="1">
      <x:c r="A86" s="118" t="str">
        <x:v>Stage hrs &gt;=</x:v>
      </x:c>
      <x:c r="B86" s="118" t="str">
        <x:v>Band</x:v>
      </x:c>
      <x:c r="C86" s="118" t="str">
        <x:v>Coin Factor</x:v>
      </x:c>
      <x:c r="D86" s="118" t="str">
        <x:v>XP Factor</x:v>
      </x:c>
      <x:c r="E86" s="118"/>
      <x:c r="F86" s="118"/>
    </x:row>
    <x:row r="87" ht="15" hidden="0" customHeight="1">
      <x:c r="A87" s="118" t="n">
        <x:v>0</x:v>
      </x:c>
      <x:c r="B87" s="118" t="str">
        <x:v>Flash / 5 min</x:v>
      </x:c>
      <x:c r="C87" s="118" t="n">
        <x:v>1</x:v>
      </x:c>
      <x:c r="D87" s="118" t="n">
        <x:v>1</x:v>
      </x:c>
      <x:c r="E87" s="118"/>
      <x:c r="F87" s="118"/>
    </x:row>
    <x:row r="88" ht="15" hidden="0" customHeight="1">
      <x:c r="A88" s="118" t="n">
        <x:v>0.5</x:v>
      </x:c>
      <x:c r="B88" s="118" t="str">
        <x:v>Quick / 30 min</x:v>
      </x:c>
      <x:c r="C88" s="118" t="n">
        <x:v>0.38</x:v>
      </x:c>
      <x:c r="D88" s="118" t="n">
        <x:v>0.5</x:v>
      </x:c>
      <x:c r="E88" s="118"/>
      <x:c r="F88" s="118"/>
    </x:row>
    <x:row r="89" ht="26.399999618530273" hidden="0" customHeight="1">
      <x:c r="A89" s="118" t="n">
        <x:v>2</x:v>
      </x:c>
      <x:c r="B89" s="118" t="str">
        <x:v>Short session / 2 h</x:v>
      </x:c>
      <x:c r="C89" s="118" t="n">
        <x:v>0.24</x:v>
      </x:c>
      <x:c r="D89" s="118" t="n">
        <x:v>0.42</x:v>
      </x:c>
      <x:c r="E89" s="118"/>
      <x:c r="F89" s="118"/>
    </x:row>
    <x:row r="90" ht="15" hidden="0" customHeight="1">
      <x:c r="A90" s="118" t="n">
        <x:v>4</x:v>
      </x:c>
      <x:c r="B90" s="118" t="str">
        <x:v>Session / 4-5 h</x:v>
      </x:c>
      <x:c r="C90" s="118" t="n">
        <x:v>0.105</x:v>
      </x:c>
      <x:c r="D90" s="118" t="n">
        <x:v>0.16</x:v>
      </x:c>
      <x:c r="E90" s="118"/>
      <x:c r="F90" s="118"/>
    </x:row>
    <x:row r="91" ht="15" hidden="0" customHeight="1">
      <x:c r="A91" s="118" t="n">
        <x:v>6</x:v>
      </x:c>
      <x:c r="B91" s="118" t="str">
        <x:v>Long session / 6 h</x:v>
      </x:c>
      <x:c r="C91" s="118" t="n">
        <x:v>0.1</x:v>
      </x:c>
      <x:c r="D91" s="118" t="n">
        <x:v>0.15</x:v>
      </x:c>
      <x:c r="E91" s="118"/>
      <x:c r="F91" s="118"/>
    </x:row>
    <x:row r="92" ht="15" hidden="0" customHeight="1">
      <x:c r="A92" s="118" t="n">
        <x:v>8</x:v>
      </x:c>
      <x:c r="B92" s="118" t="str">
        <x:v>Half-day / 8-10 h</x:v>
      </x:c>
      <x:c r="C92" s="118" t="n">
        <x:v>0.09</x:v>
      </x:c>
      <x:c r="D92" s="118" t="n">
        <x:v>0.14</x:v>
      </x:c>
      <x:c r="E92" s="118"/>
      <x:c r="F92" s="118"/>
    </x:row>
    <x:row r="93" ht="26.399999618530273" hidden="0" customHeight="1">
      <x:c r="A93" s="118" t="n">
        <x:v>12</x:v>
      </x:c>
      <x:c r="B93" s="118" t="str">
        <x:v>Daily window / 12-20 h</x:v>
      </x:c>
      <x:c r="C93" s="118" t="n">
        <x:v>0.065</x:v>
      </x:c>
      <x:c r="D93" s="118" t="n">
        <x:v>0.13</x:v>
      </x:c>
      <x:c r="E93" s="118"/>
      <x:c r="F93" s="118"/>
    </x:row>
    <x:row r="94" ht="15" hidden="0" customHeight="1">
      <x:c r="A94" s="118" t="n">
        <x:v>24</x:v>
      </x:c>
      <x:c r="B94" s="118" t="str">
        <x:v>Overnight / 24 h</x:v>
      </x:c>
      <x:c r="C94" s="118" t="n">
        <x:v>0.055</x:v>
      </x:c>
      <x:c r="D94" s="118" t="n">
        <x:v>0.12</x:v>
      </x:c>
      <x:c r="E94" s="118"/>
      <x:c r="F94" s="118"/>
    </x:row>
    <x:row r="95" ht="15" hidden="0" customHeight="1">
      <x:c r="A95" s="118" t="n">
        <x:v>36</x:v>
      </x:c>
      <x:c r="B95" s="118" t="str">
        <x:v>Marathon / 36 h</x:v>
      </x:c>
      <x:c r="C95" s="118" t="n">
        <x:v>0.07</x:v>
      </x:c>
      <x:c r="D95" s="118" t="n">
        <x:v>0.11</x:v>
      </x:c>
      <x:c r="E95" s="118"/>
      <x:c r="F95" s="118"/>
    </x:row>
    <x:row r="96" ht="15" hidden="0" customHeight="1">
      <x:c r="A96" s="118" t="n">
        <x:v>48</x:v>
      </x:c>
      <x:c r="B96" s="118" t="str">
        <x:v>Marathon+ / 48 h</x:v>
      </x:c>
      <x:c r="C96" s="118" t="n">
        <x:v>0.075</x:v>
      </x:c>
      <x:c r="D96" s="118" t="n">
        <x:v>0.1</x:v>
      </x:c>
      <x:c r="E96" s="118"/>
      <x:c r="F96" s="118"/>
    </x:row>
    <x:row r="97" ht="15" hidden="0" customHeight="1">
      <x:c r="A97" s="118"/>
      <x:c r="B97" s="118"/>
      <x:c r="C97" s="118"/>
      <x:c r="D97" s="118"/>
      <x:c r="E97" s="118"/>
      <x:c r="F97" s="118"/>
    </x:row>
    <x:row r="98" ht="26.399999618530273" hidden="0" customHeight="1">
      <x:c r="A98" s="102" t="str">
        <x:v>ROLE ECONOMIC WEIGHTS — rarity budget is split by role, never applied fully to both coins and XP</x:v>
      </x:c>
      <x:c r="B98" s="102"/>
      <x:c r="C98" s="102"/>
      <x:c r="D98" s="102"/>
      <x:c r="E98" s="102"/>
      <x:c r="F98" s="102"/>
    </x:row>
    <x:row r="99" ht="15" hidden="0" customHeight="1">
      <x:c r="A99" s="118" t="str">
        <x:v>Role</x:v>
      </x:c>
      <x:c r="B99" s="118" t="str">
        <x:v>Coin Weight</x:v>
      </x:c>
      <x:c r="C99" s="118" t="str">
        <x:v>XP Weight</x:v>
      </x:c>
      <x:c r="D99" s="118" t="str">
        <x:v>Rarity Coin Share</x:v>
      </x:c>
      <x:c r="E99" s="118" t="str">
        <x:v>Rarity XP Share</x:v>
      </x:c>
      <x:c r="F99" s="118" t="str">
        <x:v>Design Intent</x:v>
      </x:c>
    </x:row>
    <x:row r="100" ht="15" hidden="0" customHeight="1">
      <x:c r="A100" s="118" t="str">
        <x:v>Starter</x:v>
      </x:c>
      <x:c r="B100" s="118" t="n">
        <x:v>1</x:v>
      </x:c>
      <x:c r="C100" s="118" t="n">
        <x:v>1</x:v>
      </x:c>
      <x:c r="D100" s="118" t="n">
        <x:v>0</x:v>
      </x:c>
      <x:c r="E100" s="118" t="n">
        <x:v>0</x:v>
      </x:c>
      <x:c r="F100" s="118" t="str">
        <x:v>Exact early FishVille-like tutorial baseline</x:v>
      </x:c>
    </x:row>
    <x:row r="101" ht="15" hidden="0" customHeight="1">
      <x:c r="A101" s="118" t="str">
        <x:v>Balanced</x:v>
      </x:c>
      <x:c r="B101" s="118" t="n">
        <x:v>1</x:v>
      </x:c>
      <x:c r="C101" s="118" t="n">
        <x:v>1</x:v>
      </x:c>
      <x:c r="D101" s="118" t="n">
        <x:v>0.25</x:v>
      </x:c>
      <x:c r="E101" s="118" t="n">
        <x:v>0.25</x:v>
      </x:c>
      <x:c r="F101" s="118" t="str">
        <x:v>Default session fish; never best at everything</x:v>
      </x:c>
    </x:row>
    <x:row r="102" ht="15" hidden="0" customHeight="1">
      <x:c r="A102" s="118" t="str">
        <x:v>Coin Specialist</x:v>
      </x:c>
      <x:c r="B102" s="118" t="n">
        <x:v>1.05</x:v>
      </x:c>
      <x:c r="C102" s="118" t="n">
        <x:v>0.9</x:v>
      </x:c>
      <x:c r="D102" s="118" t="n">
        <x:v>1</x:v>
      </x:c>
      <x:c r="E102" s="118" t="n">
        <x:v>0.1</x:v>
      </x:c>
      <x:c r="F102" s="118" t="str">
        <x:v>Higher coin output, weaker XP</x:v>
      </x:c>
    </x:row>
    <x:row r="103" ht="15" hidden="0" customHeight="1">
      <x:c r="A103" s="118" t="str">
        <x:v>XP Specialist</x:v>
      </x:c>
      <x:c r="B103" s="118" t="n">
        <x:v>0.9</x:v>
      </x:c>
      <x:c r="C103" s="118" t="n">
        <x:v>1.2</x:v>
      </x:c>
      <x:c r="D103" s="118" t="n">
        <x:v>0.1</x:v>
      </x:c>
      <x:c r="E103" s="118" t="n">
        <x:v>1</x:v>
      </x:c>
      <x:c r="F103" s="118" t="str">
        <x:v>Higher XP output, weaker coins</x:v>
      </x:c>
    </x:row>
    <x:row r="104" ht="15" hidden="0" customHeight="1">
      <x:c r="A104" s="118" t="str">
        <x:v>Payout</x:v>
      </x:c>
      <x:c r="B104" s="118" t="n">
        <x:v>1.05</x:v>
      </x:c>
      <x:c r="C104" s="118" t="n">
        <x:v>0.95</x:v>
      </x:c>
      <x:c r="D104" s="118" t="n">
        <x:v>0.75</x:v>
      </x:c>
      <x:c r="E104" s="118" t="n">
        <x:v>0.25</x:v>
      </x:c>
      <x:c r="F104" s="118" t="str">
        <x:v>Large individual harvests, not top hourly rate</x:v>
      </x:c>
    </x:row>
    <x:row r="105" ht="15" hidden="0" customHeight="1">
      <x:c r="A105" s="118" t="str">
        <x:v>Convenience</x:v>
      </x:c>
      <x:c r="B105" s="118" t="n">
        <x:v>0.95</x:v>
      </x:c>
      <x:c r="C105" s="118" t="n">
        <x:v>1.05</x:v>
      </x:c>
      <x:c r="D105" s="118" t="n">
        <x:v>0.1</x:v>
      </x:c>
      <x:c r="E105" s="118" t="n">
        <x:v>0.75</x:v>
      </x:c>
      <x:c r="F105" s="118" t="str">
        <x:v>Low attention, resilient, slightly better XP/action</x:v>
      </x:c>
    </x:row>
    <x:row r="106" ht="15" hidden="0" customHeight="1">
      <x:c r="A106" s="118" t="str">
        <x:v>Collection</x:v>
      </x:c>
      <x:c r="B106" s="118" t="n">
        <x:v>0.9</x:v>
      </x:c>
      <x:c r="C106" s="118" t="n">
        <x:v>1</x:v>
      </x:c>
      <x:c r="D106" s="118" t="n">
        <x:v>0.1</x:v>
      </x:c>
      <x:c r="E106" s="118" t="n">
        <x:v>0.3</x:v>
      </x:c>
      <x:c r="F106" s="118" t="str">
        <x:v>Completes chapters and aquarium sets</x:v>
      </x:c>
    </x:row>
    <x:row r="107" ht="15" hidden="0" customHeight="1">
      <x:c r="A107" s="118" t="str">
        <x:v>Prestige</x:v>
      </x:c>
      <x:c r="B107" s="118" t="n">
        <x:v>1</x:v>
      </x:c>
      <x:c r="C107" s="118" t="n">
        <x:v>1.05</x:v>
      </x:c>
      <x:c r="D107" s="118" t="n">
        <x:v>0.5</x:v>
      </x:c>
      <x:c r="E107" s="118" t="n">
        <x:v>0.5</x:v>
      </x:c>
      <x:c r="F107" s="118" t="str">
        <x:v>Beauty/capstone role with modest efficiency</x:v>
      </x:c>
    </x:row>
    <x:row r="108" ht="15" hidden="0" customHeight="1">
      <x:c r="A108" s="118"/>
      <x:c r="B108" s="118"/>
      <x:c r="C108" s="118"/>
      <x:c r="D108" s="118"/>
      <x:c r="E108" s="118"/>
      <x:c r="F108" s="118"/>
    </x:row>
    <x:row r="109" ht="39.599998474121094" hidden="0" customHeight="1">
      <x:c r="A109" s="102" t="str">
        <x:v>PREMIUM ROLE WEIGHTS — premium sells cosmetics, convenience and collection, not dominant F2P production</x:v>
      </x:c>
      <x:c r="B109" s="102"/>
      <x:c r="C109" s="102"/>
      <x:c r="D109" s="102"/>
      <x:c r="E109" s="102"/>
      <x:c r="F109" s="102"/>
    </x:row>
    <x:row r="110" ht="15" hidden="0" customHeight="1">
      <x:c r="A110" s="118" t="str">
        <x:v>Premium Role</x:v>
      </x:c>
      <x:c r="B110" s="118" t="str">
        <x:v>Coin Weight</x:v>
      </x:c>
      <x:c r="C110" s="118" t="str">
        <x:v>XP Weight</x:v>
      </x:c>
      <x:c r="D110" s="118"/>
      <x:c r="E110" s="118"/>
      <x:c r="F110" s="118" t="str">
        <x:v>Design Intent</x:v>
      </x:c>
    </x:row>
    <x:row r="111" ht="15" hidden="0" customHeight="1">
      <x:c r="A111" s="118" t="str">
        <x:v>Tutorial</x:v>
      </x:c>
      <x:c r="B111" s="118" t="n">
        <x:v>0.65</x:v>
      </x:c>
      <x:c r="C111" s="118" t="n">
        <x:v>1</x:v>
      </x:c>
      <x:c r="D111" s="118"/>
      <x:c r="E111" s="118"/>
      <x:c r="F111" s="118" t="str">
        <x:v>L2 one-time teaching purchase; no early coin arbitrage</x:v>
      </x:c>
    </x:row>
    <x:row r="112" ht="15" hidden="0" customHeight="1">
      <x:c r="A112" s="118" t="str">
        <x:v>Cosmetic</x:v>
      </x:c>
      <x:c r="B112" s="118" t="n">
        <x:v>0.9</x:v>
      </x:c>
      <x:c r="C112" s="118" t="n">
        <x:v>1.15</x:v>
      </x:c>
      <x:c r="D112" s="118"/>
      <x:c r="E112" s="118"/>
      <x:c r="F112" s="118" t="str">
        <x:v>Visual premium with moderate XP</x:v>
      </x:c>
    </x:row>
    <x:row r="113" ht="15" hidden="0" customHeight="1">
      <x:c r="A113" s="118" t="str">
        <x:v>XP Cosmetic</x:v>
      </x:c>
      <x:c r="B113" s="118" t="n">
        <x:v>0.75</x:v>
      </x:c>
      <x:c r="C113" s="118" t="n">
        <x:v>1.35</x:v>
      </x:c>
      <x:c r="D113" s="118"/>
      <x:c r="E113" s="118"/>
      <x:c r="F113" s="118" t="str">
        <x:v>Pays mainly in XP/collection progress</x:v>
      </x:c>
    </x:row>
    <x:row r="114" ht="15" hidden="0" customHeight="1">
      <x:c r="A114" s="118" t="str">
        <x:v>Convenience</x:v>
      </x:c>
      <x:c r="B114" s="118" t="n">
        <x:v>0.85</x:v>
      </x:c>
      <x:c r="C114" s="118" t="n">
        <x:v>1.1</x:v>
      </x:c>
      <x:c r="D114" s="118"/>
      <x:c r="E114" s="118"/>
      <x:c r="F114" s="118" t="str">
        <x:v>Lower attention premium</x:v>
      </x:c>
    </x:row>
    <x:row r="115" ht="15" hidden="0" customHeight="1">
      <x:c r="A115" s="118" t="str">
        <x:v>Prestige</x:v>
      </x:c>
      <x:c r="B115" s="118" t="n">
        <x:v>1</x:v>
      </x:c>
      <x:c r="C115" s="118" t="n">
        <x:v>1.2</x:v>
      </x:c>
      <x:c r="D115" s="118"/>
      <x:c r="E115" s="118"/>
      <x:c r="F115" s="118" t="str">
        <x:v>High-status fish without overwhelming coins</x:v>
      </x:c>
    </x:row>
    <x:row r="116" ht="15" hidden="0" customHeight="1">
      <x:c r="A116" s="118" t="str">
        <x:v>Capstone Trophy</x:v>
      </x:c>
      <x:c r="B116" s="118" t="n">
        <x:v>1.1</x:v>
      </x:c>
      <x:c r="C116" s="118" t="n">
        <x:v>1.25</x:v>
      </x:c>
      <x:c r="D116" s="118"/>
      <x:c r="E116" s="118"/>
      <x:c r="F116" s="118" t="str">
        <x:v>Late trophy; best premium but capped</x:v>
      </x:c>
    </x:row>
    <x:row r="118" ht="38" customHeight="1">
      <x:c r="A118" s="184" t="str">
        <x:v>DECOR TUNING — SEE DECOR GUIDE (SEPARATE COSMETIC MODEL)</x:v>
      </x:c>
      <x:c r="B118" s="184"/>
      <x:c r="C118" s="184"/>
      <x:c r="D118" s="184"/>
      <x:c r="E118" s="184"/>
      <x:c r="F118" s="184"/>
    </x:row>
    <x:row r="119" ht="30" customHeight="1">
      <x:c r="A119" s="118" t="str">
        <x:v>Decor Guide holds price-XP rates, one-time XP caps, the L40 launch gate and size-based cosmetic scores. Its Pearl XP rate links to Inputs!B49. Existing fish-role and production weights above are not reused as decor power multipliers.</x:v>
      </x:c>
      <x:c r="B119" s="118"/>
      <x:c r="C119" s="118"/>
      <x:c r="D119" s="118"/>
      <x:c r="E119" s="118"/>
      <x:c r="F119" s="118"/>
    </x:row>
    <x:row r="120" ht="30" customHeight="1">
      <x:c r="A120" s="118"/>
      <x:c r="B120" s="118"/>
      <x:c r="C120" s="118"/>
      <x:c r="D120" s="118"/>
      <x:c r="E120" s="118"/>
      <x:c r="F120" s="118"/>
    </x:row>
  </x:sheetData>
  <x:mergeCells>
    <x:mergeCell ref="A1:F1"/>
    <x:mergeCell ref="A118:F118"/>
    <x:mergeCell ref="A119:F120"/>
  </x:mergeCells>
  <x:pageMargins left="0.7" right="0.7" top="0.75" bottom="0.75" header="0.3" footer="0.3"/>
</x:worksheet>
</file>

<file path=xl/worksheets/sheet3.xml><?xml version="1.0" encoding="utf-8"?>
<x:worksheet xmlns:x="http://schemas.openxmlformats.org/spreadsheetml/2006/main">
  <x:sheetViews>
    <x:sheetView showGridLines="1" workbookViewId="0"/>
  </x:sheetViews>
  <x:sheetFormatPr defaultColWidth="8.6796875" defaultRowHeight="15"/>
  <x:cols>
    <x:col min="1" max="1" width="7" hidden="0" customWidth="1"/>
    <x:col min="2" max="2" width="15" hidden="0" customWidth="1"/>
    <x:col min="3" max="3" width="12" hidden="0" customWidth="1"/>
    <x:col min="4" max="4" width="10" hidden="0" customWidth="1"/>
    <x:col min="5" max="5" width="8" hidden="0" customWidth="1"/>
    <x:col min="6" max="6" width="13" hidden="0" customWidth="1"/>
    <x:col min="7" max="7" width="16" hidden="0" customWidth="1"/>
    <x:col min="8" max="8" width="60" hidden="0" customWidth="1"/>
  </x:cols>
  <x:sheetData>
    <x:row r="1" ht="22.5" hidden="0" customHeight="1">
      <x:c r="A1" s="132" t="str">
        <x:v>PROPOSED XP CURVE — smoothed gates, formula-driven from Inputs</x:v>
      </x:c>
      <x:c r="B1" s="132"/>
      <x:c r="C1" s="132"/>
      <x:c r="D1" s="132"/>
      <x:c r="E1" s="132"/>
      <x:c r="F1" s="132"/>
      <x:c r="G1" s="132"/>
      <x:c r="H1" s="132"/>
    </x:row>
    <x:row r="2" ht="15" hidden="0" customHeight="1">
      <x:c r="A2" s="118"/>
      <x:c r="B2" s="118"/>
      <x:c r="C2" s="118"/>
      <x:c r="D2" s="118"/>
      <x:c r="E2" s="118"/>
      <x:c r="F2" s="118"/>
      <x:c r="G2" s="118"/>
      <x:c r="H2" s="118"/>
    </x:row>
    <x:row r="3" ht="26.399999618530273" hidden="0" customHeight="1">
      <x:c r="A3" s="88" t="str">
        <x:v>Level</x:v>
      </x:c>
      <x:c r="B3" s="88" t="str">
        <x:v>Ref Cumulative XP</x:v>
      </x:c>
      <x:c r="C3" s="88" t="str">
        <x:v>Ref Delta</x:v>
      </x:c>
      <x:c r="D3" s="88" t="str">
        <x:v>Pace Band</x:v>
      </x:c>
      <x:c r="E3" s="88" t="str">
        <x:v>Scale</x:v>
      </x:c>
      <x:c r="F3" s="88" t="str">
        <x:v>Proposed Delta</x:v>
      </x:c>
      <x:c r="G3" s="88" t="str">
        <x:v>Proposed Cumulative</x:v>
      </x:c>
      <x:c r="H3" s="88" t="str">
        <x:v>Unlock Beat (snapshot)</x:v>
      </x:c>
    </x:row>
    <x:row r="4" ht="15" hidden="0" customHeight="1">
      <x:c r="A4" s="118" t="n">
        <x:v>1</x:v>
      </x:c>
      <x:c r="B4" s="118" t="n">
        <x:v>0</x:v>
      </x:c>
      <x:c r="C4" s="118" t="n">
        <x:f>0</x:f>
        <x:v>0</x:v>
      </x:c>
      <x:c r="D4" s="118" t="str">
        <x:f>IF(A4&lt;=5,"Tutorial",IF(A4&lt;=10,"Early",IF(A4&lt;=20,"Habit",IF(A4&lt;=30,"Mid",IF(A4&lt;=40,"Advanced Launch","Post-launch")))))</x:f>
        <x:v>Tutorial</x:v>
      </x:c>
      <x:c r="E4" s="118" t="n">
        <x:f aca="0">IF(A4&lt;=10,Inputs!$B$14,IF(A4&lt;=18,Inputs!$B$14+(A4-10)*(Inputs!$B$15-Inputs!$B$14)/8,IF(A4&lt;=30,Inputs!$B$15,IF(A4&lt;=36,Inputs!$B$15+(A4-30)*(Inputs!$B$16-Inputs!$B$15)/6,Inputs!$B$16))))</x:f>
        <x:v>0.55</x:v>
      </x:c>
      <x:c r="F4" s="118" t="n">
        <x:f aca="0">ROUND(C4*E4,-1)</x:f>
        <x:v>0</x:v>
      </x:c>
      <x:c r="G4" s="118" t="n">
        <x:f>0</x:f>
        <x:v>0</x:v>
      </x:c>
      <x:c r="H4" s="118" t="str">
        <x:v>Neon Tetra (C); Guppy (C); Platy (C); Molly (C)</x:v>
      </x:c>
    </x:row>
    <x:row r="5" ht="15" hidden="0" customHeight="1">
      <x:c r="A5" s="118" t="n">
        <x:v>2</x:v>
      </x:c>
      <x:c r="B5" s="118" t="n">
        <x:v>140</x:v>
      </x:c>
      <x:c r="C5" s="118" t="n">
        <x:f aca="0">B5-B4</x:f>
        <x:v>140</x:v>
      </x:c>
      <x:c r="D5" s="118" t="str">
        <x:f>IF(A5&lt;=5,"Tutorial",IF(A5&lt;=10,"Early",IF(A5&lt;=20,"Habit",IF(A5&lt;=30,"Mid",IF(A5&lt;=40,"Advanced Launch","Post-launch")))))</x:f>
        <x:v>Tutorial</x:v>
      </x:c>
      <x:c r="E5" s="118" t="n">
        <x:f aca="0">IF(A5&lt;=10,Inputs!$B$14,IF(A5&lt;=18,Inputs!$B$14+(A5-10)*(Inputs!$B$15-Inputs!$B$14)/8,IF(A5&lt;=30,Inputs!$B$15,IF(A5&lt;=36,Inputs!$B$15+(A5-30)*(Inputs!$B$16-Inputs!$B$15)/6,Inputs!$B$16))))</x:f>
        <x:v>0.55</x:v>
      </x:c>
      <x:c r="F5" s="118" t="n">
        <x:f aca="0">ROUND(C5*E5,-1)</x:f>
        <x:v>80</x:v>
      </x:c>
      <x:c r="G5" s="118" t="n">
        <x:f aca="0">G4+F5</x:f>
        <x:v>80</x:v>
      </x:c>
      <x:c r="H5" s="118" t="str">
        <x:v>Zebra Danio (C); 1 Pearl tutorial grant; Bubble Eye Goldfish [one-time tutorial]</x:v>
      </x:c>
    </x:row>
    <x:row r="6" ht="15" hidden="0" customHeight="1">
      <x:c r="A6" s="118" t="n">
        <x:v>3</x:v>
      </x:c>
      <x:c r="B6" s="118" t="n">
        <x:v>480</x:v>
      </x:c>
      <x:c r="C6" s="118" t="n">
        <x:f aca="0">B6-B5</x:f>
        <x:v>340</x:v>
      </x:c>
      <x:c r="D6" s="118" t="str">
        <x:f>IF(A6&lt;=5,"Tutorial",IF(A6&lt;=10,"Early",IF(A6&lt;=20,"Habit",IF(A6&lt;=30,"Mid",IF(A6&lt;=40,"Advanced Launch","Post-launch")))))</x:f>
        <x:v>Tutorial</x:v>
      </x:c>
      <x:c r="E6" s="118" t="n">
        <x:f aca="0">IF(A6&lt;=10,Inputs!$B$14,IF(A6&lt;=18,Inputs!$B$14+(A6-10)*(Inputs!$B$15-Inputs!$B$14)/8,IF(A6&lt;=30,Inputs!$B$15,IF(A6&lt;=36,Inputs!$B$15+(A6-30)*(Inputs!$B$16-Inputs!$B$15)/6,Inputs!$B$16))))</x:f>
        <x:v>0.55</x:v>
      </x:c>
      <x:c r="F6" s="118" t="n">
        <x:f aca="0">ROUND(C6*E6,-1)</x:f>
        <x:v>190</x:v>
      </x:c>
      <x:c r="G6" s="118" t="n">
        <x:f aca="0">G5+F6</x:f>
        <x:v>270</x:v>
      </x:c>
      <x:c r="H6" s="118"/>
    </x:row>
    <x:row r="7" ht="15" hidden="0" customHeight="1">
      <x:c r="A7" s="118" t="n">
        <x:v>4</x:v>
      </x:c>
      <x:c r="B7" s="118" t="n">
        <x:v>1070</x:v>
      </x:c>
      <x:c r="C7" s="118" t="n">
        <x:f aca="0">B7-B6</x:f>
        <x:v>590</x:v>
      </x:c>
      <x:c r="D7" s="118" t="str">
        <x:f>IF(A7&lt;=5,"Tutorial",IF(A7&lt;=10,"Early",IF(A7&lt;=20,"Habit",IF(A7&lt;=30,"Mid",IF(A7&lt;=40,"Advanced Launch","Post-launch")))))</x:f>
        <x:v>Tutorial</x:v>
      </x:c>
      <x:c r="E7" s="118" t="n">
        <x:f aca="0">IF(A7&lt;=10,Inputs!$B$14,IF(A7&lt;=18,Inputs!$B$14+(A7-10)*(Inputs!$B$15-Inputs!$B$14)/8,IF(A7&lt;=30,Inputs!$B$15,IF(A7&lt;=36,Inputs!$B$15+(A7-30)*(Inputs!$B$16-Inputs!$B$15)/6,Inputs!$B$16))))</x:f>
        <x:v>0.55</x:v>
      </x:c>
      <x:c r="F7" s="118" t="n">
        <x:f aca="0">ROUND(C7*E7,-1)</x:f>
        <x:v>320</x:v>
      </x:c>
      <x:c r="G7" s="118" t="n">
        <x:f aca="0">G6+F7</x:f>
        <x:v>590</x:v>
      </x:c>
      <x:c r="H7" s="118" t="str">
        <x:v>Ember Tetra (C); Medium Tank 1</x:v>
      </x:c>
    </x:row>
    <x:row r="8" ht="15" hidden="0" customHeight="1">
      <x:c r="A8" s="118" t="n">
        <x:v>5</x:v>
      </x:c>
      <x:c r="B8" s="118" t="n">
        <x:v>1990</x:v>
      </x:c>
      <x:c r="C8" s="118" t="n">
        <x:f aca="0">B8-B7</x:f>
        <x:v>920</x:v>
      </x:c>
      <x:c r="D8" s="118" t="str">
        <x:f>IF(A8&lt;=5,"Tutorial",IF(A8&lt;=10,"Early",IF(A8&lt;=20,"Habit",IF(A8&lt;=30,"Mid",IF(A8&lt;=40,"Advanced Launch","Post-launch")))))</x:f>
        <x:v>Tutorial</x:v>
      </x:c>
      <x:c r="E8" s="118" t="n">
        <x:f aca="0">IF(A8&lt;=10,Inputs!$B$14,IF(A8&lt;=18,Inputs!$B$14+(A8-10)*(Inputs!$B$15-Inputs!$B$14)/8,IF(A8&lt;=30,Inputs!$B$15,IF(A8&lt;=36,Inputs!$B$15+(A8-30)*(Inputs!$B$16-Inputs!$B$15)/6,Inputs!$B$16))))</x:f>
        <x:v>0.55</x:v>
      </x:c>
      <x:c r="F8" s="118" t="n">
        <x:f aca="0">ROUND(C8*E8,-1)</x:f>
        <x:v>510</x:v>
      </x:c>
      <x:c r="G8" s="118" t="n">
        <x:f aca="0">G7+F8</x:f>
        <x:v>1100</x:v>
      </x:c>
      <x:c r="H8" s="118" t="str">
        <x:v>Koi [Pearls]</x:v>
      </x:c>
    </x:row>
    <x:row r="9" ht="15" hidden="0" customHeight="1">
      <x:c r="A9" s="118" t="n">
        <x:v>6</x:v>
      </x:c>
      <x:c r="B9" s="118" t="n">
        <x:v>3250</x:v>
      </x:c>
      <x:c r="C9" s="118" t="n">
        <x:f aca="0">B9-B8</x:f>
        <x:v>1260</x:v>
      </x:c>
      <x:c r="D9" s="118" t="str">
        <x:f>IF(A9&lt;=5,"Tutorial",IF(A9&lt;=10,"Early",IF(A9&lt;=20,"Habit",IF(A9&lt;=30,"Mid",IF(A9&lt;=40,"Advanced Launch","Post-launch")))))</x:f>
        <x:v>Early</x:v>
      </x:c>
      <x:c r="E9" s="118" t="n">
        <x:f aca="0">IF(A9&lt;=10,Inputs!$B$14,IF(A9&lt;=18,Inputs!$B$14+(A9-10)*(Inputs!$B$15-Inputs!$B$14)/8,IF(A9&lt;=30,Inputs!$B$15,IF(A9&lt;=36,Inputs!$B$15+(A9-30)*(Inputs!$B$16-Inputs!$B$15)/6,Inputs!$B$16))))</x:f>
        <x:v>0.55</x:v>
      </x:c>
      <x:c r="F9" s="118" t="n">
        <x:f aca="0">ROUND(C9*E9,-1)</x:f>
        <x:v>690</x:v>
      </x:c>
      <x:c r="G9" s="118" t="n">
        <x:f aca="0">G8+F9</x:f>
        <x:v>1790</x:v>
      </x:c>
      <x:c r="H9" s="118" t="str">
        <x:v>Harlequin Rasbora (C)</x:v>
      </x:c>
    </x:row>
    <x:row r="10" ht="15" hidden="0" customHeight="1">
      <x:c r="A10" s="118" t="n">
        <x:v>7</x:v>
      </x:c>
      <x:c r="B10" s="118" t="n">
        <x:v>5040</x:v>
      </x:c>
      <x:c r="C10" s="118" t="n">
        <x:f aca="0">B10-B9</x:f>
        <x:v>1790</x:v>
      </x:c>
      <x:c r="D10" s="118" t="str">
        <x:f>IF(A10&lt;=5,"Tutorial",IF(A10&lt;=10,"Early",IF(A10&lt;=20,"Habit",IF(A10&lt;=30,"Mid",IF(A10&lt;=40,"Advanced Launch","Post-launch")))))</x:f>
        <x:v>Early</x:v>
      </x:c>
      <x:c r="E10" s="118" t="n">
        <x:f aca="0">IF(A10&lt;=10,Inputs!$B$14,IF(A10&lt;=18,Inputs!$B$14+(A10-10)*(Inputs!$B$15-Inputs!$B$14)/8,IF(A10&lt;=30,Inputs!$B$15,IF(A10&lt;=36,Inputs!$B$15+(A10-30)*(Inputs!$B$16-Inputs!$B$15)/6,Inputs!$B$16))))</x:f>
        <x:v>0.55</x:v>
      </x:c>
      <x:c r="F10" s="118" t="n">
        <x:f aca="0">ROUND(C10*E10,-1)</x:f>
        <x:v>980</x:v>
      </x:c>
      <x:c r="G10" s="118" t="n">
        <x:f aca="0">G9+F10</x:f>
        <x:v>2770</x:v>
      </x:c>
      <x:c r="H10" s="118" t="str">
        <x:v>Tank 2 unlock</x:v>
      </x:c>
    </x:row>
    <x:row r="11" ht="15" hidden="0" customHeight="1">
      <x:c r="A11" s="118" t="n">
        <x:v>8</x:v>
      </x:c>
      <x:c r="B11" s="118" t="n">
        <x:v>7430</x:v>
      </x:c>
      <x:c r="C11" s="118" t="n">
        <x:f aca="0">B11-B10</x:f>
        <x:v>2390</x:v>
      </x:c>
      <x:c r="D11" s="118" t="str">
        <x:f>IF(A11&lt;=5,"Tutorial",IF(A11&lt;=10,"Early",IF(A11&lt;=20,"Habit",IF(A11&lt;=30,"Mid",IF(A11&lt;=40,"Advanced Launch","Post-launch")))))</x:f>
        <x:v>Early</x:v>
      </x:c>
      <x:c r="E11" s="118" t="n">
        <x:f aca="0">IF(A11&lt;=10,Inputs!$B$14,IF(A11&lt;=18,Inputs!$B$14+(A11-10)*(Inputs!$B$15-Inputs!$B$14)/8,IF(A11&lt;=30,Inputs!$B$15,IF(A11&lt;=36,Inputs!$B$15+(A11-30)*(Inputs!$B$16-Inputs!$B$15)/6,Inputs!$B$16))))</x:f>
        <x:v>0.55</x:v>
      </x:c>
      <x:c r="F11" s="118" t="n">
        <x:f aca="0">ROUND(C11*E11,-1)</x:f>
        <x:v>1310</x:v>
      </x:c>
      <x:c r="G11" s="118" t="n">
        <x:f aca="0">G10+F11</x:f>
        <x:v>4080</x:v>
      </x:c>
      <x:c r="H11" s="118" t="str">
        <x:v>Green Chromis (U); Platinum Betta [Pearls]</x:v>
      </x:c>
    </x:row>
    <x:row r="12" ht="15" hidden="0" customHeight="1">
      <x:c r="A12" s="118" t="n">
        <x:v>9</x:v>
      </x:c>
      <x:c r="B12" s="118" t="n">
        <x:v>10570</x:v>
      </x:c>
      <x:c r="C12" s="118" t="n">
        <x:f aca="0">B12-B11</x:f>
        <x:v>3140</x:v>
      </x:c>
      <x:c r="D12" s="118" t="str">
        <x:f>IF(A12&lt;=5,"Tutorial",IF(A12&lt;=10,"Early",IF(A12&lt;=20,"Habit",IF(A12&lt;=30,"Mid",IF(A12&lt;=40,"Advanced Launch","Post-launch")))))</x:f>
        <x:v>Early</x:v>
      </x:c>
      <x:c r="E12" s="118" t="n">
        <x:f aca="0">IF(A12&lt;=10,Inputs!$B$14,IF(A12&lt;=18,Inputs!$B$14+(A12-10)*(Inputs!$B$15-Inputs!$B$14)/8,IF(A12&lt;=30,Inputs!$B$15,IF(A12&lt;=36,Inputs!$B$15+(A12-30)*(Inputs!$B$16-Inputs!$B$15)/6,Inputs!$B$16))))</x:f>
        <x:v>0.55</x:v>
      </x:c>
      <x:c r="F12" s="118" t="n">
        <x:f aca="0">ROUND(C12*E12,-1)</x:f>
        <x:v>1730</x:v>
      </x:c>
      <x:c r="G12" s="118" t="n">
        <x:f aca="0">G11+F12</x:f>
        <x:v>5810</x:v>
      </x:c>
      <x:c r="H12" s="118"/>
    </x:row>
    <x:row r="13" ht="15" hidden="0" customHeight="1">
      <x:c r="A13" s="118" t="n">
        <x:v>10</x:v>
      </x:c>
      <x:c r="B13" s="118" t="n">
        <x:v>14610</x:v>
      </x:c>
      <x:c r="C13" s="118" t="n">
        <x:f aca="0">B13-B12</x:f>
        <x:v>4040</x:v>
      </x:c>
      <x:c r="D13" s="118" t="str">
        <x:f>IF(A13&lt;=5,"Tutorial",IF(A13&lt;=10,"Early",IF(A13&lt;=20,"Habit",IF(A13&lt;=30,"Mid",IF(A13&lt;=40,"Advanced Launch","Post-launch")))))</x:f>
        <x:v>Early</x:v>
      </x:c>
      <x:c r="E13" s="118" t="n">
        <x:f aca="0">IF(A13&lt;=10,Inputs!$B$14,IF(A13&lt;=18,Inputs!$B$14+(A13-10)*(Inputs!$B$15-Inputs!$B$14)/8,IF(A13&lt;=30,Inputs!$B$15,IF(A13&lt;=36,Inputs!$B$15+(A13-30)*(Inputs!$B$16-Inputs!$B$15)/6,Inputs!$B$16))))</x:f>
        <x:v>0.55</x:v>
      </x:c>
      <x:c r="F13" s="118" t="n">
        <x:f aca="0">ROUND(C13*E13,-1)</x:f>
        <x:v>2220</x:v>
      </x:c>
      <x:c r="G13" s="118" t="n">
        <x:f aca="0">G12+F13</x:f>
        <x:v>8030</x:v>
      </x:c>
      <x:c r="H13" s="118" t="str">
        <x:v>Mandarin Dragonet [Pearls]; Large Tank 1</x:v>
      </x:c>
    </x:row>
    <x:row r="14" ht="15" hidden="0" customHeight="1">
      <x:c r="A14" s="118" t="n">
        <x:v>11</x:v>
      </x:c>
      <x:c r="B14" s="118" t="n">
        <x:v>19700</x:v>
      </x:c>
      <x:c r="C14" s="118" t="n">
        <x:f aca="0">B14-B13</x:f>
        <x:v>5090</x:v>
      </x:c>
      <x:c r="D14" s="118" t="str">
        <x:f>IF(A14&lt;=5,"Tutorial",IF(A14&lt;=10,"Early",IF(A14&lt;=20,"Habit",IF(A14&lt;=30,"Mid",IF(A14&lt;=40,"Advanced Launch","Post-launch")))))</x:f>
        <x:v>Habit</x:v>
      </x:c>
      <x:c r="E14" s="118" t="n">
        <x:f aca="0">IF(A14&lt;=10,Inputs!$B$14,IF(A14&lt;=18,Inputs!$B$14+(A14-10)*(Inputs!$B$15-Inputs!$B$14)/8,IF(A14&lt;=30,Inputs!$B$15,IF(A14&lt;=36,Inputs!$B$15+(A14-30)*(Inputs!$B$16-Inputs!$B$15)/6,Inputs!$B$16))))</x:f>
        <x:v>0.5687500000000001</x:v>
      </x:c>
      <x:c r="F14" s="118" t="n">
        <x:f aca="0">ROUND(C14*E14,-1)</x:f>
        <x:v>2890</x:v>
      </x:c>
      <x:c r="G14" s="118" t="n">
        <x:f aca="0">G13+F14</x:f>
        <x:v>10920</x:v>
      </x:c>
      <x:c r="H14" s="118" t="str">
        <x:v>Pajama Cardinalfish (U)</x:v>
      </x:c>
    </x:row>
    <x:row r="15" ht="15" hidden="0" customHeight="1">
      <x:c r="A15" s="118" t="n">
        <x:v>12</x:v>
      </x:c>
      <x:c r="B15" s="118" t="n">
        <x:v>25990</x:v>
      </x:c>
      <x:c r="C15" s="118" t="n">
        <x:f aca="0">B15-B14</x:f>
        <x:v>6290</x:v>
      </x:c>
      <x:c r="D15" s="118" t="str">
        <x:f>IF(A15&lt;=5,"Tutorial",IF(A15&lt;=10,"Early",IF(A15&lt;=20,"Habit",IF(A15&lt;=30,"Mid",IF(A15&lt;=40,"Advanced Launch","Post-launch")))))</x:f>
        <x:v>Habit</x:v>
      </x:c>
      <x:c r="E15" s="118" t="n">
        <x:f aca="0">IF(A15&lt;=10,Inputs!$B$14,IF(A15&lt;=18,Inputs!$B$14+(A15-10)*(Inputs!$B$15-Inputs!$B$14)/8,IF(A15&lt;=30,Inputs!$B$15,IF(A15&lt;=36,Inputs!$B$15+(A15-30)*(Inputs!$B$16-Inputs!$B$15)/6,Inputs!$B$16))))</x:f>
        <x:v>0.5875</x:v>
      </x:c>
      <x:c r="F15" s="118" t="n">
        <x:f aca="0">ROUND(C15*E15,-1)</x:f>
        <x:v>3700</x:v>
      </x:c>
      <x:c r="G15" s="118" t="n">
        <x:f aca="0">G14+F15</x:f>
        <x:v>14620</x:v>
      </x:c>
      <x:c r="H15" s="118" t="str">
        <x:v>Pearl Gourami (C); Axolotl [Pearls]</x:v>
      </x:c>
    </x:row>
    <x:row r="16" ht="15" hidden="0" customHeight="1">
      <x:c r="A16" s="118" t="n">
        <x:v>13</x:v>
      </x:c>
      <x:c r="B16" s="118" t="n">
        <x:v>33630</x:v>
      </x:c>
      <x:c r="C16" s="118" t="n">
        <x:f aca="0">B16-B15</x:f>
        <x:v>7640</x:v>
      </x:c>
      <x:c r="D16" s="118" t="str">
        <x:f>IF(A16&lt;=5,"Tutorial",IF(A16&lt;=10,"Early",IF(A16&lt;=20,"Habit",IF(A16&lt;=30,"Mid",IF(A16&lt;=40,"Advanced Launch","Post-launch")))))</x:f>
        <x:v>Habit</x:v>
      </x:c>
      <x:c r="E16" s="118" t="n">
        <x:f aca="0">IF(A16&lt;=10,Inputs!$B$14,IF(A16&lt;=18,Inputs!$B$14+(A16-10)*(Inputs!$B$15-Inputs!$B$14)/8,IF(A16&lt;=30,Inputs!$B$15,IF(A16&lt;=36,Inputs!$B$15+(A16-30)*(Inputs!$B$16-Inputs!$B$15)/6,Inputs!$B$16))))</x:f>
        <x:v>0.60625</x:v>
      </x:c>
      <x:c r="F16" s="118" t="n">
        <x:f aca="0">ROUND(C16*E16,-1)</x:f>
        <x:v>4630</x:v>
      </x:c>
      <x:c r="G16" s="118" t="n">
        <x:f aca="0">G15+F16</x:f>
        <x:v>19250</x:v>
      </x:c>
      <x:c r="H16" s="118" t="str">
        <x:v>Medium Tank 2</x:v>
      </x:c>
    </x:row>
    <x:row r="17" ht="15" hidden="0" customHeight="1">
      <x:c r="A17" s="118" t="n">
        <x:v>14</x:v>
      </x:c>
      <x:c r="B17" s="118" t="n">
        <x:v>42770</x:v>
      </x:c>
      <x:c r="C17" s="118" t="n">
        <x:f aca="0">B17-B16</x:f>
        <x:v>9140</x:v>
      </x:c>
      <x:c r="D17" s="118" t="str">
        <x:f>IF(A17&lt;=5,"Tutorial",IF(A17&lt;=10,"Early",IF(A17&lt;=20,"Habit",IF(A17&lt;=30,"Mid",IF(A17&lt;=40,"Advanced Launch","Post-launch")))))</x:f>
        <x:v>Habit</x:v>
      </x:c>
      <x:c r="E17" s="118" t="n">
        <x:f aca="0">IF(A17&lt;=10,Inputs!$B$14,IF(A17&lt;=18,Inputs!$B$14+(A17-10)*(Inputs!$B$15-Inputs!$B$14)/8,IF(A17&lt;=30,Inputs!$B$15,IF(A17&lt;=36,Inputs!$B$15+(A17-30)*(Inputs!$B$16-Inputs!$B$15)/6,Inputs!$B$16))))</x:f>
        <x:v>0.625</x:v>
      </x:c>
      <x:c r="F17" s="118" t="n">
        <x:f aca="0">ROUND(C17*E17,-1)</x:f>
        <x:v>5710</x:v>
      </x:c>
      <x:c r="G17" s="118" t="n">
        <x:f aca="0">G16+F17</x:f>
        <x:v>24960</x:v>
      </x:c>
      <x:c r="H17" s="118" t="str">
        <x:v>Sixline Wrasse (U)</x:v>
      </x:c>
    </x:row>
    <x:row r="18" ht="15" hidden="0" customHeight="1">
      <x:c r="A18" s="118" t="n">
        <x:v>15</x:v>
      </x:c>
      <x:c r="B18" s="118" t="n">
        <x:v>53560</x:v>
      </x:c>
      <x:c r="C18" s="118" t="n">
        <x:f aca="0">B18-B17</x:f>
        <x:v>10790</x:v>
      </x:c>
      <x:c r="D18" s="118" t="str">
        <x:f>IF(A18&lt;=5,"Tutorial",IF(A18&lt;=10,"Early",IF(A18&lt;=20,"Habit",IF(A18&lt;=30,"Mid",IF(A18&lt;=40,"Advanced Launch","Post-launch")))))</x:f>
        <x:v>Habit</x:v>
      </x:c>
      <x:c r="E18" s="118" t="n">
        <x:f aca="0">IF(A18&lt;=10,Inputs!$B$14,IF(A18&lt;=18,Inputs!$B$14+(A18-10)*(Inputs!$B$15-Inputs!$B$14)/8,IF(A18&lt;=30,Inputs!$B$15,IF(A18&lt;=36,Inputs!$B$15+(A18-30)*(Inputs!$B$16-Inputs!$B$15)/6,Inputs!$B$16))))</x:f>
        <x:v>0.64375</x:v>
      </x:c>
      <x:c r="F18" s="118" t="n">
        <x:f aca="0">ROUND(C18*E18,-1)</x:f>
        <x:v>6950</x:v>
      </x:c>
      <x:c r="G18" s="118" t="n">
        <x:f aca="0">G17+F18</x:f>
        <x:v>31910</x:v>
      </x:c>
      <x:c r="H18" s="118" t="str">
        <x:v>Shy Hamlet (U)</x:v>
      </x:c>
    </x:row>
    <x:row r="19" ht="15" hidden="0" customHeight="1">
      <x:c r="A19" s="118" t="n">
        <x:v>16</x:v>
      </x:c>
      <x:c r="B19" s="118" t="n">
        <x:v>66150</x:v>
      </x:c>
      <x:c r="C19" s="118" t="n">
        <x:f aca="0">B19-B18</x:f>
        <x:v>12590</x:v>
      </x:c>
      <x:c r="D19" s="118" t="str">
        <x:f>IF(A19&lt;=5,"Tutorial",IF(A19&lt;=10,"Early",IF(A19&lt;=20,"Habit",IF(A19&lt;=30,"Mid",IF(A19&lt;=40,"Advanced Launch","Post-launch")))))</x:f>
        <x:v>Habit</x:v>
      </x:c>
      <x:c r="E19" s="118" t="n">
        <x:f aca="0">IF(A19&lt;=10,Inputs!$B$14,IF(A19&lt;=18,Inputs!$B$14+(A19-10)*(Inputs!$B$15-Inputs!$B$14)/8,IF(A19&lt;=30,Inputs!$B$15,IF(A19&lt;=36,Inputs!$B$15+(A19-30)*(Inputs!$B$16-Inputs!$B$15)/6,Inputs!$B$16))))</x:f>
        <x:v>0.6625</x:v>
      </x:c>
      <x:c r="F19" s="118" t="n">
        <x:f aca="0">ROUND(C19*E19,-1)</x:f>
        <x:v>8340</x:v>
      </x:c>
      <x:c r="G19" s="118" t="n">
        <x:f aca="0">G18+F19</x:f>
        <x:v>40250</x:v>
      </x:c>
      <x:c r="H19" s="118" t="str">
        <x:v>Hawaiian Hogfish (U); Flashlight Fish [Pearls]; Tank 3 unlock</x:v>
      </x:c>
    </x:row>
    <x:row r="20" ht="15" hidden="0" customHeight="1">
      <x:c r="A20" s="118" t="n">
        <x:v>17</x:v>
      </x:c>
      <x:c r="B20" s="118" t="n">
        <x:v>80690</x:v>
      </x:c>
      <x:c r="C20" s="118" t="n">
        <x:f aca="0">B20-B19</x:f>
        <x:v>14540</x:v>
      </x:c>
      <x:c r="D20" s="118" t="str">
        <x:f>IF(A20&lt;=5,"Tutorial",IF(A20&lt;=10,"Early",IF(A20&lt;=20,"Habit",IF(A20&lt;=30,"Mid",IF(A20&lt;=40,"Advanced Launch","Post-launch")))))</x:f>
        <x:v>Habit</x:v>
      </x:c>
      <x:c r="E20" s="118" t="n">
        <x:f aca="0">IF(A20&lt;=10,Inputs!$B$14,IF(A20&lt;=18,Inputs!$B$14+(A20-10)*(Inputs!$B$15-Inputs!$B$14)/8,IF(A20&lt;=30,Inputs!$B$15,IF(A20&lt;=36,Inputs!$B$15+(A20-30)*(Inputs!$B$16-Inputs!$B$15)/6,Inputs!$B$16))))</x:f>
        <x:v>0.6812499999999999</x:v>
      </x:c>
      <x:c r="F20" s="118" t="n">
        <x:f aca="0">ROUND(C20*E20,-1)</x:f>
        <x:v>9910</x:v>
      </x:c>
      <x:c r="G20" s="118" t="n">
        <x:f aca="0">G19+F20</x:f>
        <x:v>50160</x:v>
      </x:c>
      <x:c r="H20" s="118" t="str">
        <x:v>Scooter Blenny (U)</x:v>
      </x:c>
    </x:row>
    <x:row r="21" ht="15" hidden="0" customHeight="1">
      <x:c r="A21" s="118" t="n">
        <x:v>18</x:v>
      </x:c>
      <x:c r="B21" s="118" t="n">
        <x:v>97330</x:v>
      </x:c>
      <x:c r="C21" s="118" t="n">
        <x:f aca="0">B21-B20</x:f>
        <x:v>16640</x:v>
      </x:c>
      <x:c r="D21" s="118" t="str">
        <x:f>IF(A21&lt;=5,"Tutorial",IF(A21&lt;=10,"Early",IF(A21&lt;=20,"Habit",IF(A21&lt;=30,"Mid",IF(A21&lt;=40,"Advanced Launch","Post-launch")))))</x:f>
        <x:v>Habit</x:v>
      </x:c>
      <x:c r="E21" s="118" t="n">
        <x:f aca="0">IF(A21&lt;=10,Inputs!$B$14,IF(A21&lt;=18,Inputs!$B$14+(A21-10)*(Inputs!$B$15-Inputs!$B$14)/8,IF(A21&lt;=30,Inputs!$B$15,IF(A21&lt;=36,Inputs!$B$15+(A21-30)*(Inputs!$B$16-Inputs!$B$15)/6,Inputs!$B$16))))</x:f>
        <x:v>0.7</x:v>
      </x:c>
      <x:c r="F21" s="118" t="n">
        <x:f aca="0">ROUND(C21*E21,-1)</x:f>
        <x:v>11650</x:v>
      </x:c>
      <x:c r="G21" s="118" t="n">
        <x:f aca="0">G20+F21</x:f>
        <x:v>61810</x:v>
      </x:c>
      <x:c r="H21" s="118"/>
    </x:row>
    <x:row r="22" ht="15" hidden="0" customHeight="1">
      <x:c r="A22" s="118" t="n">
        <x:v>19</x:v>
      </x:c>
      <x:c r="B22" s="118" t="n">
        <x:v>116220</x:v>
      </x:c>
      <x:c r="C22" s="118" t="n">
        <x:f aca="0">B22-B21</x:f>
        <x:v>18890</x:v>
      </x:c>
      <x:c r="D22" s="118" t="str">
        <x:f>IF(A22&lt;=5,"Tutorial",IF(A22&lt;=10,"Early",IF(A22&lt;=20,"Habit",IF(A22&lt;=30,"Mid",IF(A22&lt;=40,"Advanced Launch","Post-launch")))))</x:f>
        <x:v>Habit</x:v>
      </x:c>
      <x:c r="E22" s="118" t="n">
        <x:f aca="0">IF(A22&lt;=10,Inputs!$B$14,IF(A22&lt;=18,Inputs!$B$14+(A22-10)*(Inputs!$B$15-Inputs!$B$14)/8,IF(A22&lt;=30,Inputs!$B$15,IF(A22&lt;=36,Inputs!$B$15+(A22-30)*(Inputs!$B$16-Inputs!$B$15)/6,Inputs!$B$16))))</x:f>
        <x:v>0.7</x:v>
      </x:c>
      <x:c r="F22" s="118" t="n">
        <x:f aca="0">ROUND(C22*E22,-1)</x:f>
        <x:v>13220</x:v>
      </x:c>
      <x:c r="G22" s="118" t="n">
        <x:f aca="0">G21+F22</x:f>
        <x:v>75030</x:v>
      </x:c>
      <x:c r="H22" s="118" t="str">
        <x:v>Large Tank 2</x:v>
      </x:c>
    </x:row>
    <x:row r="23" ht="15" hidden="0" customHeight="1">
      <x:c r="A23" s="118" t="n">
        <x:v>20</x:v>
      </x:c>
      <x:c r="B23" s="118" t="n">
        <x:v>137510</x:v>
      </x:c>
      <x:c r="C23" s="118" t="n">
        <x:f aca="0">B23-B22</x:f>
        <x:v>21290</x:v>
      </x:c>
      <x:c r="D23" s="118" t="str">
        <x:f>IF(A23&lt;=5,"Tutorial",IF(A23&lt;=10,"Early",IF(A23&lt;=20,"Habit",IF(A23&lt;=30,"Mid",IF(A23&lt;=40,"Advanced Launch","Post-launch")))))</x:f>
        <x:v>Habit</x:v>
      </x:c>
      <x:c r="E23" s="118" t="n">
        <x:f aca="0">IF(A23&lt;=10,Inputs!$B$14,IF(A23&lt;=18,Inputs!$B$14+(A23-10)*(Inputs!$B$15-Inputs!$B$14)/8,IF(A23&lt;=30,Inputs!$B$15,IF(A23&lt;=36,Inputs!$B$15+(A23-30)*(Inputs!$B$16-Inputs!$B$15)/6,Inputs!$B$16))))</x:f>
        <x:v>0.7</x:v>
      </x:c>
      <x:c r="F23" s="118" t="n">
        <x:f aca="0">ROUND(C23*E23,-1)</x:f>
        <x:v>14900</x:v>
      </x:c>
      <x:c r="G23" s="118" t="n">
        <x:f aca="0">G22+F23</x:f>
        <x:v>89930</x:v>
      </x:c>
      <x:c r="H23" s="118" t="str">
        <x:v>Ocellaris Clownfish (U); Golden Arowana [Pearls]</x:v>
      </x:c>
    </x:row>
    <x:row r="24" ht="15" hidden="0" customHeight="1">
      <x:c r="A24" s="118" t="n">
        <x:v>21</x:v>
      </x:c>
      <x:c r="B24" s="118" t="n">
        <x:v>161350</x:v>
      </x:c>
      <x:c r="C24" s="118" t="n">
        <x:f aca="0">B24-B23</x:f>
        <x:v>23840</x:v>
      </x:c>
      <x:c r="D24" s="118" t="str">
        <x:f>IF(A24&lt;=5,"Tutorial",IF(A24&lt;=10,"Early",IF(A24&lt;=20,"Habit",IF(A24&lt;=30,"Mid",IF(A24&lt;=40,"Advanced Launch","Post-launch")))))</x:f>
        <x:v>Mid</x:v>
      </x:c>
      <x:c r="E24" s="118" t="n">
        <x:f aca="0">IF(A24&lt;=10,Inputs!$B$14,IF(A24&lt;=18,Inputs!$B$14+(A24-10)*(Inputs!$B$15-Inputs!$B$14)/8,IF(A24&lt;=30,Inputs!$B$15,IF(A24&lt;=36,Inputs!$B$15+(A24-30)*(Inputs!$B$16-Inputs!$B$15)/6,Inputs!$B$16))))</x:f>
        <x:v>0.7</x:v>
      </x:c>
      <x:c r="F24" s="118" t="n">
        <x:f aca="0">ROUND(C24*E24,-1)</x:f>
        <x:v>16690</x:v>
      </x:c>
      <x:c r="G24" s="118" t="n">
        <x:f aca="0">G23+F24</x:f>
        <x:v>106620</x:v>
      </x:c>
      <x:c r="H24" s="118"/>
    </x:row>
    <x:row r="25" ht="15" hidden="0" customHeight="1">
      <x:c r="A25" s="118" t="n">
        <x:v>22</x:v>
      </x:c>
      <x:c r="B25" s="118" t="n">
        <x:v>187890</x:v>
      </x:c>
      <x:c r="C25" s="118" t="n">
        <x:f aca="0">B25-B24</x:f>
        <x:v>26540</x:v>
      </x:c>
      <x:c r="D25" s="118" t="str">
        <x:f>IF(A25&lt;=5,"Tutorial",IF(A25&lt;=10,"Early",IF(A25&lt;=20,"Habit",IF(A25&lt;=30,"Mid",IF(A25&lt;=40,"Advanced Launch","Post-launch")))))</x:f>
        <x:v>Mid</x:v>
      </x:c>
      <x:c r="E25" s="118" t="n">
        <x:f aca="0">IF(A25&lt;=10,Inputs!$B$14,IF(A25&lt;=18,Inputs!$B$14+(A25-10)*(Inputs!$B$15-Inputs!$B$14)/8,IF(A25&lt;=30,Inputs!$B$15,IF(A25&lt;=36,Inputs!$B$15+(A25-30)*(Inputs!$B$16-Inputs!$B$15)/6,Inputs!$B$16))))</x:f>
        <x:v>0.7</x:v>
      </x:c>
      <x:c r="F25" s="118" t="n">
        <x:f aca="0">ROUND(C25*E25,-1)</x:f>
        <x:v>18580</x:v>
      </x:c>
      <x:c r="G25" s="118" t="n">
        <x:f aca="0">G24+F25</x:f>
        <x:v>125200</x:v>
      </x:c>
      <x:c r="H25" s="118" t="str">
        <x:v>Yellow Tang (R); Medium Tank 3</x:v>
      </x:c>
    </x:row>
    <x:row r="26" ht="15" hidden="0" customHeight="1">
      <x:c r="A26" s="118" t="n">
        <x:v>23</x:v>
      </x:c>
      <x:c r="B26" s="118" t="n">
        <x:v>217280</x:v>
      </x:c>
      <x:c r="C26" s="118" t="n">
        <x:f aca="0">B26-B25</x:f>
        <x:v>29390</x:v>
      </x:c>
      <x:c r="D26" s="118" t="str">
        <x:f>IF(A26&lt;=5,"Tutorial",IF(A26&lt;=10,"Early",IF(A26&lt;=20,"Habit",IF(A26&lt;=30,"Mid",IF(A26&lt;=40,"Advanced Launch","Post-launch")))))</x:f>
        <x:v>Mid</x:v>
      </x:c>
      <x:c r="E26" s="118" t="n">
        <x:f aca="0">IF(A26&lt;=10,Inputs!$B$14,IF(A26&lt;=18,Inputs!$B$14+(A26-10)*(Inputs!$B$15-Inputs!$B$14)/8,IF(A26&lt;=30,Inputs!$B$15,IF(A26&lt;=36,Inputs!$B$15+(A26-30)*(Inputs!$B$16-Inputs!$B$15)/6,Inputs!$B$16))))</x:f>
        <x:v>0.7</x:v>
      </x:c>
      <x:c r="F26" s="118" t="n">
        <x:f aca="0">ROUND(C26*E26,-1)</x:f>
        <x:v>20570</x:v>
      </x:c>
      <x:c r="G26" s="118" t="n">
        <x:f aca="0">G25+F26</x:f>
        <x:v>145770</x:v>
      </x:c>
      <x:c r="H26" s="118"/>
    </x:row>
    <x:row r="27" ht="15" hidden="0" customHeight="1">
      <x:c r="A27" s="118" t="n">
        <x:v>24</x:v>
      </x:c>
      <x:c r="B27" s="118" t="n">
        <x:v>249670</x:v>
      </x:c>
      <x:c r="C27" s="118" t="n">
        <x:f aca="0">B27-B26</x:f>
        <x:v>32390</x:v>
      </x:c>
      <x:c r="D27" s="118" t="str">
        <x:f>IF(A27&lt;=5,"Tutorial",IF(A27&lt;=10,"Early",IF(A27&lt;=20,"Habit",IF(A27&lt;=30,"Mid",IF(A27&lt;=40,"Advanced Launch","Post-launch")))))</x:f>
        <x:v>Mid</x:v>
      </x:c>
      <x:c r="E27" s="118" t="n">
        <x:f aca="0">IF(A27&lt;=10,Inputs!$B$14,IF(A27&lt;=18,Inputs!$B$14+(A27-10)*(Inputs!$B$15-Inputs!$B$14)/8,IF(A27&lt;=30,Inputs!$B$15,IF(A27&lt;=36,Inputs!$B$15+(A27-30)*(Inputs!$B$16-Inputs!$B$15)/6,Inputs!$B$16))))</x:f>
        <x:v>0.7</x:v>
      </x:c>
      <x:c r="F27" s="118" t="n">
        <x:f aca="0">ROUND(C27*E27,-1)</x:f>
        <x:v>22670</x:v>
      </x:c>
      <x:c r="G27" s="118" t="n">
        <x:f aca="0">G26+F27</x:f>
        <x:v>168440</x:v>
      </x:c>
      <x:c r="H27" s="118" t="str">
        <x:v>Banggai Cardinalfish (R)</x:v>
      </x:c>
    </x:row>
    <x:row r="28" ht="15" hidden="0" customHeight="1">
      <x:c r="A28" s="118" t="n">
        <x:v>25</x:v>
      </x:c>
      <x:c r="B28" s="118" t="n">
        <x:v>285210</x:v>
      </x:c>
      <x:c r="C28" s="118" t="n">
        <x:f aca="0">B28-B27</x:f>
        <x:v>35540</x:v>
      </x:c>
      <x:c r="D28" s="118" t="str">
        <x:f>IF(A28&lt;=5,"Tutorial",IF(A28&lt;=10,"Early",IF(A28&lt;=20,"Habit",IF(A28&lt;=30,"Mid",IF(A28&lt;=40,"Advanced Launch","Post-launch")))))</x:f>
        <x:v>Mid</x:v>
      </x:c>
      <x:c r="E28" s="118" t="n">
        <x:f aca="0">IF(A28&lt;=10,Inputs!$B$14,IF(A28&lt;=18,Inputs!$B$14+(A28-10)*(Inputs!$B$15-Inputs!$B$14)/8,IF(A28&lt;=30,Inputs!$B$15,IF(A28&lt;=36,Inputs!$B$15+(A28-30)*(Inputs!$B$16-Inputs!$B$15)/6,Inputs!$B$16))))</x:f>
        <x:v>0.7</x:v>
      </x:c>
      <x:c r="F28" s="118" t="n">
        <x:f aca="0">ROUND(C28*E28,-1)</x:f>
        <x:v>24880</x:v>
      </x:c>
      <x:c r="G28" s="118" t="n">
        <x:f aca="0">G27+F28</x:f>
        <x:v>193320</x:v>
      </x:c>
      <x:c r="H28" s="118" t="str">
        <x:v>Peppermint Angelfish [Pearls]; Tank 4 unlock</x:v>
      </x:c>
    </x:row>
    <x:row r="29" ht="15" hidden="0" customHeight="1">
      <x:c r="A29" s="118" t="n">
        <x:v>26</x:v>
      </x:c>
      <x:c r="B29" s="118" t="n">
        <x:v>324050</x:v>
      </x:c>
      <x:c r="C29" s="118" t="n">
        <x:f aca="0">B29-B28</x:f>
        <x:v>38840</x:v>
      </x:c>
      <x:c r="D29" s="118" t="str">
        <x:f>IF(A29&lt;=5,"Tutorial",IF(A29&lt;=10,"Early",IF(A29&lt;=20,"Habit",IF(A29&lt;=30,"Mid",IF(A29&lt;=40,"Advanced Launch","Post-launch")))))</x:f>
        <x:v>Mid</x:v>
      </x:c>
      <x:c r="E29" s="118" t="n">
        <x:f aca="0">IF(A29&lt;=10,Inputs!$B$14,IF(A29&lt;=18,Inputs!$B$14+(A29-10)*(Inputs!$B$15-Inputs!$B$14)/8,IF(A29&lt;=30,Inputs!$B$15,IF(A29&lt;=36,Inputs!$B$15+(A29-30)*(Inputs!$B$16-Inputs!$B$15)/6,Inputs!$B$16))))</x:f>
        <x:v>0.7</x:v>
      </x:c>
      <x:c r="F29" s="118" t="n">
        <x:f aca="0">ROUND(C29*E29,-1)</x:f>
        <x:v>27190</x:v>
      </x:c>
      <x:c r="G29" s="118" t="n">
        <x:f aca="0">G28+F29</x:f>
        <x:v>220510</x:v>
      </x:c>
      <x:c r="H29" s="118" t="str">
        <x:v>Coral Beauty (R)</x:v>
      </x:c>
    </x:row>
    <x:row r="30" ht="15" hidden="0" customHeight="1">
      <x:c r="A30" s="118" t="n">
        <x:v>27</x:v>
      </x:c>
      <x:c r="B30" s="118" t="n">
        <x:v>366340</x:v>
      </x:c>
      <x:c r="C30" s="118" t="n">
        <x:f aca="0">B30-B29</x:f>
        <x:v>42290</x:v>
      </x:c>
      <x:c r="D30" s="118" t="str">
        <x:f>IF(A30&lt;=5,"Tutorial",IF(A30&lt;=10,"Early",IF(A30&lt;=20,"Habit",IF(A30&lt;=30,"Mid",IF(A30&lt;=40,"Advanced Launch","Post-launch")))))</x:f>
        <x:v>Mid</x:v>
      </x:c>
      <x:c r="E30" s="118" t="n">
        <x:f aca="0">IF(A30&lt;=10,Inputs!$B$14,IF(A30&lt;=18,Inputs!$B$14+(A30-10)*(Inputs!$B$15-Inputs!$B$14)/8,IF(A30&lt;=30,Inputs!$B$15,IF(A30&lt;=36,Inputs!$B$15+(A30-30)*(Inputs!$B$16-Inputs!$B$15)/6,Inputs!$B$16))))</x:f>
        <x:v>0.7</x:v>
      </x:c>
      <x:c r="F30" s="118" t="n">
        <x:f aca="0">ROUND(C30*E30,-1)</x:f>
        <x:v>29600</x:v>
      </x:c>
      <x:c r="G30" s="118" t="n">
        <x:f aca="0">G29+F30</x:f>
        <x:v>250110</x:v>
      </x:c>
      <x:c r="H30" s="118"/>
    </x:row>
    <x:row r="31" ht="15" hidden="0" customHeight="1">
      <x:c r="A31" s="118" t="n">
        <x:v>28</x:v>
      </x:c>
      <x:c r="B31" s="118" t="n">
        <x:v>412230</x:v>
      </x:c>
      <x:c r="C31" s="118" t="n">
        <x:f aca="0">B31-B30</x:f>
        <x:v>45890</x:v>
      </x:c>
      <x:c r="D31" s="118" t="str">
        <x:f>IF(A31&lt;=5,"Tutorial",IF(A31&lt;=10,"Early",IF(A31&lt;=20,"Habit",IF(A31&lt;=30,"Mid",IF(A31&lt;=40,"Advanced Launch","Post-launch")))))</x:f>
        <x:v>Mid</x:v>
      </x:c>
      <x:c r="E31" s="118" t="n">
        <x:f aca="0">IF(A31&lt;=10,Inputs!$B$14,IF(A31&lt;=18,Inputs!$B$14+(A31-10)*(Inputs!$B$15-Inputs!$B$14)/8,IF(A31&lt;=30,Inputs!$B$15,IF(A31&lt;=36,Inputs!$B$15+(A31-30)*(Inputs!$B$16-Inputs!$B$15)/6,Inputs!$B$16))))</x:f>
        <x:v>0.7</x:v>
      </x:c>
      <x:c r="F31" s="118" t="n">
        <x:f aca="0">ROUND(C31*E31,-1)</x:f>
        <x:v>32120</x:v>
      </x:c>
      <x:c r="G31" s="118" t="n">
        <x:f aca="0">G30+F31</x:f>
        <x:v>282230</x:v>
      </x:c>
      <x:c r="H31" s="118" t="str">
        <x:v>Large Tank 3</x:v>
      </x:c>
    </x:row>
    <x:row r="32" ht="15" hidden="0" customHeight="1">
      <x:c r="A32" s="118" t="n">
        <x:v>29</x:v>
      </x:c>
      <x:c r="B32" s="118" t="n">
        <x:v>461870</x:v>
      </x:c>
      <x:c r="C32" s="118" t="n">
        <x:f aca="0">B32-B31</x:f>
        <x:v>49640</x:v>
      </x:c>
      <x:c r="D32" s="118" t="str">
        <x:f>IF(A32&lt;=5,"Tutorial",IF(A32&lt;=10,"Early",IF(A32&lt;=20,"Habit",IF(A32&lt;=30,"Mid",IF(A32&lt;=40,"Advanced Launch","Post-launch")))))</x:f>
        <x:v>Mid</x:v>
      </x:c>
      <x:c r="E32" s="118" t="n">
        <x:f aca="0">IF(A32&lt;=10,Inputs!$B$14,IF(A32&lt;=18,Inputs!$B$14+(A32-10)*(Inputs!$B$15-Inputs!$B$14)/8,IF(A32&lt;=30,Inputs!$B$15,IF(A32&lt;=36,Inputs!$B$15+(A32-30)*(Inputs!$B$16-Inputs!$B$15)/6,Inputs!$B$16))))</x:f>
        <x:v>0.7</x:v>
      </x:c>
      <x:c r="F32" s="118" t="n">
        <x:f aca="0">ROUND(C32*E32,-1)</x:f>
        <x:v>34750</x:v>
      </x:c>
      <x:c r="G32" s="118" t="n">
        <x:f aca="0">G31+F32</x:f>
        <x:v>316980</x:v>
      </x:c>
      <x:c r="H32" s="118" t="str">
        <x:v>Flame Angelfish (R)</x:v>
      </x:c>
    </x:row>
    <x:row r="33" ht="15" hidden="0" customHeight="1">
      <x:c r="A33" s="118" t="n">
        <x:v>30</x:v>
      </x:c>
      <x:c r="B33" s="118" t="n">
        <x:v>515410</x:v>
      </x:c>
      <x:c r="C33" s="118" t="n">
        <x:f aca="0">B33-B32</x:f>
        <x:v>53540</x:v>
      </x:c>
      <x:c r="D33" s="118" t="str">
        <x:f>IF(A33&lt;=5,"Tutorial",IF(A33&lt;=10,"Early",IF(A33&lt;=20,"Habit",IF(A33&lt;=30,"Mid",IF(A33&lt;=40,"Advanced Launch","Post-launch")))))</x:f>
        <x:v>Mid</x:v>
      </x:c>
      <x:c r="E33" s="118" t="n">
        <x:f aca="0">IF(A33&lt;=10,Inputs!$B$14,IF(A33&lt;=18,Inputs!$B$14+(A33-10)*(Inputs!$B$15-Inputs!$B$14)/8,IF(A33&lt;=30,Inputs!$B$15,IF(A33&lt;=36,Inputs!$B$15+(A33-30)*(Inputs!$B$16-Inputs!$B$15)/6,Inputs!$B$16))))</x:f>
        <x:v>0.7</x:v>
      </x:c>
      <x:c r="F33" s="118" t="n">
        <x:f aca="0">ROUND(C33*E33,-1)</x:f>
        <x:v>37480</x:v>
      </x:c>
      <x:c r="G33" s="118" t="n">
        <x:f aca="0">G32+F33</x:f>
        <x:v>354460</x:v>
      </x:c>
      <x:c r="H33" s="118" t="str">
        <x:v>Longhorn Cowfish (R)</x:v>
      </x:c>
    </x:row>
    <x:row r="34" ht="26.399999618530273" hidden="0" customHeight="1">
      <x:c r="A34" s="118" t="n">
        <x:v>31</x:v>
      </x:c>
      <x:c r="B34" s="118" t="n">
        <x:v>573000</x:v>
      </x:c>
      <x:c r="C34" s="118" t="n">
        <x:f aca="0">B34-B33</x:f>
        <x:v>57590</x:v>
      </x:c>
      <x:c r="D34" s="118" t="str">
        <x:f>IF(A34&lt;=5,"Tutorial",IF(A34&lt;=10,"Early",IF(A34&lt;=20,"Habit",IF(A34&lt;=30,"Mid",IF(A34&lt;=40,"Advanced Launch","Post-launch")))))</x:f>
        <x:v>Advanced Launch</x:v>
      </x:c>
      <x:c r="E34" s="118" t="n">
        <x:f aca="0">IF(A34&lt;=10,Inputs!$B$14,IF(A34&lt;=18,Inputs!$B$14+(A34-10)*(Inputs!$B$15-Inputs!$B$14)/8,IF(A34&lt;=30,Inputs!$B$15,IF(A34&lt;=36,Inputs!$B$15+(A34-30)*(Inputs!$B$16-Inputs!$B$15)/6,Inputs!$B$16))))</x:f>
        <x:v>0.725</x:v>
      </x:c>
      <x:c r="F34" s="118" t="n">
        <x:f aca="0">ROUND(C34*E34,-1)</x:f>
        <x:v>41750</x:v>
      </x:c>
      <x:c r="G34" s="118" t="n">
        <x:f aca="0">G33+F34</x:f>
        <x:v>396210</x:v>
      </x:c>
      <x:c r="H34" s="118" t="str">
        <x:v>Medium Tank 4</x:v>
      </x:c>
    </x:row>
    <x:row r="35" ht="26.399999618530273" hidden="0" customHeight="1">
      <x:c r="A35" s="118" t="n">
        <x:v>32</x:v>
      </x:c>
      <x:c r="B35" s="118" t="n">
        <x:v>634790</x:v>
      </x:c>
      <x:c r="C35" s="118" t="n">
        <x:f aca="0">B35-B34</x:f>
        <x:v>61790</x:v>
      </x:c>
      <x:c r="D35" s="118" t="str">
        <x:f>IF(A35&lt;=5,"Tutorial",IF(A35&lt;=10,"Early",IF(A35&lt;=20,"Habit",IF(A35&lt;=30,"Mid",IF(A35&lt;=40,"Advanced Launch","Post-launch")))))</x:f>
        <x:v>Advanced Launch</x:v>
      </x:c>
      <x:c r="E35" s="118" t="n">
        <x:f aca="0">IF(A35&lt;=10,Inputs!$B$14,IF(A35&lt;=18,Inputs!$B$14+(A35-10)*(Inputs!$B$15-Inputs!$B$14)/8,IF(A35&lt;=30,Inputs!$B$15,IF(A35&lt;=36,Inputs!$B$15+(A35-30)*(Inputs!$B$16-Inputs!$B$15)/6,Inputs!$B$16))))</x:f>
        <x:v>0.75</x:v>
      </x:c>
      <x:c r="F35" s="118" t="n">
        <x:f aca="0">ROUND(C35*E35,-1)</x:f>
        <x:v>46340</x:v>
      </x:c>
      <x:c r="G35" s="118" t="n">
        <x:f aca="0">G34+F35</x:f>
        <x:v>442550</x:v>
      </x:c>
      <x:c r="H35" s="118" t="str">
        <x:v>Foxface Rabbitfish (R)</x:v>
      </x:c>
    </x:row>
    <x:row r="36" ht="26.399999618530273" hidden="0" customHeight="1">
      <x:c r="A36" s="118" t="n">
        <x:v>33</x:v>
      </x:c>
      <x:c r="B36" s="118" t="n">
        <x:v>700930</x:v>
      </x:c>
      <x:c r="C36" s="118" t="n">
        <x:f aca="0">B36-B35</x:f>
        <x:v>66140</x:v>
      </x:c>
      <x:c r="D36" s="118" t="str">
        <x:f>IF(A36&lt;=5,"Tutorial",IF(A36&lt;=10,"Early",IF(A36&lt;=20,"Habit",IF(A36&lt;=30,"Mid",IF(A36&lt;=40,"Advanced Launch","Post-launch")))))</x:f>
        <x:v>Advanced Launch</x:v>
      </x:c>
      <x:c r="E36" s="118" t="n">
        <x:f aca="0">IF(A36&lt;=10,Inputs!$B$14,IF(A36&lt;=18,Inputs!$B$14+(A36-10)*(Inputs!$B$15-Inputs!$B$14)/8,IF(A36&lt;=30,Inputs!$B$15,IF(A36&lt;=36,Inputs!$B$15+(A36-30)*(Inputs!$B$16-Inputs!$B$15)/6,Inputs!$B$16))))</x:f>
        <x:v>0.7749999999999999</x:v>
      </x:c>
      <x:c r="F36" s="118" t="n">
        <x:f aca="0">ROUND(C36*E36,-1)</x:f>
        <x:v>51260</x:v>
      </x:c>
      <x:c r="G36" s="118" t="n">
        <x:f aca="0">G35+F36</x:f>
        <x:v>493810</x:v>
      </x:c>
      <x:c r="H36" s="118" t="str">
        <x:v>Picasso Triggerfish (R)</x:v>
      </x:c>
    </x:row>
    <x:row r="37" ht="26.399999618530273" hidden="0" customHeight="1">
      <x:c r="A37" s="118" t="n">
        <x:v>34</x:v>
      </x:c>
      <x:c r="B37" s="118" t="n">
        <x:v>771570</x:v>
      </x:c>
      <x:c r="C37" s="118" t="n">
        <x:f aca="0">B37-B36</x:f>
        <x:v>70640</x:v>
      </x:c>
      <x:c r="D37" s="118" t="str">
        <x:f>IF(A37&lt;=5,"Tutorial",IF(A37&lt;=10,"Early",IF(A37&lt;=20,"Habit",IF(A37&lt;=30,"Mid",IF(A37&lt;=40,"Advanced Launch","Post-launch")))))</x:f>
        <x:v>Advanced Launch</x:v>
      </x:c>
      <x:c r="E37" s="118" t="n">
        <x:f aca="0">IF(A37&lt;=10,Inputs!$B$14,IF(A37&lt;=18,Inputs!$B$14+(A37-10)*(Inputs!$B$15-Inputs!$B$14)/8,IF(A37&lt;=30,Inputs!$B$15,IF(A37&lt;=36,Inputs!$B$15+(A37-30)*(Inputs!$B$16-Inputs!$B$15)/6,Inputs!$B$16))))</x:f>
        <x:v>0.7999999999999999</x:v>
      </x:c>
      <x:c r="F37" s="118" t="n">
        <x:f aca="0">ROUND(C37*E37,-1)</x:f>
        <x:v>56510</x:v>
      </x:c>
      <x:c r="G37" s="118" t="n">
        <x:f aca="0">G36+F37</x:f>
        <x:v>550320</x:v>
      </x:c>
      <x:c r="H37" s="118" t="str">
        <x:v>Tank 5 unlock</x:v>
      </x:c>
    </x:row>
    <x:row r="38" ht="26.399999618530273" hidden="0" customHeight="1">
      <x:c r="A38" s="118" t="n">
        <x:v>35</x:v>
      </x:c>
      <x:c r="B38" s="118" t="n">
        <x:v>846860</x:v>
      </x:c>
      <x:c r="C38" s="118" t="n">
        <x:f aca="0">B38-B37</x:f>
        <x:v>75290</x:v>
      </x:c>
      <x:c r="D38" s="118" t="str">
        <x:f>IF(A38&lt;=5,"Tutorial",IF(A38&lt;=10,"Early",IF(A38&lt;=20,"Habit",IF(A38&lt;=30,"Mid",IF(A38&lt;=40,"Advanced Launch","Post-launch")))))</x:f>
        <x:v>Advanced Launch</x:v>
      </x:c>
      <x:c r="E38" s="118" t="n">
        <x:f aca="0">IF(A38&lt;=10,Inputs!$B$14,IF(A38&lt;=18,Inputs!$B$14+(A38-10)*(Inputs!$B$15-Inputs!$B$14)/8,IF(A38&lt;=30,Inputs!$B$15,IF(A38&lt;=36,Inputs!$B$15+(A38-30)*(Inputs!$B$16-Inputs!$B$15)/6,Inputs!$B$16))))</x:f>
        <x:v>0.825</x:v>
      </x:c>
      <x:c r="F38" s="118" t="n">
        <x:f aca="0">ROUND(C38*E38,-1)</x:f>
        <x:v>62110</x:v>
      </x:c>
      <x:c r="G38" s="118" t="n">
        <x:f aca="0">G37+F38</x:f>
        <x:v>612430</x:v>
      </x:c>
      <x:c r="H38" s="118" t="str">
        <x:v>Discus (R); Black Diamond Stingray [Pearls]</x:v>
      </x:c>
    </x:row>
    <x:row r="39" ht="26.399999618530273" hidden="0" customHeight="1">
      <x:c r="A39" s="118" t="n">
        <x:v>36</x:v>
      </x:c>
      <x:c r="B39" s="118" t="n">
        <x:v>926950</x:v>
      </x:c>
      <x:c r="C39" s="118" t="n">
        <x:f aca="0">B39-B38</x:f>
        <x:v>80090</x:v>
      </x:c>
      <x:c r="D39" s="118" t="str">
        <x:f>IF(A39&lt;=5,"Tutorial",IF(A39&lt;=10,"Early",IF(A39&lt;=20,"Habit",IF(A39&lt;=30,"Mid",IF(A39&lt;=40,"Advanced Launch","Post-launch")))))</x:f>
        <x:v>Advanced Launch</x:v>
      </x:c>
      <x:c r="E39" s="118" t="n">
        <x:f aca="0">IF(A39&lt;=10,Inputs!$B$14,IF(A39&lt;=18,Inputs!$B$14+(A39-10)*(Inputs!$B$15-Inputs!$B$14)/8,IF(A39&lt;=30,Inputs!$B$15,IF(A39&lt;=36,Inputs!$B$15+(A39-30)*(Inputs!$B$16-Inputs!$B$15)/6,Inputs!$B$16))))</x:f>
        <x:v>0.85</x:v>
      </x:c>
      <x:c r="F39" s="118" t="n">
        <x:f aca="0">ROUND(C39*E39,-1)</x:f>
        <x:v>68080</x:v>
      </x:c>
      <x:c r="G39" s="118" t="n">
        <x:f aca="0">G38+F39</x:f>
        <x:v>680510</x:v>
      </x:c>
      <x:c r="H39" s="118" t="str">
        <x:v>Moorish Idol (E)</x:v>
      </x:c>
    </x:row>
    <x:row r="40" ht="26.399999618530273" hidden="0" customHeight="1">
      <x:c r="A40" s="118" t="n">
        <x:v>37</x:v>
      </x:c>
      <x:c r="B40" s="118" t="n">
        <x:v>1011990</x:v>
      </x:c>
      <x:c r="C40" s="118" t="n">
        <x:f aca="0">B40-B39</x:f>
        <x:v>85040</x:v>
      </x:c>
      <x:c r="D40" s="118" t="str">
        <x:f>IF(A40&lt;=5,"Tutorial",IF(A40&lt;=10,"Early",IF(A40&lt;=20,"Habit",IF(A40&lt;=30,"Mid",IF(A40&lt;=40,"Advanced Launch","Post-launch")))))</x:f>
        <x:v>Advanced Launch</x:v>
      </x:c>
      <x:c r="E40" s="118" t="n">
        <x:f aca="0">IF(A40&lt;=10,Inputs!$B$14,IF(A40&lt;=18,Inputs!$B$14+(A40-10)*(Inputs!$B$15-Inputs!$B$14)/8,IF(A40&lt;=30,Inputs!$B$15,IF(A40&lt;=36,Inputs!$B$15+(A40-30)*(Inputs!$B$16-Inputs!$B$15)/6,Inputs!$B$16))))</x:f>
        <x:v>0.85</x:v>
      </x:c>
      <x:c r="F40" s="118" t="n">
        <x:f aca="0">ROUND(C40*E40,-1)</x:f>
        <x:v>72280</x:v>
      </x:c>
      <x:c r="G40" s="118" t="n">
        <x:f aca="0">G39+F40</x:f>
        <x:v>752790</x:v>
      </x:c>
      <x:c r="H40" s="118" t="str">
        <x:v>Large Tank 4</x:v>
      </x:c>
    </x:row>
    <x:row r="41" ht="26.399999618530273" hidden="0" customHeight="1">
      <x:c r="A41" s="118" t="n">
        <x:v>38</x:v>
      </x:c>
      <x:c r="B41" s="118" t="n">
        <x:v>1102130</x:v>
      </x:c>
      <x:c r="C41" s="118" t="n">
        <x:f aca="0">B41-B40</x:f>
        <x:v>90140</x:v>
      </x:c>
      <x:c r="D41" s="118" t="str">
        <x:f>IF(A41&lt;=5,"Tutorial",IF(A41&lt;=10,"Early",IF(A41&lt;=20,"Habit",IF(A41&lt;=30,"Mid",IF(A41&lt;=40,"Advanced Launch","Post-launch")))))</x:f>
        <x:v>Advanced Launch</x:v>
      </x:c>
      <x:c r="E41" s="118" t="n">
        <x:f aca="0">IF(A41&lt;=10,Inputs!$B$14,IF(A41&lt;=18,Inputs!$B$14+(A41-10)*(Inputs!$B$15-Inputs!$B$14)/8,IF(A41&lt;=30,Inputs!$B$15,IF(A41&lt;=36,Inputs!$B$15+(A41-30)*(Inputs!$B$16-Inputs!$B$15)/6,Inputs!$B$16))))</x:f>
        <x:v>0.85</x:v>
      </x:c>
      <x:c r="F41" s="118" t="n">
        <x:f aca="0">ROUND(C41*E41,-1)</x:f>
        <x:v>76620</x:v>
      </x:c>
      <x:c r="G41" s="118" t="n">
        <x:f aca="0">G40+F41</x:f>
        <x:v>829410</x:v>
      </x:c>
      <x:c r="H41" s="118" t="str">
        <x:v>Blueline Triggerfish (R)</x:v>
      </x:c>
    </x:row>
    <x:row r="42" ht="26.399999618530273" hidden="0" customHeight="1">
      <x:c r="A42" s="118" t="n">
        <x:v>39</x:v>
      </x:c>
      <x:c r="B42" s="118" t="n">
        <x:v>1197520</x:v>
      </x:c>
      <x:c r="C42" s="118" t="n">
        <x:f aca="0">B42-B41</x:f>
        <x:v>95390</x:v>
      </x:c>
      <x:c r="D42" s="118" t="str">
        <x:f>IF(A42&lt;=5,"Tutorial",IF(A42&lt;=10,"Early",IF(A42&lt;=20,"Habit",IF(A42&lt;=30,"Mid",IF(A42&lt;=40,"Advanced Launch","Post-launch")))))</x:f>
        <x:v>Advanced Launch</x:v>
      </x:c>
      <x:c r="E42" s="118" t="n">
        <x:f aca="0">IF(A42&lt;=10,Inputs!$B$14,IF(A42&lt;=18,Inputs!$B$14+(A42-10)*(Inputs!$B$15-Inputs!$B$14)/8,IF(A42&lt;=30,Inputs!$B$15,IF(A42&lt;=36,Inputs!$B$15+(A42-30)*(Inputs!$B$16-Inputs!$B$15)/6,Inputs!$B$16))))</x:f>
        <x:v>0.85</x:v>
      </x:c>
      <x:c r="F42" s="118" t="n">
        <x:f aca="0">ROUND(C42*E42,-1)</x:f>
        <x:v>81080</x:v>
      </x:c>
      <x:c r="G42" s="118" t="n">
        <x:f aca="0">G41+F42</x:f>
        <x:v>910490</x:v>
      </x:c>
      <x:c r="H42" s="118"/>
    </x:row>
    <x:row r="43" ht="26.399999618530273" hidden="0" customHeight="1">
      <x:c r="A43" s="118" t="n">
        <x:v>40</x:v>
      </x:c>
      <x:c r="B43" s="118" t="n">
        <x:v>1298310</x:v>
      </x:c>
      <x:c r="C43" s="118" t="n">
        <x:f aca="0">B43-B42</x:f>
        <x:v>100790</x:v>
      </x:c>
      <x:c r="D43" s="118" t="str">
        <x:f>IF(A43&lt;=5,"Tutorial",IF(A43&lt;=10,"Early",IF(A43&lt;=20,"Habit",IF(A43&lt;=30,"Mid",IF(A43&lt;=40,"Advanced Launch","Post-launch")))))</x:f>
        <x:v>Advanced Launch</x:v>
      </x:c>
      <x:c r="E43" s="118" t="n">
        <x:f aca="0">IF(A43&lt;=10,Inputs!$B$14,IF(A43&lt;=18,Inputs!$B$14+(A43-10)*(Inputs!$B$15-Inputs!$B$14)/8,IF(A43&lt;=30,Inputs!$B$15,IF(A43&lt;=36,Inputs!$B$15+(A43-30)*(Inputs!$B$16-Inputs!$B$15)/6,Inputs!$B$16))))</x:f>
        <x:v>0.85</x:v>
      </x:c>
      <x:c r="F43" s="118" t="n">
        <x:f aca="0">ROUND(C43*E43,-1)</x:f>
        <x:v>85670</x:v>
      </x:c>
      <x:c r="G43" s="118" t="n">
        <x:f aca="0">G42+F43</x:f>
        <x:v>996160</x:v>
      </x:c>
      <x:c r="H43" s="118" t="str">
        <x:v>Queen Angelfish (E); Platinum Arowana [Pearls]; Medium Tank 5  &lt;&lt; LAUNCH LEVEL CAP, capstone pacing</x:v>
      </x:c>
    </x:row>
    <x:row r="44" ht="15" hidden="0" customHeight="1">
      <x:c r="A44" s="118" t="n">
        <x:v>41</x:v>
      </x:c>
      <x:c r="B44" s="118" t="n">
        <x:v>1404650</x:v>
      </x:c>
      <x:c r="C44" s="118" t="n">
        <x:f aca="0">B44-B43</x:f>
        <x:v>106340</x:v>
      </x:c>
      <x:c r="D44" s="118" t="str">
        <x:f>IF(A44&lt;=5,"Tutorial",IF(A44&lt;=10,"Early",IF(A44&lt;=20,"Habit",IF(A44&lt;=30,"Mid",IF(A44&lt;=40,"Advanced Launch","Post-launch")))))</x:f>
        <x:v>Post-launch</x:v>
      </x:c>
      <x:c r="E44" s="118" t="n">
        <x:f aca="0">IF(A44&lt;=10,Inputs!$B$14,IF(A44&lt;=18,Inputs!$B$14+(A44-10)*(Inputs!$B$15-Inputs!$B$14)/8,IF(A44&lt;=30,Inputs!$B$15,IF(A44&lt;=36,Inputs!$B$15+(A44-30)*(Inputs!$B$16-Inputs!$B$15)/6,Inputs!$B$16))))</x:f>
        <x:v>0.85</x:v>
      </x:c>
      <x:c r="F44" s="118" t="n">
        <x:f aca="0">ROUND(C44*E44,-1)</x:f>
        <x:v>90390</x:v>
      </x:c>
      <x:c r="G44" s="118" t="n">
        <x:f aca="0">G43+F44</x:f>
        <x:v>1086550</x:v>
      </x:c>
      <x:c r="H44" s="118" t="str">
        <x:v>Post-launch: roadmap wave content</x:v>
      </x:c>
    </x:row>
    <x:row r="45" ht="15" hidden="0" customHeight="1">
      <x:c r="A45" s="118" t="n">
        <x:v>42</x:v>
      </x:c>
      <x:c r="B45" s="118" t="n">
        <x:v>1516690</x:v>
      </x:c>
      <x:c r="C45" s="118" t="n">
        <x:f aca="0">B45-B44</x:f>
        <x:v>112040</x:v>
      </x:c>
      <x:c r="D45" s="118" t="str">
        <x:f>IF(A45&lt;=5,"Tutorial",IF(A45&lt;=10,"Early",IF(A45&lt;=20,"Habit",IF(A45&lt;=30,"Mid",IF(A45&lt;=40,"Advanced Launch","Post-launch")))))</x:f>
        <x:v>Post-launch</x:v>
      </x:c>
      <x:c r="E45" s="118" t="n">
        <x:f aca="0">IF(A45&lt;=10,Inputs!$B$14,IF(A45&lt;=18,Inputs!$B$14+(A45-10)*(Inputs!$B$15-Inputs!$B$14)/8,IF(A45&lt;=30,Inputs!$B$15,IF(A45&lt;=36,Inputs!$B$15+(A45-30)*(Inputs!$B$16-Inputs!$B$15)/6,Inputs!$B$16))))</x:f>
        <x:v>0.85</x:v>
      </x:c>
      <x:c r="F45" s="118" t="n">
        <x:f aca="0">ROUND(C45*E45,-1)</x:f>
        <x:v>95230</x:v>
      </x:c>
      <x:c r="G45" s="118" t="n">
        <x:f aca="0">G44+F45</x:f>
        <x:v>1181780</x:v>
      </x:c>
      <x:c r="H45" s="118" t="str">
        <x:v>Post-launch: roadmap wave content</x:v>
      </x:c>
    </x:row>
    <x:row r="46" ht="15" hidden="0" customHeight="1">
      <x:c r="A46" s="118" t="n">
        <x:v>43</x:v>
      </x:c>
      <x:c r="B46" s="118" t="n">
        <x:v>1634580</x:v>
      </x:c>
      <x:c r="C46" s="118" t="n">
        <x:f aca="0">B46-B45</x:f>
        <x:v>117890</x:v>
      </x:c>
      <x:c r="D46" s="118" t="str">
        <x:f>IF(A46&lt;=5,"Tutorial",IF(A46&lt;=10,"Early",IF(A46&lt;=20,"Habit",IF(A46&lt;=30,"Mid",IF(A46&lt;=40,"Advanced Launch","Post-launch")))))</x:f>
        <x:v>Post-launch</x:v>
      </x:c>
      <x:c r="E46" s="118" t="n">
        <x:f aca="0">IF(A46&lt;=10,Inputs!$B$14,IF(A46&lt;=18,Inputs!$B$14+(A46-10)*(Inputs!$B$15-Inputs!$B$14)/8,IF(A46&lt;=30,Inputs!$B$15,IF(A46&lt;=36,Inputs!$B$15+(A46-30)*(Inputs!$B$16-Inputs!$B$15)/6,Inputs!$B$16))))</x:f>
        <x:v>0.85</x:v>
      </x:c>
      <x:c r="F46" s="118" t="n">
        <x:f aca="0">ROUND(C46*E46,-1)</x:f>
        <x:v>100210</x:v>
      </x:c>
      <x:c r="G46" s="118" t="n">
        <x:f aca="0">G45+F46</x:f>
        <x:v>1281990</x:v>
      </x:c>
      <x:c r="H46" s="118" t="str">
        <x:v>Post-launch: Tank 6 unlock</x:v>
      </x:c>
    </x:row>
    <x:row r="47" ht="15" hidden="0" customHeight="1">
      <x:c r="A47" s="118" t="n">
        <x:v>44</x:v>
      </x:c>
      <x:c r="B47" s="118" t="n">
        <x:v>1758470</x:v>
      </x:c>
      <x:c r="C47" s="118" t="n">
        <x:f aca="0">B47-B46</x:f>
        <x:v>123890</x:v>
      </x:c>
      <x:c r="D47" s="118" t="str">
        <x:f>IF(A47&lt;=5,"Tutorial",IF(A47&lt;=10,"Early",IF(A47&lt;=20,"Habit",IF(A47&lt;=30,"Mid",IF(A47&lt;=40,"Advanced Launch","Post-launch")))))</x:f>
        <x:v>Post-launch</x:v>
      </x:c>
      <x:c r="E47" s="118" t="n">
        <x:f aca="0">IF(A47&lt;=10,Inputs!$B$14,IF(A47&lt;=18,Inputs!$B$14+(A47-10)*(Inputs!$B$15-Inputs!$B$14)/8,IF(A47&lt;=30,Inputs!$B$15,IF(A47&lt;=36,Inputs!$B$15+(A47-30)*(Inputs!$B$16-Inputs!$B$15)/6,Inputs!$B$16))))</x:f>
        <x:v>0.85</x:v>
      </x:c>
      <x:c r="F47" s="118" t="n">
        <x:f aca="0">ROUND(C47*E47,-1)</x:f>
        <x:v>105310</x:v>
      </x:c>
      <x:c r="G47" s="118" t="n">
        <x:f aca="0">G46+F47</x:f>
        <x:v>1387300</x:v>
      </x:c>
      <x:c r="H47" s="118" t="str">
        <x:v>Post-launch: roadmap wave content</x:v>
      </x:c>
    </x:row>
    <x:row r="48" ht="15" hidden="0" customHeight="1">
      <x:c r="A48" s="118" t="n">
        <x:v>45</x:v>
      </x:c>
      <x:c r="B48" s="118" t="n">
        <x:v>1888510</x:v>
      </x:c>
      <x:c r="C48" s="118" t="n">
        <x:f aca="0">B48-B47</x:f>
        <x:v>130040</x:v>
      </x:c>
      <x:c r="D48" s="118" t="str">
        <x:f>IF(A48&lt;=5,"Tutorial",IF(A48&lt;=10,"Early",IF(A48&lt;=20,"Habit",IF(A48&lt;=30,"Mid",IF(A48&lt;=40,"Advanced Launch","Post-launch")))))</x:f>
        <x:v>Post-launch</x:v>
      </x:c>
      <x:c r="E48" s="118" t="n">
        <x:f aca="0">IF(A48&lt;=10,Inputs!$B$14,IF(A48&lt;=18,Inputs!$B$14+(A48-10)*(Inputs!$B$15-Inputs!$B$14)/8,IF(A48&lt;=30,Inputs!$B$15,IF(A48&lt;=36,Inputs!$B$15+(A48-30)*(Inputs!$B$16-Inputs!$B$15)/6,Inputs!$B$16))))</x:f>
        <x:v>0.85</x:v>
      </x:c>
      <x:c r="F48" s="118" t="n">
        <x:f aca="0">ROUND(C48*E48,-1)</x:f>
        <x:v>110530</x:v>
      </x:c>
      <x:c r="G48" s="118" t="n">
        <x:f aca="0">G47+F48</x:f>
        <x:v>1497830</x:v>
      </x:c>
      <x:c r="H48" s="118" t="str">
        <x:v>Post-launch: roadmap wave content</x:v>
      </x:c>
    </x:row>
    <x:row r="49" ht="15" hidden="0" customHeight="1">
      <x:c r="A49" s="118" t="n">
        <x:v>46</x:v>
      </x:c>
      <x:c r="B49" s="118" t="n">
        <x:v>2024850</x:v>
      </x:c>
      <x:c r="C49" s="118" t="n">
        <x:f aca="0">B49-B48</x:f>
        <x:v>136340</x:v>
      </x:c>
      <x:c r="D49" s="118" t="str">
        <x:f>IF(A49&lt;=5,"Tutorial",IF(A49&lt;=10,"Early",IF(A49&lt;=20,"Habit",IF(A49&lt;=30,"Mid",IF(A49&lt;=40,"Advanced Launch","Post-launch")))))</x:f>
        <x:v>Post-launch</x:v>
      </x:c>
      <x:c r="E49" s="118" t="n">
        <x:f aca="0">IF(A49&lt;=10,Inputs!$B$14,IF(A49&lt;=18,Inputs!$B$14+(A49-10)*(Inputs!$B$15-Inputs!$B$14)/8,IF(A49&lt;=30,Inputs!$B$15,IF(A49&lt;=36,Inputs!$B$15+(A49-30)*(Inputs!$B$16-Inputs!$B$15)/6,Inputs!$B$16))))</x:f>
        <x:v>0.85</x:v>
      </x:c>
      <x:c r="F49" s="118" t="n">
        <x:f aca="0">ROUND(C49*E49,-1)</x:f>
        <x:v>115890</x:v>
      </x:c>
      <x:c r="G49" s="118" t="n">
        <x:f aca="0">G48+F49</x:f>
        <x:v>1613720</x:v>
      </x:c>
      <x:c r="H49" s="118" t="str">
        <x:v>Post-launch: Large Tank 5</x:v>
      </x:c>
    </x:row>
    <x:row r="50" ht="15" hidden="0" customHeight="1">
      <x:c r="A50" s="118" t="n">
        <x:v>47</x:v>
      </x:c>
      <x:c r="B50" s="118" t="n">
        <x:v>2167640</x:v>
      </x:c>
      <x:c r="C50" s="118" t="n">
        <x:f aca="0">B50-B49</x:f>
        <x:v>142790</x:v>
      </x:c>
      <x:c r="D50" s="118" t="str">
        <x:f>IF(A50&lt;=5,"Tutorial",IF(A50&lt;=10,"Early",IF(A50&lt;=20,"Habit",IF(A50&lt;=30,"Mid",IF(A50&lt;=40,"Advanced Launch","Post-launch")))))</x:f>
        <x:v>Post-launch</x:v>
      </x:c>
      <x:c r="E50" s="118" t="n">
        <x:f aca="0">IF(A50&lt;=10,Inputs!$B$14,IF(A50&lt;=18,Inputs!$B$14+(A50-10)*(Inputs!$B$15-Inputs!$B$14)/8,IF(A50&lt;=30,Inputs!$B$15,IF(A50&lt;=36,Inputs!$B$15+(A50-30)*(Inputs!$B$16-Inputs!$B$15)/6,Inputs!$B$16))))</x:f>
        <x:v>0.85</x:v>
      </x:c>
      <x:c r="F50" s="118" t="n">
        <x:f aca="0">ROUND(C50*E50,-1)</x:f>
        <x:v>121370</x:v>
      </x:c>
      <x:c r="G50" s="118" t="n">
        <x:f aca="0">G49+F50</x:f>
        <x:v>1735090</x:v>
      </x:c>
      <x:c r="H50" s="118" t="str">
        <x:v>Post-launch: roadmap wave content</x:v>
      </x:c>
    </x:row>
    <x:row r="51" ht="15" hidden="0" customHeight="1">
      <x:c r="A51" s="118" t="n">
        <x:v>48</x:v>
      </x:c>
      <x:c r="B51" s="118" t="n">
        <x:v>2317030</x:v>
      </x:c>
      <x:c r="C51" s="118" t="n">
        <x:f aca="0">B51-B50</x:f>
        <x:v>149390</x:v>
      </x:c>
      <x:c r="D51" s="118" t="str">
        <x:f>IF(A51&lt;=5,"Tutorial",IF(A51&lt;=10,"Early",IF(A51&lt;=20,"Habit",IF(A51&lt;=30,"Mid",IF(A51&lt;=40,"Advanced Launch","Post-launch")))))</x:f>
        <x:v>Post-launch</x:v>
      </x:c>
      <x:c r="E51" s="118" t="n">
        <x:f aca="0">IF(A51&lt;=10,Inputs!$B$14,IF(A51&lt;=18,Inputs!$B$14+(A51-10)*(Inputs!$B$15-Inputs!$B$14)/8,IF(A51&lt;=30,Inputs!$B$15,IF(A51&lt;=36,Inputs!$B$15+(A51-30)*(Inputs!$B$16-Inputs!$B$15)/6,Inputs!$B$16))))</x:f>
        <x:v>0.85</x:v>
      </x:c>
      <x:c r="F51" s="118" t="n">
        <x:f aca="0">ROUND(C51*E51,-1)</x:f>
        <x:v>126980</x:v>
      </x:c>
      <x:c r="G51" s="118" t="n">
        <x:f aca="0">G50+F51</x:f>
        <x:v>1862070</x:v>
      </x:c>
      <x:c r="H51" s="118" t="str">
        <x:v>Post-launch: roadmap wave content</x:v>
      </x:c>
    </x:row>
    <x:row r="52" ht="15" hidden="0" customHeight="1">
      <x:c r="A52" s="118" t="n">
        <x:v>49</x:v>
      </x:c>
      <x:c r="B52" s="118" t="n">
        <x:v>2473170</x:v>
      </x:c>
      <x:c r="C52" s="118" t="n">
        <x:f aca="0">B52-B51</x:f>
        <x:v>156140</x:v>
      </x:c>
      <x:c r="D52" s="118" t="str">
        <x:f>IF(A52&lt;=5,"Tutorial",IF(A52&lt;=10,"Early",IF(A52&lt;=20,"Habit",IF(A52&lt;=30,"Mid",IF(A52&lt;=40,"Advanced Launch","Post-launch")))))</x:f>
        <x:v>Post-launch</x:v>
      </x:c>
      <x:c r="E52" s="118" t="n">
        <x:f aca="0">IF(A52&lt;=10,Inputs!$B$14,IF(A52&lt;=18,Inputs!$B$14+(A52-10)*(Inputs!$B$15-Inputs!$B$14)/8,IF(A52&lt;=30,Inputs!$B$15,IF(A52&lt;=36,Inputs!$B$15+(A52-30)*(Inputs!$B$16-Inputs!$B$15)/6,Inputs!$B$16))))</x:f>
        <x:v>0.85</x:v>
      </x:c>
      <x:c r="F52" s="118" t="n">
        <x:f aca="0">ROUND(C52*E52,-1)</x:f>
        <x:v>132720</x:v>
      </x:c>
      <x:c r="G52" s="118" t="n">
        <x:f aca="0">G51+F52</x:f>
        <x:v>1994790</x:v>
      </x:c>
      <x:c r="H52" s="118" t="str">
        <x:v>Post-launch: Medium Tank 6</x:v>
      </x:c>
    </x:row>
    <x:row r="53" ht="15" hidden="0" customHeight="1">
      <x:c r="A53" s="118" t="n">
        <x:v>50</x:v>
      </x:c>
      <x:c r="B53" s="118" t="n">
        <x:v>2636210</x:v>
      </x:c>
      <x:c r="C53" s="118" t="n">
        <x:f aca="0">B53-B52</x:f>
        <x:v>163040</x:v>
      </x:c>
      <x:c r="D53" s="118" t="str">
        <x:f>IF(A53&lt;=5,"Tutorial",IF(A53&lt;=10,"Early",IF(A53&lt;=20,"Habit",IF(A53&lt;=30,"Mid",IF(A53&lt;=40,"Advanced Launch","Post-launch")))))</x:f>
        <x:v>Post-launch</x:v>
      </x:c>
      <x:c r="E53" s="118" t="n">
        <x:f aca="0">IF(A53&lt;=10,Inputs!$B$14,IF(A53&lt;=18,Inputs!$B$14+(A53-10)*(Inputs!$B$15-Inputs!$B$14)/8,IF(A53&lt;=30,Inputs!$B$15,IF(A53&lt;=36,Inputs!$B$15+(A53-30)*(Inputs!$B$16-Inputs!$B$15)/6,Inputs!$B$16))))</x:f>
        <x:v>0.85</x:v>
      </x:c>
      <x:c r="F53" s="118" t="n">
        <x:f aca="0">ROUND(C53*E53,-1)</x:f>
        <x:v>138580</x:v>
      </x:c>
      <x:c r="G53" s="118" t="n">
        <x:f aca="0">G52+F53</x:f>
        <x:v>2133370</x:v>
      </x:c>
      <x:c r="H53" s="118" t="str">
        <x:v>Post-launch: roadmap wave content</x:v>
      </x:c>
    </x:row>
    <x:row r="54" ht="15" hidden="0" customHeight="1">
      <x:c r="A54" s="118" t="n">
        <x:v>51</x:v>
      </x:c>
      <x:c r="B54" s="118" t="n">
        <x:v>2806300</x:v>
      </x:c>
      <x:c r="C54" s="118" t="n">
        <x:f aca="0">B54-B53</x:f>
        <x:v>170090</x:v>
      </x:c>
      <x:c r="D54" s="118" t="str">
        <x:f>IF(A54&lt;=5,"Tutorial",IF(A54&lt;=10,"Early",IF(A54&lt;=20,"Habit",IF(A54&lt;=30,"Mid",IF(A54&lt;=40,"Advanced Launch","Post-launch")))))</x:f>
        <x:v>Post-launch</x:v>
      </x:c>
      <x:c r="E54" s="118" t="n">
        <x:f aca="0">IF(A54&lt;=10,Inputs!$B$14,IF(A54&lt;=18,Inputs!$B$14+(A54-10)*(Inputs!$B$15-Inputs!$B$14)/8,IF(A54&lt;=30,Inputs!$B$15,IF(A54&lt;=36,Inputs!$B$15+(A54-30)*(Inputs!$B$16-Inputs!$B$15)/6,Inputs!$B$16))))</x:f>
        <x:v>0.85</x:v>
      </x:c>
      <x:c r="F54" s="118" t="n">
        <x:f aca="0">ROUND(C54*E54,-1)</x:f>
        <x:v>144580</x:v>
      </x:c>
      <x:c r="G54" s="118" t="n">
        <x:f aca="0">G53+F54</x:f>
        <x:v>2277950</x:v>
      </x:c>
      <x:c r="H54" s="118" t="str">
        <x:v>Post-launch: roadmap wave content</x:v>
      </x:c>
    </x:row>
    <x:row r="55" ht="15" hidden="0" customHeight="1">
      <x:c r="A55" s="118" t="n">
        <x:v>52</x:v>
      </x:c>
      <x:c r="B55" s="118" t="n">
        <x:v>2983590</x:v>
      </x:c>
      <x:c r="C55" s="118" t="n">
        <x:f aca="0">B55-B54</x:f>
        <x:v>177290</x:v>
      </x:c>
      <x:c r="D55" s="118" t="str">
        <x:f>IF(A55&lt;=5,"Tutorial",IF(A55&lt;=10,"Early",IF(A55&lt;=20,"Habit",IF(A55&lt;=30,"Mid",IF(A55&lt;=40,"Advanced Launch","Post-launch")))))</x:f>
        <x:v>Post-launch</x:v>
      </x:c>
      <x:c r="E55" s="118" t="n">
        <x:f aca="0">IF(A55&lt;=10,Inputs!$B$14,IF(A55&lt;=18,Inputs!$B$14+(A55-10)*(Inputs!$B$15-Inputs!$B$14)/8,IF(A55&lt;=30,Inputs!$B$15,IF(A55&lt;=36,Inputs!$B$15+(A55-30)*(Inputs!$B$16-Inputs!$B$15)/6,Inputs!$B$16))))</x:f>
        <x:v>0.85</x:v>
      </x:c>
      <x:c r="F55" s="118" t="n">
        <x:f aca="0">ROUND(C55*E55,-1)</x:f>
        <x:v>150700</x:v>
      </x:c>
      <x:c r="G55" s="118" t="n">
        <x:f aca="0">G54+F55</x:f>
        <x:v>2428650</x:v>
      </x:c>
      <x:c r="H55" s="118" t="str">
        <x:v>Post-launch: Tank 7 unlock</x:v>
      </x:c>
    </x:row>
    <x:row r="56" ht="15" hidden="0" customHeight="1">
      <x:c r="A56" s="118" t="n">
        <x:v>53</x:v>
      </x:c>
      <x:c r="B56" s="118" t="n">
        <x:v>3168230</x:v>
      </x:c>
      <x:c r="C56" s="118" t="n">
        <x:f aca="0">B56-B55</x:f>
        <x:v>184640</x:v>
      </x:c>
      <x:c r="D56" s="118" t="str">
        <x:f>IF(A56&lt;=5,"Tutorial",IF(A56&lt;=10,"Early",IF(A56&lt;=20,"Habit",IF(A56&lt;=30,"Mid",IF(A56&lt;=40,"Advanced Launch","Post-launch")))))</x:f>
        <x:v>Post-launch</x:v>
      </x:c>
      <x:c r="E56" s="118" t="n">
        <x:f aca="0">IF(A56&lt;=10,Inputs!$B$14,IF(A56&lt;=18,Inputs!$B$14+(A56-10)*(Inputs!$B$15-Inputs!$B$14)/8,IF(A56&lt;=30,Inputs!$B$15,IF(A56&lt;=36,Inputs!$B$15+(A56-30)*(Inputs!$B$16-Inputs!$B$15)/6,Inputs!$B$16))))</x:f>
        <x:v>0.85</x:v>
      </x:c>
      <x:c r="F56" s="118" t="n">
        <x:f aca="0">ROUND(C56*E56,-1)</x:f>
        <x:v>156940</x:v>
      </x:c>
      <x:c r="G56" s="118" t="n">
        <x:f aca="0">G55+F56</x:f>
        <x:v>2585590</x:v>
      </x:c>
      <x:c r="H56" s="118" t="str">
        <x:v>Post-launch: roadmap wave content</x:v>
      </x:c>
    </x:row>
    <x:row r="57" ht="15" hidden="0" customHeight="1">
      <x:c r="A57" s="118" t="n">
        <x:v>54</x:v>
      </x:c>
      <x:c r="B57" s="118" t="n">
        <x:v>3360370</x:v>
      </x:c>
      <x:c r="C57" s="118" t="n">
        <x:f aca="0">B57-B56</x:f>
        <x:v>192140</x:v>
      </x:c>
      <x:c r="D57" s="118" t="str">
        <x:f>IF(A57&lt;=5,"Tutorial",IF(A57&lt;=10,"Early",IF(A57&lt;=20,"Habit",IF(A57&lt;=30,"Mid",IF(A57&lt;=40,"Advanced Launch","Post-launch")))))</x:f>
        <x:v>Post-launch</x:v>
      </x:c>
      <x:c r="E57" s="118" t="n">
        <x:f aca="0">IF(A57&lt;=10,Inputs!$B$14,IF(A57&lt;=18,Inputs!$B$14+(A57-10)*(Inputs!$B$15-Inputs!$B$14)/8,IF(A57&lt;=30,Inputs!$B$15,IF(A57&lt;=36,Inputs!$B$15+(A57-30)*(Inputs!$B$16-Inputs!$B$15)/6,Inputs!$B$16))))</x:f>
        <x:v>0.85</x:v>
      </x:c>
      <x:c r="F57" s="118" t="n">
        <x:f aca="0">ROUND(C57*E57,-1)</x:f>
        <x:v>163320</x:v>
      </x:c>
      <x:c r="G57" s="118" t="n">
        <x:f aca="0">G56+F57</x:f>
        <x:v>2748910</x:v>
      </x:c>
      <x:c r="H57" s="118" t="str">
        <x:v>Post-launch: roadmap wave content</x:v>
      </x:c>
    </x:row>
    <x:row r="58" ht="15" hidden="0" customHeight="1">
      <x:c r="A58" s="118" t="n">
        <x:v>55</x:v>
      </x:c>
      <x:c r="B58" s="118" t="n">
        <x:v>3560160</x:v>
      </x:c>
      <x:c r="C58" s="118" t="n">
        <x:f aca="0">B58-B57</x:f>
        <x:v>199790</x:v>
      </x:c>
      <x:c r="D58" s="118" t="str">
        <x:f>IF(A58&lt;=5,"Tutorial",IF(A58&lt;=10,"Early",IF(A58&lt;=20,"Habit",IF(A58&lt;=30,"Mid",IF(A58&lt;=40,"Advanced Launch","Post-launch")))))</x:f>
        <x:v>Post-launch</x:v>
      </x:c>
      <x:c r="E58" s="118" t="n">
        <x:f aca="0">IF(A58&lt;=10,Inputs!$B$14,IF(A58&lt;=18,Inputs!$B$14+(A58-10)*(Inputs!$B$15-Inputs!$B$14)/8,IF(A58&lt;=30,Inputs!$B$15,IF(A58&lt;=36,Inputs!$B$15+(A58-30)*(Inputs!$B$16-Inputs!$B$15)/6,Inputs!$B$16))))</x:f>
        <x:v>0.85</x:v>
      </x:c>
      <x:c r="F58" s="118" t="n">
        <x:f aca="0">ROUND(C58*E58,-1)</x:f>
        <x:v>169820</x:v>
      </x:c>
      <x:c r="G58" s="118" t="n">
        <x:f aca="0">G57+F58</x:f>
        <x:v>2918730</x:v>
      </x:c>
      <x:c r="H58" s="118" t="str">
        <x:v>Post-launch: Large Tank 6</x:v>
      </x:c>
    </x:row>
    <x:row r="59" ht="15" hidden="0" customHeight="1">
      <x:c r="A59" s="118" t="n">
        <x:v>56</x:v>
      </x:c>
      <x:c r="B59" s="118" t="n">
        <x:v>3767750</x:v>
      </x:c>
      <x:c r="C59" s="118" t="n">
        <x:f aca="0">B59-B58</x:f>
        <x:v>207590</x:v>
      </x:c>
      <x:c r="D59" s="118" t="str">
        <x:f>IF(A59&lt;=5,"Tutorial",IF(A59&lt;=10,"Early",IF(A59&lt;=20,"Habit",IF(A59&lt;=30,"Mid",IF(A59&lt;=40,"Advanced Launch","Post-launch")))))</x:f>
        <x:v>Post-launch</x:v>
      </x:c>
      <x:c r="E59" s="118" t="n">
        <x:f aca="0">IF(A59&lt;=10,Inputs!$B$14,IF(A59&lt;=18,Inputs!$B$14+(A59-10)*(Inputs!$B$15-Inputs!$B$14)/8,IF(A59&lt;=30,Inputs!$B$15,IF(A59&lt;=36,Inputs!$B$15+(A59-30)*(Inputs!$B$16-Inputs!$B$15)/6,Inputs!$B$16))))</x:f>
        <x:v>0.85</x:v>
      </x:c>
      <x:c r="F59" s="118" t="n">
        <x:f aca="0">ROUND(C59*E59,-1)</x:f>
        <x:v>176450</x:v>
      </x:c>
      <x:c r="G59" s="118" t="n">
        <x:f aca="0">G58+F59</x:f>
        <x:v>3095180</x:v>
      </x:c>
      <x:c r="H59" s="118" t="str">
        <x:v>Post-launch: roadmap wave content</x:v>
      </x:c>
    </x:row>
    <x:row r="60" ht="15" hidden="0" customHeight="1">
      <x:c r="A60" s="118" t="n">
        <x:v>57</x:v>
      </x:c>
      <x:c r="B60" s="118" t="n">
        <x:v>3983290</x:v>
      </x:c>
      <x:c r="C60" s="118" t="n">
        <x:f aca="0">B60-B59</x:f>
        <x:v>215540</x:v>
      </x:c>
      <x:c r="D60" s="118" t="str">
        <x:f>IF(A60&lt;=5,"Tutorial",IF(A60&lt;=10,"Early",IF(A60&lt;=20,"Habit",IF(A60&lt;=30,"Mid",IF(A60&lt;=40,"Advanced Launch","Post-launch")))))</x:f>
        <x:v>Post-launch</x:v>
      </x:c>
      <x:c r="E60" s="118" t="n">
        <x:f aca="0">IF(A60&lt;=10,Inputs!$B$14,IF(A60&lt;=18,Inputs!$B$14+(A60-10)*(Inputs!$B$15-Inputs!$B$14)/8,IF(A60&lt;=30,Inputs!$B$15,IF(A60&lt;=36,Inputs!$B$15+(A60-30)*(Inputs!$B$16-Inputs!$B$15)/6,Inputs!$B$16))))</x:f>
        <x:v>0.85</x:v>
      </x:c>
      <x:c r="F60" s="118" t="n">
        <x:f aca="0">ROUND(C60*E60,-1)</x:f>
        <x:v>183210</x:v>
      </x:c>
      <x:c r="G60" s="118" t="n">
        <x:f aca="0">G59+F60</x:f>
        <x:v>3278390</x:v>
      </x:c>
      <x:c r="H60" s="118" t="str">
        <x:v>Post-launch: roadmap wave content</x:v>
      </x:c>
    </x:row>
    <x:row r="61" ht="15" hidden="0" customHeight="1">
      <x:c r="A61" s="118" t="n">
        <x:v>58</x:v>
      </x:c>
      <x:c r="B61" s="118" t="n">
        <x:v>4206930</x:v>
      </x:c>
      <x:c r="C61" s="118" t="n">
        <x:f aca="0">B61-B60</x:f>
        <x:v>223640</x:v>
      </x:c>
      <x:c r="D61" s="118" t="str">
        <x:f>IF(A61&lt;=5,"Tutorial",IF(A61&lt;=10,"Early",IF(A61&lt;=20,"Habit",IF(A61&lt;=30,"Mid",IF(A61&lt;=40,"Advanced Launch","Post-launch")))))</x:f>
        <x:v>Post-launch</x:v>
      </x:c>
      <x:c r="E61" s="118" t="n">
        <x:f aca="0">IF(A61&lt;=10,Inputs!$B$14,IF(A61&lt;=18,Inputs!$B$14+(A61-10)*(Inputs!$B$15-Inputs!$B$14)/8,IF(A61&lt;=30,Inputs!$B$15,IF(A61&lt;=36,Inputs!$B$15+(A61-30)*(Inputs!$B$16-Inputs!$B$15)/6,Inputs!$B$16))))</x:f>
        <x:v>0.85</x:v>
      </x:c>
      <x:c r="F61" s="118" t="n">
        <x:f aca="0">ROUND(C61*E61,-1)</x:f>
        <x:v>190090</x:v>
      </x:c>
      <x:c r="G61" s="118" t="n">
        <x:f aca="0">G60+F61</x:f>
        <x:v>3468480</x:v>
      </x:c>
      <x:c r="H61" s="118" t="str">
        <x:v>Post-launch: Medium Tank 7</x:v>
      </x:c>
    </x:row>
    <x:row r="62" ht="15" hidden="0" customHeight="1">
      <x:c r="A62" s="118" t="n">
        <x:v>59</x:v>
      </x:c>
      <x:c r="B62" s="118" t="n">
        <x:v>4438820</x:v>
      </x:c>
      <x:c r="C62" s="118" t="n">
        <x:f aca="0">B62-B61</x:f>
        <x:v>231890</x:v>
      </x:c>
      <x:c r="D62" s="118" t="str">
        <x:f>IF(A62&lt;=5,"Tutorial",IF(A62&lt;=10,"Early",IF(A62&lt;=20,"Habit",IF(A62&lt;=30,"Mid",IF(A62&lt;=40,"Advanced Launch","Post-launch")))))</x:f>
        <x:v>Post-launch</x:v>
      </x:c>
      <x:c r="E62" s="118" t="n">
        <x:f aca="0">IF(A62&lt;=10,Inputs!$B$14,IF(A62&lt;=18,Inputs!$B$14+(A62-10)*(Inputs!$B$15-Inputs!$B$14)/8,IF(A62&lt;=30,Inputs!$B$15,IF(A62&lt;=36,Inputs!$B$15+(A62-30)*(Inputs!$B$16-Inputs!$B$15)/6,Inputs!$B$16))))</x:f>
        <x:v>0.85</x:v>
      </x:c>
      <x:c r="F62" s="118" t="n">
        <x:f aca="0">ROUND(C62*E62,-1)</x:f>
        <x:v>197110</x:v>
      </x:c>
      <x:c r="G62" s="118" t="n">
        <x:f aca="0">G61+F62</x:f>
        <x:v>3665590</x:v>
      </x:c>
      <x:c r="H62" s="118" t="str">
        <x:v>Post-launch: roadmap wave content</x:v>
      </x:c>
    </x:row>
    <x:row r="63" ht="15" hidden="0" customHeight="1">
      <x:c r="A63" s="118" t="n">
        <x:v>60</x:v>
      </x:c>
      <x:c r="B63" s="118" t="n">
        <x:v>4679110</x:v>
      </x:c>
      <x:c r="C63" s="118" t="n">
        <x:f aca="0">B63-B62</x:f>
        <x:v>240290</x:v>
      </x:c>
      <x:c r="D63" s="118" t="str">
        <x:f>IF(A63&lt;=5,"Tutorial",IF(A63&lt;=10,"Early",IF(A63&lt;=20,"Habit",IF(A63&lt;=30,"Mid",IF(A63&lt;=40,"Advanced Launch","Post-launch")))))</x:f>
        <x:v>Post-launch</x:v>
      </x:c>
      <x:c r="E63" s="118" t="n">
        <x:f aca="0">IF(A63&lt;=10,Inputs!$B$14,IF(A63&lt;=18,Inputs!$B$14+(A63-10)*(Inputs!$B$15-Inputs!$B$14)/8,IF(A63&lt;=30,Inputs!$B$15,IF(A63&lt;=36,Inputs!$B$15+(A63-30)*(Inputs!$B$16-Inputs!$B$15)/6,Inputs!$B$16))))</x:f>
        <x:v>0.85</x:v>
      </x:c>
      <x:c r="F63" s="118" t="n">
        <x:f aca="0">ROUND(C63*E63,-1)</x:f>
        <x:v>204250</x:v>
      </x:c>
      <x:c r="G63" s="118" t="n">
        <x:f aca="0">G62+F63</x:f>
        <x:v>3869840</x:v>
      </x:c>
      <x:c r="H63" s="118" t="str">
        <x:v>Post-launch: roadmap wave content</x:v>
      </x:c>
    </x:row>
    <x:row r="64" ht="15" hidden="0" customHeight="1">
      <x:c r="A64" s="118" t="n">
        <x:v>61</x:v>
      </x:c>
      <x:c r="B64" s="118" t="n">
        <x:v>4927950</x:v>
      </x:c>
      <x:c r="C64" s="118" t="n">
        <x:f aca="0">B64-B63</x:f>
        <x:v>248840</x:v>
      </x:c>
      <x:c r="D64" s="118" t="str">
        <x:f>IF(A64&lt;=5,"Tutorial",IF(A64&lt;=10,"Early",IF(A64&lt;=20,"Habit",IF(A64&lt;=30,"Mid",IF(A64&lt;=40,"Advanced Launch","Post-launch")))))</x:f>
        <x:v>Post-launch</x:v>
      </x:c>
      <x:c r="E64" s="118" t="n">
        <x:f aca="0">IF(A64&lt;=10,Inputs!$B$14,IF(A64&lt;=18,Inputs!$B$14+(A64-10)*(Inputs!$B$15-Inputs!$B$14)/8,IF(A64&lt;=30,Inputs!$B$15,IF(A64&lt;=36,Inputs!$B$15+(A64-30)*(Inputs!$B$16-Inputs!$B$15)/6,Inputs!$B$16))))</x:f>
        <x:v>0.85</x:v>
      </x:c>
      <x:c r="F64" s="118" t="n">
        <x:f aca="0">ROUND(C64*E64,-1)</x:f>
        <x:v>211510</x:v>
      </x:c>
      <x:c r="G64" s="118" t="n">
        <x:f aca="0">G63+F64</x:f>
        <x:v>4081350</x:v>
      </x:c>
      <x:c r="H64" s="118" t="str">
        <x:v>Post-launch: Tank 8 unlock</x:v>
      </x:c>
    </x:row>
    <x:row r="65" ht="15" hidden="0" customHeight="1">
      <x:c r="A65" s="118" t="n">
        <x:v>62</x:v>
      </x:c>
      <x:c r="B65" s="118" t="n">
        <x:v>5185490</x:v>
      </x:c>
      <x:c r="C65" s="118" t="n">
        <x:f aca="0">B65-B64</x:f>
        <x:v>257540</x:v>
      </x:c>
      <x:c r="D65" s="118" t="str">
        <x:f>IF(A65&lt;=5,"Tutorial",IF(A65&lt;=10,"Early",IF(A65&lt;=20,"Habit",IF(A65&lt;=30,"Mid",IF(A65&lt;=40,"Advanced Launch","Post-launch")))))</x:f>
        <x:v>Post-launch</x:v>
      </x:c>
      <x:c r="E65" s="118" t="n">
        <x:f aca="0">IF(A65&lt;=10,Inputs!$B$14,IF(A65&lt;=18,Inputs!$B$14+(A65-10)*(Inputs!$B$15-Inputs!$B$14)/8,IF(A65&lt;=30,Inputs!$B$15,IF(A65&lt;=36,Inputs!$B$15+(A65-30)*(Inputs!$B$16-Inputs!$B$15)/6,Inputs!$B$16))))</x:f>
        <x:v>0.85</x:v>
      </x:c>
      <x:c r="F65" s="118" t="n">
        <x:f aca="0">ROUND(C65*E65,-1)</x:f>
        <x:v>218910</x:v>
      </x:c>
      <x:c r="G65" s="118" t="n">
        <x:f aca="0">G64+F65</x:f>
        <x:v>4300260</x:v>
      </x:c>
      <x:c r="H65" s="118" t="str">
        <x:v>Post-launch: roadmap wave content</x:v>
      </x:c>
    </x:row>
    <x:row r="66" ht="15" hidden="0" customHeight="1">
      <x:c r="A66" s="118" t="n">
        <x:v>63</x:v>
      </x:c>
      <x:c r="B66" s="118" t="n">
        <x:v>5451880</x:v>
      </x:c>
      <x:c r="C66" s="118" t="n">
        <x:f aca="0">B66-B65</x:f>
        <x:v>266390</x:v>
      </x:c>
      <x:c r="D66" s="118" t="str">
        <x:f>IF(A66&lt;=5,"Tutorial",IF(A66&lt;=10,"Early",IF(A66&lt;=20,"Habit",IF(A66&lt;=30,"Mid",IF(A66&lt;=40,"Advanced Launch","Post-launch")))))</x:f>
        <x:v>Post-launch</x:v>
      </x:c>
      <x:c r="E66" s="118" t="n">
        <x:f aca="0">IF(A66&lt;=10,Inputs!$B$14,IF(A66&lt;=18,Inputs!$B$14+(A66-10)*(Inputs!$B$15-Inputs!$B$14)/8,IF(A66&lt;=30,Inputs!$B$15,IF(A66&lt;=36,Inputs!$B$15+(A66-30)*(Inputs!$B$16-Inputs!$B$15)/6,Inputs!$B$16))))</x:f>
        <x:v>0.85</x:v>
      </x:c>
      <x:c r="F66" s="118" t="n">
        <x:f aca="0">ROUND(C66*E66,-1)</x:f>
        <x:v>226430</x:v>
      </x:c>
      <x:c r="G66" s="118" t="n">
        <x:f aca="0">G65+F66</x:f>
        <x:v>4526690</x:v>
      </x:c>
      <x:c r="H66" s="118" t="str">
        <x:v>Post-launch: roadmap wave content</x:v>
      </x:c>
    </x:row>
    <x:row r="67" ht="15" hidden="0" customHeight="1">
      <x:c r="A67" s="118" t="n">
        <x:v>64</x:v>
      </x:c>
      <x:c r="B67" s="118" t="n">
        <x:v>5727270</x:v>
      </x:c>
      <x:c r="C67" s="118" t="n">
        <x:f aca="0">B67-B66</x:f>
        <x:v>275390</x:v>
      </x:c>
      <x:c r="D67" s="118" t="str">
        <x:f>IF(A67&lt;=5,"Tutorial",IF(A67&lt;=10,"Early",IF(A67&lt;=20,"Habit",IF(A67&lt;=30,"Mid",IF(A67&lt;=40,"Advanced Launch","Post-launch")))))</x:f>
        <x:v>Post-launch</x:v>
      </x:c>
      <x:c r="E67" s="118" t="n">
        <x:f aca="0">IF(A67&lt;=10,Inputs!$B$14,IF(A67&lt;=18,Inputs!$B$14+(A67-10)*(Inputs!$B$15-Inputs!$B$14)/8,IF(A67&lt;=30,Inputs!$B$15,IF(A67&lt;=36,Inputs!$B$15+(A67-30)*(Inputs!$B$16-Inputs!$B$15)/6,Inputs!$B$16))))</x:f>
        <x:v>0.85</x:v>
      </x:c>
      <x:c r="F67" s="118" t="n">
        <x:f aca="0">ROUND(C67*E67,-1)</x:f>
        <x:v>234080</x:v>
      </x:c>
      <x:c r="G67" s="118" t="n">
        <x:f aca="0">G66+F67</x:f>
        <x:v>4760770</x:v>
      </x:c>
      <x:c r="H67" s="118" t="str">
        <x:v>Post-launch: Large Tank 7</x:v>
      </x:c>
    </x:row>
    <x:row r="68" ht="15" hidden="0" customHeight="1">
      <x:c r="A68" s="118" t="n">
        <x:v>65</x:v>
      </x:c>
      <x:c r="B68" s="118" t="n">
        <x:v>6011810</x:v>
      </x:c>
      <x:c r="C68" s="118" t="n">
        <x:f aca="0">B68-B67</x:f>
        <x:v>284540</x:v>
      </x:c>
      <x:c r="D68" s="118" t="str">
        <x:f>IF(A68&lt;=5,"Tutorial",IF(A68&lt;=10,"Early",IF(A68&lt;=20,"Habit",IF(A68&lt;=30,"Mid",IF(A68&lt;=40,"Advanced Launch","Post-launch")))))</x:f>
        <x:v>Post-launch</x:v>
      </x:c>
      <x:c r="E68" s="118" t="n">
        <x:f aca="0">IF(A68&lt;=10,Inputs!$B$14,IF(A68&lt;=18,Inputs!$B$14+(A68-10)*(Inputs!$B$15-Inputs!$B$14)/8,IF(A68&lt;=30,Inputs!$B$15,IF(A68&lt;=36,Inputs!$B$15+(A68-30)*(Inputs!$B$16-Inputs!$B$15)/6,Inputs!$B$16))))</x:f>
        <x:v>0.85</x:v>
      </x:c>
      <x:c r="F68" s="118" t="n">
        <x:f aca="0">ROUND(C68*E68,-1)</x:f>
        <x:v>241860</x:v>
      </x:c>
      <x:c r="G68" s="118" t="n">
        <x:f aca="0">G67+F68</x:f>
        <x:v>5002630</x:v>
      </x:c>
      <x:c r="H68" s="118" t="str">
        <x:v>Post-launch: roadmap wave content</x:v>
      </x:c>
    </x:row>
    <x:row r="69" ht="15" hidden="0" customHeight="1">
      <x:c r="A69" s="118" t="n">
        <x:v>66</x:v>
      </x:c>
      <x:c r="B69" s="118" t="n">
        <x:v>6305650</x:v>
      </x:c>
      <x:c r="C69" s="118" t="n">
        <x:f aca="0">B69-B68</x:f>
        <x:v>293840</x:v>
      </x:c>
      <x:c r="D69" s="118" t="str">
        <x:f>IF(A69&lt;=5,"Tutorial",IF(A69&lt;=10,"Early",IF(A69&lt;=20,"Habit",IF(A69&lt;=30,"Mid",IF(A69&lt;=40,"Advanced Launch","Post-launch")))))</x:f>
        <x:v>Post-launch</x:v>
      </x:c>
      <x:c r="E69" s="118" t="n">
        <x:f aca="0">IF(A69&lt;=10,Inputs!$B$14,IF(A69&lt;=18,Inputs!$B$14+(A69-10)*(Inputs!$B$15-Inputs!$B$14)/8,IF(A69&lt;=30,Inputs!$B$15,IF(A69&lt;=36,Inputs!$B$15+(A69-30)*(Inputs!$B$16-Inputs!$B$15)/6,Inputs!$B$16))))</x:f>
        <x:v>0.85</x:v>
      </x:c>
      <x:c r="F69" s="118" t="n">
        <x:f aca="0">ROUND(C69*E69,-1)</x:f>
        <x:v>249760</x:v>
      </x:c>
      <x:c r="G69" s="118" t="n">
        <x:f aca="0">G68+F69</x:f>
        <x:v>5252390</x:v>
      </x:c>
      <x:c r="H69" s="118" t="str">
        <x:v>Post-launch: roadmap wave content</x:v>
      </x:c>
    </x:row>
    <x:row r="70" ht="15" hidden="0" customHeight="1">
      <x:c r="A70" s="118" t="n">
        <x:v>67</x:v>
      </x:c>
      <x:c r="B70" s="118" t="n">
        <x:v>6608940</x:v>
      </x:c>
      <x:c r="C70" s="118" t="n">
        <x:f aca="0">B70-B69</x:f>
        <x:v>303290</x:v>
      </x:c>
      <x:c r="D70" s="118" t="str">
        <x:f>IF(A70&lt;=5,"Tutorial",IF(A70&lt;=10,"Early",IF(A70&lt;=20,"Habit",IF(A70&lt;=30,"Mid",IF(A70&lt;=40,"Advanced Launch","Post-launch")))))</x:f>
        <x:v>Post-launch</x:v>
      </x:c>
      <x:c r="E70" s="118" t="n">
        <x:f aca="0">IF(A70&lt;=10,Inputs!$B$14,IF(A70&lt;=18,Inputs!$B$14+(A70-10)*(Inputs!$B$15-Inputs!$B$14)/8,IF(A70&lt;=30,Inputs!$B$15,IF(A70&lt;=36,Inputs!$B$15+(A70-30)*(Inputs!$B$16-Inputs!$B$15)/6,Inputs!$B$16))))</x:f>
        <x:v>0.85</x:v>
      </x:c>
      <x:c r="F70" s="118" t="n">
        <x:f aca="0">ROUND(C70*E70,-1)</x:f>
        <x:v>257800</x:v>
      </x:c>
      <x:c r="G70" s="118" t="n">
        <x:f aca="0">G69+F70</x:f>
        <x:v>5510190</x:v>
      </x:c>
      <x:c r="H70" s="118" t="str">
        <x:v>Post-launch: Medium Tank 8</x:v>
      </x:c>
    </x:row>
    <x:row r="71" ht="15" hidden="0" customHeight="1">
      <x:c r="A71" s="118" t="n">
        <x:v>68</x:v>
      </x:c>
      <x:c r="B71" s="118" t="n">
        <x:v>6921830</x:v>
      </x:c>
      <x:c r="C71" s="118" t="n">
        <x:f aca="0">B71-B70</x:f>
        <x:v>312890</x:v>
      </x:c>
      <x:c r="D71" s="118" t="str">
        <x:f>IF(A71&lt;=5,"Tutorial",IF(A71&lt;=10,"Early",IF(A71&lt;=20,"Habit",IF(A71&lt;=30,"Mid",IF(A71&lt;=40,"Advanced Launch","Post-launch")))))</x:f>
        <x:v>Post-launch</x:v>
      </x:c>
      <x:c r="E71" s="118" t="n">
        <x:f aca="0">IF(A71&lt;=10,Inputs!$B$14,IF(A71&lt;=18,Inputs!$B$14+(A71-10)*(Inputs!$B$15-Inputs!$B$14)/8,IF(A71&lt;=30,Inputs!$B$15,IF(A71&lt;=36,Inputs!$B$15+(A71-30)*(Inputs!$B$16-Inputs!$B$15)/6,Inputs!$B$16))))</x:f>
        <x:v>0.85</x:v>
      </x:c>
      <x:c r="F71" s="118" t="n">
        <x:f aca="0">ROUND(C71*E71,-1)</x:f>
        <x:v>265960</x:v>
      </x:c>
      <x:c r="G71" s="118" t="n">
        <x:f aca="0">G70+F71</x:f>
        <x:v>5776150</x:v>
      </x:c>
      <x:c r="H71" s="118" t="str">
        <x:v>Post-launch: roadmap wave content</x:v>
      </x:c>
    </x:row>
    <x:row r="72" ht="15" hidden="0" customHeight="1">
      <x:c r="A72" s="118" t="n">
        <x:v>69</x:v>
      </x:c>
      <x:c r="B72" s="118" t="n">
        <x:v>7244470</x:v>
      </x:c>
      <x:c r="C72" s="118" t="n">
        <x:f aca="0">B72-B71</x:f>
        <x:v>322640</x:v>
      </x:c>
      <x:c r="D72" s="118" t="str">
        <x:f>IF(A72&lt;=5,"Tutorial",IF(A72&lt;=10,"Early",IF(A72&lt;=20,"Habit",IF(A72&lt;=30,"Mid",IF(A72&lt;=40,"Advanced Launch","Post-launch")))))</x:f>
        <x:v>Post-launch</x:v>
      </x:c>
      <x:c r="E72" s="118" t="n">
        <x:f aca="0">IF(A72&lt;=10,Inputs!$B$14,IF(A72&lt;=18,Inputs!$B$14+(A72-10)*(Inputs!$B$15-Inputs!$B$14)/8,IF(A72&lt;=30,Inputs!$B$15,IF(A72&lt;=36,Inputs!$B$15+(A72-30)*(Inputs!$B$16-Inputs!$B$15)/6,Inputs!$B$16))))</x:f>
        <x:v>0.85</x:v>
      </x:c>
      <x:c r="F72" s="118" t="n">
        <x:f aca="0">ROUND(C72*E72,-1)</x:f>
        <x:v>274240</x:v>
      </x:c>
      <x:c r="G72" s="118" t="n">
        <x:f aca="0">G71+F72</x:f>
        <x:v>6050390</x:v>
      </x:c>
      <x:c r="H72" s="118" t="str">
        <x:v>Post-launch: roadmap wave content</x:v>
      </x:c>
    </x:row>
    <x:row r="73" ht="15" hidden="0" customHeight="1">
      <x:c r="A73" s="118" t="n">
        <x:v>70</x:v>
      </x:c>
      <x:c r="B73" s="118" t="n">
        <x:v>7577010</x:v>
      </x:c>
      <x:c r="C73" s="118" t="n">
        <x:f aca="0">B73-B72</x:f>
        <x:v>332540</x:v>
      </x:c>
      <x:c r="D73" s="118" t="str">
        <x:f>IF(A73&lt;=5,"Tutorial",IF(A73&lt;=10,"Early",IF(A73&lt;=20,"Habit",IF(A73&lt;=30,"Mid",IF(A73&lt;=40,"Advanced Launch","Post-launch")))))</x:f>
        <x:v>Post-launch</x:v>
      </x:c>
      <x:c r="E73" s="118" t="n">
        <x:f aca="0">IF(A73&lt;=10,Inputs!$B$14,IF(A73&lt;=18,Inputs!$B$14+(A73-10)*(Inputs!$B$15-Inputs!$B$14)/8,IF(A73&lt;=30,Inputs!$B$15,IF(A73&lt;=36,Inputs!$B$15+(A73-30)*(Inputs!$B$16-Inputs!$B$15)/6,Inputs!$B$16))))</x:f>
        <x:v>0.85</x:v>
      </x:c>
      <x:c r="F73" s="118" t="n">
        <x:f aca="0">ROUND(C73*E73,-1)</x:f>
        <x:v>282660</x:v>
      </x:c>
      <x:c r="G73" s="118" t="n">
        <x:f aca="0">G72+F73</x:f>
        <x:v>6333050</x:v>
      </x:c>
      <x:c r="H73" s="118" t="str">
        <x:v>Post-launch: Large Tank 8</x:v>
      </x:c>
    </x:row>
  </x:sheetData>
  <x:mergeCells>
    <x:mergeCell ref="A1:H1"/>
  </x:mergeCells>
  <x:pageMargins left="0.7" right="0.7" top="0.75" bottom="0.75" header="0.3" footer="0.3"/>
</x:worksheet>
</file>

<file path=xl/worksheets/sheet4.xml><?xml version="1.0" encoding="utf-8"?>
<x:worksheet xmlns:x="http://schemas.openxmlformats.org/spreadsheetml/2006/main">
  <x:sheetViews>
    <x:sheetView showGridLines="1" workbookViewId="0"/>
  </x:sheetViews>
  <x:sheetFormatPr defaultColWidth="8.6796875" defaultRowHeight="15"/>
  <x:cols>
    <x:col min="1" max="1" width="9" hidden="0" customWidth="1"/>
    <x:col min="2" max="2" width="24" hidden="0" customWidth="1"/>
    <x:col min="3" max="3" width="12" hidden="0" customWidth="1"/>
    <x:col min="4" max="4" width="10" hidden="0" customWidth="1"/>
    <x:col min="5" max="5" width="12" hidden="0" customWidth="1"/>
    <x:col min="6" max="6" width="12" hidden="0" customWidth="1"/>
    <x:col min="7" max="7" width="13" hidden="0" customWidth="1"/>
    <x:col min="8" max="9" width="9" hidden="0" customWidth="1"/>
    <x:col min="10" max="10" width="8" hidden="0" customWidth="1"/>
    <x:col min="11" max="11" width="11" hidden="0" customWidth="1"/>
    <x:col min="12" max="16" width="10" hidden="0" customWidth="1"/>
    <x:col min="17" max="18" width="9" hidden="0" customWidth="1"/>
    <x:col min="19" max="20" width="10" hidden="0" customWidth="1"/>
    <x:col min="21" max="21" width="20" hidden="0" customWidth="1"/>
    <x:col min="22" max="22" width="11" hidden="0" customWidth="1"/>
    <x:col min="23" max="23" width="34" hidden="0" customWidth="1"/>
    <x:col min="27" max="27" width="18" hidden="0" customWidth="1"/>
    <x:col min="28" max="28" width="36" hidden="0" customWidth="1"/>
    <x:col min="29" max="29" width="12" hidden="0" customWidth="1"/>
    <x:col min="30" max="30" width="12" hidden="0" customWidth="1"/>
    <x:col min="31" max="31" width="18" hidden="0" customWidth="1"/>
    <x:col min="32" max="32" width="14" hidden="0" customWidth="1"/>
    <x:col min="33" max="33" width="14" hidden="0" customWidth="1"/>
    <x:col min="34" max="34" width="44" hidden="0" customWidth="1"/>
  </x:cols>
  <x:sheetData>
    <x:row r="1" ht="50.400001525878906" hidden="0" customHeight="1">
      <x:c r="A1" s="96" t="str">
        <x:v>ID</x:v>
      </x:c>
      <x:c r="B1" s="96" t="str">
        <x:v>Fish</x:v>
      </x:c>
      <x:c r="C1" s="96" t="str">
        <x:v>Rarity</x:v>
      </x:c>
      <x:c r="D1" s="96" t="str">
        <x:v>Unlock Lvl</x:v>
      </x:c>
      <x:c r="E1" s="96" t="str">
        <x:v>Buy (coins)</x:v>
      </x:c>
      <x:c r="F1" s="96" t="str">
        <x:v>Stage Time (hrs)</x:v>
      </x:c>
      <x:c r="G1" s="96" t="str">
        <x:v>Stage Time</x:v>
      </x:c>
      <x:c r="H1" s="96" t="str">
        <x:v>Adult In (hrs)</x:v>
      </x:c>
      <x:c r="I1" s="96" t="str">
        <x:v>Feed Window (hrs)</x:v>
      </x:c>
      <x:c r="J1" s="96" t="str">
        <x:v>Sick Grace (hrs)</x:v>
      </x:c>
      <x:c r="K1" s="96" t="str">
        <x:v>Target Coins/hr</x:v>
      </x:c>
      <x:c r="L1" s="96" t="str">
        <x:v>Target XP/hr</x:v>
      </x:c>
      <x:c r="M1" s="96" t="str">
        <x:v>Buy XP</x:v>
      </x:c>
      <x:c r="N1" s="96" t="str">
        <x:v>Adult Sell (coins)</x:v>
      </x:c>
      <x:c r="O1" s="96" t="str">
        <x:v>Adult Sell XP</x:v>
      </x:c>
      <x:c r="P1" s="96" t="str">
        <x:v>Mature Sell (coins)</x:v>
      </x:c>
      <x:c r="Q1" s="96" t="str">
        <x:v>Young Sell (coins)</x:v>
      </x:c>
      <x:c r="R1" s="96" t="str">
        <x:v>Junior Sell (coins)</x:v>
      </x:c>
      <x:c r="S1" s="96" t="str">
        <x:v>Mature Sell XP</x:v>
      </x:c>
      <x:c r="T1" s="96" t="str">
        <x:v>Young Sell XP</x:v>
      </x:c>
      <x:c r="U1" s="96" t="str">
        <x:v>Junior Sell XP</x:v>
      </x:c>
      <x:c r="V1" s="96" t="str">
        <x:v>Profit (coins)</x:v>
      </x:c>
      <x:c r="W1" s="96" t="str">
        <x:v>Coins/hr</x:v>
      </x:c>
      <x:c r="X1" s="96" t="str">
        <x:v>XP/hr</x:v>
      </x:c>
      <x:c r="Y1" s="96" t="str">
        <x:v>Coins/action</x:v>
      </x:c>
      <x:c r="Z1" s="96" t="str">
        <x:v>XP/action</x:v>
      </x:c>
      <x:c r="AA1" s="96" t="str">
        <x:v>Primary Role</x:v>
      </x:c>
      <x:c r="AB1" s="96" t="str">
        <x:v>Secondary Trait</x:v>
      </x:c>
      <x:c r="AC1" s="96" t="str">
        <x:v>Playstyle</x:v>
      </x:c>
      <x:c r="AD1" s="96" t="str">
        <x:v>Store Badge</x:v>
      </x:c>
      <x:c r="AE1" s="96" t="str">
        <x:v>Balance Flag</x:v>
      </x:c>
      <x:c r="AF1" s="96" t="str">
        <x:v>Real Lifespan</x:v>
      </x:c>
      <x:c r="AG1" s="96" t="str">
        <x:v>Real Maturity</x:v>
      </x:c>
      <x:c r="AH1" s="96" t="str">
        <x:v>Notes</x:v>
      </x:c>
    </x:row>
    <x:row r="2" ht="15" hidden="0" customHeight="1">
      <x:c r="A2" s="118" t="str">
        <x:v>CF-01</x:v>
      </x:c>
      <x:c r="B2" s="118" t="str">
        <x:v>Neon Tetra</x:v>
      </x:c>
      <x:c r="C2" s="118" t="str">
        <x:v>Common</x:v>
      </x:c>
      <x:c r="D2" s="126" t="n">
        <x:v>1</x:v>
      </x:c>
      <x:c r="E2" s="127" t="n">
        <x:v>7</x:v>
      </x:c>
      <x:c r="F2" s="126" t="n">
        <x:v>0.083</x:v>
      </x:c>
      <x:c r="G2" s="118" t="str">
        <x:v>5 min</x:v>
      </x:c>
      <x:c r="H2" s="128" t="n">
        <x:f aca="0">F2*Inputs!$B$19</x:f>
        <x:v>0.332</x:v>
      </x:c>
      <x:c r="I2" s="128" t="n">
        <x:f aca="0">F2*Inputs!$B$20</x:f>
        <x:v>0.166</x:v>
      </x:c>
      <x:c r="J2" s="128" t="n">
        <x:f aca="0">MIN(Inputs!$B$77,MAX(Inputs!$B$76,I2*Inputs!$B$75))</x:f>
        <x:v>0.5</x:v>
      </x:c>
      <x:c r="K2" s="128" t="n">
        <x:f aca="0">ROUND((Inputs!$B$70+(D2-Inputs!$B$68)*(Inputs!$B$71-Inputs!$B$70)/(Inputs!$B$69-Inputs!$B$68))*INDEX(Inputs!$C$87:$C$96,MATCH(F2,Inputs!$A$87:$A$96,1))*INDEX(Inputs!$B$100:$B$107,MATCH(AA2,Inputs!$A$100:$A$107,0))*(1+INDEX(Inputs!$B$38:$B$44,MATCH(C2,Inputs!$A$38:$A$44,0))*INDEX(Inputs!$D$100:$D$107,MATCH(AA2,Inputs!$A$100:$A$107,0))),1)</x:f>
        <x:v>190</x:v>
      </x:c>
      <x:c r="L2" s="128" t="n">
        <x:f aca="0">ROUND((Inputs!$B$72+(D2-Inputs!$B$68)*(Inputs!$B$73-Inputs!$B$72)/(Inputs!$B$69-Inputs!$B$68))*INDEX(Inputs!$D$87:$D$96,MATCH(F2,Inputs!$A$87:$A$96,1))*INDEX(Inputs!$C$100:$C$107,MATCH(AA2,Inputs!$A$100:$A$107,0))*(1+INDEX(Inputs!$B$38:$B$44,MATCH(C2,Inputs!$A$38:$A$44,0))*INDEX(Inputs!$E$100:$E$107,MATCH(AA2,Inputs!$A$100:$A$107,0))),1)</x:f>
        <x:v>60</x:v>
      </x:c>
      <x:c r="M2" s="127" t="n">
        <x:f aca="0">ROUND(L2*H2*Inputs!$B$74,0)</x:f>
        <x:v>2</x:v>
      </x:c>
      <x:c r="N2" s="127" t="n">
        <x:f aca="0">ROUND(E2+K2*H2,0)</x:f>
        <x:v>70</x:v>
      </x:c>
      <x:c r="O2" s="127" t="n">
        <x:f aca="0">MAX(1,ROUND(L2*H2-M2,0))</x:f>
        <x:v>18</x:v>
      </x:c>
      <x:c r="P2" s="127" t="n">
        <x:f aca="0">ROUND(E2+(N2-E2)*Inputs!$B$24,0)</x:f>
        <x:v>57</x:v>
      </x:c>
      <x:c r="Q2" s="127" t="n">
        <x:f aca="0">ROUND(E2+(N2-E2)*Inputs!$B$23,0)</x:f>
        <x:v>42</x:v>
      </x:c>
      <x:c r="R2" s="127" t="n">
        <x:f aca="0">ROUND(E2+(N2-E2)*Inputs!$B$22,0)</x:f>
        <x:v>23</x:v>
      </x:c>
      <x:c r="S2" s="127" t="n">
        <x:f aca="0">ROUND(O2*Inputs!$B$24,0)</x:f>
        <x:v>14</x:v>
      </x:c>
      <x:c r="T2" s="127" t="n">
        <x:f aca="0">ROUND(O2*Inputs!$B$23,0)</x:f>
        <x:v>10</x:v>
      </x:c>
      <x:c r="U2" s="127" t="n">
        <x:f>ROUND(O2*Inputs!$B$22,0)</x:f>
        <x:v>5</x:v>
      </x:c>
      <x:c r="V2" s="127" t="n">
        <x:f>N2-E2</x:f>
        <x:v>63</x:v>
      </x:c>
      <x:c r="W2" s="128" t="n">
        <x:f>ROUND(V2/H2,1)</x:f>
        <x:v>189.8</x:v>
      </x:c>
      <x:c r="X2" s="128" t="n">
        <x:f>ROUND((M2+O2)/H2,1)</x:f>
        <x:v>60.2</x:v>
      </x:c>
      <x:c r="Y2" s="128" t="n">
        <x:f>V2</x:f>
        <x:v>63</x:v>
      </x:c>
      <x:c r="Z2" s="128" t="n">
        <x:f>M2+O2</x:f>
        <x:v>20</x:v>
      </x:c>
      <x:c r="AA2" s="118" t="str">
        <x:v>Starter</x:v>
      </x:c>
      <x:c r="AB2" s="118" t="str">
        <x:v>starter XP + first fast-return loop</x:v>
      </x:c>
      <x:c r="AC2" s="118" t="str">
        <x:f>IF(F2&lt;1,"Active",IF(F2&lt;12,"Balanced","Idle"))</x:f>
        <x:v>Active</x:v>
      </x:c>
      <x:c r="AD2" s="118" t="str">
        <x:f>IF(F2&lt;1,"Fast Fish",IF(F2&gt;=24,"Overnight","-"))</x:f>
        <x:v>Fast Fish</x:v>
      </x:c>
      <x:c r="AE2" s="118" t="str">
        <x:f>IF(W2&gt;(Inputs!$B$70+(D2-Inputs!$B$68)*(Inputs!$B$71-Inputs!$B$70)/(Inputs!$B$69-Inputs!$B$68))*1.30,"Above active frontier",IF(W2&lt;0,"Loss","OK"))</x:f>
        <x:v>OK</x:v>
      </x:c>
      <x:c r="AF2" s="118" t="str">
        <x:v>5-8 yr</x:v>
      </x:c>
      <x:c r="AG2" s="118" t="str">
        <x:v>6 mo</x:v>
      </x:c>
      <x:c r="AH2" s="118" t="str">
        <x:v>Starter 'Fast Fish' (Mini Dart Goby role)</x:v>
      </x:c>
    </x:row>
    <x:row r="3" ht="15" hidden="0" customHeight="1">
      <x:c r="A3" s="118" t="str">
        <x:v>CF-02</x:v>
      </x:c>
      <x:c r="B3" s="118" t="str">
        <x:v>Guppy</x:v>
      </x:c>
      <x:c r="C3" s="118" t="str">
        <x:v>Common</x:v>
      </x:c>
      <x:c r="D3" s="126" t="n">
        <x:v>1</x:v>
      </x:c>
      <x:c r="E3" s="127" t="n">
        <x:v>35</x:v>
      </x:c>
      <x:c r="F3" s="126" t="n">
        <x:v>4</x:v>
      </x:c>
      <x:c r="G3" s="118" t="str">
        <x:v>4 h</x:v>
      </x:c>
      <x:c r="H3" s="128" t="n">
        <x:f aca="0">F3*Inputs!$B$19</x:f>
        <x:v>16</x:v>
      </x:c>
      <x:c r="I3" s="128" t="n">
        <x:f aca="0">F3*Inputs!$B$20</x:f>
        <x:v>8</x:v>
      </x:c>
      <x:c r="J3" s="128" t="n">
        <x:f aca="0">MIN(Inputs!$B$77,MAX(Inputs!$B$76,I3*Inputs!$B$75))</x:f>
        <x:v>2</x:v>
      </x:c>
      <x:c r="K3" s="128" t="n">
        <x:f aca="0">ROUND((Inputs!$B$70+(D3-Inputs!$B$68)*(Inputs!$B$71-Inputs!$B$70)/(Inputs!$B$69-Inputs!$B$68))*INDEX(Inputs!$C$87:$C$96,MATCH(F3,Inputs!$A$87:$A$96,1))*INDEX(Inputs!$B$100:$B$107,MATCH(AA3,Inputs!$A$100:$A$107,0))*(1+INDEX(Inputs!$B$38:$B$44,MATCH(C3,Inputs!$A$38:$A$44,0))*INDEX(Inputs!$D$100:$D$107,MATCH(AA3,Inputs!$A$100:$A$107,0))),1)</x:f>
        <x:v>20</x:v>
      </x:c>
      <x:c r="L3" s="128" t="n">
        <x:f aca="0">ROUND((Inputs!$B$72+(D3-Inputs!$B$68)*(Inputs!$B$73-Inputs!$B$72)/(Inputs!$B$69-Inputs!$B$68))*INDEX(Inputs!$D$87:$D$96,MATCH(F3,Inputs!$A$87:$A$96,1))*INDEX(Inputs!$C$100:$C$107,MATCH(AA3,Inputs!$A$100:$A$107,0))*(1+INDEX(Inputs!$B$38:$B$44,MATCH(C3,Inputs!$A$38:$A$44,0))*INDEX(Inputs!$E$100:$E$107,MATCH(AA3,Inputs!$A$100:$A$107,0))),1)</x:f>
        <x:v>9.6</x:v>
      </x:c>
      <x:c r="M3" s="127" t="n">
        <x:f aca="0">ROUND(L3*H3*Inputs!$B$74,0)</x:f>
        <x:v>12</x:v>
      </x:c>
      <x:c r="N3" s="127" t="n">
        <x:f aca="0">ROUND(E3+K3*H3,0)</x:f>
        <x:v>355</x:v>
      </x:c>
      <x:c r="O3" s="127" t="n">
        <x:f aca="0">MAX(1,ROUND(L3*H3-M3,0))</x:f>
        <x:v>142</x:v>
      </x:c>
      <x:c r="P3" s="127" t="n">
        <x:f aca="0">ROUND(E3+(N3-E3)*Inputs!$B$24,0)</x:f>
        <x:v>291</x:v>
      </x:c>
      <x:c r="Q3" s="127" t="n">
        <x:f aca="0">ROUND(E3+(N3-E3)*Inputs!$B$23,0)</x:f>
        <x:v>211</x:v>
      </x:c>
      <x:c r="R3" s="127" t="n">
        <x:f aca="0">ROUND(E3+(N3-E3)*Inputs!$B$22,0)</x:f>
        <x:v>115</x:v>
      </x:c>
      <x:c r="S3" s="127" t="n">
        <x:f aca="0">ROUND(O3*Inputs!$B$24,0)</x:f>
        <x:v>114</x:v>
      </x:c>
      <x:c r="T3" s="127" t="n">
        <x:f aca="0">ROUND(O3*Inputs!$B$23,0)</x:f>
        <x:v>78</x:v>
      </x:c>
      <x:c r="U3" s="127" t="n">
        <x:f>ROUND(O3*Inputs!$B$22,0)</x:f>
        <x:v>36</x:v>
      </x:c>
      <x:c r="V3" s="127" t="n">
        <x:f>N3-E3</x:f>
        <x:v>320</x:v>
      </x:c>
      <x:c r="W3" s="128" t="n">
        <x:f>ROUND(V3/H3,1)</x:f>
        <x:v>20</x:v>
      </x:c>
      <x:c r="X3" s="128" t="n">
        <x:f>ROUND((M3+O3)/H3,1)</x:f>
        <x:v>9.6</x:v>
      </x:c>
      <x:c r="Y3" s="128" t="n">
        <x:f>V3</x:f>
        <x:v>320</x:v>
      </x:c>
      <x:c r="Z3" s="128" t="n">
        <x:f>M3+O3</x:f>
        <x:v>154</x:v>
      </x:c>
      <x:c r="AA3" s="118" t="str">
        <x:v>Balanced</x:v>
      </x:c>
      <x:c r="AB3" s="118" t="str">
        <x:v>cheap 4h session fish</x:v>
      </x:c>
      <x:c r="AC3" s="118" t="str">
        <x:f>IF(F3&lt;1,"Active",IF(F3&lt;12,"Balanced","Idle"))</x:f>
        <x:v>Balanced</x:v>
      </x:c>
      <x:c r="AD3" s="118" t="str">
        <x:f>IF(F3&lt;1,"Fast Fish",IF(F3&gt;=24,"Overnight","-"))</x:f>
        <x:v>-</x:v>
      </x:c>
      <x:c r="AE3" s="118" t="str">
        <x:f>IF(W3&gt;(Inputs!$B$70+(D3-Inputs!$B$68)*(Inputs!$B$71-Inputs!$B$70)/(Inputs!$B$69-Inputs!$B$68))*1.30,"Above active frontier",IF(W3&lt;0,"Loss","OK"))</x:f>
        <x:v>OK</x:v>
      </x:c>
      <x:c r="AF3" s="118" t="str">
        <x:v>2-3 yr</x:v>
      </x:c>
      <x:c r="AG3" s="118" t="str">
        <x:v>3 mo</x:v>
      </x:c>
      <x:c r="AH3" s="118" t="str">
        <x:v>Starter session fish (Shy Hamlet role)</x:v>
      </x:c>
    </x:row>
    <x:row r="4" ht="15" hidden="0" customHeight="1">
      <x:c r="A4" s="118" t="str">
        <x:v>CF-03</x:v>
      </x:c>
      <x:c r="B4" s="118" t="str">
        <x:v>Platy</x:v>
      </x:c>
      <x:c r="C4" s="118" t="str">
        <x:v>Common</x:v>
      </x:c>
      <x:c r="D4" s="126" t="n">
        <x:v>1</x:v>
      </x:c>
      <x:c r="E4" s="127" t="n">
        <x:v>60</x:v>
      </x:c>
      <x:c r="F4" s="126" t="n">
        <x:v>12</x:v>
      </x:c>
      <x:c r="G4" s="118" t="str">
        <x:v>12 h</x:v>
      </x:c>
      <x:c r="H4" s="128" t="n">
        <x:f aca="0">F4*Inputs!$B$19</x:f>
        <x:v>48</x:v>
      </x:c>
      <x:c r="I4" s="128" t="n">
        <x:f aca="0">F4*Inputs!$B$20</x:f>
        <x:v>24</x:v>
      </x:c>
      <x:c r="J4" s="128" t="n">
        <x:f aca="0">MIN(Inputs!$B$77,MAX(Inputs!$B$76,I4*Inputs!$B$75))</x:f>
        <x:v>6</x:v>
      </x:c>
      <x:c r="K4" s="128" t="n">
        <x:f aca="0">ROUND((Inputs!$B$70+(D4-Inputs!$B$68)*(Inputs!$B$71-Inputs!$B$70)/(Inputs!$B$69-Inputs!$B$68))*INDEX(Inputs!$C$87:$C$96,MATCH(F4,Inputs!$A$87:$A$96,1))*INDEX(Inputs!$B$100:$B$107,MATCH(AA4,Inputs!$A$100:$A$107,0))*(1+INDEX(Inputs!$B$38:$B$44,MATCH(C4,Inputs!$A$38:$A$44,0))*INDEX(Inputs!$D$100:$D$107,MATCH(AA4,Inputs!$A$100:$A$107,0))),1)</x:f>
        <x:v>11.7</x:v>
      </x:c>
      <x:c r="L4" s="128" t="n">
        <x:f aca="0">ROUND((Inputs!$B$72+(D4-Inputs!$B$68)*(Inputs!$B$73-Inputs!$B$72)/(Inputs!$B$69-Inputs!$B$68))*INDEX(Inputs!$D$87:$D$96,MATCH(F4,Inputs!$A$87:$A$96,1))*INDEX(Inputs!$C$100:$C$107,MATCH(AA4,Inputs!$A$100:$A$107,0))*(1+INDEX(Inputs!$B$38:$B$44,MATCH(C4,Inputs!$A$38:$A$44,0))*INDEX(Inputs!$E$100:$E$107,MATCH(AA4,Inputs!$A$100:$A$107,0))),1)</x:f>
        <x:v>8.2</x:v>
      </x:c>
      <x:c r="M4" s="127" t="n">
        <x:f aca="0">ROUND(L4*H4*Inputs!$B$74,0)</x:f>
        <x:v>31</x:v>
      </x:c>
      <x:c r="N4" s="127" t="n">
        <x:f aca="0">ROUND(E4+K4*H4,0)</x:f>
        <x:v>622</x:v>
      </x:c>
      <x:c r="O4" s="127" t="n">
        <x:f aca="0">MAX(1,ROUND(L4*H4-M4,0))</x:f>
        <x:v>363</x:v>
      </x:c>
      <x:c r="P4" s="127" t="n">
        <x:f aca="0">ROUND(E4+(N4-E4)*Inputs!$B$24,0)</x:f>
        <x:v>510</x:v>
      </x:c>
      <x:c r="Q4" s="127" t="n">
        <x:f aca="0">ROUND(E4+(N4-E4)*Inputs!$B$23,0)</x:f>
        <x:v>369</x:v>
      </x:c>
      <x:c r="R4" s="127" t="n">
        <x:f aca="0">ROUND(E4+(N4-E4)*Inputs!$B$22,0)</x:f>
        <x:v>201</x:v>
      </x:c>
      <x:c r="S4" s="127" t="n">
        <x:f aca="0">ROUND(O4*Inputs!$B$24,0)</x:f>
        <x:v>290</x:v>
      </x:c>
      <x:c r="T4" s="127" t="n">
        <x:f aca="0">ROUND(O4*Inputs!$B$23,0)</x:f>
        <x:v>200</x:v>
      </x:c>
      <x:c r="U4" s="127" t="n">
        <x:f>ROUND(O4*Inputs!$B$22,0)</x:f>
        <x:v>91</x:v>
      </x:c>
      <x:c r="V4" s="127" t="n">
        <x:f>N4-E4</x:f>
        <x:v>562</x:v>
      </x:c>
      <x:c r="W4" s="128" t="n">
        <x:f>ROUND(V4/H4,1)</x:f>
        <x:v>11.7</x:v>
      </x:c>
      <x:c r="X4" s="128" t="n">
        <x:f>ROUND((M4+O4)/H4,1)</x:f>
        <x:v>8.2</x:v>
      </x:c>
      <x:c r="Y4" s="128" t="n">
        <x:f>V4</x:f>
        <x:v>562</x:v>
      </x:c>
      <x:c r="Z4" s="128" t="n">
        <x:f>M4+O4</x:f>
        <x:v>394</x:v>
      </x:c>
      <x:c r="AA4" s="118" t="str">
        <x:v>Convenience</x:v>
      </x:c>
      <x:c r="AB4" s="118" t="str">
        <x:v>starter half-day low-attention fish</x:v>
      </x:c>
      <x:c r="AC4" s="118" t="str">
        <x:f>IF(F4&lt;1,"Active",IF(F4&lt;12,"Balanced","Idle"))</x:f>
        <x:v>Idle</x:v>
      </x:c>
      <x:c r="AD4" s="118" t="str">
        <x:f>IF(F4&lt;1,"Fast Fish",IF(F4&gt;=24,"Overnight","-"))</x:f>
        <x:v>-</x:v>
      </x:c>
      <x:c r="AE4" s="118" t="str">
        <x:f>IF(W4&gt;(Inputs!$B$70+(D4-Inputs!$B$68)*(Inputs!$B$71-Inputs!$B$70)/(Inputs!$B$69-Inputs!$B$68))*1.30,"Above active frontier",IF(W4&lt;0,"Loss","OK"))</x:f>
        <x:v>OK</x:v>
      </x:c>
      <x:c r="AF4" s="118" t="str">
        <x:v>3-4 yr</x:v>
      </x:c>
      <x:c r="AG4" s="118" t="str">
        <x:v>4 mo</x:v>
      </x:c>
      <x:c r="AH4" s="118" t="str">
        <x:v>Starter daily fish (Hogfish role)</x:v>
      </x:c>
    </x:row>
    <x:row r="5" ht="15" hidden="0" customHeight="1">
      <x:c r="A5" s="118" t="str">
        <x:v>CF-04</x:v>
      </x:c>
      <x:c r="B5" s="118" t="str">
        <x:v>Molly</x:v>
      </x:c>
      <x:c r="C5" s="118" t="str">
        <x:v>Common</x:v>
      </x:c>
      <x:c r="D5" s="126" t="n">
        <x:v>1</x:v>
      </x:c>
      <x:c r="E5" s="127" t="n">
        <x:v>80</x:v>
      </x:c>
      <x:c r="F5" s="126" t="n">
        <x:v>24</x:v>
      </x:c>
      <x:c r="G5" s="118" t="str">
        <x:v>24 h (1 d)</x:v>
      </x:c>
      <x:c r="H5" s="128" t="n">
        <x:f aca="0">F5*Inputs!$B$19</x:f>
        <x:v>96</x:v>
      </x:c>
      <x:c r="I5" s="128" t="n">
        <x:f aca="0">F5*Inputs!$B$20</x:f>
        <x:v>48</x:v>
      </x:c>
      <x:c r="J5" s="128" t="n">
        <x:f aca="0">MIN(Inputs!$B$77,MAX(Inputs!$B$76,I5*Inputs!$B$75))</x:f>
        <x:v>12</x:v>
      </x:c>
      <x:c r="K5" s="128" t="n">
        <x:f aca="0">ROUND((Inputs!$B$70+(D5-Inputs!$B$68)*(Inputs!$B$71-Inputs!$B$70)/(Inputs!$B$69-Inputs!$B$68))*INDEX(Inputs!$C$87:$C$96,MATCH(F5,Inputs!$A$87:$A$96,1))*INDEX(Inputs!$B$100:$B$107,MATCH(AA5,Inputs!$A$100:$A$107,0))*(1+INDEX(Inputs!$B$38:$B$44,MATCH(C5,Inputs!$A$38:$A$44,0))*INDEX(Inputs!$D$100:$D$107,MATCH(AA5,Inputs!$A$100:$A$107,0))),1)</x:f>
        <x:v>9.9</x:v>
      </x:c>
      <x:c r="L5" s="128" t="n">
        <x:f aca="0">ROUND((Inputs!$B$72+(D5-Inputs!$B$68)*(Inputs!$B$73-Inputs!$B$72)/(Inputs!$B$69-Inputs!$B$68))*INDEX(Inputs!$D$87:$D$96,MATCH(F5,Inputs!$A$87:$A$96,1))*INDEX(Inputs!$C$100:$C$107,MATCH(AA5,Inputs!$A$100:$A$107,0))*(1+INDEX(Inputs!$B$38:$B$44,MATCH(C5,Inputs!$A$38:$A$44,0))*INDEX(Inputs!$E$100:$E$107,MATCH(AA5,Inputs!$A$100:$A$107,0))),1)</x:f>
        <x:v>7.6</x:v>
      </x:c>
      <x:c r="M5" s="127" t="n">
        <x:f aca="0">ROUND(L5*H5*Inputs!$B$74,0)</x:f>
        <x:v>58</x:v>
      </x:c>
      <x:c r="N5" s="127" t="n">
        <x:f aca="0">ROUND(E5+K5*H5,0)</x:f>
        <x:v>1030</x:v>
      </x:c>
      <x:c r="O5" s="127" t="n">
        <x:f aca="0">MAX(1,ROUND(L5*H5-M5,0))</x:f>
        <x:v>672</x:v>
      </x:c>
      <x:c r="P5" s="127" t="n">
        <x:f aca="0">ROUND(E5+(N5-E5)*Inputs!$B$24,0)</x:f>
        <x:v>840</x:v>
      </x:c>
      <x:c r="Q5" s="127" t="n">
        <x:f aca="0">ROUND(E5+(N5-E5)*Inputs!$B$23,0)</x:f>
        <x:v>603</x:v>
      </x:c>
      <x:c r="R5" s="127" t="n">
        <x:f aca="0">ROUND(E5+(N5-E5)*Inputs!$B$22,0)</x:f>
        <x:v>318</x:v>
      </x:c>
      <x:c r="S5" s="127" t="n">
        <x:f aca="0">ROUND(O5*Inputs!$B$24,0)</x:f>
        <x:v>538</x:v>
      </x:c>
      <x:c r="T5" s="127" t="n">
        <x:f aca="0">ROUND(O5*Inputs!$B$23,0)</x:f>
        <x:v>370</x:v>
      </x:c>
      <x:c r="U5" s="127" t="n">
        <x:f>ROUND(O5*Inputs!$B$22,0)</x:f>
        <x:v>168</x:v>
      </x:c>
      <x:c r="V5" s="127" t="n">
        <x:f>N5-E5</x:f>
        <x:v>950</x:v>
      </x:c>
      <x:c r="W5" s="128" t="n">
        <x:f>ROUND(V5/H5,1)</x:f>
        <x:v>9.9</x:v>
      </x:c>
      <x:c r="X5" s="128" t="n">
        <x:f>ROUND((M5+O5)/H5,1)</x:f>
        <x:v>7.6</x:v>
      </x:c>
      <x:c r="Y5" s="128" t="n">
        <x:f>V5</x:f>
        <x:v>950</x:v>
      </x:c>
      <x:c r="Z5" s="128" t="n">
        <x:f>M5+O5</x:f>
        <x:v>730</x:v>
      </x:c>
      <x:c r="AA5" s="118" t="str">
        <x:v>Convenience</x:v>
      </x:c>
      <x:c r="AB5" s="118" t="str">
        <x:v>first overnight low-care fish</x:v>
      </x:c>
      <x:c r="AC5" s="118" t="str">
        <x:f>IF(F5&lt;1,"Active",IF(F5&lt;12,"Balanced","Idle"))</x:f>
        <x:v>Idle</x:v>
      </x:c>
      <x:c r="AD5" s="118" t="str">
        <x:f>IF(F5&lt;1,"Fast Fish",IF(F5&gt;=24,"Overnight","-"))</x:f>
        <x:v>Overnight</x:v>
      </x:c>
      <x:c r="AE5" s="118" t="str">
        <x:f>IF(W5&gt;(Inputs!$B$70+(D5-Inputs!$B$68)*(Inputs!$B$71-Inputs!$B$70)/(Inputs!$B$69-Inputs!$B$68))*1.30,"Above active frontier",IF(W5&lt;0,"Loss","OK"))</x:f>
        <x:v>OK</x:v>
      </x:c>
      <x:c r="AF5" s="118" t="str">
        <x:v>3-5 yr</x:v>
      </x:c>
      <x:c r="AG5" s="118" t="str">
        <x:v>4 mo</x:v>
      </x:c>
      <x:c r="AH5" s="118" t="str">
        <x:v>Starter overnight fish (Scooter Blenny role)</x:v>
      </x:c>
    </x:row>
    <x:row r="6" ht="15" hidden="0" customHeight="1">
      <x:c r="A6" s="118" t="str">
        <x:v>CF-05</x:v>
      </x:c>
      <x:c r="B6" s="118" t="str">
        <x:v>Zebra Danio</x:v>
      </x:c>
      <x:c r="C6" s="118" t="str">
        <x:v>Common</x:v>
      </x:c>
      <x:c r="D6" s="126" t="n">
        <x:v>2</x:v>
      </x:c>
      <x:c r="E6" s="127" t="n">
        <x:v>16</x:v>
      </x:c>
      <x:c r="F6" s="126" t="n">
        <x:v>0.5</x:v>
      </x:c>
      <x:c r="G6" s="118" t="str">
        <x:v>30 min</x:v>
      </x:c>
      <x:c r="H6" s="128" t="n">
        <x:f aca="0">F6*Inputs!$B$19</x:f>
        <x:v>2</x:v>
      </x:c>
      <x:c r="I6" s="128" t="n">
        <x:f aca="0">F6*Inputs!$B$20</x:f>
        <x:v>1</x:v>
      </x:c>
      <x:c r="J6" s="128" t="n">
        <x:f aca="0">MIN(Inputs!$B$77,MAX(Inputs!$B$76,I6*Inputs!$B$75))</x:f>
        <x:v>0.5</x:v>
      </x:c>
      <x:c r="K6" s="128" t="n">
        <x:f aca="0">ROUND((Inputs!$B$70+(D6-Inputs!$B$68)*(Inputs!$B$71-Inputs!$B$70)/(Inputs!$B$69-Inputs!$B$68))*INDEX(Inputs!$C$87:$C$96,MATCH(F6,Inputs!$A$87:$A$96,1))*INDEX(Inputs!$B$100:$B$107,MATCH(AA6,Inputs!$A$100:$A$107,0))*(1+INDEX(Inputs!$B$38:$B$44,MATCH(C6,Inputs!$A$38:$A$44,0))*INDEX(Inputs!$D$100:$D$107,MATCH(AA6,Inputs!$A$100:$A$107,0))),1)</x:f>
        <x:v>66.9</x:v>
      </x:c>
      <x:c r="L6" s="128" t="n">
        <x:f aca="0">ROUND((Inputs!$B$72+(D6-Inputs!$B$68)*(Inputs!$B$73-Inputs!$B$72)/(Inputs!$B$69-Inputs!$B$68))*INDEX(Inputs!$D$87:$D$96,MATCH(F6,Inputs!$A$87:$A$96,1))*INDEX(Inputs!$C$100:$C$107,MATCH(AA6,Inputs!$A$100:$A$107,0))*(1+INDEX(Inputs!$B$38:$B$44,MATCH(C6,Inputs!$A$38:$A$44,0))*INDEX(Inputs!$E$100:$E$107,MATCH(AA6,Inputs!$A$100:$A$107,0))),1)</x:f>
        <x:v>36.8</x:v>
      </x:c>
      <x:c r="M6" s="127" t="n">
        <x:f aca="0">ROUND(L6*H6*Inputs!$B$74,0)</x:f>
        <x:v>6</x:v>
      </x:c>
      <x:c r="N6" s="127" t="n">
        <x:f aca="0">ROUND(E6+K6*H6,0)</x:f>
        <x:v>150</x:v>
      </x:c>
      <x:c r="O6" s="127" t="n">
        <x:f aca="0">MAX(1,ROUND(L6*H6-M6,0))</x:f>
        <x:v>68</x:v>
      </x:c>
      <x:c r="P6" s="127" t="n">
        <x:f aca="0">ROUND(E6+(N6-E6)*Inputs!$B$24,0)</x:f>
        <x:v>123</x:v>
      </x:c>
      <x:c r="Q6" s="127" t="n">
        <x:f aca="0">ROUND(E6+(N6-E6)*Inputs!$B$23,0)</x:f>
        <x:v>90</x:v>
      </x:c>
      <x:c r="R6" s="127" t="n">
        <x:f aca="0">ROUND(E6+(N6-E6)*Inputs!$B$22,0)</x:f>
        <x:v>50</x:v>
      </x:c>
      <x:c r="S6" s="127" t="n">
        <x:f aca="0">ROUND(O6*Inputs!$B$24,0)</x:f>
        <x:v>54</x:v>
      </x:c>
      <x:c r="T6" s="127" t="n">
        <x:f aca="0">ROUND(O6*Inputs!$B$23,0)</x:f>
        <x:v>37</x:v>
      </x:c>
      <x:c r="U6" s="127" t="n">
        <x:f>ROUND(O6*Inputs!$B$22,0)</x:f>
        <x:v>17</x:v>
      </x:c>
      <x:c r="V6" s="127" t="n">
        <x:f>N6-E6</x:f>
        <x:v>134</x:v>
      </x:c>
      <x:c r="W6" s="128" t="n">
        <x:f>ROUND(V6/H6,1)</x:f>
        <x:v>67</x:v>
      </x:c>
      <x:c r="X6" s="128" t="n">
        <x:f>ROUND((M6+O6)/H6,1)</x:f>
        <x:v>37</x:v>
      </x:c>
      <x:c r="Y6" s="128" t="n">
        <x:f>V6</x:f>
        <x:v>134</x:v>
      </x:c>
      <x:c r="Z6" s="128" t="n">
        <x:f>M6+O6</x:f>
        <x:v>74</x:v>
      </x:c>
      <x:c r="AA6" s="118" t="str">
        <x:v>XP Specialist</x:v>
      </x:c>
      <x:c r="AB6" s="118" t="str">
        <x:v>30-minute tutorial and quest fish</x:v>
      </x:c>
      <x:c r="AC6" s="118" t="str">
        <x:f>IF(F6&lt;1,"Active",IF(F6&lt;12,"Balanced","Idle"))</x:f>
        <x:v>Active</x:v>
      </x:c>
      <x:c r="AD6" s="118" t="str">
        <x:f>IF(F6&lt;1,"Fast Fish",IF(F6&gt;=24,"Overnight","-"))</x:f>
        <x:v>Fast Fish</x:v>
      </x:c>
      <x:c r="AE6" s="118" t="str">
        <x:f>IF(W6&gt;(Inputs!$B$70+(D6-Inputs!$B$68)*(Inputs!$B$71-Inputs!$B$70)/(Inputs!$B$69-Inputs!$B$68))*1.30,"Above active frontier",IF(W6&lt;0,"Loss","OK"))</x:f>
        <x:v>OK</x:v>
      </x:c>
      <x:c r="AF6" s="118" t="str">
        <x:v>3-5 yr</x:v>
      </x:c>
      <x:c r="AG6" s="118" t="str">
        <x:v>3 mo</x:v>
      </x:c>
      <x:c r="AH6" s="118" t="str"/>
    </x:row>
    <x:row r="7" ht="15" hidden="0" customHeight="1">
      <x:c r="A7" s="118" t="str">
        <x:v>CF-06</x:v>
      </x:c>
      <x:c r="B7" s="118" t="str">
        <x:v>Ember Tetra</x:v>
      </x:c>
      <x:c r="C7" s="118" t="str">
        <x:v>Common</x:v>
      </x:c>
      <x:c r="D7" s="126" t="n">
        <x:v>4</x:v>
      </x:c>
      <x:c r="E7" s="127" t="n">
        <x:v>12</x:v>
      </x:c>
      <x:c r="F7" s="126" t="n">
        <x:v>0.083</x:v>
      </x:c>
      <x:c r="G7" s="118" t="str">
        <x:v>5 min</x:v>
      </x:c>
      <x:c r="H7" s="128" t="n">
        <x:f aca="0">F7*Inputs!$B$19</x:f>
        <x:v>0.332</x:v>
      </x:c>
      <x:c r="I7" s="128" t="n">
        <x:f aca="0">F7*Inputs!$B$20</x:f>
        <x:v>0.166</x:v>
      </x:c>
      <x:c r="J7" s="128" t="n">
        <x:f aca="0">MIN(Inputs!$B$77,MAX(Inputs!$B$76,I7*Inputs!$B$75))</x:f>
        <x:v>0.5</x:v>
      </x:c>
      <x:c r="K7" s="128" t="n">
        <x:f aca="0">ROUND((Inputs!$B$70+(D7-Inputs!$B$68)*(Inputs!$B$71-Inputs!$B$70)/(Inputs!$B$69-Inputs!$B$68))*INDEX(Inputs!$C$87:$C$96,MATCH(F7,Inputs!$A$87:$A$96,1))*INDEX(Inputs!$B$100:$B$107,MATCH(AA7,Inputs!$A$100:$A$107,0))*(1+INDEX(Inputs!$B$38:$B$44,MATCH(C7,Inputs!$A$38:$A$44,0))*INDEX(Inputs!$D$100:$D$107,MATCH(AA7,Inputs!$A$100:$A$107,0))),1)</x:f>
        <x:v>217.5</x:v>
      </x:c>
      <x:c r="L7" s="128" t="n">
        <x:f aca="0">ROUND((Inputs!$B$72+(D7-Inputs!$B$68)*(Inputs!$B$73-Inputs!$B$72)/(Inputs!$B$69-Inputs!$B$68))*INDEX(Inputs!$D$87:$D$96,MATCH(F7,Inputs!$A$87:$A$96,1))*INDEX(Inputs!$C$100:$C$107,MATCH(AA7,Inputs!$A$100:$A$107,0))*(1+INDEX(Inputs!$B$38:$B$44,MATCH(C7,Inputs!$A$38:$A$44,0))*INDEX(Inputs!$E$100:$E$107,MATCH(AA7,Inputs!$A$100:$A$107,0))),1)</x:f>
        <x:v>57.5</x:v>
      </x:c>
      <x:c r="M7" s="127" t="n">
        <x:f aca="0">ROUND(L7*H7*Inputs!$B$74,0)</x:f>
        <x:v>2</x:v>
      </x:c>
      <x:c r="N7" s="127" t="n">
        <x:f aca="0">ROUND(E7+K7*H7,0)</x:f>
        <x:v>84</x:v>
      </x:c>
      <x:c r="O7" s="127" t="n">
        <x:f aca="0">MAX(1,ROUND(L7*H7-M7,0))</x:f>
        <x:v>17</x:v>
      </x:c>
      <x:c r="P7" s="127" t="n">
        <x:f aca="0">ROUND(E7+(N7-E7)*Inputs!$B$24,0)</x:f>
        <x:v>70</x:v>
      </x:c>
      <x:c r="Q7" s="127" t="n">
        <x:f aca="0">ROUND(E7+(N7-E7)*Inputs!$B$23,0)</x:f>
        <x:v>52</x:v>
      </x:c>
      <x:c r="R7" s="127" t="n">
        <x:f aca="0">ROUND(E7+(N7-E7)*Inputs!$B$22,0)</x:f>
        <x:v>30</x:v>
      </x:c>
      <x:c r="S7" s="127" t="n">
        <x:f aca="0">ROUND(O7*Inputs!$B$24,0)</x:f>
        <x:v>14</x:v>
      </x:c>
      <x:c r="T7" s="127" t="n">
        <x:f aca="0">ROUND(O7*Inputs!$B$23,0)</x:f>
        <x:v>9</x:v>
      </x:c>
      <x:c r="U7" s="127" t="n">
        <x:f>ROUND(O7*Inputs!$B$22,0)</x:f>
        <x:v>4</x:v>
      </x:c>
      <x:c r="V7" s="127" t="n">
        <x:f>N7-E7</x:f>
        <x:v>72</x:v>
      </x:c>
      <x:c r="W7" s="128" t="n">
        <x:f>ROUND(V7/H7,1)</x:f>
        <x:v>216.9</x:v>
      </x:c>
      <x:c r="X7" s="128" t="n">
        <x:f>ROUND((M7+O7)/H7,1)</x:f>
        <x:v>57.2</x:v>
      </x:c>
      <x:c r="Y7" s="128" t="n">
        <x:f>V7</x:f>
        <x:v>72</x:v>
      </x:c>
      <x:c r="Z7" s="128" t="n">
        <x:f>M7+O7</x:f>
        <x:v>19</x:v>
      </x:c>
      <x:c r="AA7" s="118" t="str">
        <x:v>Coin Specialist</x:v>
      </x:c>
      <x:c r="AB7" s="118" t="str">
        <x:v>early active coin grinder</x:v>
      </x:c>
      <x:c r="AC7" s="118" t="str">
        <x:f>IF(F7&lt;1,"Active",IF(F7&lt;12,"Balanced","Idle"))</x:f>
        <x:v>Active</x:v>
      </x:c>
      <x:c r="AD7" s="118" t="str">
        <x:f>IF(F7&lt;1,"Fast Fish",IF(F7&gt;=24,"Overnight","-"))</x:f>
        <x:v>Fast Fish</x:v>
      </x:c>
      <x:c r="AE7" s="118" t="str">
        <x:f>IF(W7&gt;(Inputs!$B$70+(D7-Inputs!$B$68)*(Inputs!$B$71-Inputs!$B$70)/(Inputs!$B$69-Inputs!$B$68))*1.30,"Above active frontier",IF(W7&lt;0,"Loss","OK"))</x:f>
        <x:v>OK</x:v>
      </x:c>
      <x:c r="AF7" s="118" t="str">
        <x:v>2-4 yr</x:v>
      </x:c>
      <x:c r="AG7" s="118" t="str">
        <x:v>6 mo</x:v>
      </x:c>
      <x:c r="AH7" s="118" t="str">
        <x:v>Cheap fast fish (Sardine role)</x:v>
      </x:c>
    </x:row>
    <x:row r="8" ht="15" hidden="0" customHeight="1">
      <x:c r="A8" s="118" t="str">
        <x:v>CF-07</x:v>
      </x:c>
      <x:c r="B8" s="118" t="str">
        <x:v>Harlequin Rasbora</x:v>
      </x:c>
      <x:c r="C8" s="118" t="str">
        <x:v>Common</x:v>
      </x:c>
      <x:c r="D8" s="126" t="n">
        <x:v>6</x:v>
      </x:c>
      <x:c r="E8" s="127" t="n">
        <x:v>55</x:v>
      </x:c>
      <x:c r="F8" s="126" t="n">
        <x:v>6</x:v>
      </x:c>
      <x:c r="G8" s="118" t="str">
        <x:v>6 h</x:v>
      </x:c>
      <x:c r="H8" s="128" t="n">
        <x:f aca="0">F8*Inputs!$B$19</x:f>
        <x:v>24</x:v>
      </x:c>
      <x:c r="I8" s="128" t="n">
        <x:f aca="0">F8*Inputs!$B$20</x:f>
        <x:v>12</x:v>
      </x:c>
      <x:c r="J8" s="128" t="n">
        <x:f aca="0">MIN(Inputs!$B$77,MAX(Inputs!$B$76,I8*Inputs!$B$75))</x:f>
        <x:v>3</x:v>
      </x:c>
      <x:c r="K8" s="128" t="n">
        <x:f aca="0">ROUND((Inputs!$B$70+(D8-Inputs!$B$68)*(Inputs!$B$71-Inputs!$B$70)/(Inputs!$B$69-Inputs!$B$68))*INDEX(Inputs!$C$87:$C$96,MATCH(F8,Inputs!$A$87:$A$96,1))*INDEX(Inputs!$B$100:$B$107,MATCH(AA8,Inputs!$A$100:$A$107,0))*(1+INDEX(Inputs!$B$38:$B$44,MATCH(C8,Inputs!$A$38:$A$44,0))*INDEX(Inputs!$D$100:$D$107,MATCH(AA8,Inputs!$A$100:$A$107,0))),1)</x:f>
        <x:v>21.9</x:v>
      </x:c>
      <x:c r="L8" s="128" t="n">
        <x:f aca="0">ROUND((Inputs!$B$72+(D8-Inputs!$B$68)*(Inputs!$B$73-Inputs!$B$72)/(Inputs!$B$69-Inputs!$B$68))*INDEX(Inputs!$D$87:$D$96,MATCH(F8,Inputs!$A$87:$A$96,1))*INDEX(Inputs!$C$100:$C$107,MATCH(AA8,Inputs!$A$100:$A$107,0))*(1+INDEX(Inputs!$B$38:$B$44,MATCH(C8,Inputs!$A$38:$A$44,0))*INDEX(Inputs!$E$100:$E$107,MATCH(AA8,Inputs!$A$100:$A$107,0))),1)</x:f>
        <x:v>10</x:v>
      </x:c>
      <x:c r="M8" s="127" t="n">
        <x:f aca="0">ROUND(L8*H8*Inputs!$B$74,0)</x:f>
        <x:v>19</x:v>
      </x:c>
      <x:c r="N8" s="127" t="n">
        <x:f aca="0">ROUND(E8+K8*H8,0)</x:f>
        <x:v>581</x:v>
      </x:c>
      <x:c r="O8" s="127" t="n">
        <x:f aca="0">MAX(1,ROUND(L8*H8-M8,0))</x:f>
        <x:v>221</x:v>
      </x:c>
      <x:c r="P8" s="127" t="n">
        <x:f aca="0">ROUND(E8+(N8-E8)*Inputs!$B$24,0)</x:f>
        <x:v>476</x:v>
      </x:c>
      <x:c r="Q8" s="127" t="n">
        <x:f aca="0">ROUND(E8+(N8-E8)*Inputs!$B$23,0)</x:f>
        <x:v>344</x:v>
      </x:c>
      <x:c r="R8" s="127" t="n">
        <x:f aca="0">ROUND(E8+(N8-E8)*Inputs!$B$22,0)</x:f>
        <x:v>187</x:v>
      </x:c>
      <x:c r="S8" s="127" t="n">
        <x:f aca="0">ROUND(O8*Inputs!$B$24,0)</x:f>
        <x:v>177</x:v>
      </x:c>
      <x:c r="T8" s="127" t="n">
        <x:f aca="0">ROUND(O8*Inputs!$B$23,0)</x:f>
        <x:v>122</x:v>
      </x:c>
      <x:c r="U8" s="127" t="n">
        <x:f>ROUND(O8*Inputs!$B$22,0)</x:f>
        <x:v>55</x:v>
      </x:c>
      <x:c r="V8" s="127" t="n">
        <x:f>N8-E8</x:f>
        <x:v>526</x:v>
      </x:c>
      <x:c r="W8" s="128" t="n">
        <x:f>ROUND(V8/H8,1)</x:f>
        <x:v>21.9</x:v>
      </x:c>
      <x:c r="X8" s="128" t="n">
        <x:f>ROUND((M8+O8)/H8,1)</x:f>
        <x:v>10</x:v>
      </x:c>
      <x:c r="Y8" s="128" t="n">
        <x:f>V8</x:f>
        <x:v>526</x:v>
      </x:c>
      <x:c r="Z8" s="128" t="n">
        <x:f>M8+O8</x:f>
        <x:v>240</x:v>
      </x:c>
      <x:c r="AA8" s="118" t="str">
        <x:v>Balanced</x:v>
      </x:c>
      <x:c r="AB8" s="118" t="str">
        <x:v>accessible 6h session fish</x:v>
      </x:c>
      <x:c r="AC8" s="118" t="str">
        <x:f>IF(F8&lt;1,"Active",IF(F8&lt;12,"Balanced","Idle"))</x:f>
        <x:v>Balanced</x:v>
      </x:c>
      <x:c r="AD8" s="118" t="str">
        <x:f>IF(F8&lt;1,"Fast Fish",IF(F8&gt;=24,"Overnight","-"))</x:f>
        <x:v>-</x:v>
      </x:c>
      <x:c r="AE8" s="118" t="str">
        <x:f>IF(W8&gt;(Inputs!$B$70+(D8-Inputs!$B$68)*(Inputs!$B$71-Inputs!$B$70)/(Inputs!$B$69-Inputs!$B$68))*1.30,"Above active frontier",IF(W8&lt;0,"Loss","OK"))</x:f>
        <x:v>OK</x:v>
      </x:c>
      <x:c r="AF8" s="118" t="str">
        <x:v>5-8 yr</x:v>
      </x:c>
      <x:c r="AG8" s="118" t="str">
        <x:v>9 mo</x:v>
      </x:c>
      <x:c r="AH8" s="118" t="str"/>
    </x:row>
    <x:row r="9" ht="15" hidden="0" customHeight="1">
      <x:c r="A9" s="118" t="str">
        <x:v>CF-08</x:v>
      </x:c>
      <x:c r="B9" s="118" t="str">
        <x:v>Green Chromis</x:v>
      </x:c>
      <x:c r="C9" s="118" t="str">
        <x:v>Uncommon</x:v>
      </x:c>
      <x:c r="D9" s="126" t="n">
        <x:v>8</x:v>
      </x:c>
      <x:c r="E9" s="127" t="n">
        <x:v>110</x:v>
      </x:c>
      <x:c r="F9" s="126" t="n">
        <x:v>16</x:v>
      </x:c>
      <x:c r="G9" s="118" t="str">
        <x:v>16 h</x:v>
      </x:c>
      <x:c r="H9" s="128" t="n">
        <x:f aca="0">F9*Inputs!$B$19</x:f>
        <x:v>64</x:v>
      </x:c>
      <x:c r="I9" s="128" t="n">
        <x:f aca="0">F9*Inputs!$B$20</x:f>
        <x:v>32</x:v>
      </x:c>
      <x:c r="J9" s="128" t="n">
        <x:f aca="0">MIN(Inputs!$B$77,MAX(Inputs!$B$76,I9*Inputs!$B$75))</x:f>
        <x:v>8</x:v>
      </x:c>
      <x:c r="K9" s="128" t="n">
        <x:f aca="0">ROUND((Inputs!$B$70+(D9-Inputs!$B$68)*(Inputs!$B$71-Inputs!$B$70)/(Inputs!$B$69-Inputs!$B$68))*INDEX(Inputs!$C$87:$C$96,MATCH(F9,Inputs!$A$87:$A$96,1))*INDEX(Inputs!$B$100:$B$107,MATCH(AA9,Inputs!$A$100:$A$107,0))*(1+INDEX(Inputs!$B$38:$B$44,MATCH(C9,Inputs!$A$38:$A$44,0))*INDEX(Inputs!$D$100:$D$107,MATCH(AA9,Inputs!$A$100:$A$107,0))),1)</x:f>
        <x:v>13.5</x:v>
      </x:c>
      <x:c r="L9" s="128" t="n">
        <x:f aca="0">ROUND((Inputs!$B$72+(D9-Inputs!$B$68)*(Inputs!$B$73-Inputs!$B$72)/(Inputs!$B$69-Inputs!$B$68))*INDEX(Inputs!$D$87:$D$96,MATCH(F9,Inputs!$A$87:$A$96,1))*INDEX(Inputs!$C$100:$C$107,MATCH(AA9,Inputs!$A$100:$A$107,0))*(1+INDEX(Inputs!$B$38:$B$44,MATCH(C9,Inputs!$A$38:$A$44,0))*INDEX(Inputs!$E$100:$E$107,MATCH(AA9,Inputs!$A$100:$A$107,0))),1)</x:f>
        <x:v>9.1</x:v>
      </x:c>
      <x:c r="M9" s="127" t="n">
        <x:f aca="0">ROUND(L9*H9*Inputs!$B$74,0)</x:f>
        <x:v>47</x:v>
      </x:c>
      <x:c r="N9" s="127" t="n">
        <x:f aca="0">ROUND(E9+K9*H9,0)</x:f>
        <x:v>974</x:v>
      </x:c>
      <x:c r="O9" s="127" t="n">
        <x:f aca="0">MAX(1,ROUND(L9*H9-M9,0))</x:f>
        <x:v>535</x:v>
      </x:c>
      <x:c r="P9" s="127" t="n">
        <x:f aca="0">ROUND(E9+(N9-E9)*Inputs!$B$24,0)</x:f>
        <x:v>801</x:v>
      </x:c>
      <x:c r="Q9" s="127" t="n">
        <x:f aca="0">ROUND(E9+(N9-E9)*Inputs!$B$23,0)</x:f>
        <x:v>585</x:v>
      </x:c>
      <x:c r="R9" s="127" t="n">
        <x:f aca="0">ROUND(E9+(N9-E9)*Inputs!$B$22,0)</x:f>
        <x:v>326</x:v>
      </x:c>
      <x:c r="S9" s="127" t="n">
        <x:f aca="0">ROUND(O9*Inputs!$B$24,0)</x:f>
        <x:v>428</x:v>
      </x:c>
      <x:c r="T9" s="127" t="n">
        <x:f aca="0">ROUND(O9*Inputs!$B$23,0)</x:f>
        <x:v>294</x:v>
      </x:c>
      <x:c r="U9" s="127" t="n">
        <x:f>ROUND(O9*Inputs!$B$22,0)</x:f>
        <x:v>134</x:v>
      </x:c>
      <x:c r="V9" s="127" t="n">
        <x:f>N9-E9</x:f>
        <x:v>864</x:v>
      </x:c>
      <x:c r="W9" s="128" t="n">
        <x:f>ROUND(V9/H9,1)</x:f>
        <x:v>13.5</x:v>
      </x:c>
      <x:c r="X9" s="128" t="n">
        <x:f>ROUND((M9+O9)/H9,1)</x:f>
        <x:v>9.1</x:v>
      </x:c>
      <x:c r="Y9" s="128" t="n">
        <x:f>V9</x:f>
        <x:v>864</x:v>
      </x:c>
      <x:c r="Z9" s="128" t="n">
        <x:f>M9+O9</x:f>
        <x:v>582</x:v>
      </x:c>
      <x:c r="AA9" s="118" t="str">
        <x:v>Collection</x:v>
      </x:c>
      <x:c r="AB9" s="118" t="str">
        <x:v>first marine collection entry</x:v>
      </x:c>
      <x:c r="AC9" s="118" t="str">
        <x:f>IF(F9&lt;1,"Active",IF(F9&lt;12,"Balanced","Idle"))</x:f>
        <x:v>Idle</x:v>
      </x:c>
      <x:c r="AD9" s="118" t="str">
        <x:f>IF(F9&lt;1,"Fast Fish",IF(F9&gt;=24,"Overnight","-"))</x:f>
        <x:v>-</x:v>
      </x:c>
      <x:c r="AE9" s="118" t="str">
        <x:f>IF(W9&gt;(Inputs!$B$70+(D9-Inputs!$B$68)*(Inputs!$B$71-Inputs!$B$70)/(Inputs!$B$69-Inputs!$B$68))*1.30,"Above active frontier",IF(W9&lt;0,"Loss","OK"))</x:f>
        <x:v>OK</x:v>
      </x:c>
      <x:c r="AF9" s="118" t="str">
        <x:v>8-15 yr</x:v>
      </x:c>
      <x:c r="AG9" s="118" t="str">
        <x:v>1 yr</x:v>
      </x:c>
      <x:c r="AH9" s="118" t="str">
        <x:v>First marine fish + first Uncommon</x:v>
      </x:c>
    </x:row>
    <x:row r="10" ht="15" hidden="0" customHeight="1">
      <x:c r="A10" s="118" t="str">
        <x:v>CF-09</x:v>
      </x:c>
      <x:c r="B10" s="118" t="str">
        <x:v>Pajama Cardinalfish</x:v>
      </x:c>
      <x:c r="C10" s="118" t="str">
        <x:v>Uncommon</x:v>
      </x:c>
      <x:c r="D10" s="126" t="n">
        <x:v>11</x:v>
      </x:c>
      <x:c r="E10" s="127" t="n">
        <x:v>50</x:v>
      </x:c>
      <x:c r="F10" s="126" t="n">
        <x:v>2</x:v>
      </x:c>
      <x:c r="G10" s="118" t="str">
        <x:v>2 h</x:v>
      </x:c>
      <x:c r="H10" s="128" t="n">
        <x:f aca="0">F10*Inputs!$B$19</x:f>
        <x:v>8</x:v>
      </x:c>
      <x:c r="I10" s="128" t="n">
        <x:f aca="0">F10*Inputs!$B$20</x:f>
        <x:v>4</x:v>
      </x:c>
      <x:c r="J10" s="128" t="n">
        <x:f aca="0">MIN(Inputs!$B$77,MAX(Inputs!$B$76,I10*Inputs!$B$75))</x:f>
        <x:v>1</x:v>
      </x:c>
      <x:c r="K10" s="128" t="n">
        <x:f aca="0">ROUND((Inputs!$B$70+(D10-Inputs!$B$68)*(Inputs!$B$71-Inputs!$B$70)/(Inputs!$B$69-Inputs!$B$68))*INDEX(Inputs!$C$87:$C$96,MATCH(F10,Inputs!$A$87:$A$96,1))*INDEX(Inputs!$B$100:$B$107,MATCH(AA10,Inputs!$A$100:$A$107,0))*(1+INDEX(Inputs!$B$38:$B$44,MATCH(C10,Inputs!$A$38:$A$44,0))*INDEX(Inputs!$D$100:$D$107,MATCH(AA10,Inputs!$A$100:$A$107,0))),1)</x:f>
        <x:v>53.6</x:v>
      </x:c>
      <x:c r="L10" s="128" t="n">
        <x:f aca="0">ROUND((Inputs!$B$72+(D10-Inputs!$B$68)*(Inputs!$B$73-Inputs!$B$72)/(Inputs!$B$69-Inputs!$B$68))*INDEX(Inputs!$D$87:$D$96,MATCH(F10,Inputs!$A$87:$A$96,1))*INDEX(Inputs!$C$100:$C$107,MATCH(AA10,Inputs!$A$100:$A$107,0))*(1+INDEX(Inputs!$B$38:$B$44,MATCH(C10,Inputs!$A$38:$A$44,0))*INDEX(Inputs!$E$100:$E$107,MATCH(AA10,Inputs!$A$100:$A$107,0))),1)</x:f>
        <x:v>38.3</x:v>
      </x:c>
      <x:c r="M10" s="127" t="n">
        <x:f aca="0">ROUND(L10*H10*Inputs!$B$74,0)</x:f>
        <x:v>25</x:v>
      </x:c>
      <x:c r="N10" s="127" t="n">
        <x:f aca="0">ROUND(E10+K10*H10,0)</x:f>
        <x:v>479</x:v>
      </x:c>
      <x:c r="O10" s="127" t="n">
        <x:f aca="0">MAX(1,ROUND(L10*H10-M10,0))</x:f>
        <x:v>281</x:v>
      </x:c>
      <x:c r="P10" s="127" t="n">
        <x:f aca="0">ROUND(E10+(N10-E10)*Inputs!$B$24,0)</x:f>
        <x:v>393</x:v>
      </x:c>
      <x:c r="Q10" s="127" t="n">
        <x:f aca="0">ROUND(E10+(N10-E10)*Inputs!$B$23,0)</x:f>
        <x:v>286</x:v>
      </x:c>
      <x:c r="R10" s="127" t="n">
        <x:f aca="0">ROUND(E10+(N10-E10)*Inputs!$B$22,0)</x:f>
        <x:v>157</x:v>
      </x:c>
      <x:c r="S10" s="127" t="n">
        <x:f aca="0">ROUND(O10*Inputs!$B$24,0)</x:f>
        <x:v>225</x:v>
      </x:c>
      <x:c r="T10" s="127" t="n">
        <x:f aca="0">ROUND(O10*Inputs!$B$23,0)</x:f>
        <x:v>155</x:v>
      </x:c>
      <x:c r="U10" s="127" t="n">
        <x:f>ROUND(O10*Inputs!$B$22,0)</x:f>
        <x:v>70</x:v>
      </x:c>
      <x:c r="V10" s="127" t="n">
        <x:f>N10-E10</x:f>
        <x:v>429</x:v>
      </x:c>
      <x:c r="W10" s="128" t="n">
        <x:f>ROUND(V10/H10,1)</x:f>
        <x:v>53.6</x:v>
      </x:c>
      <x:c r="X10" s="128" t="n">
        <x:f>ROUND((M10+O10)/H10,1)</x:f>
        <x:v>38.3</x:v>
      </x:c>
      <x:c r="Y10" s="128" t="n">
        <x:f>V10</x:f>
        <x:v>429</x:v>
      </x:c>
      <x:c r="Z10" s="128" t="n">
        <x:f>M10+O10</x:f>
        <x:v>306</x:v>
      </x:c>
      <x:c r="AA10" s="118" t="str">
        <x:v>XP Specialist</x:v>
      </x:c>
      <x:c r="AB10" s="118" t="str">
        <x:v>2h XP session fish</x:v>
      </x:c>
      <x:c r="AC10" s="118" t="str">
        <x:f>IF(F10&lt;1,"Active",IF(F10&lt;12,"Balanced","Idle"))</x:f>
        <x:v>Balanced</x:v>
      </x:c>
      <x:c r="AD10" s="118" t="str">
        <x:f>IF(F10&lt;1,"Fast Fish",IF(F10&gt;=24,"Overnight","-"))</x:f>
        <x:v>-</x:v>
      </x:c>
      <x:c r="AE10" s="118" t="str">
        <x:f>IF(W10&gt;(Inputs!$B$70+(D10-Inputs!$B$68)*(Inputs!$B$71-Inputs!$B$70)/(Inputs!$B$69-Inputs!$B$68))*1.30,"Above active frontier",IF(W10&lt;0,"Loss","OK"))</x:f>
        <x:v>OK</x:v>
      </x:c>
      <x:c r="AF10" s="118" t="str">
        <x:v>5 yr</x:v>
      </x:c>
      <x:c r="AG10" s="118" t="str">
        <x:v>1 yr</x:v>
      </x:c>
      <x:c r="AH10" s="118" t="str">
        <x:v>FishVille classic (2h)</x:v>
      </x:c>
    </x:row>
    <x:row r="11" ht="15" hidden="0" customHeight="1">
      <x:c r="A11" s="118" t="str">
        <x:v>CF-10</x:v>
      </x:c>
      <x:c r="B11" s="118" t="str">
        <x:v>Pearl Gourami</x:v>
      </x:c>
      <x:c r="C11" s="118" t="str">
        <x:v>Common</x:v>
      </x:c>
      <x:c r="D11" s="126" t="n">
        <x:v>12</x:v>
      </x:c>
      <x:c r="E11" s="127" t="n">
        <x:v>180</x:v>
      </x:c>
      <x:c r="F11" s="126" t="n">
        <x:v>48</x:v>
      </x:c>
      <x:c r="G11" s="118" t="str">
        <x:v>48 h (2 d)</x:v>
      </x:c>
      <x:c r="H11" s="128" t="n">
        <x:f aca="0">F11*Inputs!$B$19</x:f>
        <x:v>192</x:v>
      </x:c>
      <x:c r="I11" s="128" t="n">
        <x:f aca="0">F11*Inputs!$B$20</x:f>
        <x:v>96</x:v>
      </x:c>
      <x:c r="J11" s="128" t="n">
        <x:f aca="0">MIN(Inputs!$B$77,MAX(Inputs!$B$76,I11*Inputs!$B$75))</x:f>
        <x:v>24</x:v>
      </x:c>
      <x:c r="K11" s="128" t="n">
        <x:f aca="0">ROUND((Inputs!$B$70+(D11-Inputs!$B$68)*(Inputs!$B$71-Inputs!$B$70)/(Inputs!$B$69-Inputs!$B$68))*INDEX(Inputs!$C$87:$C$96,MATCH(F11,Inputs!$A$87:$A$96,1))*INDEX(Inputs!$B$100:$B$107,MATCH(AA11,Inputs!$A$100:$A$107,0))*(1+INDEX(Inputs!$B$38:$B$44,MATCH(C11,Inputs!$A$38:$A$44,0))*INDEX(Inputs!$D$100:$D$107,MATCH(AA11,Inputs!$A$100:$A$107,0))),1)</x:f>
        <x:v>19.9</x:v>
      </x:c>
      <x:c r="L11" s="128" t="n">
        <x:f aca="0">ROUND((Inputs!$B$72+(D11-Inputs!$B$68)*(Inputs!$B$73-Inputs!$B$72)/(Inputs!$B$69-Inputs!$B$68))*INDEX(Inputs!$D$87:$D$96,MATCH(F11,Inputs!$A$87:$A$96,1))*INDEX(Inputs!$C$100:$C$107,MATCH(AA11,Inputs!$A$100:$A$107,0))*(1+INDEX(Inputs!$B$38:$B$44,MATCH(C11,Inputs!$A$38:$A$44,0))*INDEX(Inputs!$E$100:$E$107,MATCH(AA11,Inputs!$A$100:$A$107,0))),1)</x:f>
        <x:v>7.1</x:v>
      </x:c>
      <x:c r="M11" s="127" t="n">
        <x:f aca="0">ROUND(L11*H11*Inputs!$B$74,0)</x:f>
        <x:v>109</x:v>
      </x:c>
      <x:c r="N11" s="127" t="n">
        <x:f aca="0">ROUND(E11+K11*H11,0)</x:f>
        <x:v>4001</x:v>
      </x:c>
      <x:c r="O11" s="127" t="n">
        <x:f aca="0">MAX(1,ROUND(L11*H11-M11,0))</x:f>
        <x:v>1254</x:v>
      </x:c>
      <x:c r="P11" s="127" t="n">
        <x:f aca="0">ROUND(E11+(N11-E11)*Inputs!$B$24,0)</x:f>
        <x:v>3237</x:v>
      </x:c>
      <x:c r="Q11" s="127" t="n">
        <x:f aca="0">ROUND(E11+(N11-E11)*Inputs!$B$23,0)</x:f>
        <x:v>2282</x:v>
      </x:c>
      <x:c r="R11" s="127" t="n">
        <x:f aca="0">ROUND(E11+(N11-E11)*Inputs!$B$22,0)</x:f>
        <x:v>1135</x:v>
      </x:c>
      <x:c r="S11" s="127" t="n">
        <x:f aca="0">ROUND(O11*Inputs!$B$24,0)</x:f>
        <x:v>1003</x:v>
      </x:c>
      <x:c r="T11" s="127" t="n">
        <x:f aca="0">ROUND(O11*Inputs!$B$23,0)</x:f>
        <x:v>690</x:v>
      </x:c>
      <x:c r="U11" s="127" t="n">
        <x:f>ROUND(O11*Inputs!$B$22,0)</x:f>
        <x:v>314</x:v>
      </x:c>
      <x:c r="V11" s="127" t="n">
        <x:f>N11-E11</x:f>
        <x:v>3821</x:v>
      </x:c>
      <x:c r="W11" s="128" t="n">
        <x:f>ROUND(V11/H11,1)</x:f>
        <x:v>19.9</x:v>
      </x:c>
      <x:c r="X11" s="128" t="n">
        <x:f>ROUND((M11+O11)/H11,1)</x:f>
        <x:v>7.1</x:v>
      </x:c>
      <x:c r="Y11" s="128" t="n">
        <x:f>V11</x:f>
        <x:v>3821</x:v>
      </x:c>
      <x:c r="Z11" s="128" t="n">
        <x:f>M11+O11</x:f>
        <x:v>1363</x:v>
      </x:c>
      <x:c r="AA11" s="118" t="str">
        <x:v>Payout</x:v>
      </x:c>
      <x:c r="AB11" s="118" t="str">
        <x:v>first marathon lump-sum fish</x:v>
      </x:c>
      <x:c r="AC11" s="118" t="str">
        <x:f>IF(F11&lt;1,"Active",IF(F11&lt;12,"Balanced","Idle"))</x:f>
        <x:v>Idle</x:v>
      </x:c>
      <x:c r="AD11" s="118" t="str">
        <x:f>IF(F11&lt;1,"Fast Fish",IF(F11&gt;=24,"Overnight","-"))</x:f>
        <x:v>Overnight</x:v>
      </x:c>
      <x:c r="AE11" s="118" t="str">
        <x:f>IF(W11&gt;(Inputs!$B$70+(D11-Inputs!$B$68)*(Inputs!$B$71-Inputs!$B$70)/(Inputs!$B$69-Inputs!$B$68))*1.30,"Above active frontier",IF(W11&lt;0,"Loss","OK"))</x:f>
        <x:v>OK</x:v>
      </x:c>
      <x:c r="AF11" s="118" t="str">
        <x:v>5-8 yr</x:v>
      </x:c>
      <x:c r="AG11" s="118" t="str">
        <x:v>8 mo</x:v>
      </x:c>
      <x:c r="AH11" s="118" t="str">
        <x:v>First Marathon lump-sum fish</x:v>
      </x:c>
    </x:row>
    <x:row r="12" ht="26.399999618530273" hidden="0" customHeight="1">
      <x:c r="A12" s="118" t="str">
        <x:v>CF-11</x:v>
      </x:c>
      <x:c r="B12" s="118" t="str">
        <x:v>Sixline Wrasse</x:v>
      </x:c>
      <x:c r="C12" s="118" t="str">
        <x:v>Uncommon</x:v>
      </x:c>
      <x:c r="D12" s="126" t="n">
        <x:v>14</x:v>
      </x:c>
      <x:c r="E12" s="127" t="n">
        <x:v>35</x:v>
      </x:c>
      <x:c r="F12" s="126" t="n">
        <x:v>0.5</x:v>
      </x:c>
      <x:c r="G12" s="118" t="str">
        <x:v>30 min</x:v>
      </x:c>
      <x:c r="H12" s="128" t="n">
        <x:f aca="0">F12*Inputs!$B$19</x:f>
        <x:v>2</x:v>
      </x:c>
      <x:c r="I12" s="128" t="n">
        <x:f aca="0">F12*Inputs!$B$20</x:f>
        <x:v>1</x:v>
      </x:c>
      <x:c r="J12" s="128" t="n">
        <x:f aca="0">MIN(Inputs!$B$77,MAX(Inputs!$B$76,I12*Inputs!$B$75))</x:f>
        <x:v>0.5</x:v>
      </x:c>
      <x:c r="K12" s="128" t="n">
        <x:f aca="0">ROUND((Inputs!$B$70+(D12-Inputs!$B$68)*(Inputs!$B$71-Inputs!$B$70)/(Inputs!$B$69-Inputs!$B$68))*INDEX(Inputs!$C$87:$C$96,MATCH(F12,Inputs!$A$87:$A$96,1))*INDEX(Inputs!$B$100:$B$107,MATCH(AA12,Inputs!$A$100:$A$107,0))*(1+INDEX(Inputs!$B$38:$B$44,MATCH(C12,Inputs!$A$38:$A$44,0))*INDEX(Inputs!$D$100:$D$107,MATCH(AA12,Inputs!$A$100:$A$107,0))),1)</x:f>
        <x:v>90.8</x:v>
      </x:c>
      <x:c r="L12" s="128" t="n">
        <x:f aca="0">ROUND((Inputs!$B$72+(D12-Inputs!$B$68)*(Inputs!$B$73-Inputs!$B$72)/(Inputs!$B$69-Inputs!$B$68))*INDEX(Inputs!$D$87:$D$96,MATCH(F12,Inputs!$A$87:$A$96,1))*INDEX(Inputs!$C$100:$C$107,MATCH(AA12,Inputs!$A$100:$A$107,0))*(1+INDEX(Inputs!$B$38:$B$44,MATCH(C12,Inputs!$A$38:$A$44,0))*INDEX(Inputs!$E$100:$E$107,MATCH(AA12,Inputs!$A$100:$A$107,0))),1)</x:f>
        <x:v>48</x:v>
      </x:c>
      <x:c r="M12" s="127" t="n">
        <x:f aca="0">ROUND(L12*H12*Inputs!$B$74,0)</x:f>
        <x:v>8</x:v>
      </x:c>
      <x:c r="N12" s="127" t="n">
        <x:f aca="0">ROUND(E12+K12*H12,0)</x:f>
        <x:v>217</x:v>
      </x:c>
      <x:c r="O12" s="127" t="n">
        <x:f aca="0">MAX(1,ROUND(L12*H12-M12,0))</x:f>
        <x:v>88</x:v>
      </x:c>
      <x:c r="P12" s="127" t="n">
        <x:f aca="0">ROUND(E12+(N12-E12)*Inputs!$B$24,0)</x:f>
        <x:v>181</x:v>
      </x:c>
      <x:c r="Q12" s="127" t="n">
        <x:f aca="0">ROUND(E12+(N12-E12)*Inputs!$B$23,0)</x:f>
        <x:v>135</x:v>
      </x:c>
      <x:c r="R12" s="127" t="n">
        <x:f aca="0">ROUND(E12+(N12-E12)*Inputs!$B$22,0)</x:f>
        <x:v>81</x:v>
      </x:c>
      <x:c r="S12" s="127" t="n">
        <x:f aca="0">ROUND(O12*Inputs!$B$24,0)</x:f>
        <x:v>70</x:v>
      </x:c>
      <x:c r="T12" s="127" t="n">
        <x:f aca="0">ROUND(O12*Inputs!$B$23,0)</x:f>
        <x:v>48</x:v>
      </x:c>
      <x:c r="U12" s="127" t="n">
        <x:f>ROUND(O12*Inputs!$B$22,0)</x:f>
        <x:v>22</x:v>
      </x:c>
      <x:c r="V12" s="127" t="n">
        <x:f>N12-E12</x:f>
        <x:v>182</x:v>
      </x:c>
      <x:c r="W12" s="128" t="n">
        <x:f>ROUND(V12/H12,1)</x:f>
        <x:v>91</x:v>
      </x:c>
      <x:c r="X12" s="128" t="n">
        <x:f>ROUND((M12+O12)/H12,1)</x:f>
        <x:v>48</x:v>
      </x:c>
      <x:c r="Y12" s="128" t="n">
        <x:f>V12</x:f>
        <x:v>182</x:v>
      </x:c>
      <x:c r="Z12" s="128" t="n">
        <x:f>M12+O12</x:f>
        <x:v>96</x:v>
      </x:c>
      <x:c r="AA12" s="118" t="str">
        <x:v>XP Specialist</x:v>
      </x:c>
      <x:c r="AB12" s="118" t="str">
        <x:v>30m active XP fish</x:v>
      </x:c>
      <x:c r="AC12" s="118" t="str">
        <x:f>IF(F12&lt;1,"Active",IF(F12&lt;12,"Balanced","Idle"))</x:f>
        <x:v>Active</x:v>
      </x:c>
      <x:c r="AD12" s="118" t="str">
        <x:f>IF(F12&lt;1,"Fast Fish",IF(F12&gt;=24,"Overnight","-"))</x:f>
        <x:v>Fast Fish</x:v>
      </x:c>
      <x:c r="AE12" s="118" t="str">
        <x:f>IF(W12&gt;(Inputs!$B$70+(D12-Inputs!$B$68)*(Inputs!$B$71-Inputs!$B$70)/(Inputs!$B$69-Inputs!$B$68))*1.30,"Above active frontier",IF(W12&lt;0,"Loss","OK"))</x:f>
        <x:v>OK</x:v>
      </x:c>
      <x:c r="AF12" s="118" t="str">
        <x:v>4-6 yr</x:v>
      </x:c>
      <x:c r="AG12" s="118" t="str">
        <x:v>1 yr</x:v>
      </x:c>
      <x:c r="AH12" s="118" t="str">
        <x:v>| Rebalanced: target-rate role prevents one-fish dominance.</x:v>
      </x:c>
    </x:row>
    <x:row r="13" ht="15" hidden="0" customHeight="1">
      <x:c r="A13" s="118" t="str">
        <x:v>CF-12</x:v>
      </x:c>
      <x:c r="B13" s="118" t="str">
        <x:v>Shy Hamlet</x:v>
      </x:c>
      <x:c r="C13" s="118" t="str">
        <x:v>Uncommon</x:v>
      </x:c>
      <x:c r="D13" s="126" t="n">
        <x:v>15</x:v>
      </x:c>
      <x:c r="E13" s="127" t="n">
        <x:v>80</x:v>
      </x:c>
      <x:c r="F13" s="126" t="n">
        <x:v>4</x:v>
      </x:c>
      <x:c r="G13" s="118" t="str">
        <x:v>4 h</x:v>
      </x:c>
      <x:c r="H13" s="128" t="n">
        <x:f aca="0">F13*Inputs!$B$19</x:f>
        <x:v>16</x:v>
      </x:c>
      <x:c r="I13" s="128" t="n">
        <x:f aca="0">F13*Inputs!$B$20</x:f>
        <x:v>8</x:v>
      </x:c>
      <x:c r="J13" s="128" t="n">
        <x:f aca="0">MIN(Inputs!$B$77,MAX(Inputs!$B$76,I13*Inputs!$B$75))</x:f>
        <x:v>2</x:v>
      </x:c>
      <x:c r="K13" s="128" t="n">
        <x:f aca="0">ROUND((Inputs!$B$70+(D13-Inputs!$B$68)*(Inputs!$B$71-Inputs!$B$70)/(Inputs!$B$69-Inputs!$B$68))*INDEX(Inputs!$C$87:$C$96,MATCH(F13,Inputs!$A$87:$A$96,1))*INDEX(Inputs!$B$100:$B$107,MATCH(AA13,Inputs!$A$100:$A$107,0))*(1+INDEX(Inputs!$B$38:$B$44,MATCH(C13,Inputs!$A$38:$A$44,0))*INDEX(Inputs!$D$100:$D$107,MATCH(AA13,Inputs!$A$100:$A$107,0))),1)</x:f>
        <x:v>31</x:v>
      </x:c>
      <x:c r="L13" s="128" t="n">
        <x:f aca="0">ROUND((Inputs!$B$72+(D13-Inputs!$B$68)*(Inputs!$B$73-Inputs!$B$72)/(Inputs!$B$69-Inputs!$B$68))*INDEX(Inputs!$D$87:$D$96,MATCH(F13,Inputs!$A$87:$A$96,1))*INDEX(Inputs!$C$100:$C$107,MATCH(AA13,Inputs!$A$100:$A$107,0))*(1+INDEX(Inputs!$B$38:$B$44,MATCH(C13,Inputs!$A$38:$A$44,0))*INDEX(Inputs!$E$100:$E$107,MATCH(AA13,Inputs!$A$100:$A$107,0))),1)</x:f>
        <x:v>11.3</x:v>
      </x:c>
      <x:c r="M13" s="127" t="n">
        <x:f aca="0">ROUND(L13*H13*Inputs!$B$74,0)</x:f>
        <x:v>14</x:v>
      </x:c>
      <x:c r="N13" s="127" t="n">
        <x:f aca="0">ROUND(E13+K13*H13,0)</x:f>
        <x:v>576</x:v>
      </x:c>
      <x:c r="O13" s="127" t="n">
        <x:f aca="0">MAX(1,ROUND(L13*H13-M13,0))</x:f>
        <x:v>167</x:v>
      </x:c>
      <x:c r="P13" s="127" t="n">
        <x:f aca="0">ROUND(E13+(N13-E13)*Inputs!$B$24,0)</x:f>
        <x:v>477</x:v>
      </x:c>
      <x:c r="Q13" s="127" t="n">
        <x:f aca="0">ROUND(E13+(N13-E13)*Inputs!$B$23,0)</x:f>
        <x:v>353</x:v>
      </x:c>
      <x:c r="R13" s="127" t="n">
        <x:f aca="0">ROUND(E13+(N13-E13)*Inputs!$B$22,0)</x:f>
        <x:v>204</x:v>
      </x:c>
      <x:c r="S13" s="127" t="n">
        <x:f aca="0">ROUND(O13*Inputs!$B$24,0)</x:f>
        <x:v>134</x:v>
      </x:c>
      <x:c r="T13" s="127" t="n">
        <x:f aca="0">ROUND(O13*Inputs!$B$23,0)</x:f>
        <x:v>92</x:v>
      </x:c>
      <x:c r="U13" s="127" t="n">
        <x:f>ROUND(O13*Inputs!$B$22,0)</x:f>
        <x:v>42</x:v>
      </x:c>
      <x:c r="V13" s="127" t="n">
        <x:f>N13-E13</x:f>
        <x:v>496</x:v>
      </x:c>
      <x:c r="W13" s="128" t="n">
        <x:f>ROUND(V13/H13,1)</x:f>
        <x:v>31</x:v>
      </x:c>
      <x:c r="X13" s="128" t="n">
        <x:f>ROUND((M13+O13)/H13,1)</x:f>
        <x:v>11.3</x:v>
      </x:c>
      <x:c r="Y13" s="128" t="n">
        <x:f>V13</x:f>
        <x:v>496</x:v>
      </x:c>
      <x:c r="Z13" s="128" t="n">
        <x:f>M13+O13</x:f>
        <x:v>181</x:v>
      </x:c>
      <x:c r="AA13" s="118" t="str">
        <x:v>Coin Specialist</x:v>
      </x:c>
      <x:c r="AB13" s="118" t="str">
        <x:v>4h coin-session FishVille classic</x:v>
      </x:c>
      <x:c r="AC13" s="118" t="str">
        <x:f>IF(F13&lt;1,"Active",IF(F13&lt;12,"Balanced","Idle"))</x:f>
        <x:v>Balanced</x:v>
      </x:c>
      <x:c r="AD13" s="118" t="str">
        <x:f>IF(F13&lt;1,"Fast Fish",IF(F13&gt;=24,"Overnight","-"))</x:f>
        <x:v>-</x:v>
      </x:c>
      <x:c r="AE13" s="118" t="str">
        <x:f>IF(W13&gt;(Inputs!$B$70+(D13-Inputs!$B$68)*(Inputs!$B$71-Inputs!$B$70)/(Inputs!$B$69-Inputs!$B$68))*1.30,"Above active frontier",IF(W13&lt;0,"Loss","OK"))</x:f>
        <x:v>OK</x:v>
      </x:c>
      <x:c r="AF13" s="118" t="str">
        <x:v>5-7 yr</x:v>
      </x:c>
      <x:c r="AG13" s="118" t="str">
        <x:v>1.5 yr</x:v>
      </x:c>
      <x:c r="AH13" s="118" t="str">
        <x:v>FishVille classic (4h)</x:v>
      </x:c>
    </x:row>
    <x:row r="14" ht="15" hidden="0" customHeight="1">
      <x:c r="A14" s="118" t="str">
        <x:v>CF-13</x:v>
      </x:c>
      <x:c r="B14" s="118" t="str">
        <x:v>Hawaiian Hogfish</x:v>
      </x:c>
      <x:c r="C14" s="118" t="str">
        <x:v>Uncommon</x:v>
      </x:c>
      <x:c r="D14" s="126" t="n">
        <x:v>16</x:v>
      </x:c>
      <x:c r="E14" s="127" t="n">
        <x:v>130</x:v>
      </x:c>
      <x:c r="F14" s="126" t="n">
        <x:v>12</x:v>
      </x:c>
      <x:c r="G14" s="118" t="str">
        <x:v>12 h</x:v>
      </x:c>
      <x:c r="H14" s="128" t="n">
        <x:f aca="0">F14*Inputs!$B$19</x:f>
        <x:v>48</x:v>
      </x:c>
      <x:c r="I14" s="128" t="n">
        <x:f aca="0">F14*Inputs!$B$20</x:f>
        <x:v>24</x:v>
      </x:c>
      <x:c r="J14" s="128" t="n">
        <x:f aca="0">MIN(Inputs!$B$77,MAX(Inputs!$B$76,I14*Inputs!$B$75))</x:f>
        <x:v>6</x:v>
      </x:c>
      <x:c r="K14" s="128" t="n">
        <x:f aca="0">ROUND((Inputs!$B$70+(D14-Inputs!$B$68)*(Inputs!$B$71-Inputs!$B$70)/(Inputs!$B$69-Inputs!$B$68))*INDEX(Inputs!$C$87:$C$96,MATCH(F14,Inputs!$A$87:$A$96,1))*INDEX(Inputs!$B$100:$B$107,MATCH(AA14,Inputs!$A$100:$A$107,0))*(1+INDEX(Inputs!$B$38:$B$44,MATCH(C14,Inputs!$A$38:$A$44,0))*INDEX(Inputs!$D$100:$D$107,MATCH(AA14,Inputs!$A$100:$A$107,0))),1)</x:f>
        <x:v>18.1</x:v>
      </x:c>
      <x:c r="L14" s="128" t="n">
        <x:f aca="0">ROUND((Inputs!$B$72+(D14-Inputs!$B$68)*(Inputs!$B$73-Inputs!$B$72)/(Inputs!$B$69-Inputs!$B$68))*INDEX(Inputs!$D$87:$D$96,MATCH(F14,Inputs!$A$87:$A$96,1))*INDEX(Inputs!$C$100:$C$107,MATCH(AA14,Inputs!$A$100:$A$107,0))*(1+INDEX(Inputs!$B$38:$B$44,MATCH(C14,Inputs!$A$38:$A$44,0))*INDEX(Inputs!$E$100:$E$107,MATCH(AA14,Inputs!$A$100:$A$107,0))),1)</x:f>
        <x:v>10.4</x:v>
      </x:c>
      <x:c r="M14" s="127" t="n">
        <x:f aca="0">ROUND(L14*H14*Inputs!$B$74,0)</x:f>
        <x:v>40</x:v>
      </x:c>
      <x:c r="N14" s="127" t="n">
        <x:f aca="0">ROUND(E14+K14*H14,0)</x:f>
        <x:v>999</x:v>
      </x:c>
      <x:c r="O14" s="127" t="n">
        <x:f aca="0">MAX(1,ROUND(L14*H14-M14,0))</x:f>
        <x:v>459</x:v>
      </x:c>
      <x:c r="P14" s="127" t="n">
        <x:f aca="0">ROUND(E14+(N14-E14)*Inputs!$B$24,0)</x:f>
        <x:v>825</x:v>
      </x:c>
      <x:c r="Q14" s="127" t="n">
        <x:f aca="0">ROUND(E14+(N14-E14)*Inputs!$B$23,0)</x:f>
        <x:v>608</x:v>
      </x:c>
      <x:c r="R14" s="127" t="n">
        <x:f aca="0">ROUND(E14+(N14-E14)*Inputs!$B$22,0)</x:f>
        <x:v>347</x:v>
      </x:c>
      <x:c r="S14" s="127" t="n">
        <x:f aca="0">ROUND(O14*Inputs!$B$24,0)</x:f>
        <x:v>367</x:v>
      </x:c>
      <x:c r="T14" s="127" t="n">
        <x:f aca="0">ROUND(O14*Inputs!$B$23,0)</x:f>
        <x:v>252</x:v>
      </x:c>
      <x:c r="U14" s="127" t="n">
        <x:f>ROUND(O14*Inputs!$B$22,0)</x:f>
        <x:v>115</x:v>
      </x:c>
      <x:c r="V14" s="127" t="n">
        <x:f>N14-E14</x:f>
        <x:v>869</x:v>
      </x:c>
      <x:c r="W14" s="128" t="n">
        <x:f>ROUND(V14/H14,1)</x:f>
        <x:v>18.1</x:v>
      </x:c>
      <x:c r="X14" s="128" t="n">
        <x:f>ROUND((M14+O14)/H14,1)</x:f>
        <x:v>10.4</x:v>
      </x:c>
      <x:c r="Y14" s="128" t="n">
        <x:f>V14</x:f>
        <x:v>869</x:v>
      </x:c>
      <x:c r="Z14" s="128" t="n">
        <x:f>M14+O14</x:f>
        <x:v>499</x:v>
      </x:c>
      <x:c r="AA14" s="118" t="str">
        <x:v>Balanced</x:v>
      </x:c>
      <x:c r="AB14" s="118" t="str">
        <x:v>half-day FishVille classic</x:v>
      </x:c>
      <x:c r="AC14" s="118" t="str">
        <x:f>IF(F14&lt;1,"Active",IF(F14&lt;12,"Balanced","Idle"))</x:f>
        <x:v>Idle</x:v>
      </x:c>
      <x:c r="AD14" s="118" t="str">
        <x:f>IF(F14&lt;1,"Fast Fish",IF(F14&gt;=24,"Overnight","-"))</x:f>
        <x:v>-</x:v>
      </x:c>
      <x:c r="AE14" s="118" t="str">
        <x:f>IF(W14&gt;(Inputs!$B$70+(D14-Inputs!$B$68)*(Inputs!$B$71-Inputs!$B$70)/(Inputs!$B$69-Inputs!$B$68))*1.30,"Above active frontier",IF(W14&lt;0,"Loss","OK"))</x:f>
        <x:v>OK</x:v>
      </x:c>
      <x:c r="AF14" s="118" t="str">
        <x:v>10+ yr</x:v>
      </x:c>
      <x:c r="AG14" s="118" t="str">
        <x:v>2 yr</x:v>
      </x:c>
      <x:c r="AH14" s="118" t="str">
        <x:v>FishVille classic (12h)</x:v>
      </x:c>
    </x:row>
    <x:row r="15" ht="15" hidden="0" customHeight="1">
      <x:c r="A15" s="118" t="str">
        <x:v>CF-14</x:v>
      </x:c>
      <x:c r="B15" s="118" t="str">
        <x:v>Scooter Blenny</x:v>
      </x:c>
      <x:c r="C15" s="118" t="str">
        <x:v>Uncommon</x:v>
      </x:c>
      <x:c r="D15" s="126" t="n">
        <x:v>17</x:v>
      </x:c>
      <x:c r="E15" s="127" t="n">
        <x:v>180</x:v>
      </x:c>
      <x:c r="F15" s="126" t="n">
        <x:v>24</x:v>
      </x:c>
      <x:c r="G15" s="118" t="str">
        <x:v>24 h (1 d)</x:v>
      </x:c>
      <x:c r="H15" s="128" t="n">
        <x:f aca="0">F15*Inputs!$B$19</x:f>
        <x:v>96</x:v>
      </x:c>
      <x:c r="I15" s="128" t="n">
        <x:f aca="0">F15*Inputs!$B$20</x:f>
        <x:v>48</x:v>
      </x:c>
      <x:c r="J15" s="128" t="n">
        <x:f aca="0">MIN(Inputs!$B$77,MAX(Inputs!$B$76,I15*Inputs!$B$75))</x:f>
        <x:v>12</x:v>
      </x:c>
      <x:c r="K15" s="128" t="n">
        <x:f aca="0">ROUND((Inputs!$B$70+(D15-Inputs!$B$68)*(Inputs!$B$71-Inputs!$B$70)/(Inputs!$B$69-Inputs!$B$68))*INDEX(Inputs!$C$87:$C$96,MATCH(F15,Inputs!$A$87:$A$96,1))*INDEX(Inputs!$B$100:$B$107,MATCH(AA15,Inputs!$A$100:$A$107,0))*(1+INDEX(Inputs!$B$38:$B$44,MATCH(C15,Inputs!$A$38:$A$44,0))*INDEX(Inputs!$D$100:$D$107,MATCH(AA15,Inputs!$A$100:$A$107,0))),1)</x:f>
        <x:v>14.8</x:v>
      </x:c>
      <x:c r="L15" s="128" t="n">
        <x:f aca="0">ROUND((Inputs!$B$72+(D15-Inputs!$B$68)*(Inputs!$B$73-Inputs!$B$72)/(Inputs!$B$69-Inputs!$B$68))*INDEX(Inputs!$D$87:$D$96,MATCH(F15,Inputs!$A$87:$A$96,1))*INDEX(Inputs!$C$100:$C$107,MATCH(AA15,Inputs!$A$100:$A$107,0))*(1+INDEX(Inputs!$B$38:$B$44,MATCH(C15,Inputs!$A$38:$A$44,0))*INDEX(Inputs!$E$100:$E$107,MATCH(AA15,Inputs!$A$100:$A$107,0))),1)</x:f>
        <x:v>10.5</x:v>
      </x:c>
      <x:c r="M15" s="127" t="n">
        <x:f aca="0">ROUND(L15*H15*Inputs!$B$74,0)</x:f>
        <x:v>81</x:v>
      </x:c>
      <x:c r="N15" s="127" t="n">
        <x:f aca="0">ROUND(E15+K15*H15,0)</x:f>
        <x:v>1601</x:v>
      </x:c>
      <x:c r="O15" s="127" t="n">
        <x:f aca="0">MAX(1,ROUND(L15*H15-M15,0))</x:f>
        <x:v>927</x:v>
      </x:c>
      <x:c r="P15" s="127" t="n">
        <x:f aca="0">ROUND(E15+(N15-E15)*Inputs!$B$24,0)</x:f>
        <x:v>1317</x:v>
      </x:c>
      <x:c r="Q15" s="127" t="n">
        <x:f aca="0">ROUND(E15+(N15-E15)*Inputs!$B$23,0)</x:f>
        <x:v>962</x:v>
      </x:c>
      <x:c r="R15" s="127" t="n">
        <x:f aca="0">ROUND(E15+(N15-E15)*Inputs!$B$22,0)</x:f>
        <x:v>535</x:v>
      </x:c>
      <x:c r="S15" s="127" t="n">
        <x:f aca="0">ROUND(O15*Inputs!$B$24,0)</x:f>
        <x:v>742</x:v>
      </x:c>
      <x:c r="T15" s="127" t="n">
        <x:f aca="0">ROUND(O15*Inputs!$B$23,0)</x:f>
        <x:v>510</x:v>
      </x:c>
      <x:c r="U15" s="127" t="n">
        <x:f>ROUND(O15*Inputs!$B$22,0)</x:f>
        <x:v>232</x:v>
      </x:c>
      <x:c r="V15" s="127" t="n">
        <x:f>N15-E15</x:f>
        <x:v>1421</x:v>
      </x:c>
      <x:c r="W15" s="128" t="n">
        <x:f>ROUND(V15/H15,1)</x:f>
        <x:v>14.8</x:v>
      </x:c>
      <x:c r="X15" s="128" t="n">
        <x:f>ROUND((M15+O15)/H15,1)</x:f>
        <x:v>10.5</x:v>
      </x:c>
      <x:c r="Y15" s="128" t="n">
        <x:f>V15</x:f>
        <x:v>1421</x:v>
      </x:c>
      <x:c r="Z15" s="128" t="n">
        <x:f>M15+O15</x:f>
        <x:v>1008</x:v>
      </x:c>
      <x:c r="AA15" s="118" t="str">
        <x:v>Convenience</x:v>
      </x:c>
      <x:c r="AB15" s="118" t="str">
        <x:v>daily low-care FishVille classic</x:v>
      </x:c>
      <x:c r="AC15" s="118" t="str">
        <x:f>IF(F15&lt;1,"Active",IF(F15&lt;12,"Balanced","Idle"))</x:f>
        <x:v>Idle</x:v>
      </x:c>
      <x:c r="AD15" s="118" t="str">
        <x:f>IF(F15&lt;1,"Fast Fish",IF(F15&gt;=24,"Overnight","-"))</x:f>
        <x:v>Overnight</x:v>
      </x:c>
      <x:c r="AE15" s="118" t="str">
        <x:f>IF(W15&gt;(Inputs!$B$70+(D15-Inputs!$B$68)*(Inputs!$B$71-Inputs!$B$70)/(Inputs!$B$69-Inputs!$B$68))*1.30,"Above active frontier",IF(W15&lt;0,"Loss","OK"))</x:f>
        <x:v>OK</x:v>
      </x:c>
      <x:c r="AF15" s="118" t="str">
        <x:v>2-4 yr</x:v>
      </x:c>
      <x:c r="AG15" s="118" t="str">
        <x:v>1 yr</x:v>
      </x:c>
      <x:c r="AH15" s="118" t="str">
        <x:v>FishVille classic (1 day)</x:v>
      </x:c>
    </x:row>
    <x:row r="16" ht="15" hidden="0" customHeight="1">
      <x:c r="A16" s="118" t="str">
        <x:v>CF-15</x:v>
      </x:c>
      <x:c r="B16" s="118" t="str">
        <x:v>Ocellaris Clownfish</x:v>
      </x:c>
      <x:c r="C16" s="118" t="str">
        <x:v>Uncommon</x:v>
      </x:c>
      <x:c r="D16" s="126" t="n">
        <x:v>20</x:v>
      </x:c>
      <x:c r="E16" s="127" t="n">
        <x:v>170</x:v>
      </x:c>
      <x:c r="F16" s="126" t="n">
        <x:v>16</x:v>
      </x:c>
      <x:c r="G16" s="118" t="str">
        <x:v>16 h</x:v>
      </x:c>
      <x:c r="H16" s="128" t="n">
        <x:f aca="0">F16*Inputs!$B$19</x:f>
        <x:v>64</x:v>
      </x:c>
      <x:c r="I16" s="128" t="n">
        <x:f aca="0">F16*Inputs!$B$20</x:f>
        <x:v>32</x:v>
      </x:c>
      <x:c r="J16" s="128" t="n">
        <x:f aca="0">MIN(Inputs!$B$77,MAX(Inputs!$B$76,I16*Inputs!$B$75))</x:f>
        <x:v>8</x:v>
      </x:c>
      <x:c r="K16" s="128" t="n">
        <x:f aca="0">ROUND((Inputs!$B$70+(D16-Inputs!$B$68)*(Inputs!$B$71-Inputs!$B$70)/(Inputs!$B$69-Inputs!$B$68))*INDEX(Inputs!$C$87:$C$96,MATCH(F16,Inputs!$A$87:$A$96,1))*INDEX(Inputs!$B$100:$B$107,MATCH(AA16,Inputs!$A$100:$A$107,0))*(1+INDEX(Inputs!$B$38:$B$44,MATCH(C16,Inputs!$A$38:$A$44,0))*INDEX(Inputs!$D$100:$D$107,MATCH(AA16,Inputs!$A$100:$A$107,0))),1)</x:f>
        <x:v>17.5</x:v>
      </x:c>
      <x:c r="L16" s="128" t="n">
        <x:f aca="0">ROUND((Inputs!$B$72+(D16-Inputs!$B$68)*(Inputs!$B$73-Inputs!$B$72)/(Inputs!$B$69-Inputs!$B$68))*INDEX(Inputs!$D$87:$D$96,MATCH(F16,Inputs!$A$87:$A$96,1))*INDEX(Inputs!$C$100:$C$107,MATCH(AA16,Inputs!$A$100:$A$107,0))*(1+INDEX(Inputs!$B$38:$B$44,MATCH(C16,Inputs!$A$38:$A$44,0))*INDEX(Inputs!$E$100:$E$107,MATCH(AA16,Inputs!$A$100:$A$107,0))),1)</x:f>
        <x:v>11.2</x:v>
      </x:c>
      <x:c r="M16" s="127" t="n">
        <x:f aca="0">ROUND(L16*H16*Inputs!$B$74,0)</x:f>
        <x:v>57</x:v>
      </x:c>
      <x:c r="N16" s="127" t="n">
        <x:f aca="0">ROUND(E16+K16*H16,0)</x:f>
        <x:v>1290</x:v>
      </x:c>
      <x:c r="O16" s="127" t="n">
        <x:f aca="0">MAX(1,ROUND(L16*H16-M16,0))</x:f>
        <x:v>660</x:v>
      </x:c>
      <x:c r="P16" s="127" t="n">
        <x:f aca="0">ROUND(E16+(N16-E16)*Inputs!$B$24,0)</x:f>
        <x:v>1066</x:v>
      </x:c>
      <x:c r="Q16" s="127" t="n">
        <x:f aca="0">ROUND(E16+(N16-E16)*Inputs!$B$23,0)</x:f>
        <x:v>786</x:v>
      </x:c>
      <x:c r="R16" s="127" t="n">
        <x:f aca="0">ROUND(E16+(N16-E16)*Inputs!$B$22,0)</x:f>
        <x:v>450</x:v>
      </x:c>
      <x:c r="S16" s="127" t="n">
        <x:f aca="0">ROUND(O16*Inputs!$B$24,0)</x:f>
        <x:v>528</x:v>
      </x:c>
      <x:c r="T16" s="127" t="n">
        <x:f aca="0">ROUND(O16*Inputs!$B$23,0)</x:f>
        <x:v>363</x:v>
      </x:c>
      <x:c r="U16" s="127" t="n">
        <x:f>ROUND(O16*Inputs!$B$22,0)</x:f>
        <x:v>165</x:v>
      </x:c>
      <x:c r="V16" s="127" t="n">
        <x:f>N16-E16</x:f>
        <x:v>1120</x:v>
      </x:c>
      <x:c r="W16" s="128" t="n">
        <x:f>ROUND(V16/H16,1)</x:f>
        <x:v>17.5</x:v>
      </x:c>
      <x:c r="X16" s="128" t="n">
        <x:f>ROUND((M16+O16)/H16,1)</x:f>
        <x:v>11.2</x:v>
      </x:c>
      <x:c r="Y16" s="128" t="n">
        <x:f>V16</x:f>
        <x:v>1120</x:v>
      </x:c>
      <x:c r="Z16" s="128" t="n">
        <x:f>M16+O16</x:f>
        <x:v>717</x:v>
      </x:c>
      <x:c r="AA16" s="118" t="str">
        <x:v>Collection</x:v>
      </x:c>
      <x:c r="AB16" s="118" t="str">
        <x:v>iconic clownfish / social collection</x:v>
      </x:c>
      <x:c r="AC16" s="118" t="str">
        <x:f>IF(F16&lt;1,"Active",IF(F16&lt;12,"Balanced","Idle"))</x:f>
        <x:v>Idle</x:v>
      </x:c>
      <x:c r="AD16" s="118" t="str">
        <x:f>IF(F16&lt;1,"Fast Fish",IF(F16&gt;=24,"Overnight","-"))</x:f>
        <x:v>-</x:v>
      </x:c>
      <x:c r="AE16" s="118" t="str">
        <x:f>IF(W16&gt;(Inputs!$B$70+(D16-Inputs!$B$68)*(Inputs!$B$71-Inputs!$B$70)/(Inputs!$B$69-Inputs!$B$68))*1.30,"Above active frontier",IF(W16&lt;0,"Loss","OK"))</x:f>
        <x:v>OK</x:v>
      </x:c>
      <x:c r="AF16" s="118" t="str">
        <x:v>6-10 yr</x:v>
      </x:c>
      <x:c r="AG16" s="118" t="str">
        <x:v>1.5 yr</x:v>
      </x:c>
      <x:c r="AH16" s="118" t="str">
        <x:v>Iconic milestone fish</x:v>
      </x:c>
    </x:row>
    <x:row r="17" ht="15" hidden="0" customHeight="1">
      <x:c r="A17" s="118" t="str">
        <x:v>CF-16</x:v>
      </x:c>
      <x:c r="B17" s="118" t="str">
        <x:v>Yellow Tang</x:v>
      </x:c>
      <x:c r="C17" s="118" t="str">
        <x:v>Rare</x:v>
      </x:c>
      <x:c r="D17" s="126" t="n">
        <x:v>22</x:v>
      </x:c>
      <x:c r="E17" s="127" t="n">
        <x:v>230</x:v>
      </x:c>
      <x:c r="F17" s="126" t="n">
        <x:v>20</x:v>
      </x:c>
      <x:c r="G17" s="118" t="str">
        <x:v>20 h</x:v>
      </x:c>
      <x:c r="H17" s="128" t="n">
        <x:f aca="0">F17*Inputs!$B$19</x:f>
        <x:v>80</x:v>
      </x:c>
      <x:c r="I17" s="128" t="n">
        <x:f aca="0">F17*Inputs!$B$20</x:f>
        <x:v>40</x:v>
      </x:c>
      <x:c r="J17" s="128" t="n">
        <x:f aca="0">MIN(Inputs!$B$77,MAX(Inputs!$B$76,I17*Inputs!$B$75))</x:f>
        <x:v>10</x:v>
      </x:c>
      <x:c r="K17" s="128" t="n">
        <x:f aca="0">ROUND((Inputs!$B$70+(D17-Inputs!$B$68)*(Inputs!$B$71-Inputs!$B$70)/(Inputs!$B$69-Inputs!$B$68))*INDEX(Inputs!$C$87:$C$96,MATCH(F17,Inputs!$A$87:$A$96,1))*INDEX(Inputs!$B$100:$B$107,MATCH(AA17,Inputs!$A$100:$A$107,0))*(1+INDEX(Inputs!$B$38:$B$44,MATCH(C17,Inputs!$A$38:$A$44,0))*INDEX(Inputs!$D$100:$D$107,MATCH(AA17,Inputs!$A$100:$A$107,0))),1)</x:f>
        <x:v>22.9</x:v>
      </x:c>
      <x:c r="L17" s="128" t="n">
        <x:f aca="0">ROUND((Inputs!$B$72+(D17-Inputs!$B$68)*(Inputs!$B$73-Inputs!$B$72)/(Inputs!$B$69-Inputs!$B$68))*INDEX(Inputs!$D$87:$D$96,MATCH(F17,Inputs!$A$87:$A$96,1))*INDEX(Inputs!$C$100:$C$107,MATCH(AA17,Inputs!$A$100:$A$107,0))*(1+INDEX(Inputs!$B$38:$B$44,MATCH(C17,Inputs!$A$38:$A$44,0))*INDEX(Inputs!$E$100:$E$107,MATCH(AA17,Inputs!$A$100:$A$107,0))),1)</x:f>
        <x:v>10.3</x:v>
      </x:c>
      <x:c r="M17" s="127" t="n">
        <x:f aca="0">ROUND(L17*H17*Inputs!$B$74,0)</x:f>
        <x:v>66</x:v>
      </x:c>
      <x:c r="N17" s="127" t="n">
        <x:f aca="0">ROUND(E17+K17*H17,0)</x:f>
        <x:v>2062</x:v>
      </x:c>
      <x:c r="O17" s="127" t="n">
        <x:f aca="0">MAX(1,ROUND(L17*H17-M17,0))</x:f>
        <x:v>758</x:v>
      </x:c>
      <x:c r="P17" s="127" t="n">
        <x:f aca="0">ROUND(E17+(N17-E17)*Inputs!$B$24,0)</x:f>
        <x:v>1696</x:v>
      </x:c>
      <x:c r="Q17" s="127" t="n">
        <x:f aca="0">ROUND(E17+(N17-E17)*Inputs!$B$23,0)</x:f>
        <x:v>1238</x:v>
      </x:c>
      <x:c r="R17" s="127" t="n">
        <x:f aca="0">ROUND(E17+(N17-E17)*Inputs!$B$22,0)</x:f>
        <x:v>688</x:v>
      </x:c>
      <x:c r="S17" s="127" t="n">
        <x:f aca="0">ROUND(O17*Inputs!$B$24,0)</x:f>
        <x:v>606</x:v>
      </x:c>
      <x:c r="T17" s="127" t="n">
        <x:f aca="0">ROUND(O17*Inputs!$B$23,0)</x:f>
        <x:v>417</x:v>
      </x:c>
      <x:c r="U17" s="127" t="n">
        <x:f>ROUND(O17*Inputs!$B$22,0)</x:f>
        <x:v>190</x:v>
      </x:c>
      <x:c r="V17" s="127" t="n">
        <x:f>N17-E17</x:f>
        <x:v>1832</x:v>
      </x:c>
      <x:c r="W17" s="128" t="n">
        <x:f>ROUND(V17/H17,1)</x:f>
        <x:v>22.9</x:v>
      </x:c>
      <x:c r="X17" s="128" t="n">
        <x:f>ROUND((M17+O17)/H17,1)</x:f>
        <x:v>10.3</x:v>
      </x:c>
      <x:c r="Y17" s="128" t="n">
        <x:f>V17</x:f>
        <x:v>1832</x:v>
      </x:c>
      <x:c r="Z17" s="128" t="n">
        <x:f>M17+O17</x:f>
        <x:v>824</x:v>
      </x:c>
      <x:c r="AA17" s="118" t="str">
        <x:v>Coin Specialist</x:v>
      </x:c>
      <x:c r="AB17" s="118" t="str">
        <x:v>20h rare coin specialist</x:v>
      </x:c>
      <x:c r="AC17" s="118" t="str">
        <x:f>IF(F17&lt;1,"Active",IF(F17&lt;12,"Balanced","Idle"))</x:f>
        <x:v>Idle</x:v>
      </x:c>
      <x:c r="AD17" s="118" t="str">
        <x:f>IF(F17&lt;1,"Fast Fish",IF(F17&gt;=24,"Overnight","-"))</x:f>
        <x:v>-</x:v>
      </x:c>
      <x:c r="AE17" s="118" t="str">
        <x:f>IF(W17&gt;(Inputs!$B$70+(D17-Inputs!$B$68)*(Inputs!$B$71-Inputs!$B$70)/(Inputs!$B$69-Inputs!$B$68))*1.30,"Above active frontier",IF(W17&lt;0,"Loss","OK"))</x:f>
        <x:v>OK</x:v>
      </x:c>
      <x:c r="AF17" s="118" t="str">
        <x:v>20-30 yr</x:v>
      </x:c>
      <x:c r="AG17" s="118" t="str">
        <x:v>2 yr</x:v>
      </x:c>
      <x:c r="AH17" s="118" t="str">
        <x:v>First rare unlock</x:v>
      </x:c>
    </x:row>
    <x:row r="18" ht="15" hidden="0" customHeight="1">
      <x:c r="A18" s="118" t="str">
        <x:v>CF-17</x:v>
      </x:c>
      <x:c r="B18" s="118" t="str">
        <x:v>Banggai Cardinalfish</x:v>
      </x:c>
      <x:c r="C18" s="118" t="str">
        <x:v>Rare</x:v>
      </x:c>
      <x:c r="D18" s="126" t="n">
        <x:v>24</x:v>
      </x:c>
      <x:c r="E18" s="127" t="n">
        <x:v>350</x:v>
      </x:c>
      <x:c r="F18" s="126" t="n">
        <x:v>48</x:v>
      </x:c>
      <x:c r="G18" s="118" t="str">
        <x:v>48 h (2 d)</x:v>
      </x:c>
      <x:c r="H18" s="128" t="n">
        <x:f aca="0">F18*Inputs!$B$19</x:f>
        <x:v>192</x:v>
      </x:c>
      <x:c r="I18" s="128" t="n">
        <x:f aca="0">F18*Inputs!$B$20</x:f>
        <x:v>96</x:v>
      </x:c>
      <x:c r="J18" s="128" t="n">
        <x:f aca="0">MIN(Inputs!$B$77,MAX(Inputs!$B$76,I18*Inputs!$B$75))</x:f>
        <x:v>24</x:v>
      </x:c>
      <x:c r="K18" s="128" t="n">
        <x:f aca="0">ROUND((Inputs!$B$70+(D18-Inputs!$B$68)*(Inputs!$B$71-Inputs!$B$70)/(Inputs!$B$69-Inputs!$B$68))*INDEX(Inputs!$C$87:$C$96,MATCH(F18,Inputs!$A$87:$A$96,1))*INDEX(Inputs!$B$100:$B$107,MATCH(AA18,Inputs!$A$100:$A$107,0))*(1+INDEX(Inputs!$B$38:$B$44,MATCH(C18,Inputs!$A$38:$A$44,0))*INDEX(Inputs!$D$100:$D$107,MATCH(AA18,Inputs!$A$100:$A$107,0))),1)</x:f>
        <x:v>21.9</x:v>
      </x:c>
      <x:c r="L18" s="128" t="n">
        <x:f aca="0">ROUND((Inputs!$B$72+(D18-Inputs!$B$68)*(Inputs!$B$73-Inputs!$B$72)/(Inputs!$B$69-Inputs!$B$68))*INDEX(Inputs!$D$87:$D$96,MATCH(F18,Inputs!$A$87:$A$96,1))*INDEX(Inputs!$C$100:$C$107,MATCH(AA18,Inputs!$A$100:$A$107,0))*(1+INDEX(Inputs!$B$38:$B$44,MATCH(C18,Inputs!$A$38:$A$44,0))*INDEX(Inputs!$E$100:$E$107,MATCH(AA18,Inputs!$A$100:$A$107,0))),1)</x:f>
        <x:v>9.2</x:v>
      </x:c>
      <x:c r="M18" s="127" t="n">
        <x:f aca="0">ROUND(L18*H18*Inputs!$B$74,0)</x:f>
        <x:v>141</x:v>
      </x:c>
      <x:c r="N18" s="127" t="n">
        <x:f aca="0">ROUND(E18+K18*H18,0)</x:f>
        <x:v>4555</x:v>
      </x:c>
      <x:c r="O18" s="127" t="n">
        <x:f aca="0">MAX(1,ROUND(L18*H18-M18,0))</x:f>
        <x:v>1625</x:v>
      </x:c>
      <x:c r="P18" s="127" t="n">
        <x:f aca="0">ROUND(E18+(N18-E18)*Inputs!$B$24,0)</x:f>
        <x:v>3714</x:v>
      </x:c>
      <x:c r="Q18" s="127" t="n">
        <x:f aca="0">ROUND(E18+(N18-E18)*Inputs!$B$23,0)</x:f>
        <x:v>2663</x:v>
      </x:c>
      <x:c r="R18" s="127" t="n">
        <x:f aca="0">ROUND(E18+(N18-E18)*Inputs!$B$22,0)</x:f>
        <x:v>1401</x:v>
      </x:c>
      <x:c r="S18" s="127" t="n">
        <x:f aca="0">ROUND(O18*Inputs!$B$24,0)</x:f>
        <x:v>1300</x:v>
      </x:c>
      <x:c r="T18" s="127" t="n">
        <x:f aca="0">ROUND(O18*Inputs!$B$23,0)</x:f>
        <x:v>894</x:v>
      </x:c>
      <x:c r="U18" s="127" t="n">
        <x:f>ROUND(O18*Inputs!$B$22,0)</x:f>
        <x:v>406</x:v>
      </x:c>
      <x:c r="V18" s="127" t="n">
        <x:f>N18-E18</x:f>
        <x:v>4205</x:v>
      </x:c>
      <x:c r="W18" s="128" t="n">
        <x:f>ROUND(V18/H18,1)</x:f>
        <x:v>21.9</x:v>
      </x:c>
      <x:c r="X18" s="128" t="n">
        <x:f>ROUND((M18+O18)/H18,1)</x:f>
        <x:v>9.2</x:v>
      </x:c>
      <x:c r="Y18" s="128" t="n">
        <x:f>V18</x:f>
        <x:v>4205</x:v>
      </x:c>
      <x:c r="Z18" s="128" t="n">
        <x:f>M18+O18</x:f>
        <x:v>1766</x:v>
      </x:c>
      <x:c r="AA18" s="118" t="str">
        <x:v>Collection</x:v>
      </x:c>
      <x:c r="AB18" s="118" t="str">
        <x:v>rare cardinal chapter / breeder fantasy</x:v>
      </x:c>
      <x:c r="AC18" s="118" t="str">
        <x:f>IF(F18&lt;1,"Active",IF(F18&lt;12,"Balanced","Idle"))</x:f>
        <x:v>Idle</x:v>
      </x:c>
      <x:c r="AD18" s="118" t="str">
        <x:f>IF(F18&lt;1,"Fast Fish",IF(F18&gt;=24,"Overnight","-"))</x:f>
        <x:v>Overnight</x:v>
      </x:c>
      <x:c r="AE18" s="118" t="str">
        <x:f>IF(W18&gt;(Inputs!$B$70+(D18-Inputs!$B$68)*(Inputs!$B$71-Inputs!$B$70)/(Inputs!$B$69-Inputs!$B$68))*1.30,"Above active frontier",IF(W18&lt;0,"Loss","OK"))</x:f>
        <x:v>OK</x:v>
      </x:c>
      <x:c r="AF18" s="118" t="str">
        <x:v>4-5 yr</x:v>
      </x:c>
      <x:c r="AG18" s="118" t="str">
        <x:v>9 mo</x:v>
      </x:c>
      <x:c r="AH18" s="118" t="str"/>
    </x:row>
    <x:row r="19" ht="26.399999618530273" hidden="0" customHeight="1">
      <x:c r="A19" s="118" t="str">
        <x:v>CF-18</x:v>
      </x:c>
      <x:c r="B19" s="118" t="str">
        <x:v>Coral Beauty</x:v>
      </x:c>
      <x:c r="C19" s="118" t="str">
        <x:v>Rare</x:v>
      </x:c>
      <x:c r="D19" s="126" t="n">
        <x:v>26</x:v>
      </x:c>
      <x:c r="E19" s="127" t="n">
        <x:v>75</x:v>
      </x:c>
      <x:c r="F19" s="126" t="n">
        <x:v>0.5</x:v>
      </x:c>
      <x:c r="G19" s="118" t="str">
        <x:v>30 min</x:v>
      </x:c>
      <x:c r="H19" s="128" t="n">
        <x:f aca="0">F19*Inputs!$B$19</x:f>
        <x:v>2</x:v>
      </x:c>
      <x:c r="I19" s="128" t="n">
        <x:f aca="0">F19*Inputs!$B$20</x:f>
        <x:v>1</x:v>
      </x:c>
      <x:c r="J19" s="128" t="n">
        <x:f aca="0">MIN(Inputs!$B$77,MAX(Inputs!$B$76,I19*Inputs!$B$75))</x:f>
        <x:v>0.5</x:v>
      </x:c>
      <x:c r="K19" s="128" t="n">
        <x:f aca="0">ROUND((Inputs!$B$70+(D19-Inputs!$B$68)*(Inputs!$B$71-Inputs!$B$70)/(Inputs!$B$69-Inputs!$B$68))*INDEX(Inputs!$C$87:$C$96,MATCH(F19,Inputs!$A$87:$A$96,1))*INDEX(Inputs!$B$100:$B$107,MATCH(AA19,Inputs!$A$100:$A$107,0))*(1+INDEX(Inputs!$B$38:$B$44,MATCH(C19,Inputs!$A$38:$A$44,0))*INDEX(Inputs!$D$100:$D$107,MATCH(AA19,Inputs!$A$100:$A$107,0))),1)</x:f>
        <x:v>143.5</x:v>
      </x:c>
      <x:c r="L19" s="128" t="n">
        <x:f aca="0">ROUND((Inputs!$B$72+(D19-Inputs!$B$68)*(Inputs!$B$73-Inputs!$B$72)/(Inputs!$B$69-Inputs!$B$68))*INDEX(Inputs!$D$87:$D$96,MATCH(F19,Inputs!$A$87:$A$96,1))*INDEX(Inputs!$C$100:$C$107,MATCH(AA19,Inputs!$A$100:$A$107,0))*(1+INDEX(Inputs!$B$38:$B$44,MATCH(C19,Inputs!$A$38:$A$44,0))*INDEX(Inputs!$E$100:$E$107,MATCH(AA19,Inputs!$A$100:$A$107,0))),1)</x:f>
        <x:v>42</x:v>
      </x:c>
      <x:c r="M19" s="127" t="n">
        <x:f aca="0">ROUND(L19*H19*Inputs!$B$74,0)</x:f>
        <x:v>7</x:v>
      </x:c>
      <x:c r="N19" s="127" t="n">
        <x:f aca="0">ROUND(E19+K19*H19,0)</x:f>
        <x:v>362</x:v>
      </x:c>
      <x:c r="O19" s="127" t="n">
        <x:f aca="0">MAX(1,ROUND(L19*H19-M19,0))</x:f>
        <x:v>77</x:v>
      </x:c>
      <x:c r="P19" s="127" t="n">
        <x:f aca="0">ROUND(E19+(N19-E19)*Inputs!$B$24,0)</x:f>
        <x:v>305</x:v>
      </x:c>
      <x:c r="Q19" s="127" t="n">
        <x:f aca="0">ROUND(E19+(N19-E19)*Inputs!$B$23,0)</x:f>
        <x:v>233</x:v>
      </x:c>
      <x:c r="R19" s="127" t="n">
        <x:f aca="0">ROUND(E19+(N19-E19)*Inputs!$B$22,0)</x:f>
        <x:v>147</x:v>
      </x:c>
      <x:c r="S19" s="127" t="n">
        <x:f aca="0">ROUND(O19*Inputs!$B$24,0)</x:f>
        <x:v>62</x:v>
      </x:c>
      <x:c r="T19" s="127" t="n">
        <x:f aca="0">ROUND(O19*Inputs!$B$23,0)</x:f>
        <x:v>42</x:v>
      </x:c>
      <x:c r="U19" s="127" t="n">
        <x:f>ROUND(O19*Inputs!$B$22,0)</x:f>
        <x:v>19</x:v>
      </x:c>
      <x:c r="V19" s="127" t="n">
        <x:f>N19-E19</x:f>
        <x:v>287</x:v>
      </x:c>
      <x:c r="W19" s="128" t="n">
        <x:f>ROUND(V19/H19,1)</x:f>
        <x:v>143.5</x:v>
      </x:c>
      <x:c r="X19" s="128" t="n">
        <x:f>ROUND((M19+O19)/H19,1)</x:f>
        <x:v>42</x:v>
      </x:c>
      <x:c r="Y19" s="128" t="n">
        <x:f>V19</x:f>
        <x:v>287</x:v>
      </x:c>
      <x:c r="Z19" s="128" t="n">
        <x:f>M19+O19</x:f>
        <x:v>84</x:v>
      </x:c>
      <x:c r="AA19" s="118" t="str">
        <x:v>Coin Specialist</x:v>
      </x:c>
      <x:c r="AB19" s="118" t="str">
        <x:v>30m rare coin specialist</x:v>
      </x:c>
      <x:c r="AC19" s="118" t="str">
        <x:f>IF(F19&lt;1,"Active",IF(F19&lt;12,"Balanced","Idle"))</x:f>
        <x:v>Active</x:v>
      </x:c>
      <x:c r="AD19" s="118" t="str">
        <x:f>IF(F19&lt;1,"Fast Fish",IF(F19&gt;=24,"Overnight","-"))</x:f>
        <x:v>Fast Fish</x:v>
      </x:c>
      <x:c r="AE19" s="118" t="str">
        <x:f>IF(W19&gt;(Inputs!$B$70+(D19-Inputs!$B$68)*(Inputs!$B$71-Inputs!$B$70)/(Inputs!$B$69-Inputs!$B$68))*1.30,"Above active frontier",IF(W19&lt;0,"Loss","OK"))</x:f>
        <x:v>OK</x:v>
      </x:c>
      <x:c r="AF19" s="118" t="str">
        <x:v>10-15 yr</x:v>
      </x:c>
      <x:c r="AG19" s="118" t="str">
        <x:v>1.5 yr</x:v>
      </x:c>
      <x:c r="AH19" s="118" t="str">
        <x:v>Fast rare | Rebalanced: target-rate role prevents one-fish dominance.</x:v>
      </x:c>
    </x:row>
    <x:row r="20" ht="15" hidden="0" customHeight="1">
      <x:c r="A20" s="118" t="str">
        <x:v>CF-19</x:v>
      </x:c>
      <x:c r="B20" s="118" t="str">
        <x:v>Flame Angelfish</x:v>
      </x:c>
      <x:c r="C20" s="118" t="str">
        <x:v>Rare</x:v>
      </x:c>
      <x:c r="D20" s="126" t="n">
        <x:v>29</x:v>
      </x:c>
      <x:c r="E20" s="127" t="n">
        <x:v>210</x:v>
      </x:c>
      <x:c r="F20" s="126" t="n">
        <x:v>12</x:v>
      </x:c>
      <x:c r="G20" s="118" t="str">
        <x:v>12 h</x:v>
      </x:c>
      <x:c r="H20" s="128" t="n">
        <x:f aca="0">F20*Inputs!$B$19</x:f>
        <x:v>48</x:v>
      </x:c>
      <x:c r="I20" s="128" t="n">
        <x:f aca="0">F20*Inputs!$B$20</x:f>
        <x:v>24</x:v>
      </x:c>
      <x:c r="J20" s="128" t="n">
        <x:f aca="0">MIN(Inputs!$B$77,MAX(Inputs!$B$76,I20*Inputs!$B$75))</x:f>
        <x:v>6</x:v>
      </x:c>
      <x:c r="K20" s="128" t="n">
        <x:f aca="0">ROUND((Inputs!$B$70+(D20-Inputs!$B$68)*(Inputs!$B$71-Inputs!$B$70)/(Inputs!$B$69-Inputs!$B$68))*INDEX(Inputs!$C$87:$C$96,MATCH(F20,Inputs!$A$87:$A$96,1))*INDEX(Inputs!$B$100:$B$107,MATCH(AA20,Inputs!$A$100:$A$107,0))*(1+INDEX(Inputs!$B$38:$B$44,MATCH(C20,Inputs!$A$38:$A$44,0))*INDEX(Inputs!$D$100:$D$107,MATCH(AA20,Inputs!$A$100:$A$107,0))),1)</x:f>
        <x:v>25.8</x:v>
      </x:c>
      <x:c r="L20" s="128" t="n">
        <x:f aca="0">ROUND((Inputs!$B$72+(D20-Inputs!$B$68)*(Inputs!$B$73-Inputs!$B$72)/(Inputs!$B$69-Inputs!$B$68))*INDEX(Inputs!$D$87:$D$96,MATCH(F20,Inputs!$A$87:$A$96,1))*INDEX(Inputs!$C$100:$C$107,MATCH(AA20,Inputs!$A$100:$A$107,0))*(1+INDEX(Inputs!$B$38:$B$44,MATCH(C20,Inputs!$A$38:$A$44,0))*INDEX(Inputs!$E$100:$E$107,MATCH(AA20,Inputs!$A$100:$A$107,0))),1)</x:f>
        <x:v>11.4</x:v>
      </x:c>
      <x:c r="M20" s="127" t="n">
        <x:f aca="0">ROUND(L20*H20*Inputs!$B$74,0)</x:f>
        <x:v>44</x:v>
      </x:c>
      <x:c r="N20" s="127" t="n">
        <x:f aca="0">ROUND(E20+K20*H20,0)</x:f>
        <x:v>1448</x:v>
      </x:c>
      <x:c r="O20" s="127" t="n">
        <x:f aca="0">MAX(1,ROUND(L20*H20-M20,0))</x:f>
        <x:v>503</x:v>
      </x:c>
      <x:c r="P20" s="127" t="n">
        <x:f aca="0">ROUND(E20+(N20-E20)*Inputs!$B$24,0)</x:f>
        <x:v>1200</x:v>
      </x:c>
      <x:c r="Q20" s="127" t="n">
        <x:f aca="0">ROUND(E20+(N20-E20)*Inputs!$B$23,0)</x:f>
        <x:v>891</x:v>
      </x:c>
      <x:c r="R20" s="127" t="n">
        <x:f aca="0">ROUND(E20+(N20-E20)*Inputs!$B$22,0)</x:f>
        <x:v>520</x:v>
      </x:c>
      <x:c r="S20" s="127" t="n">
        <x:f aca="0">ROUND(O20*Inputs!$B$24,0)</x:f>
        <x:v>402</x:v>
      </x:c>
      <x:c r="T20" s="127" t="n">
        <x:f aca="0">ROUND(O20*Inputs!$B$23,0)</x:f>
        <x:v>277</x:v>
      </x:c>
      <x:c r="U20" s="127" t="n">
        <x:f>ROUND(O20*Inputs!$B$22,0)</x:f>
        <x:v>126</x:v>
      </x:c>
      <x:c r="V20" s="127" t="n">
        <x:f>N20-E20</x:f>
        <x:v>1238</x:v>
      </x:c>
      <x:c r="W20" s="128" t="n">
        <x:f>ROUND(V20/H20,1)</x:f>
        <x:v>25.8</x:v>
      </x:c>
      <x:c r="X20" s="128" t="n">
        <x:f>ROUND((M20+O20)/H20,1)</x:f>
        <x:v>11.4</x:v>
      </x:c>
      <x:c r="Y20" s="128" t="n">
        <x:f>V20</x:f>
        <x:v>1238</x:v>
      </x:c>
      <x:c r="Z20" s="128" t="n">
        <x:f>M20+O20</x:f>
        <x:v>547</x:v>
      </x:c>
      <x:c r="AA20" s="118" t="str">
        <x:v>Coin Specialist</x:v>
      </x:c>
      <x:c r="AB20" s="118" t="str">
        <x:v>12h coin specialist</x:v>
      </x:c>
      <x:c r="AC20" s="118" t="str">
        <x:f>IF(F20&lt;1,"Active",IF(F20&lt;12,"Balanced","Idle"))</x:f>
        <x:v>Idle</x:v>
      </x:c>
      <x:c r="AD20" s="118" t="str">
        <x:f>IF(F20&lt;1,"Fast Fish",IF(F20&gt;=24,"Overnight","-"))</x:f>
        <x:v>-</x:v>
      </x:c>
      <x:c r="AE20" s="118" t="str">
        <x:f>IF(W20&gt;(Inputs!$B$70+(D20-Inputs!$B$68)*(Inputs!$B$71-Inputs!$B$70)/(Inputs!$B$69-Inputs!$B$68))*1.30,"Above active frontier",IF(W20&lt;0,"Loss","OK"))</x:f>
        <x:v>OK</x:v>
      </x:c>
      <x:c r="AF20" s="118" t="str">
        <x:v>5-7 yr</x:v>
      </x:c>
      <x:c r="AG20" s="118" t="str">
        <x:v>1.5 yr</x:v>
      </x:c>
      <x:c r="AH20" s="118" t="str"/>
    </x:row>
    <x:row r="21" ht="26.399999618530273" hidden="0" customHeight="1">
      <x:c r="A21" s="118" t="str">
        <x:v>CF-20</x:v>
      </x:c>
      <x:c r="B21" s="118" t="str">
        <x:v>Longhorn Cowfish</x:v>
      </x:c>
      <x:c r="C21" s="118" t="str">
        <x:v>Rare</x:v>
      </x:c>
      <x:c r="D21" s="126" t="n">
        <x:v>30</x:v>
      </x:c>
      <x:c r="E21" s="127" t="n">
        <x:v>300</x:v>
      </x:c>
      <x:c r="F21" s="126" t="n">
        <x:v>24</x:v>
      </x:c>
      <x:c r="G21" s="118" t="str">
        <x:v>24 h (1 d)</x:v>
      </x:c>
      <x:c r="H21" s="128" t="n">
        <x:f aca="0">F21*Inputs!$B$19</x:f>
        <x:v>96</x:v>
      </x:c>
      <x:c r="I21" s="128" t="n">
        <x:f aca="0">F21*Inputs!$B$20</x:f>
        <x:v>48</x:v>
      </x:c>
      <x:c r="J21" s="128" t="n">
        <x:f aca="0">MIN(Inputs!$B$77,MAX(Inputs!$B$76,I21*Inputs!$B$75))</x:f>
        <x:v>12</x:v>
      </x:c>
      <x:c r="K21" s="128" t="n">
        <x:f aca="0">ROUND((Inputs!$B$70+(D21-Inputs!$B$68)*(Inputs!$B$71-Inputs!$B$70)/(Inputs!$B$69-Inputs!$B$68))*INDEX(Inputs!$C$87:$C$96,MATCH(F21,Inputs!$A$87:$A$96,1))*INDEX(Inputs!$B$100:$B$107,MATCH(AA21,Inputs!$A$100:$A$107,0))*(1+INDEX(Inputs!$B$38:$B$44,MATCH(C21,Inputs!$A$38:$A$44,0))*INDEX(Inputs!$D$100:$D$107,MATCH(AA21,Inputs!$A$100:$A$107,0))),1)</x:f>
        <x:v>17.8</x:v>
      </x:c>
      <x:c r="L21" s="128" t="n">
        <x:f aca="0">ROUND((Inputs!$B$72+(D21-Inputs!$B$68)*(Inputs!$B$73-Inputs!$B$72)/(Inputs!$B$69-Inputs!$B$68))*INDEX(Inputs!$D$87:$D$96,MATCH(F21,Inputs!$A$87:$A$96,1))*INDEX(Inputs!$C$100:$C$107,MATCH(AA21,Inputs!$A$100:$A$107,0))*(1+INDEX(Inputs!$B$38:$B$44,MATCH(C21,Inputs!$A$38:$A$44,0))*INDEX(Inputs!$E$100:$E$107,MATCH(AA21,Inputs!$A$100:$A$107,0))),1)</x:f>
        <x:v>15.2</x:v>
      </x:c>
      <x:c r="M21" s="127" t="n">
        <x:f aca="0">ROUND(L21*H21*Inputs!$B$74,0)</x:f>
        <x:v>117</x:v>
      </x:c>
      <x:c r="N21" s="127" t="n">
        <x:f aca="0">ROUND(E21+K21*H21,0)</x:f>
        <x:v>2009</x:v>
      </x:c>
      <x:c r="O21" s="127" t="n">
        <x:f aca="0">MAX(1,ROUND(L21*H21-M21,0))</x:f>
        <x:v>1342</x:v>
      </x:c>
      <x:c r="P21" s="127" t="n">
        <x:f aca="0">ROUND(E21+(N21-E21)*Inputs!$B$24,0)</x:f>
        <x:v>1667</x:v>
      </x:c>
      <x:c r="Q21" s="127" t="n">
        <x:f aca="0">ROUND(E21+(N21-E21)*Inputs!$B$23,0)</x:f>
        <x:v>1240</x:v>
      </x:c>
      <x:c r="R21" s="127" t="n">
        <x:f aca="0">ROUND(E21+(N21-E21)*Inputs!$B$22,0)</x:f>
        <x:v>727</x:v>
      </x:c>
      <x:c r="S21" s="127" t="n">
        <x:f aca="0">ROUND(O21*Inputs!$B$24,0)</x:f>
        <x:v>1074</x:v>
      </x:c>
      <x:c r="T21" s="127" t="n">
        <x:f aca="0">ROUND(O21*Inputs!$B$23,0)</x:f>
        <x:v>738</x:v>
      </x:c>
      <x:c r="U21" s="127" t="n">
        <x:f>ROUND(O21*Inputs!$B$22,0)</x:f>
        <x:v>336</x:v>
      </x:c>
      <x:c r="V21" s="127" t="n">
        <x:f>N21-E21</x:f>
        <x:v>1709</x:v>
      </x:c>
      <x:c r="W21" s="128" t="n">
        <x:f>ROUND(V21/H21,1)</x:f>
        <x:v>17.8</x:v>
      </x:c>
      <x:c r="X21" s="128" t="n">
        <x:f>ROUND((M21+O21)/H21,1)</x:f>
        <x:v>15.2</x:v>
      </x:c>
      <x:c r="Y21" s="128" t="n">
        <x:f>V21</x:f>
        <x:v>1709</x:v>
      </x:c>
      <x:c r="Z21" s="128" t="n">
        <x:f>M21+O21</x:f>
        <x:v>1459</x:v>
      </x:c>
      <x:c r="AA21" s="118" t="str">
        <x:v>XP Specialist</x:v>
      </x:c>
      <x:c r="AB21" s="118" t="str">
        <x:v>24h idle XP specialist</x:v>
      </x:c>
      <x:c r="AC21" s="118" t="str">
        <x:f>IF(F21&lt;1,"Active",IF(F21&lt;12,"Balanced","Idle"))</x:f>
        <x:v>Idle</x:v>
      </x:c>
      <x:c r="AD21" s="118" t="str">
        <x:f>IF(F21&lt;1,"Fast Fish",IF(F21&gt;=24,"Overnight","-"))</x:f>
        <x:v>Overnight</x:v>
      </x:c>
      <x:c r="AE21" s="118" t="str">
        <x:f>IF(W21&gt;(Inputs!$B$70+(D21-Inputs!$B$68)*(Inputs!$B$71-Inputs!$B$70)/(Inputs!$B$69-Inputs!$B$68))*1.30,"Above active frontier",IF(W21&lt;0,"Loss","OK"))</x:f>
        <x:v>OK</x:v>
      </x:c>
      <x:c r="AF21" s="118" t="str">
        <x:v>8 yr</x:v>
      </x:c>
      <x:c r="AG21" s="118" t="str">
        <x:v>2 yr</x:v>
      </x:c>
      <x:c r="AH21" s="118" t="str">
        <x:v>FishVille classic (24h, 9x XP) | Rebalanced: target-rate role prevents one-fish dominance.</x:v>
      </x:c>
    </x:row>
    <x:row r="22" ht="26.399999618530273" hidden="0" customHeight="1">
      <x:c r="A22" s="118" t="str">
        <x:v>CF-21</x:v>
      </x:c>
      <x:c r="B22" s="118" t="str">
        <x:v>Foxface Rabbitfish</x:v>
      </x:c>
      <x:c r="C22" s="118" t="str">
        <x:v>Rare</x:v>
      </x:c>
      <x:c r="D22" s="126" t="n">
        <x:v>32</x:v>
      </x:c>
      <x:c r="E22" s="127" t="n">
        <x:v>85</x:v>
      </x:c>
      <x:c r="F22" s="126" t="n">
        <x:v>0.083</x:v>
      </x:c>
      <x:c r="G22" s="118" t="str">
        <x:v>5 min</x:v>
      </x:c>
      <x:c r="H22" s="128" t="n">
        <x:f aca="0">F22*Inputs!$B$19</x:f>
        <x:v>0.332</x:v>
      </x:c>
      <x:c r="I22" s="128" t="n">
        <x:f aca="0">F22*Inputs!$B$20</x:f>
        <x:v>0.166</x:v>
      </x:c>
      <x:c r="J22" s="128" t="n">
        <x:f aca="0">MIN(Inputs!$B$77,MAX(Inputs!$B$76,I22*Inputs!$B$75))</x:f>
        <x:v>0.5</x:v>
      </x:c>
      <x:c r="K22" s="128" t="n">
        <x:f aca="0">ROUND((Inputs!$B$70+(D22-Inputs!$B$68)*(Inputs!$B$71-Inputs!$B$70)/(Inputs!$B$69-Inputs!$B$68))*INDEX(Inputs!$C$87:$C$96,MATCH(F22,Inputs!$A$87:$A$96,1))*INDEX(Inputs!$B$100:$B$107,MATCH(AA22,Inputs!$A$100:$A$107,0))*(1+INDEX(Inputs!$B$38:$B$44,MATCH(C22,Inputs!$A$38:$A$44,0))*INDEX(Inputs!$D$100:$D$107,MATCH(AA22,Inputs!$A$100:$A$107,0))),1)</x:f>
        <x:v>416.7</x:v>
      </x:c>
      <x:c r="L22" s="128" t="n">
        <x:f aca="0">ROUND((Inputs!$B$72+(D22-Inputs!$B$68)*(Inputs!$B$73-Inputs!$B$72)/(Inputs!$B$69-Inputs!$B$68))*INDEX(Inputs!$D$87:$D$96,MATCH(F22,Inputs!$A$87:$A$96,1))*INDEX(Inputs!$C$100:$C$107,MATCH(AA22,Inputs!$A$100:$A$107,0))*(1+INDEX(Inputs!$B$38:$B$44,MATCH(C22,Inputs!$A$38:$A$44,0))*INDEX(Inputs!$E$100:$E$107,MATCH(AA22,Inputs!$A$100:$A$107,0))),1)</x:f>
        <x:v>91.1</x:v>
      </x:c>
      <x:c r="M22" s="127" t="n">
        <x:f aca="0">ROUND(L22*H22*Inputs!$B$74,0)</x:f>
        <x:v>2</x:v>
      </x:c>
      <x:c r="N22" s="127" t="n">
        <x:f aca="0">ROUND(E22+K22*H22,0)</x:f>
        <x:v>223</x:v>
      </x:c>
      <x:c r="O22" s="127" t="n">
        <x:f aca="0">MAX(1,ROUND(L22*H22-M22,0))</x:f>
        <x:v>28</x:v>
      </x:c>
      <x:c r="P22" s="127" t="n">
        <x:f aca="0">ROUND(E22+(N22-E22)*Inputs!$B$24,0)</x:f>
        <x:v>195</x:v>
      </x:c>
      <x:c r="Q22" s="127" t="n">
        <x:f aca="0">ROUND(E22+(N22-E22)*Inputs!$B$23,0)</x:f>
        <x:v>161</x:v>
      </x:c>
      <x:c r="R22" s="127" t="n">
        <x:f aca="0">ROUND(E22+(N22-E22)*Inputs!$B$22,0)</x:f>
        <x:v>120</x:v>
      </x:c>
      <x:c r="S22" s="127" t="n">
        <x:f aca="0">ROUND(O22*Inputs!$B$24,0)</x:f>
        <x:v>22</x:v>
      </x:c>
      <x:c r="T22" s="127" t="n">
        <x:f aca="0">ROUND(O22*Inputs!$B$23,0)</x:f>
        <x:v>15</x:v>
      </x:c>
      <x:c r="U22" s="127" t="n">
        <x:f>ROUND(O22*Inputs!$B$22,0)</x:f>
        <x:v>7</x:v>
      </x:c>
      <x:c r="V22" s="127" t="n">
        <x:f>N22-E22</x:f>
        <x:v>138</x:v>
      </x:c>
      <x:c r="W22" s="128" t="n">
        <x:f>ROUND(V22/H22,1)</x:f>
        <x:v>415.7</x:v>
      </x:c>
      <x:c r="X22" s="128" t="n">
        <x:f>ROUND((M22+O22)/H22,1)</x:f>
        <x:v>90.4</x:v>
      </x:c>
      <x:c r="Y22" s="128" t="n">
        <x:f>V22</x:f>
        <x:v>138</x:v>
      </x:c>
      <x:c r="Z22" s="128" t="n">
        <x:f>M22+O22</x:f>
        <x:v>30</x:v>
      </x:c>
      <x:c r="AA22" s="118" t="str">
        <x:v>Coin Specialist</x:v>
      </x:c>
      <x:c r="AB22" s="118" t="str">
        <x:v>late active coin specialist; not best XP</x:v>
      </x:c>
      <x:c r="AC22" s="118" t="str">
        <x:f>IF(F22&lt;1,"Active",IF(F22&lt;12,"Balanced","Idle"))</x:f>
        <x:v>Active</x:v>
      </x:c>
      <x:c r="AD22" s="118" t="str">
        <x:f>IF(F22&lt;1,"Fast Fish",IF(F22&gt;=24,"Overnight","-"))</x:f>
        <x:v>Fast Fish</x:v>
      </x:c>
      <x:c r="AE22" s="118" t="str">
        <x:f>IF(W22&gt;(Inputs!$B$70+(D22-Inputs!$B$68)*(Inputs!$B$71-Inputs!$B$70)/(Inputs!$B$69-Inputs!$B$68))*1.30,"Above active frontier",IF(W22&lt;0,"Loss","OK"))</x:f>
        <x:v>OK</x:v>
      </x:c>
      <x:c r="AF22" s="118" t="str">
        <x:v>12 yr</x:v>
      </x:c>
      <x:c r="AG22" s="118" t="str">
        <x:v>2 yr</x:v>
      </x:c>
      <x:c r="AH22" s="118" t="str">
        <x:v>Fast rare - grinder favorite | Rebalanced: target-rate role prevents one-fish dominance.</x:v>
      </x:c>
    </x:row>
    <x:row r="23" ht="15" hidden="0" customHeight="1">
      <x:c r="A23" s="118" t="str">
        <x:v>CF-22</x:v>
      </x:c>
      <x:c r="B23" s="118" t="str">
        <x:v>Picasso Triggerfish</x:v>
      </x:c>
      <x:c r="C23" s="118" t="str">
        <x:v>Rare</x:v>
      </x:c>
      <x:c r="D23" s="126" t="n">
        <x:v>33</x:v>
      </x:c>
      <x:c r="E23" s="127" t="n">
        <x:v>190</x:v>
      </x:c>
      <x:c r="F23" s="126" t="n">
        <x:v>6</x:v>
      </x:c>
      <x:c r="G23" s="118" t="str">
        <x:v>6 h</x:v>
      </x:c>
      <x:c r="H23" s="128" t="n">
        <x:f aca="0">F23*Inputs!$B$19</x:f>
        <x:v>24</x:v>
      </x:c>
      <x:c r="I23" s="128" t="n">
        <x:f aca="0">F23*Inputs!$B$20</x:f>
        <x:v>12</x:v>
      </x:c>
      <x:c r="J23" s="128" t="n">
        <x:f aca="0">MIN(Inputs!$B$77,MAX(Inputs!$B$76,I23*Inputs!$B$75))</x:f>
        <x:v>3</x:v>
      </x:c>
      <x:c r="K23" s="128" t="n">
        <x:f aca="0">ROUND((Inputs!$B$70+(D23-Inputs!$B$68)*(Inputs!$B$71-Inputs!$B$70)/(Inputs!$B$69-Inputs!$B$68))*INDEX(Inputs!$C$87:$C$96,MATCH(F23,Inputs!$A$87:$A$96,1))*INDEX(Inputs!$B$100:$B$107,MATCH(AA23,Inputs!$A$100:$A$107,0))*(1+INDEX(Inputs!$B$38:$B$44,MATCH(C23,Inputs!$A$38:$A$44,0))*INDEX(Inputs!$D$100:$D$107,MATCH(AA23,Inputs!$A$100:$A$107,0))),1)</x:f>
        <x:v>38.1</x:v>
      </x:c>
      <x:c r="L23" s="128" t="n">
        <x:f aca="0">ROUND((Inputs!$B$72+(D23-Inputs!$B$68)*(Inputs!$B$73-Inputs!$B$72)/(Inputs!$B$69-Inputs!$B$68))*INDEX(Inputs!$D$87:$D$96,MATCH(F23,Inputs!$A$87:$A$96,1))*INDEX(Inputs!$C$100:$C$107,MATCH(AA23,Inputs!$A$100:$A$107,0))*(1+INDEX(Inputs!$B$38:$B$44,MATCH(C23,Inputs!$A$38:$A$44,0))*INDEX(Inputs!$E$100:$E$107,MATCH(AA23,Inputs!$A$100:$A$107,0))),1)</x:f>
        <x:v>15.6</x:v>
      </x:c>
      <x:c r="M23" s="127" t="n">
        <x:f aca="0">ROUND(L23*H23*Inputs!$B$74,0)</x:f>
        <x:v>30</x:v>
      </x:c>
      <x:c r="N23" s="127" t="n">
        <x:f aca="0">ROUND(E23+K23*H23,0)</x:f>
        <x:v>1104</x:v>
      </x:c>
      <x:c r="O23" s="127" t="n">
        <x:f aca="0">MAX(1,ROUND(L23*H23-M23,0))</x:f>
        <x:v>344</x:v>
      </x:c>
      <x:c r="P23" s="127" t="n">
        <x:f aca="0">ROUND(E23+(N23-E23)*Inputs!$B$24,0)</x:f>
        <x:v>921</x:v>
      </x:c>
      <x:c r="Q23" s="127" t="n">
        <x:f aca="0">ROUND(E23+(N23-E23)*Inputs!$B$23,0)</x:f>
        <x:v>693</x:v>
      </x:c>
      <x:c r="R23" s="127" t="n">
        <x:f aca="0">ROUND(E23+(N23-E23)*Inputs!$B$22,0)</x:f>
        <x:v>419</x:v>
      </x:c>
      <x:c r="S23" s="127" t="n">
        <x:f aca="0">ROUND(O23*Inputs!$B$24,0)</x:f>
        <x:v>275</x:v>
      </x:c>
      <x:c r="T23" s="127" t="n">
        <x:f aca="0">ROUND(O23*Inputs!$B$23,0)</x:f>
        <x:v>189</x:v>
      </x:c>
      <x:c r="U23" s="127" t="n">
        <x:f>ROUND(O23*Inputs!$B$22,0)</x:f>
        <x:v>86</x:v>
      </x:c>
      <x:c r="V23" s="127" t="n">
        <x:f>N23-E23</x:f>
        <x:v>914</x:v>
      </x:c>
      <x:c r="W23" s="128" t="n">
        <x:f>ROUND(V23/H23,1)</x:f>
        <x:v>38.1</x:v>
      </x:c>
      <x:c r="X23" s="128" t="n">
        <x:f>ROUND((M23+O23)/H23,1)</x:f>
        <x:v>15.6</x:v>
      </x:c>
      <x:c r="Y23" s="128" t="n">
        <x:f>V23</x:f>
        <x:v>914</x:v>
      </x:c>
      <x:c r="Z23" s="128" t="n">
        <x:f>M23+O23</x:f>
        <x:v>374</x:v>
      </x:c>
      <x:c r="AA23" s="118" t="str">
        <x:v>Balanced</x:v>
      </x:c>
      <x:c r="AB23" s="118" t="str">
        <x:v>6h balanced rare with decor synergy</x:v>
      </x:c>
      <x:c r="AC23" s="118" t="str">
        <x:f>IF(F23&lt;1,"Active",IF(F23&lt;12,"Balanced","Idle"))</x:f>
        <x:v>Balanced</x:v>
      </x:c>
      <x:c r="AD23" s="118" t="str">
        <x:f>IF(F23&lt;1,"Fast Fish",IF(F23&gt;=24,"Overnight","-"))</x:f>
        <x:v>-</x:v>
      </x:c>
      <x:c r="AE23" s="118" t="str">
        <x:f>IF(W23&gt;(Inputs!$B$70+(D23-Inputs!$B$68)*(Inputs!$B$71-Inputs!$B$70)/(Inputs!$B$69-Inputs!$B$68))*1.30,"Above active frontier",IF(W23&lt;0,"Loss","OK"))</x:f>
        <x:v>OK</x:v>
      </x:c>
      <x:c r="AF23" s="118" t="str">
        <x:v>8-10 yr</x:v>
      </x:c>
      <x:c r="AG23" s="118" t="str">
        <x:v>2 yr</x:v>
      </x:c>
      <x:c r="AH23" s="118" t="str"/>
    </x:row>
    <x:row r="24" ht="15" hidden="0" customHeight="1">
      <x:c r="A24" s="118" t="str">
        <x:v>CF-23</x:v>
      </x:c>
      <x:c r="B24" s="118" t="str">
        <x:v>Discus</x:v>
      </x:c>
      <x:c r="C24" s="118" t="str">
        <x:v>Rare</x:v>
      </x:c>
      <x:c r="D24" s="126" t="n">
        <x:v>35</x:v>
      </x:c>
      <x:c r="E24" s="127" t="n">
        <x:v>390</x:v>
      </x:c>
      <x:c r="F24" s="126" t="n">
        <x:v>36</x:v>
      </x:c>
      <x:c r="G24" s="118" t="str">
        <x:v>36 h (1.5 d)</x:v>
      </x:c>
      <x:c r="H24" s="128" t="n">
        <x:f aca="0">F24*Inputs!$B$19</x:f>
        <x:v>144</x:v>
      </x:c>
      <x:c r="I24" s="128" t="n">
        <x:f aca="0">F24*Inputs!$B$20</x:f>
        <x:v>72</x:v>
      </x:c>
      <x:c r="J24" s="128" t="n">
        <x:f aca="0">MIN(Inputs!$B$77,MAX(Inputs!$B$76,I24*Inputs!$B$75))</x:f>
        <x:v>18</x:v>
      </x:c>
      <x:c r="K24" s="128" t="n">
        <x:f aca="0">ROUND((Inputs!$B$70+(D24-Inputs!$B$68)*(Inputs!$B$71-Inputs!$B$70)/(Inputs!$B$69-Inputs!$B$68))*INDEX(Inputs!$C$87:$C$96,MATCH(F24,Inputs!$A$87:$A$96,1))*INDEX(Inputs!$B$100:$B$107,MATCH(AA24,Inputs!$A$100:$A$107,0))*(1+INDEX(Inputs!$B$38:$B$44,MATCH(C24,Inputs!$A$38:$A$44,0))*INDEX(Inputs!$D$100:$D$107,MATCH(AA24,Inputs!$A$100:$A$107,0))),1)</x:f>
        <x:v>28</x:v>
      </x:c>
      <x:c r="L24" s="128" t="n">
        <x:f aca="0">ROUND((Inputs!$B$72+(D24-Inputs!$B$68)*(Inputs!$B$73-Inputs!$B$72)/(Inputs!$B$69-Inputs!$B$68))*INDEX(Inputs!$D$87:$D$96,MATCH(F24,Inputs!$A$87:$A$96,1))*INDEX(Inputs!$C$100:$C$107,MATCH(AA24,Inputs!$A$100:$A$107,0))*(1+INDEX(Inputs!$B$38:$B$44,MATCH(C24,Inputs!$A$38:$A$44,0))*INDEX(Inputs!$E$100:$E$107,MATCH(AA24,Inputs!$A$100:$A$107,0))),1)</x:f>
        <x:v>12.5</x:v>
      </x:c>
      <x:c r="M24" s="127" t="n">
        <x:f aca="0">ROUND(L24*H24*Inputs!$B$74,0)</x:f>
        <x:v>144</x:v>
      </x:c>
      <x:c r="N24" s="127" t="n">
        <x:f aca="0">ROUND(E24+K24*H24,0)</x:f>
        <x:v>4422</x:v>
      </x:c>
      <x:c r="O24" s="127" t="n">
        <x:f aca="0">MAX(1,ROUND(L24*H24-M24,0))</x:f>
        <x:v>1656</x:v>
      </x:c>
      <x:c r="P24" s="127" t="n">
        <x:f aca="0">ROUND(E24+(N24-E24)*Inputs!$B$24,0)</x:f>
        <x:v>3616</x:v>
      </x:c>
      <x:c r="Q24" s="127" t="n">
        <x:f aca="0">ROUND(E24+(N24-E24)*Inputs!$B$23,0)</x:f>
        <x:v>2608</x:v>
      </x:c>
      <x:c r="R24" s="127" t="n">
        <x:f aca="0">ROUND(E24+(N24-E24)*Inputs!$B$22,0)</x:f>
        <x:v>1398</x:v>
      </x:c>
      <x:c r="S24" s="127" t="n">
        <x:f aca="0">ROUND(O24*Inputs!$B$24,0)</x:f>
        <x:v>1325</x:v>
      </x:c>
      <x:c r="T24" s="127" t="n">
        <x:f aca="0">ROUND(O24*Inputs!$B$23,0)</x:f>
        <x:v>911</x:v>
      </x:c>
      <x:c r="U24" s="127" t="n">
        <x:f>ROUND(O24*Inputs!$B$22,0)</x:f>
        <x:v>414</x:v>
      </x:c>
      <x:c r="V24" s="127" t="n">
        <x:f>N24-E24</x:f>
        <x:v>4032</x:v>
      </x:c>
      <x:c r="W24" s="128" t="n">
        <x:f>ROUND(V24/H24,1)</x:f>
        <x:v>28</x:v>
      </x:c>
      <x:c r="X24" s="128" t="n">
        <x:f>ROUND((M24+O24)/H24,1)</x:f>
        <x:v>12.5</x:v>
      </x:c>
      <x:c r="Y24" s="128" t="n">
        <x:f>V24</x:f>
        <x:v>4032</x:v>
      </x:c>
      <x:c r="Z24" s="128" t="n">
        <x:f>M24+O24</x:f>
        <x:v>1800</x:v>
      </x:c>
      <x:c r="AA24" s="118" t="str">
        <x:v>Prestige</x:v>
      </x:c>
      <x:c r="AB24" s="118" t="str">
        <x:v>beauty / aquarium happiness anchor</x:v>
      </x:c>
      <x:c r="AC24" s="118" t="str">
        <x:f>IF(F24&lt;1,"Active",IF(F24&lt;12,"Balanced","Idle"))</x:f>
        <x:v>Idle</x:v>
      </x:c>
      <x:c r="AD24" s="118" t="str">
        <x:f>IF(F24&lt;1,"Fast Fish",IF(F24&gt;=24,"Overnight","-"))</x:f>
        <x:v>Overnight</x:v>
      </x:c>
      <x:c r="AE24" s="118" t="str">
        <x:f>IF(W24&gt;(Inputs!$B$70+(D24-Inputs!$B$68)*(Inputs!$B$71-Inputs!$B$70)/(Inputs!$B$69-Inputs!$B$68))*1.30,"Above active frontier",IF(W24&lt;0,"Loss","OK"))</x:f>
        <x:v>OK</x:v>
      </x:c>
      <x:c r="AF24" s="118" t="str">
        <x:v>10-15 yr</x:v>
      </x:c>
      <x:c r="AG24" s="118" t="str">
        <x:v>1.5 yr</x:v>
      </x:c>
      <x:c r="AH24" s="118" t="str"/>
    </x:row>
    <x:row r="25" ht="15" hidden="0" customHeight="1">
      <x:c r="A25" s="118" t="str">
        <x:v>CF-24</x:v>
      </x:c>
      <x:c r="B25" s="118" t="str">
        <x:v>Moorish Idol</x:v>
      </x:c>
      <x:c r="C25" s="118" t="str">
        <x:v>Epic</x:v>
      </x:c>
      <x:c r="D25" s="126" t="n">
        <x:v>36</x:v>
      </x:c>
      <x:c r="E25" s="127" t="n">
        <x:v>400</x:v>
      </x:c>
      <x:c r="F25" s="126" t="n">
        <x:v>16</x:v>
      </x:c>
      <x:c r="G25" s="118" t="str">
        <x:v>16 h</x:v>
      </x:c>
      <x:c r="H25" s="128" t="n">
        <x:f aca="0">F25*Inputs!$B$19</x:f>
        <x:v>64</x:v>
      </x:c>
      <x:c r="I25" s="128" t="n">
        <x:f aca="0">F25*Inputs!$B$20</x:f>
        <x:v>32</x:v>
      </x:c>
      <x:c r="J25" s="128" t="n">
        <x:f aca="0">MIN(Inputs!$B$77,MAX(Inputs!$B$76,I25*Inputs!$B$75))</x:f>
        <x:v>8</x:v>
      </x:c>
      <x:c r="K25" s="128" t="n">
        <x:f aca="0">ROUND((Inputs!$B$70+(D25-Inputs!$B$68)*(Inputs!$B$71-Inputs!$B$70)/(Inputs!$B$69-Inputs!$B$68))*INDEX(Inputs!$C$87:$C$96,MATCH(F25,Inputs!$A$87:$A$96,1))*INDEX(Inputs!$B$100:$B$107,MATCH(AA25,Inputs!$A$100:$A$107,0))*(1+INDEX(Inputs!$B$38:$B$44,MATCH(C25,Inputs!$A$38:$A$44,0))*INDEX(Inputs!$D$100:$D$107,MATCH(AA25,Inputs!$A$100:$A$107,0))),1)</x:f>
        <x:v>23.1</x:v>
      </x:c>
      <x:c r="L25" s="128" t="n">
        <x:f aca="0">ROUND((Inputs!$B$72+(D25-Inputs!$B$68)*(Inputs!$B$73-Inputs!$B$72)/(Inputs!$B$69-Inputs!$B$68))*INDEX(Inputs!$D$87:$D$96,MATCH(F25,Inputs!$A$87:$A$96,1))*INDEX(Inputs!$C$100:$C$107,MATCH(AA25,Inputs!$A$100:$A$107,0))*(1+INDEX(Inputs!$B$38:$B$44,MATCH(C25,Inputs!$A$38:$A$44,0))*INDEX(Inputs!$E$100:$E$107,MATCH(AA25,Inputs!$A$100:$A$107,0))),1)</x:f>
        <x:v>14.2</x:v>
      </x:c>
      <x:c r="M25" s="127" t="n">
        <x:f aca="0">ROUND(L25*H25*Inputs!$B$74,0)</x:f>
        <x:v>73</x:v>
      </x:c>
      <x:c r="N25" s="127" t="n">
        <x:f aca="0">ROUND(E25+K25*H25,0)</x:f>
        <x:v>1878</x:v>
      </x:c>
      <x:c r="O25" s="127" t="n">
        <x:f aca="0">MAX(1,ROUND(L25*H25-M25,0))</x:f>
        <x:v>836</x:v>
      </x:c>
      <x:c r="P25" s="127" t="n">
        <x:f aca="0">ROUND(E25+(N25-E25)*Inputs!$B$24,0)</x:f>
        <x:v>1582</x:v>
      </x:c>
      <x:c r="Q25" s="127" t="n">
        <x:f aca="0">ROUND(E25+(N25-E25)*Inputs!$B$23,0)</x:f>
        <x:v>1213</x:v>
      </x:c>
      <x:c r="R25" s="127" t="n">
        <x:f aca="0">ROUND(E25+(N25-E25)*Inputs!$B$22,0)</x:f>
        <x:v>770</x:v>
      </x:c>
      <x:c r="S25" s="127" t="n">
        <x:f aca="0">ROUND(O25*Inputs!$B$24,0)</x:f>
        <x:v>669</x:v>
      </x:c>
      <x:c r="T25" s="127" t="n">
        <x:f aca="0">ROUND(O25*Inputs!$B$23,0)</x:f>
        <x:v>460</x:v>
      </x:c>
      <x:c r="U25" s="127" t="n">
        <x:f>ROUND(O25*Inputs!$B$22,0)</x:f>
        <x:v>209</x:v>
      </x:c>
      <x:c r="V25" s="127" t="n">
        <x:f>N25-E25</x:f>
        <x:v>1478</x:v>
      </x:c>
      <x:c r="W25" s="128" t="n">
        <x:f>ROUND(V25/H25,1)</x:f>
        <x:v>23.1</x:v>
      </x:c>
      <x:c r="X25" s="128" t="n">
        <x:f>ROUND((M25+O25)/H25,1)</x:f>
        <x:v>14.2</x:v>
      </x:c>
      <x:c r="Y25" s="128" t="n">
        <x:f>V25</x:f>
        <x:v>1478</x:v>
      </x:c>
      <x:c r="Z25" s="128" t="n">
        <x:f>M25+O25</x:f>
        <x:v>909</x:v>
      </x:c>
      <x:c r="AA25" s="118" t="str">
        <x:v>Collection</x:v>
      </x:c>
      <x:c r="AB25" s="118" t="str">
        <x:v>epic reef collection gate</x:v>
      </x:c>
      <x:c r="AC25" s="118" t="str">
        <x:f>IF(F25&lt;1,"Active",IF(F25&lt;12,"Balanced","Idle"))</x:f>
        <x:v>Idle</x:v>
      </x:c>
      <x:c r="AD25" s="118" t="str">
        <x:f>IF(F25&lt;1,"Fast Fish",IF(F25&gt;=24,"Overnight","-"))</x:f>
        <x:v>-</x:v>
      </x:c>
      <x:c r="AE25" s="118" t="str">
        <x:f>IF(W25&gt;(Inputs!$B$70+(D25-Inputs!$B$68)*(Inputs!$B$71-Inputs!$B$70)/(Inputs!$B$69-Inputs!$B$68))*1.30,"Above active frontier",IF(W25&lt;0,"Loss","OK"))</x:f>
        <x:v>OK</x:v>
      </x:c>
      <x:c r="AF25" s="118" t="str">
        <x:v>10 yr</x:v>
      </x:c>
      <x:c r="AG25" s="118" t="str">
        <x:v>2 yr</x:v>
      </x:c>
      <x:c r="AH25" s="118" t="str">
        <x:v>First epic unlock</x:v>
      </x:c>
    </x:row>
    <x:row r="26" ht="26.399999618530273" hidden="0" customHeight="1">
      <x:c r="A26" s="118" t="str">
        <x:v>CF-25</x:v>
      </x:c>
      <x:c r="B26" s="118" t="str">
        <x:v>Blueline Triggerfish</x:v>
      </x:c>
      <x:c r="C26" s="118" t="str">
        <x:v>Rare</x:v>
      </x:c>
      <x:c r="D26" s="126" t="n">
        <x:v>38</x:v>
      </x:c>
      <x:c r="E26" s="127" t="n">
        <x:v>220</x:v>
      </x:c>
      <x:c r="F26" s="126" t="n">
        <x:v>5</x:v>
      </x:c>
      <x:c r="G26" s="118" t="str">
        <x:v>5 h</x:v>
      </x:c>
      <x:c r="H26" s="128" t="n">
        <x:f aca="0">F26*Inputs!$B$19</x:f>
        <x:v>20</x:v>
      </x:c>
      <x:c r="I26" s="128" t="n">
        <x:f aca="0">F26*Inputs!$B$20</x:f>
        <x:v>10</x:v>
      </x:c>
      <x:c r="J26" s="128" t="n">
        <x:f aca="0">MIN(Inputs!$B$77,MAX(Inputs!$B$76,I26*Inputs!$B$75))</x:f>
        <x:v>2.5</x:v>
      </x:c>
      <x:c r="K26" s="128" t="n">
        <x:f aca="0">ROUND((Inputs!$B$70+(D26-Inputs!$B$68)*(Inputs!$B$71-Inputs!$B$70)/(Inputs!$B$69-Inputs!$B$68))*INDEX(Inputs!$C$87:$C$96,MATCH(F26,Inputs!$A$87:$A$96,1))*INDEX(Inputs!$B$100:$B$107,MATCH(AA26,Inputs!$A$100:$A$107,0))*(1+INDEX(Inputs!$B$38:$B$44,MATCH(C26,Inputs!$A$38:$A$44,0))*INDEX(Inputs!$D$100:$D$107,MATCH(AA26,Inputs!$A$100:$A$107,0))),1)</x:f>
        <x:v>38.3</x:v>
      </x:c>
      <x:c r="L26" s="128" t="n">
        <x:f aca="0">ROUND((Inputs!$B$72+(D26-Inputs!$B$68)*(Inputs!$B$73-Inputs!$B$72)/(Inputs!$B$69-Inputs!$B$68))*INDEX(Inputs!$D$87:$D$96,MATCH(F26,Inputs!$A$87:$A$96,1))*INDEX(Inputs!$C$100:$C$107,MATCH(AA26,Inputs!$A$100:$A$107,0))*(1+INDEX(Inputs!$B$38:$B$44,MATCH(C26,Inputs!$A$38:$A$44,0))*INDEX(Inputs!$E$100:$E$107,MATCH(AA26,Inputs!$A$100:$A$107,0))),1)</x:f>
        <x:v>22.4</x:v>
      </x:c>
      <x:c r="M26" s="127" t="n">
        <x:f aca="0">ROUND(L26*H26*Inputs!$B$74,0)</x:f>
        <x:v>36</x:v>
      </x:c>
      <x:c r="N26" s="127" t="n">
        <x:f aca="0">ROUND(E26+K26*H26,0)</x:f>
        <x:v>986</x:v>
      </x:c>
      <x:c r="O26" s="127" t="n">
        <x:f aca="0">MAX(1,ROUND(L26*H26-M26,0))</x:f>
        <x:v>412</x:v>
      </x:c>
      <x:c r="P26" s="127" t="n">
        <x:f aca="0">ROUND(E26+(N26-E26)*Inputs!$B$24,0)</x:f>
        <x:v>833</x:v>
      </x:c>
      <x:c r="Q26" s="127" t="n">
        <x:f aca="0">ROUND(E26+(N26-E26)*Inputs!$B$23,0)</x:f>
        <x:v>641</x:v>
      </x:c>
      <x:c r="R26" s="127" t="n">
        <x:f aca="0">ROUND(E26+(N26-E26)*Inputs!$B$22,0)</x:f>
        <x:v>412</x:v>
      </x:c>
      <x:c r="S26" s="127" t="n">
        <x:f aca="0">ROUND(O26*Inputs!$B$24,0)</x:f>
        <x:v>330</x:v>
      </x:c>
      <x:c r="T26" s="127" t="n">
        <x:f aca="0">ROUND(O26*Inputs!$B$23,0)</x:f>
        <x:v>227</x:v>
      </x:c>
      <x:c r="U26" s="127" t="n">
        <x:f>ROUND(O26*Inputs!$B$22,0)</x:f>
        <x:v>103</x:v>
      </x:c>
      <x:c r="V26" s="127" t="n">
        <x:f>N26-E26</x:f>
        <x:v>766</x:v>
      </x:c>
      <x:c r="W26" s="128" t="n">
        <x:f>ROUND(V26/H26,1)</x:f>
        <x:v>38.3</x:v>
      </x:c>
      <x:c r="X26" s="128" t="n">
        <x:f>ROUND((M26+O26)/H26,1)</x:f>
        <x:v>22.4</x:v>
      </x:c>
      <x:c r="Y26" s="128" t="n">
        <x:f>V26</x:f>
        <x:v>766</x:v>
      </x:c>
      <x:c r="Z26" s="128" t="n">
        <x:f>M26+O26</x:f>
        <x:v>448</x:v>
      </x:c>
      <x:c r="AA26" s="118" t="str">
        <x:v>XP Specialist</x:v>
      </x:c>
      <x:c r="AB26" s="118" t="str">
        <x:v>5h XP-session FishVille classic</x:v>
      </x:c>
      <x:c r="AC26" s="118" t="str">
        <x:f>IF(F26&lt;1,"Active",IF(F26&lt;12,"Balanced","Idle"))</x:f>
        <x:v>Balanced</x:v>
      </x:c>
      <x:c r="AD26" s="118" t="str">
        <x:f>IF(F26&lt;1,"Fast Fish",IF(F26&gt;=24,"Overnight","-"))</x:f>
        <x:v>-</x:v>
      </x:c>
      <x:c r="AE26" s="118" t="str">
        <x:f>IF(W26&gt;(Inputs!$B$70+(D26-Inputs!$B$68)*(Inputs!$B$71-Inputs!$B$70)/(Inputs!$B$69-Inputs!$B$68))*1.30,"Above active frontier",IF(W26&lt;0,"Loss","OK"))</x:f>
        <x:v>OK</x:v>
      </x:c>
      <x:c r="AF26" s="118" t="str">
        <x:v>8-10 yr</x:v>
      </x:c>
      <x:c r="AG26" s="118" t="str">
        <x:v>2 yr</x:v>
      </x:c>
      <x:c r="AH26" s="118" t="str">
        <x:v>FishVille classic (5h) | Rebalanced: target-rate role prevents one-fish dominance.</x:v>
      </x:c>
    </x:row>
    <x:row r="27" ht="26.399999618530273" hidden="0" customHeight="1">
      <x:c r="A27" s="118" t="str">
        <x:v>CF-26</x:v>
      </x:c>
      <x:c r="B27" s="118" t="str">
        <x:v>Queen Angelfish</x:v>
      </x:c>
      <x:c r="C27" s="118" t="str">
        <x:v>Epic</x:v>
      </x:c>
      <x:c r="D27" s="126" t="n">
        <x:v>40</x:v>
      </x:c>
      <x:c r="E27" s="127" t="n">
        <x:v>700</x:v>
      </x:c>
      <x:c r="F27" s="126" t="n">
        <x:v>48</x:v>
      </x:c>
      <x:c r="G27" s="118" t="str">
        <x:v>48 h (2 d)</x:v>
      </x:c>
      <x:c r="H27" s="128" t="n">
        <x:f aca="0">F27*Inputs!$B$19</x:f>
        <x:v>192</x:v>
      </x:c>
      <x:c r="I27" s="128" t="n">
        <x:f aca="0">F27*Inputs!$B$20</x:f>
        <x:v>96</x:v>
      </x:c>
      <x:c r="J27" s="128" t="n">
        <x:f aca="0">MIN(Inputs!$B$77,MAX(Inputs!$B$76,I27*Inputs!$B$75))</x:f>
        <x:v>24</x:v>
      </x:c>
      <x:c r="K27" s="128" t="n">
        <x:f aca="0">ROUND((Inputs!$B$70+(D27-Inputs!$B$68)*(Inputs!$B$71-Inputs!$B$70)/(Inputs!$B$69-Inputs!$B$68))*INDEX(Inputs!$C$87:$C$96,MATCH(F27,Inputs!$A$87:$A$96,1))*INDEX(Inputs!$B$100:$B$107,MATCH(AA27,Inputs!$A$100:$A$107,0))*(1+INDEX(Inputs!$B$38:$B$44,MATCH(C27,Inputs!$A$38:$A$44,0))*INDEX(Inputs!$D$100:$D$107,MATCH(AA27,Inputs!$A$100:$A$107,0))),1)</x:f>
        <x:v>35.5</x:v>
      </x:c>
      <x:c r="L27" s="128" t="n">
        <x:f aca="0">ROUND((Inputs!$B$72+(D27-Inputs!$B$68)*(Inputs!$B$73-Inputs!$B$72)/(Inputs!$B$69-Inputs!$B$68))*INDEX(Inputs!$D$87:$D$96,MATCH(F27,Inputs!$A$87:$A$96,1))*INDEX(Inputs!$C$100:$C$107,MATCH(AA27,Inputs!$A$100:$A$107,0))*(1+INDEX(Inputs!$B$38:$B$44,MATCH(C27,Inputs!$A$38:$A$44,0))*INDEX(Inputs!$E$100:$E$107,MATCH(AA27,Inputs!$A$100:$A$107,0))),1)</x:f>
        <x:v>10.8</x:v>
      </x:c>
      <x:c r="M27" s="127" t="n">
        <x:f aca="0">ROUND(L27*H27*Inputs!$B$74,0)</x:f>
        <x:v>166</x:v>
      </x:c>
      <x:c r="N27" s="127" t="n">
        <x:f aca="0">ROUND(E27+K27*H27,0)</x:f>
        <x:v>7516</x:v>
      </x:c>
      <x:c r="O27" s="127" t="n">
        <x:f aca="0">MAX(1,ROUND(L27*H27-M27,0))</x:f>
        <x:v>1908</x:v>
      </x:c>
      <x:c r="P27" s="127" t="n">
        <x:f aca="0">ROUND(E27+(N27-E27)*Inputs!$B$24,0)</x:f>
        <x:v>6153</x:v>
      </x:c>
      <x:c r="Q27" s="127" t="n">
        <x:f aca="0">ROUND(E27+(N27-E27)*Inputs!$B$23,0)</x:f>
        <x:v>4449</x:v>
      </x:c>
      <x:c r="R27" s="127" t="n">
        <x:f aca="0">ROUND(E27+(N27-E27)*Inputs!$B$22,0)</x:f>
        <x:v>2404</x:v>
      </x:c>
      <x:c r="S27" s="127" t="n">
        <x:f aca="0">ROUND(O27*Inputs!$B$24,0)</x:f>
        <x:v>1526</x:v>
      </x:c>
      <x:c r="T27" s="127" t="n">
        <x:f aca="0">ROUND(O27*Inputs!$B$23,0)</x:f>
        <x:v>1049</x:v>
      </x:c>
      <x:c r="U27" s="127" t="n">
        <x:f>ROUND(O27*Inputs!$B$22,0)</x:f>
        <x:v>477</x:v>
      </x:c>
      <x:c r="V27" s="127" t="n">
        <x:f>N27-E27</x:f>
        <x:v>6816</x:v>
      </x:c>
      <x:c r="W27" s="128" t="n">
        <x:f>ROUND(V27/H27,1)</x:f>
        <x:v>35.5</x:v>
      </x:c>
      <x:c r="X27" s="128" t="n">
        <x:f>ROUND((M27+O27)/H27,1)</x:f>
        <x:v>10.8</x:v>
      </x:c>
      <x:c r="Y27" s="128" t="n">
        <x:f>V27</x:f>
        <x:v>6816</x:v>
      </x:c>
      <x:c r="Z27" s="128" t="n">
        <x:f>M27+O27</x:f>
        <x:v>2074</x:v>
      </x:c>
      <x:c r="AA27" s="118" t="str">
        <x:v>Payout</x:v>
      </x:c>
      <x:c r="AB27" s="118" t="str">
        <x:v>launch capstone lump payout</x:v>
      </x:c>
      <x:c r="AC27" s="118" t="str">
        <x:f>IF(F27&lt;1,"Active",IF(F27&lt;12,"Balanced","Idle"))</x:f>
        <x:v>Idle</x:v>
      </x:c>
      <x:c r="AD27" s="118" t="str">
        <x:f>IF(F27&lt;1,"Fast Fish",IF(F27&gt;=24,"Overnight","-"))</x:f>
        <x:v>Overnight</x:v>
      </x:c>
      <x:c r="AE27" s="118" t="str">
        <x:f>IF(W27&gt;(Inputs!$B$70+(D27-Inputs!$B$68)*(Inputs!$B$71-Inputs!$B$70)/(Inputs!$B$69-Inputs!$B$68))*1.30,"Above active frontier",IF(W27&lt;0,"Loss","OK"))</x:f>
        <x:v>OK</x:v>
      </x:c>
      <x:c r="AF27" s="118" t="str">
        <x:v>15-20 yr</x:v>
      </x:c>
      <x:c r="AG27" s="118" t="str">
        <x:v>3 yr</x:v>
      </x:c>
      <x:c r="AH27" s="118" t="str">
        <x:v>Launch capstone - Overnight Epic | Rebalanced: target-rate role prevents one-fish dominance.</x:v>
      </x:c>
    </x:row>
  </x:sheetData>
  <x:conditionalFormatting sqref="AE2:AE27">
    <x:cfRule type="expression" dxfId="2" priority="1">
      <x:formula>AE2="OK"</x:formula>
    </x:cfRule>
    <x:cfRule type="expression" dxfId="3" priority="2">
      <x:formula>AE2&lt;&gt;"OK"</x:formula>
    </x:cfRule>
  </x:conditionalFormatting>
  <x:dataValidations count="1">
    <x:dataValidation type="list" sqref="AA2:AA27">
      <x:formula1>Inputs!$A$100:$A$107</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1" workbookViewId="0"/>
  </x:sheetViews>
  <x:sheetFormatPr defaultColWidth="8.6796875" defaultRowHeight="15"/>
  <x:cols>
    <x:col min="1" max="1" width="9" hidden="0" customWidth="1"/>
    <x:col min="2" max="2" width="26" hidden="0" customWidth="1"/>
    <x:col min="3" max="3" width="10" hidden="0" customWidth="1"/>
    <x:col min="4" max="4" width="12" hidden="0" customWidth="1"/>
    <x:col min="5" max="5" width="12" hidden="0" customWidth="1"/>
    <x:col min="6" max="6" width="13" hidden="0" customWidth="1"/>
    <x:col min="7" max="8" width="9" hidden="0" customWidth="1"/>
    <x:col min="9" max="9" width="8" hidden="0" customWidth="1"/>
    <x:col min="10" max="10" width="11" hidden="0" customWidth="1"/>
    <x:col min="11" max="15" width="10" hidden="0" customWidth="1"/>
    <x:col min="16" max="16" width="9" hidden="0" customWidth="1"/>
    <x:col min="17" max="17" width="10" hidden="0" customWidth="1"/>
    <x:col min="18" max="18" width="42" hidden="0" customWidth="1"/>
    <x:col min="19" max="19" width="20" hidden="0" customWidth="1"/>
    <x:col min="20" max="20" width="11" hidden="0" customWidth="1"/>
    <x:col min="21" max="21" width="16" hidden="0" customWidth="1"/>
    <x:col min="22" max="22" width="12" hidden="0" customWidth="1"/>
    <x:col min="23" max="23" width="18" hidden="0" customWidth="1"/>
    <x:col min="24" max="24" width="38" hidden="0" customWidth="1"/>
    <x:col min="25" max="25" width="14" hidden="0" customWidth="1"/>
    <x:col min="26" max="26" width="14" hidden="0" customWidth="1"/>
    <x:col min="27" max="27" width="44" hidden="0" customWidth="1"/>
  </x:cols>
  <x:sheetData>
    <x:row r="1" ht="50.400001525878906" hidden="0" customHeight="1">
      <x:c r="A1" s="96" t="str">
        <x:v>ID</x:v>
      </x:c>
      <x:c r="B1" s="96" t="str">
        <x:v>Fish</x:v>
      </x:c>
      <x:c r="C1" s="96" t="str">
        <x:v>Unlock Lvl</x:v>
      </x:c>
      <x:c r="D1" s="96" t="str">
        <x:v>Buy (pearls)</x:v>
      </x:c>
      <x:c r="E1" s="96" t="str">
        <x:v>Stage Time (hrs)</x:v>
      </x:c>
      <x:c r="F1" s="96" t="str">
        <x:v>Stage Time</x:v>
      </x:c>
      <x:c r="G1" s="96" t="str">
        <x:v>Adult In (hrs)</x:v>
      </x:c>
      <x:c r="H1" s="96" t="str">
        <x:v>Feed Window (hrs)</x:v>
      </x:c>
      <x:c r="I1" s="96" t="str">
        <x:v>Sick Grace (hrs)</x:v>
      </x:c>
      <x:c r="J1" s="96" t="str">
        <x:v>Buy XP</x:v>
      </x:c>
      <x:c r="K1" s="96" t="str">
        <x:v>Adult Sell (coins)</x:v>
      </x:c>
      <x:c r="L1" s="96" t="str">
        <x:v>Adult Sell XP</x:v>
      </x:c>
      <x:c r="M1" s="96" t="str">
        <x:v>Mature Sell (coins)</x:v>
      </x:c>
      <x:c r="N1" s="96" t="str">
        <x:v>Young Sell (coins)</x:v>
      </x:c>
      <x:c r="O1" s="96" t="str">
        <x:v>Junior Sell (coins)</x:v>
      </x:c>
      <x:c r="P1" s="96" t="str">
        <x:v>Mature Sell XP</x:v>
      </x:c>
      <x:c r="Q1" s="96" t="str">
        <x:v>Young Sell XP</x:v>
      </x:c>
      <x:c r="R1" s="96" t="str">
        <x:v>Junior Sell XP</x:v>
      </x:c>
      <x:c r="S1" s="96" t="str">
        <x:v>Coins/Pearl</x:v>
      </x:c>
      <x:c r="T1" s="96" t="str">
        <x:v>XP/Pearl</x:v>
      </x:c>
      <x:c r="U1" s="96" t="str">
        <x:v>Premium Role</x:v>
      </x:c>
      <x:c r="V1" s="96" t="str">
        <x:v>Playstyle</x:v>
      </x:c>
      <x:c r="W1" s="96" t="str">
        <x:v>Balance Flag</x:v>
      </x:c>
      <x:c r="X1" s="96" t="str">
        <x:v>Visual Hook (art direction)</x:v>
      </x:c>
      <x:c r="Y1" s="96" t="str">
        <x:v>Real Lifespan</x:v>
      </x:c>
      <x:c r="Z1" s="96" t="str">
        <x:v>Real Maturity</x:v>
      </x:c>
      <x:c r="AA1" s="96" t="str">
        <x:v>Notes</x:v>
      </x:c>
    </x:row>
    <x:row r="2" ht="26.399999618530273" hidden="0" customHeight="1">
      <x:c r="A2" s="118" t="str">
        <x:v>PF-01</x:v>
      </x:c>
      <x:c r="B2" s="118" t="str">
        <x:v>Bubble Eye Goldfish</x:v>
      </x:c>
      <x:c r="C2" s="126" t="n">
        <x:v>2</x:v>
      </x:c>
      <x:c r="D2" s="126" t="n">
        <x:v>1</x:v>
      </x:c>
      <x:c r="E2" s="126" t="n">
        <x:v>4</x:v>
      </x:c>
      <x:c r="F2" s="118" t="str">
        <x:v>4 h</x:v>
      </x:c>
      <x:c r="G2" s="127" t="n">
        <x:f aca="0">E2*Inputs!$B$19</x:f>
        <x:v>16</x:v>
      </x:c>
      <x:c r="H2" s="127" t="n">
        <x:f aca="0">E2*Inputs!$B$20</x:f>
        <x:v>8</x:v>
      </x:c>
      <x:c r="I2" s="127" t="n">
        <x:f aca="0">MIN(Inputs!$B$77,MAX(Inputs!$B$76,H2*Inputs!$B$75))</x:f>
        <x:v>2</x:v>
      </x:c>
      <x:c r="J2" s="127" t="n">
        <x:f aca="0">ROUND(D2*Inputs!$B$49,0)</x:f>
        <x:v>20</x:v>
      </x:c>
      <x:c r="K2" s="127" t="n">
        <x:f aca="0">ROUND(D2*Inputs!$B$47*INDEX(Inputs!$B$53:$B$56,MATCH(E2,Inputs!$A$53:$A$56,1))*INDEX(Inputs!$B$111:$B$116,MATCH(U2,Inputs!$A$111:$A$116,0)),0)</x:f>
        <x:v>580</x:v>
      </x:c>
      <x:c r="L2" s="127" t="n">
        <x:f aca="0">ROUND(D2*Inputs!$B$48*INDEX(Inputs!$B$53:$B$56,MATCH(E2,Inputs!$A$53:$A$56,1))*INDEX(Inputs!$C$111:$C$116,MATCH(U2,Inputs!$A$111:$A$116,0)),0)</x:f>
        <x:v>189</x:v>
      </x:c>
      <x:c r="M2" s="127" t="n">
        <x:f aca="0">ROUND(K2*Inputs!$B$24,0)</x:f>
        <x:v>464</x:v>
      </x:c>
      <x:c r="N2" s="127" t="n">
        <x:f aca="0">ROUND(K2*Inputs!$B$23,0)</x:f>
        <x:v>319</x:v>
      </x:c>
      <x:c r="O2" s="127" t="n">
        <x:f aca="0">ROUND(K2*Inputs!$B$22,0)</x:f>
        <x:v>145</x:v>
      </x:c>
      <x:c r="P2" s="127" t="n">
        <x:f aca="0">ROUND(L2*Inputs!$B$24,0)</x:f>
        <x:v>151</x:v>
      </x:c>
      <x:c r="Q2" s="127" t="n">
        <x:f aca="0">ROUND(L2*Inputs!$B$23,0)</x:f>
        <x:v>104</x:v>
      </x:c>
      <x:c r="R2" s="127" t="n">
        <x:f>ROUND(L2*Inputs!$B$22,0)</x:f>
        <x:v>47</x:v>
      </x:c>
      <x:c r="S2" s="127" t="n">
        <x:f>ROUND(K2/D2,0)</x:f>
        <x:v>580</x:v>
      </x:c>
      <x:c r="T2" s="127" t="n">
        <x:f>ROUND((J2+L2)/D2,0)</x:f>
        <x:v>209</x:v>
      </x:c>
      <x:c r="U2" s="118" t="str">
        <x:v>Tutorial</x:v>
      </x:c>
      <x:c r="V2" s="118" t="str">
        <x:f>IF(E2&lt;1,"Active",IF(E2&lt;12,"Balanced","Idle"))</x:f>
        <x:v>Balanced</x:v>
      </x:c>
      <x:c r="W2" s="118" t="str">
        <x:f>IF(S2&gt;1200,"Coin conversion too high",IF(T2&gt;360,"XP conversion high","OK"))</x:f>
        <x:v>OK</x:v>
      </x:c>
      <x:c r="X2" s="118" t="str">
        <x:v>Wobbling bubble cheeks - instantly adorable</x:v>
      </x:c>
      <x:c r="Y2" s="118" t="str">
        <x:v>10-15 yr</x:v>
      </x:c>
      <x:c r="Z2" s="118" t="str">
        <x:v>1-2 yr</x:v>
      </x:c>
      <x:c r="AA2" s="118" t="str">
        <x:v>Repeatable L2 tutorial purchase; soft sell value (0.65 coin weight, lowest Coins/Pearl in catalog) keeps repeat buys from Pearl-to-coin arbitrage.</x:v>
      </x:c>
    </x:row>
    <x:row r="3" ht="26.399999618530273" hidden="0" customHeight="1">
      <x:c r="A3" s="118" t="str">
        <x:v>PF-02</x:v>
      </x:c>
      <x:c r="B3" s="118" t="str">
        <x:v>Koi</x:v>
      </x:c>
      <x:c r="C3" s="126" t="n">
        <x:v>5</x:v>
      </x:c>
      <x:c r="D3" s="126" t="n">
        <x:v>3</x:v>
      </x:c>
      <x:c r="E3" s="126" t="n">
        <x:v>8</x:v>
      </x:c>
      <x:c r="F3" s="118" t="str">
        <x:v>8 h</x:v>
      </x:c>
      <x:c r="G3" s="127" t="n">
        <x:f aca="0">E3*Inputs!$B$19</x:f>
        <x:v>32</x:v>
      </x:c>
      <x:c r="H3" s="127" t="n">
        <x:f aca="0">E3*Inputs!$B$20</x:f>
        <x:v>16</x:v>
      </x:c>
      <x:c r="I3" s="127" t="n">
        <x:f aca="0">MIN(Inputs!$B$77,MAX(Inputs!$B$76,H3*Inputs!$B$75))</x:f>
        <x:v>4</x:v>
      </x:c>
      <x:c r="J3" s="127" t="n">
        <x:f aca="0">ROUND(D3*Inputs!$B$49,0)</x:f>
        <x:v>60</x:v>
      </x:c>
      <x:c r="K3" s="127" t="n">
        <x:f aca="0">ROUND(D3*Inputs!$B$47*INDEX(Inputs!$B$53:$B$56,MATCH(E3,Inputs!$A$53:$A$56,1))*INDEX(Inputs!$B$111:$B$116,MATCH(U3,Inputs!$A$111:$A$116,0)),0)</x:f>
        <x:v>2525</x:v>
      </x:c>
      <x:c r="L3" s="127" t="n">
        <x:f aca="0">ROUND(D3*Inputs!$B$48*INDEX(Inputs!$B$53:$B$56,MATCH(E3,Inputs!$A$53:$A$56,1))*INDEX(Inputs!$C$111:$C$116,MATCH(U3,Inputs!$A$111:$A$116,0)),0)</x:f>
        <x:v>683</x:v>
      </x:c>
      <x:c r="M3" s="127" t="n">
        <x:f aca="0">ROUND(K3*Inputs!$B$24,0)</x:f>
        <x:v>2020</x:v>
      </x:c>
      <x:c r="N3" s="127" t="n">
        <x:f aca="0">ROUND(K3*Inputs!$B$23,0)</x:f>
        <x:v>1389</x:v>
      </x:c>
      <x:c r="O3" s="127" t="n">
        <x:f aca="0">ROUND(K3*Inputs!$B$22,0)</x:f>
        <x:v>631</x:v>
      </x:c>
      <x:c r="P3" s="127" t="n">
        <x:f aca="0">ROUND(L3*Inputs!$B$24,0)</x:f>
        <x:v>546</x:v>
      </x:c>
      <x:c r="Q3" s="127" t="n">
        <x:f aca="0">ROUND(L3*Inputs!$B$23,0)</x:f>
        <x:v>376</x:v>
      </x:c>
      <x:c r="R3" s="127" t="n">
        <x:f>ROUND(L3*Inputs!$B$22,0)</x:f>
        <x:v>171</x:v>
      </x:c>
      <x:c r="S3" s="127" t="n">
        <x:f>ROUND(K3/D3,0)</x:f>
        <x:v>842</x:v>
      </x:c>
      <x:c r="T3" s="127" t="n">
        <x:f>ROUND((J3+L3)/D3,0)</x:f>
        <x:v>248</x:v>
      </x:c>
      <x:c r="U3" s="118" t="str">
        <x:v>Cosmetic</x:v>
      </x:c>
      <x:c r="V3" s="118" t="str">
        <x:f>IF(E3&lt;1,"Active",IF(E3&lt;12,"Balanced","Idle"))</x:f>
        <x:v>Balanced</x:v>
      </x:c>
      <x:c r="W3" s="118" t="str">
        <x:f>IF(S3&gt;1200,"Coin conversion too high",IF(T3&gt;360,"XP conversion high","OK"))</x:f>
        <x:v>OK</x:v>
      </x:c>
      <x:c r="X3" s="118" t="str">
        <x:v>Painted silk pattern, unique per fish</x:v>
      </x:c>
      <x:c r="Y3" s="118" t="str">
        <x:v>25-35 yr (record 200+)</x:v>
      </x:c>
      <x:c r="Z3" s="118" t="str">
        <x:v>2-3 yr</x:v>
      </x:c>
      <x:c r="AA3" s="118" t="str">
        <x:v>Iconic premium showpiece</x:v>
      </x:c>
    </x:row>
    <x:row r="4" ht="15" hidden="0" customHeight="1">
      <x:c r="A4" s="118" t="str">
        <x:v>PF-03</x:v>
      </x:c>
      <x:c r="B4" s="118" t="str">
        <x:v>Platinum Betta</x:v>
      </x:c>
      <x:c r="C4" s="126" t="n">
        <x:v>8</x:v>
      </x:c>
      <x:c r="D4" s="126" t="n">
        <x:v>4</x:v>
      </x:c>
      <x:c r="E4" s="126" t="n">
        <x:v>2</x:v>
      </x:c>
      <x:c r="F4" s="118" t="str">
        <x:v>2 h</x:v>
      </x:c>
      <x:c r="G4" s="127" t="n">
        <x:f aca="0">E4*Inputs!$B$19</x:f>
        <x:v>8</x:v>
      </x:c>
      <x:c r="H4" s="127" t="n">
        <x:f aca="0">E4*Inputs!$B$20</x:f>
        <x:v>4</x:v>
      </x:c>
      <x:c r="I4" s="127" t="n">
        <x:f aca="0">MIN(Inputs!$B$77,MAX(Inputs!$B$76,H4*Inputs!$B$75))</x:f>
        <x:v>1</x:v>
      </x:c>
      <x:c r="J4" s="127" t="n">
        <x:f aca="0">ROUND(D4*Inputs!$B$49,0)</x:f>
        <x:v>80</x:v>
      </x:c>
      <x:c r="K4" s="127" t="n">
        <x:f aca="0">ROUND(D4*Inputs!$B$47*INDEX(Inputs!$B$53:$B$56,MATCH(E4,Inputs!$A$53:$A$56,1))*INDEX(Inputs!$B$111:$B$116,MATCH(U4,Inputs!$A$111:$A$116,0)),0)</x:f>
        <x:v>2678</x:v>
      </x:c>
      <x:c r="L4" s="127" t="n">
        <x:f aca="0">ROUND(D4*Inputs!$B$48*INDEX(Inputs!$B$53:$B$56,MATCH(E4,Inputs!$A$53:$A$56,1))*INDEX(Inputs!$C$111:$C$116,MATCH(U4,Inputs!$A$111:$A$116,0)),0)</x:f>
        <x:v>1021</x:v>
      </x:c>
      <x:c r="M4" s="127" t="n">
        <x:f aca="0">ROUND(K4*Inputs!$B$24,0)</x:f>
        <x:v>2142</x:v>
      </x:c>
      <x:c r="N4" s="127" t="n">
        <x:f aca="0">ROUND(K4*Inputs!$B$23,0)</x:f>
        <x:v>1473</x:v>
      </x:c>
      <x:c r="O4" s="127" t="n">
        <x:f aca="0">ROUND(K4*Inputs!$B$22,0)</x:f>
        <x:v>670</x:v>
      </x:c>
      <x:c r="P4" s="127" t="n">
        <x:f aca="0">ROUND(L4*Inputs!$B$24,0)</x:f>
        <x:v>817</x:v>
      </x:c>
      <x:c r="Q4" s="127" t="n">
        <x:f aca="0">ROUND(L4*Inputs!$B$23,0)</x:f>
        <x:v>562</x:v>
      </x:c>
      <x:c r="R4" s="127" t="n">
        <x:f>ROUND(L4*Inputs!$B$22,0)</x:f>
        <x:v>255</x:v>
      </x:c>
      <x:c r="S4" s="127" t="n">
        <x:f>ROUND(K4/D4,0)</x:f>
        <x:v>670</x:v>
      </x:c>
      <x:c r="T4" s="127" t="n">
        <x:f>ROUND((J4+L4)/D4,0)</x:f>
        <x:v>275</x:v>
      </x:c>
      <x:c r="U4" s="118" t="str">
        <x:v>XP Cosmetic</x:v>
      </x:c>
      <x:c r="V4" s="118" t="str">
        <x:f>IF(E4&lt;1,"Active",IF(E4&lt;12,"Balanced","Idle"))</x:f>
        <x:v>Balanced</x:v>
      </x:c>
      <x:c r="W4" s="118" t="str">
        <x:f>IF(S4&gt;1200,"Coin conversion too high",IF(T4&gt;360,"XP conversion high","OK"))</x:f>
        <x:v>OK</x:v>
      </x:c>
      <x:c r="X4" s="118" t="str">
        <x:v>Metallic white fins trailing like a gown</x:v>
      </x:c>
      <x:c r="Y4" s="118" t="str">
        <x:v>3-5 yr</x:v>
      </x:c>
      <x:c r="Z4" s="118" t="str">
        <x:v>4 mo</x:v>
      </x:c>
      <x:c r="AA4" s="118" t="str">
        <x:v>Fast premium for active players</x:v>
      </x:c>
    </x:row>
    <x:row r="5" ht="15" hidden="0" customHeight="1">
      <x:c r="A5" s="118" t="str">
        <x:v>PF-04</x:v>
      </x:c>
      <x:c r="B5" s="118" t="str">
        <x:v>Mandarin Dragonet</x:v>
      </x:c>
      <x:c r="C5" s="126" t="n">
        <x:v>10</x:v>
      </x:c>
      <x:c r="D5" s="126" t="n">
        <x:v>3</x:v>
      </x:c>
      <x:c r="E5" s="126" t="n">
        <x:v>8</x:v>
      </x:c>
      <x:c r="F5" s="118" t="str">
        <x:v>8 h</x:v>
      </x:c>
      <x:c r="G5" s="127" t="n">
        <x:f aca="0">E5*Inputs!$B$19</x:f>
        <x:v>32</x:v>
      </x:c>
      <x:c r="H5" s="127" t="n">
        <x:f aca="0">E5*Inputs!$B$20</x:f>
        <x:v>16</x:v>
      </x:c>
      <x:c r="I5" s="127" t="n">
        <x:f aca="0">MIN(Inputs!$B$77,MAX(Inputs!$B$76,H5*Inputs!$B$75))</x:f>
        <x:v>4</x:v>
      </x:c>
      <x:c r="J5" s="127" t="n">
        <x:f aca="0">ROUND(D5*Inputs!$B$49,0)</x:f>
        <x:v>60</x:v>
      </x:c>
      <x:c r="K5" s="127" t="n">
        <x:f aca="0">ROUND(D5*Inputs!$B$47*INDEX(Inputs!$B$53:$B$56,MATCH(E5,Inputs!$A$53:$A$56,1))*INDEX(Inputs!$B$111:$B$116,MATCH(U5,Inputs!$A$111:$A$116,0)),0)</x:f>
        <x:v>2525</x:v>
      </x:c>
      <x:c r="L5" s="127" t="n">
        <x:f aca="0">ROUND(D5*Inputs!$B$48*INDEX(Inputs!$B$53:$B$56,MATCH(E5,Inputs!$A$53:$A$56,1))*INDEX(Inputs!$C$111:$C$116,MATCH(U5,Inputs!$A$111:$A$116,0)),0)</x:f>
        <x:v>683</x:v>
      </x:c>
      <x:c r="M5" s="127" t="n">
        <x:f aca="0">ROUND(K5*Inputs!$B$24,0)</x:f>
        <x:v>2020</x:v>
      </x:c>
      <x:c r="N5" s="127" t="n">
        <x:f aca="0">ROUND(K5*Inputs!$B$23,0)</x:f>
        <x:v>1389</x:v>
      </x:c>
      <x:c r="O5" s="127" t="n">
        <x:f aca="0">ROUND(K5*Inputs!$B$22,0)</x:f>
        <x:v>631</x:v>
      </x:c>
      <x:c r="P5" s="127" t="n">
        <x:f aca="0">ROUND(L5*Inputs!$B$24,0)</x:f>
        <x:v>546</x:v>
      </x:c>
      <x:c r="Q5" s="127" t="n">
        <x:f aca="0">ROUND(L5*Inputs!$B$23,0)</x:f>
        <x:v>376</x:v>
      </x:c>
      <x:c r="R5" s="127" t="n">
        <x:f>ROUND(L5*Inputs!$B$22,0)</x:f>
        <x:v>171</x:v>
      </x:c>
      <x:c r="S5" s="127" t="n">
        <x:f>ROUND(K5/D5,0)</x:f>
        <x:v>842</x:v>
      </x:c>
      <x:c r="T5" s="127" t="n">
        <x:f>ROUND((J5+L5)/D5,0)</x:f>
        <x:v>248</x:v>
      </x:c>
      <x:c r="U5" s="118" t="str">
        <x:v>Cosmetic</x:v>
      </x:c>
      <x:c r="V5" s="118" t="str">
        <x:f>IF(E5&lt;1,"Active",IF(E5&lt;12,"Balanced","Idle"))</x:f>
        <x:v>Balanced</x:v>
      </x:c>
      <x:c r="W5" s="118" t="str">
        <x:f>IF(S5&gt;1200,"Coin conversion too high",IF(T5&gt;360,"XP conversion high","OK"))</x:f>
        <x:v>OK</x:v>
      </x:c>
      <x:c r="X5" s="118" t="str">
        <x:v>Psychedelic orange-and-blue swirls</x:v>
      </x:c>
      <x:c r="Y5" s="118" t="str">
        <x:v>10-15 yr</x:v>
      </x:c>
      <x:c r="Z5" s="118" t="str">
        <x:v>1 yr</x:v>
      </x:c>
      <x:c r="AA5" s="118" t="str">
        <x:v>Most colorful reef fish alive</x:v>
      </x:c>
    </x:row>
    <x:row r="6" ht="15" hidden="0" customHeight="1">
      <x:c r="A6" s="118" t="str">
        <x:v>PF-05</x:v>
      </x:c>
      <x:c r="B6" s="118" t="str">
        <x:v>Axolotl</x:v>
      </x:c>
      <x:c r="C6" s="126" t="n">
        <x:v>12</x:v>
      </x:c>
      <x:c r="D6" s="126" t="n">
        <x:v>5</x:v>
      </x:c>
      <x:c r="E6" s="126" t="n">
        <x:v>12</x:v>
      </x:c>
      <x:c r="F6" s="118" t="str">
        <x:v>12 h</x:v>
      </x:c>
      <x:c r="G6" s="127" t="n">
        <x:f aca="0">E6*Inputs!$B$19</x:f>
        <x:v>48</x:v>
      </x:c>
      <x:c r="H6" s="127" t="n">
        <x:f aca="0">E6*Inputs!$B$20</x:f>
        <x:v>24</x:v>
      </x:c>
      <x:c r="I6" s="127" t="n">
        <x:f aca="0">MIN(Inputs!$B$77,MAX(Inputs!$B$76,H6*Inputs!$B$75))</x:f>
        <x:v>6</x:v>
      </x:c>
      <x:c r="J6" s="127" t="n">
        <x:f aca="0">ROUND(D6*Inputs!$B$49,0)</x:f>
        <x:v>100</x:v>
      </x:c>
      <x:c r="K6" s="127" t="n">
        <x:f aca="0">ROUND(D6*Inputs!$B$47*INDEX(Inputs!$B$53:$B$56,MATCH(E6,Inputs!$A$53:$A$56,1))*INDEX(Inputs!$B$111:$B$116,MATCH(U6,Inputs!$A$111:$A$116,0)),0)</x:f>
        <x:v>3974</x:v>
      </x:c>
      <x:c r="L6" s="127" t="n">
        <x:f aca="0">ROUND(D6*Inputs!$B$48*INDEX(Inputs!$B$53:$B$56,MATCH(E6,Inputs!$A$53:$A$56,1))*INDEX(Inputs!$C$111:$C$116,MATCH(U6,Inputs!$A$111:$A$116,0)),0)</x:f>
        <x:v>1089</x:v>
      </x:c>
      <x:c r="M6" s="127" t="n">
        <x:f aca="0">ROUND(K6*Inputs!$B$24,0)</x:f>
        <x:v>3179</x:v>
      </x:c>
      <x:c r="N6" s="127" t="n">
        <x:f aca="0">ROUND(K6*Inputs!$B$23,0)</x:f>
        <x:v>2186</x:v>
      </x:c>
      <x:c r="O6" s="127" t="n">
        <x:f aca="0">ROUND(K6*Inputs!$B$22,0)</x:f>
        <x:v>994</x:v>
      </x:c>
      <x:c r="P6" s="127" t="n">
        <x:f aca="0">ROUND(L6*Inputs!$B$24,0)</x:f>
        <x:v>871</x:v>
      </x:c>
      <x:c r="Q6" s="127" t="n">
        <x:f aca="0">ROUND(L6*Inputs!$B$23,0)</x:f>
        <x:v>599</x:v>
      </x:c>
      <x:c r="R6" s="127" t="n">
        <x:f>ROUND(L6*Inputs!$B$22,0)</x:f>
        <x:v>272</x:v>
      </x:c>
      <x:c r="S6" s="127" t="n">
        <x:f>ROUND(K6/D6,0)</x:f>
        <x:v>795</x:v>
      </x:c>
      <x:c r="T6" s="127" t="n">
        <x:f>ROUND((J6+L6)/D6,0)</x:f>
        <x:v>238</x:v>
      </x:c>
      <x:c r="U6" s="118" t="str">
        <x:v>Convenience</x:v>
      </x:c>
      <x:c r="V6" s="118" t="str">
        <x:f>IF(E6&lt;1,"Active",IF(E6&lt;12,"Balanced","Idle"))</x:f>
        <x:v>Idle</x:v>
      </x:c>
      <x:c r="W6" s="118" t="str">
        <x:f>IF(S6&gt;1200,"Coin conversion too high",IF(T6&gt;360,"XP conversion high","OK"))</x:f>
        <x:v>OK</x:v>
      </x:c>
      <x:c r="X6" s="118" t="str">
        <x:v>Pink smiling face with feathery gills</x:v>
      </x:c>
      <x:c r="Y6" s="118" t="str">
        <x:v>10-15 yr</x:v>
      </x:c>
      <x:c r="Z6" s="118" t="str">
        <x:v>1 yr</x:v>
      </x:c>
      <x:c r="AA6" s="118" t="str">
        <x:v>Beloved aquatic exotic</x:v>
      </x:c>
    </x:row>
    <x:row r="7" ht="15" hidden="0" customHeight="1">
      <x:c r="A7" s="118" t="str">
        <x:v>PF-06</x:v>
      </x:c>
      <x:c r="B7" s="118" t="str">
        <x:v>Flashlight Fish</x:v>
      </x:c>
      <x:c r="C7" s="126" t="n">
        <x:v>16</x:v>
      </x:c>
      <x:c r="D7" s="126" t="n">
        <x:v>7</x:v>
      </x:c>
      <x:c r="E7" s="126" t="n">
        <x:v>12</x:v>
      </x:c>
      <x:c r="F7" s="118" t="str">
        <x:v>12 h</x:v>
      </x:c>
      <x:c r="G7" s="127" t="n">
        <x:f aca="0">E7*Inputs!$B$19</x:f>
        <x:v>48</x:v>
      </x:c>
      <x:c r="H7" s="127" t="n">
        <x:f aca="0">E7*Inputs!$B$20</x:f>
        <x:v>24</x:v>
      </x:c>
      <x:c r="I7" s="127" t="n">
        <x:f aca="0">MIN(Inputs!$B$77,MAX(Inputs!$B$76,H7*Inputs!$B$75))</x:f>
        <x:v>6</x:v>
      </x:c>
      <x:c r="J7" s="127" t="n">
        <x:f aca="0">ROUND(D7*Inputs!$B$49,0)</x:f>
        <x:v>140</x:v>
      </x:c>
      <x:c r="K7" s="127" t="n">
        <x:f aca="0">ROUND(D7*Inputs!$B$47*INDEX(Inputs!$B$53:$B$56,MATCH(E7,Inputs!$A$53:$A$56,1))*INDEX(Inputs!$B$111:$B$116,MATCH(U7,Inputs!$A$111:$A$116,0)),0)</x:f>
        <x:v>5563</x:v>
      </x:c>
      <x:c r="L7" s="127" t="n">
        <x:f aca="0">ROUND(D7*Inputs!$B$48*INDEX(Inputs!$B$53:$B$56,MATCH(E7,Inputs!$A$53:$A$56,1))*INDEX(Inputs!$C$111:$C$116,MATCH(U7,Inputs!$A$111:$A$116,0)),0)</x:f>
        <x:v>1525</x:v>
      </x:c>
      <x:c r="M7" s="127" t="n">
        <x:f aca="0">ROUND(K7*Inputs!$B$24,0)</x:f>
        <x:v>4450</x:v>
      </x:c>
      <x:c r="N7" s="127" t="n">
        <x:f aca="0">ROUND(K7*Inputs!$B$23,0)</x:f>
        <x:v>3060</x:v>
      </x:c>
      <x:c r="O7" s="127" t="n">
        <x:f aca="0">ROUND(K7*Inputs!$B$22,0)</x:f>
        <x:v>1391</x:v>
      </x:c>
      <x:c r="P7" s="127" t="n">
        <x:f aca="0">ROUND(L7*Inputs!$B$24,0)</x:f>
        <x:v>1220</x:v>
      </x:c>
      <x:c r="Q7" s="127" t="n">
        <x:f aca="0">ROUND(L7*Inputs!$B$23,0)</x:f>
        <x:v>839</x:v>
      </x:c>
      <x:c r="R7" s="127" t="n">
        <x:f>ROUND(L7*Inputs!$B$22,0)</x:f>
        <x:v>381</x:v>
      </x:c>
      <x:c r="S7" s="127" t="n">
        <x:f>ROUND(K7/D7,0)</x:f>
        <x:v>795</x:v>
      </x:c>
      <x:c r="T7" s="127" t="n">
        <x:f>ROUND((J7+L7)/D7,0)</x:f>
        <x:v>238</x:v>
      </x:c>
      <x:c r="U7" s="118" t="str">
        <x:v>Convenience</x:v>
      </x:c>
      <x:c r="V7" s="118" t="str">
        <x:f>IF(E7&lt;1,"Active",IF(E7&lt;12,"Balanced","Idle"))</x:f>
        <x:v>Idle</x:v>
      </x:c>
      <x:c r="W7" s="118" t="str">
        <x:f>IF(S7&gt;1200,"Coin conversion too high",IF(T7&gt;360,"XP conversion high","OK"))</x:f>
        <x:v>OK</x:v>
      </x:c>
      <x:c r="X7" s="118" t="str">
        <x:v>Bioluminescent cheek lights that blink in the dark</x:v>
      </x:c>
      <x:c r="Y7" s="118" t="str">
        <x:v>4-5 yr</x:v>
      </x:c>
      <x:c r="Z7" s="118" t="str">
        <x:v>1 yr</x:v>
      </x:c>
      <x:c r="AA7" s="118" t="str">
        <x:v>Tank glows at night</x:v>
      </x:c>
    </x:row>
    <x:row r="8" ht="26.399999618530273" hidden="0" customHeight="1">
      <x:c r="A8" s="118" t="str">
        <x:v>PF-07</x:v>
      </x:c>
      <x:c r="B8" s="118" t="str">
        <x:v>Golden Arowana</x:v>
      </x:c>
      <x:c r="C8" s="126" t="n">
        <x:v>20</x:v>
      </x:c>
      <x:c r="D8" s="126" t="n">
        <x:v>8</x:v>
      </x:c>
      <x:c r="E8" s="126" t="n">
        <x:v>24</x:v>
      </x:c>
      <x:c r="F8" s="118" t="str">
        <x:v>24 h (1 d)</x:v>
      </x:c>
      <x:c r="G8" s="127" t="n">
        <x:f aca="0">E8*Inputs!$B$19</x:f>
        <x:v>96</x:v>
      </x:c>
      <x:c r="H8" s="127" t="n">
        <x:f aca="0">E8*Inputs!$B$20</x:f>
        <x:v>48</x:v>
      </x:c>
      <x:c r="I8" s="127" t="n">
        <x:f aca="0">MIN(Inputs!$B$77,MAX(Inputs!$B$76,H8*Inputs!$B$75))</x:f>
        <x:v>12</x:v>
      </x:c>
      <x:c r="J8" s="127" t="n">
        <x:f aca="0">ROUND(D8*Inputs!$B$49,0)</x:f>
        <x:v>160</x:v>
      </x:c>
      <x:c r="K8" s="127" t="n">
        <x:f aca="0">ROUND(D8*Inputs!$B$47*INDEX(Inputs!$B$53:$B$56,MATCH(E8,Inputs!$A$53:$A$56,1))*INDEX(Inputs!$B$111:$B$116,MATCH(U8,Inputs!$A$111:$A$116,0)),0)</x:f>
        <x:v>8024</x:v>
      </x:c>
      <x:c r="L8" s="127" t="n">
        <x:f aca="0">ROUND(D8*Inputs!$B$48*INDEX(Inputs!$B$53:$B$56,MATCH(E8,Inputs!$A$53:$A$56,1))*INDEX(Inputs!$C$111:$C$116,MATCH(U8,Inputs!$A$111:$A$116,0)),0)</x:f>
        <x:v>2039</x:v>
      </x:c>
      <x:c r="M8" s="127" t="n">
        <x:f aca="0">ROUND(K8*Inputs!$B$24,0)</x:f>
        <x:v>6419</x:v>
      </x:c>
      <x:c r="N8" s="127" t="n">
        <x:f aca="0">ROUND(K8*Inputs!$B$23,0)</x:f>
        <x:v>4413</x:v>
      </x:c>
      <x:c r="O8" s="127" t="n">
        <x:f aca="0">ROUND(K8*Inputs!$B$22,0)</x:f>
        <x:v>2006</x:v>
      </x:c>
      <x:c r="P8" s="127" t="n">
        <x:f aca="0">ROUND(L8*Inputs!$B$24,0)</x:f>
        <x:v>1631</x:v>
      </x:c>
      <x:c r="Q8" s="127" t="n">
        <x:f aca="0">ROUND(L8*Inputs!$B$23,0)</x:f>
        <x:v>1121</x:v>
      </x:c>
      <x:c r="R8" s="127" t="n">
        <x:f>ROUND(L8*Inputs!$B$22,0)</x:f>
        <x:v>510</x:v>
      </x:c>
      <x:c r="S8" s="127" t="n">
        <x:f>ROUND(K8/D8,0)</x:f>
        <x:v>1003</x:v>
      </x:c>
      <x:c r="T8" s="127" t="n">
        <x:f>ROUND((J8+L8)/D8,0)</x:f>
        <x:v>275</x:v>
      </x:c>
      <x:c r="U8" s="118" t="str">
        <x:v>Prestige</x:v>
      </x:c>
      <x:c r="V8" s="118" t="str">
        <x:f>IF(E8&lt;1,"Active",IF(E8&lt;12,"Balanced","Idle"))</x:f>
        <x:v>Idle</x:v>
      </x:c>
      <x:c r="W8" s="118" t="str">
        <x:f>IF(S8&gt;1200,"Coin conversion too high",IF(T8&gt;360,"XP conversion high","OK"))</x:f>
        <x:v>OK</x:v>
      </x:c>
      <x:c r="X8" s="118" t="str">
        <x:v>Gleaming dragon scales - Asian 'lucky' fish</x:v>
      </x:c>
      <x:c r="Y8" s="118" t="str">
        <x:v>10-20 yr</x:v>
      </x:c>
      <x:c r="Z8" s="118" t="str">
        <x:v>3-4 yr</x:v>
      </x:c>
      <x:c r="AA8" s="118" t="str">
        <x:v>Prestige fish | Premium trophy: cosmetic + XP/action, not best raw production.</x:v>
      </x:c>
    </x:row>
    <x:row r="9" ht="26.399999618530273" hidden="0" customHeight="1">
      <x:c r="A9" s="118" t="str">
        <x:v>PF-08</x:v>
      </x:c>
      <x:c r="B9" s="118" t="str">
        <x:v>Peppermint Angelfish</x:v>
      </x:c>
      <x:c r="C9" s="126" t="n">
        <x:v>25</x:v>
      </x:c>
      <x:c r="D9" s="126" t="n">
        <x:v>10</x:v>
      </x:c>
      <x:c r="E9" s="126" t="n">
        <x:v>36</x:v>
      </x:c>
      <x:c r="F9" s="118" t="str">
        <x:v>36 h (1.5 d)</x:v>
      </x:c>
      <x:c r="G9" s="127" t="n">
        <x:f aca="0">E9*Inputs!$B$19</x:f>
        <x:v>144</x:v>
      </x:c>
      <x:c r="H9" s="127" t="n">
        <x:f aca="0">E9*Inputs!$B$20</x:f>
        <x:v>72</x:v>
      </x:c>
      <x:c r="I9" s="127" t="n">
        <x:f aca="0">MIN(Inputs!$B$77,MAX(Inputs!$B$76,H9*Inputs!$B$75))</x:f>
        <x:v>18</x:v>
      </x:c>
      <x:c r="J9" s="127" t="n">
        <x:f aca="0">ROUND(D9*Inputs!$B$49,0)</x:f>
        <x:v>200</x:v>
      </x:c>
      <x:c r="K9" s="127" t="n">
        <x:f aca="0">ROUND(D9*Inputs!$B$47*INDEX(Inputs!$B$53:$B$56,MATCH(E9,Inputs!$A$53:$A$56,1))*INDEX(Inputs!$B$111:$B$116,MATCH(U9,Inputs!$A$111:$A$116,0)),0)</x:f>
        <x:v>10030</x:v>
      </x:c>
      <x:c r="L9" s="127" t="n">
        <x:f aca="0">ROUND(D9*Inputs!$B$48*INDEX(Inputs!$B$53:$B$56,MATCH(E9,Inputs!$A$53:$A$56,1))*INDEX(Inputs!$C$111:$C$116,MATCH(U9,Inputs!$A$111:$A$116,0)),0)</x:f>
        <x:v>2549</x:v>
      </x:c>
      <x:c r="M9" s="127" t="n">
        <x:f aca="0">ROUND(K9*Inputs!$B$24,0)</x:f>
        <x:v>8024</x:v>
      </x:c>
      <x:c r="N9" s="127" t="n">
        <x:f aca="0">ROUND(K9*Inputs!$B$23,0)</x:f>
        <x:v>5517</x:v>
      </x:c>
      <x:c r="O9" s="127" t="n">
        <x:f aca="0">ROUND(K9*Inputs!$B$22,0)</x:f>
        <x:v>2508</x:v>
      </x:c>
      <x:c r="P9" s="127" t="n">
        <x:f aca="0">ROUND(L9*Inputs!$B$24,0)</x:f>
        <x:v>2039</x:v>
      </x:c>
      <x:c r="Q9" s="127" t="n">
        <x:f aca="0">ROUND(L9*Inputs!$B$23,0)</x:f>
        <x:v>1402</x:v>
      </x:c>
      <x:c r="R9" s="127" t="n">
        <x:f>ROUND(L9*Inputs!$B$22,0)</x:f>
        <x:v>637</x:v>
      </x:c>
      <x:c r="S9" s="127" t="n">
        <x:f>ROUND(K9/D9,0)</x:f>
        <x:v>1003</x:v>
      </x:c>
      <x:c r="T9" s="127" t="n">
        <x:f>ROUND((J9+L9)/D9,0)</x:f>
        <x:v>275</x:v>
      </x:c>
      <x:c r="U9" s="118" t="str">
        <x:v>Prestige</x:v>
      </x:c>
      <x:c r="V9" s="118" t="str">
        <x:f>IF(E9&lt;1,"Active",IF(E9&lt;12,"Balanced","Idle"))</x:f>
        <x:v>Idle</x:v>
      </x:c>
      <x:c r="W9" s="118" t="str">
        <x:f>IF(S9&gt;1200,"Coin conversion too high",IF(T9&gt;360,"XP conversion high","OK"))</x:f>
        <x:v>OK</x:v>
      </x:c>
      <x:c r="X9" s="118" t="str">
        <x:v>Candy-cane stripes</x:v>
      </x:c>
      <x:c r="Y9" s="118" t="str">
        <x:v>10+ yr</x:v>
      </x:c>
      <x:c r="Z9" s="118" t="str">
        <x:v>2 yr</x:v>
      </x:c>
      <x:c r="AA9" s="118" t="str">
        <x:v>Real-world $30k rarity | Premium trophy: cosmetic + XP/action, not best raw production.</x:v>
      </x:c>
    </x:row>
    <x:row r="10" ht="26.399999618530273" hidden="0" customHeight="1">
      <x:c r="A10" s="118" t="str">
        <x:v>PF-09</x:v>
      </x:c>
      <x:c r="B10" s="118" t="str">
        <x:v>Black Diamond Stingray</x:v>
      </x:c>
      <x:c r="C10" s="126" t="n">
        <x:v>35</x:v>
      </x:c>
      <x:c r="D10" s="126" t="n">
        <x:v>15</x:v>
      </x:c>
      <x:c r="E10" s="126" t="n">
        <x:v>48</x:v>
      </x:c>
      <x:c r="F10" s="118" t="str">
        <x:v>48 h (2 d)</x:v>
      </x:c>
      <x:c r="G10" s="127" t="n">
        <x:f aca="0">E10*Inputs!$B$19</x:f>
        <x:v>192</x:v>
      </x:c>
      <x:c r="H10" s="127" t="n">
        <x:f aca="0">E10*Inputs!$B$20</x:f>
        <x:v>96</x:v>
      </x:c>
      <x:c r="I10" s="127" t="n">
        <x:f aca="0">MIN(Inputs!$B$77,MAX(Inputs!$B$76,H10*Inputs!$B$75))</x:f>
        <x:v>24</x:v>
      </x:c>
      <x:c r="J10" s="127" t="n">
        <x:f aca="0">ROUND(D10*Inputs!$B$49,0)</x:f>
        <x:v>300</x:v>
      </x:c>
      <x:c r="K10" s="127" t="n">
        <x:f aca="0">ROUND(D10*Inputs!$B$47*INDEX(Inputs!$B$53:$B$56,MATCH(E10,Inputs!$A$53:$A$56,1))*INDEX(Inputs!$B$111:$B$116,MATCH(U10,Inputs!$A$111:$A$116,0)),0)</x:f>
        <x:v>15045</x:v>
      </x:c>
      <x:c r="L10" s="127" t="n">
        <x:f aca="0">ROUND(D10*Inputs!$B$48*INDEX(Inputs!$B$53:$B$56,MATCH(E10,Inputs!$A$53:$A$56,1))*INDEX(Inputs!$C$111:$C$116,MATCH(U10,Inputs!$A$111:$A$116,0)),0)</x:f>
        <x:v>3823</x:v>
      </x:c>
      <x:c r="M10" s="127" t="n">
        <x:f aca="0">ROUND(K10*Inputs!$B$24,0)</x:f>
        <x:v>12036</x:v>
      </x:c>
      <x:c r="N10" s="127" t="n">
        <x:f aca="0">ROUND(K10*Inputs!$B$23,0)</x:f>
        <x:v>8275</x:v>
      </x:c>
      <x:c r="O10" s="127" t="n">
        <x:f aca="0">ROUND(K10*Inputs!$B$22,0)</x:f>
        <x:v>3761</x:v>
      </x:c>
      <x:c r="P10" s="127" t="n">
        <x:f aca="0">ROUND(L10*Inputs!$B$24,0)</x:f>
        <x:v>3058</x:v>
      </x:c>
      <x:c r="Q10" s="127" t="n">
        <x:f aca="0">ROUND(L10*Inputs!$B$23,0)</x:f>
        <x:v>2103</x:v>
      </x:c>
      <x:c r="R10" s="127" t="n">
        <x:f>ROUND(L10*Inputs!$B$22,0)</x:f>
        <x:v>956</x:v>
      </x:c>
      <x:c r="S10" s="127" t="n">
        <x:f>ROUND(K10/D10,0)</x:f>
        <x:v>1003</x:v>
      </x:c>
      <x:c r="T10" s="127" t="n">
        <x:f>ROUND((J10+L10)/D10,0)</x:f>
        <x:v>275</x:v>
      </x:c>
      <x:c r="U10" s="118" t="str">
        <x:v>Prestige</x:v>
      </x:c>
      <x:c r="V10" s="118" t="str">
        <x:f>IF(E10&lt;1,"Active",IF(E10&lt;12,"Balanced","Idle"))</x:f>
        <x:v>Idle</x:v>
      </x:c>
      <x:c r="W10" s="118" t="str">
        <x:f>IF(S10&gt;1200,"Coin conversion too high",IF(T10&gt;360,"XP conversion high","OK"))</x:f>
        <x:v>OK</x:v>
      </x:c>
      <x:c r="X10" s="118" t="str">
        <x:v>Galaxy-spotted black disc gliding on sand</x:v>
      </x:c>
      <x:c r="Y10" s="118" t="str">
        <x:v>15-25 yr</x:v>
      </x:c>
      <x:c r="Z10" s="118" t="str">
        <x:v>4-5 yr</x:v>
      </x:c>
      <x:c r="AA10" s="118" t="str">
        <x:v>Idle premium trophy | Premium trophy: cosmetic + XP/action, not best raw production.</x:v>
      </x:c>
    </x:row>
    <x:row r="11" ht="26.399999618530273" hidden="0" customHeight="1">
      <x:c r="A11" s="118" t="str">
        <x:v>PF-10</x:v>
      </x:c>
      <x:c r="B11" s="118" t="str">
        <x:v>Platinum Arowana</x:v>
      </x:c>
      <x:c r="C11" s="126" t="n">
        <x:v>40</x:v>
      </x:c>
      <x:c r="D11" s="126" t="n">
        <x:v>20</x:v>
      </x:c>
      <x:c r="E11" s="126" t="n">
        <x:v>60</x:v>
      </x:c>
      <x:c r="F11" s="118" t="str">
        <x:v>60 h (2.5 d)</x:v>
      </x:c>
      <x:c r="G11" s="127" t="n">
        <x:f aca="0">E11*Inputs!$B$19</x:f>
        <x:v>240</x:v>
      </x:c>
      <x:c r="H11" s="127" t="n">
        <x:f aca="0">E11*Inputs!$B$20</x:f>
        <x:v>120</x:v>
      </x:c>
      <x:c r="I11" s="127" t="n">
        <x:f aca="0">MIN(Inputs!$B$77,MAX(Inputs!$B$76,H11*Inputs!$B$75))</x:f>
        <x:v>24</x:v>
      </x:c>
      <x:c r="J11" s="127" t="n">
        <x:f aca="0">ROUND(D11*Inputs!$B$49,0)</x:f>
        <x:v>400</x:v>
      </x:c>
      <x:c r="K11" s="127" t="n">
        <x:f aca="0">ROUND(D11*Inputs!$B$47*INDEX(Inputs!$B$53:$B$56,MATCH(E11,Inputs!$A$53:$A$56,1))*INDEX(Inputs!$B$111:$B$116,MATCH(U11,Inputs!$A$111:$A$116,0)),0)</x:f>
        <x:v>22066</x:v>
      </x:c>
      <x:c r="L11" s="127" t="n">
        <x:f aca="0">ROUND(D11*Inputs!$B$48*INDEX(Inputs!$B$53:$B$56,MATCH(E11,Inputs!$A$53:$A$56,1))*INDEX(Inputs!$C$111:$C$116,MATCH(U11,Inputs!$A$111:$A$116,0)),0)</x:f>
        <x:v>5310</x:v>
      </x:c>
      <x:c r="M11" s="127" t="n">
        <x:f aca="0">ROUND(K11*Inputs!$B$24,0)</x:f>
        <x:v>17653</x:v>
      </x:c>
      <x:c r="N11" s="127" t="n">
        <x:f aca="0">ROUND(K11*Inputs!$B$23,0)</x:f>
        <x:v>12136</x:v>
      </x:c>
      <x:c r="O11" s="127" t="n">
        <x:f aca="0">ROUND(K11*Inputs!$B$22,0)</x:f>
        <x:v>5517</x:v>
      </x:c>
      <x:c r="P11" s="127" t="n">
        <x:f aca="0">ROUND(L11*Inputs!$B$24,0)</x:f>
        <x:v>4248</x:v>
      </x:c>
      <x:c r="Q11" s="127" t="n">
        <x:f aca="0">ROUND(L11*Inputs!$B$23,0)</x:f>
        <x:v>2921</x:v>
      </x:c>
      <x:c r="R11" s="127" t="n">
        <x:f>ROUND(L11*Inputs!$B$22,0)</x:f>
        <x:v>1328</x:v>
      </x:c>
      <x:c r="S11" s="127" t="n">
        <x:f>ROUND(K11/D11,0)</x:f>
        <x:v>1103</x:v>
      </x:c>
      <x:c r="T11" s="127" t="n">
        <x:f>ROUND((J11+L11)/D11,0)</x:f>
        <x:v>286</x:v>
      </x:c>
      <x:c r="U11" s="118" t="str">
        <x:v>Capstone Trophy</x:v>
      </x:c>
      <x:c r="V11" s="118" t="str">
        <x:f>IF(E11&lt;1,"Active",IF(E11&lt;12,"Balanced","Idle"))</x:f>
        <x:v>Idle</x:v>
      </x:c>
      <x:c r="W11" s="118" t="str">
        <x:f>IF(S11&gt;1200,"Coin conversion too high",IF(T11&gt;360,"XP conversion high","OK"))</x:f>
        <x:v>OK</x:v>
      </x:c>
      <x:c r="X11" s="118" t="str">
        <x:v>Pure-white dragon fish - one in a million</x:v>
      </x:c>
      <x:c r="Y11" s="118" t="str">
        <x:v>10-20 yr</x:v>
      </x:c>
      <x:c r="Z11" s="118" t="str">
        <x:v>3-4 yr</x:v>
      </x:c>
      <x:c r="AA11" s="118" t="str">
        <x:v>Real-world $400k fish - capstone | Premium trophy: cosmetic + XP/action, not best raw production.</x:v>
      </x:c>
    </x:row>
  </x:sheetData>
  <x:conditionalFormatting sqref="W2:W11">
    <x:cfRule type="expression" dxfId="4" priority="1">
      <x:formula>W2="OK"</x:formula>
    </x:cfRule>
    <x:cfRule type="expression" dxfId="5" priority="2">
      <x:formula>W2&lt;&gt;"OK"</x:formula>
    </x:cfRule>
  </x:conditionalFormatting>
  <x:dataValidations count="1">
    <x:dataValidation type="list" sqref="U2:U11">
      <x:formula1>Inputs!$A$111:$A$116</x:formula1>
    </x:dataValidation>
  </x:dataValidations>
  <x:pageMargins left="0.7" right="0.7" top="0.75" bottom="0.75" header="0.3" footer="0.3"/>
</x:worksheet>
</file>

<file path=xl/worksheets/sheet6.xml><?xml version="1.0" encoding="utf-8"?>
<x:worksheet xmlns:x="http://schemas.openxmlformats.org/spreadsheetml/2006/main">
  <x:sheetViews>
    <x:sheetView showGridLines="1" workbookViewId="0"/>
  </x:sheetViews>
  <x:sheetFormatPr defaultColWidth="8.6796875" defaultRowHeight="15"/>
  <x:cols>
    <x:col min="1" max="1" width="9" hidden="0" customWidth="1"/>
    <x:col min="2" max="2" width="26" hidden="0" customWidth="1"/>
    <x:col min="3" max="3" width="18" hidden="0" customWidth="1"/>
    <x:col min="4" max="4" width="16" hidden="0" customWidth="1"/>
    <x:col min="5" max="6" width="9" hidden="0" customWidth="1"/>
    <x:col min="7" max="7" width="8" hidden="0" customWidth="1"/>
    <x:col min="8" max="8" width="9" hidden="0" customWidth="1"/>
    <x:col min="9" max="9" width="10" hidden="0" customWidth="1"/>
    <x:col min="10" max="11" width="9" hidden="0" customWidth="1"/>
    <x:col min="12" max="12" width="8" hidden="0" customWidth="1"/>
    <x:col min="13" max="13" width="11" hidden="0" customWidth="1"/>
    <x:col min="14" max="14" width="10" hidden="0" customWidth="1"/>
    <x:col min="15" max="15" width="11" hidden="0" customWidth="1"/>
    <x:col min="16" max="16" width="10" hidden="0" customWidth="1"/>
    <x:col min="17" max="17" width="32" hidden="0" customWidth="1"/>
    <x:col min="5" max="5" width="10" hidden="0" customWidth="1"/>
    <x:col min="6" max="6" width="10" hidden="0" customWidth="1"/>
    <x:col min="26" max="26" width="48" hidden="0" customWidth="1"/>
  </x:cols>
  <x:sheetData>
    <x:row r="1" ht="50.400001525878906" hidden="0" customHeight="1">
      <x:c r="A1" s="96" t="str">
        <x:v>ID</x:v>
      </x:c>
      <x:c r="B1" s="96" t="str">
        <x:v>Fish</x:v>
      </x:c>
      <x:c r="C1" s="96" t="str">
        <x:v>Event</x:v>
      </x:c>
      <x:c r="D1" s="96" t="str">
        <x:v>Availability</x:v>
      </x:c>
      <x:c r="E1" s="96" t="str">
        <x:v>Unlock Lvl</x:v>
      </x:c>
      <x:c r="F1" s="96" t="str">
        <x:v>Currency</x:v>
      </x:c>
      <x:c r="G1" s="96" t="str">
        <x:v>Price</x:v>
      </x:c>
      <x:c r="H1" s="96" t="str">
        <x:v>Stage Time (hrs)</x:v>
      </x:c>
      <x:c r="I1" s="96" t="str">
        <x:v>Stage Time</x:v>
      </x:c>
      <x:c r="J1" s="96" t="str">
        <x:v>Adult In (hrs)</x:v>
      </x:c>
      <x:c r="K1" s="96" t="str">
        <x:v>Feed Window (hrs)</x:v>
      </x:c>
      <x:c r="L1" s="96" t="str">
        <x:v>Sick Grace (hrs)</x:v>
      </x:c>
      <x:c r="M1" s="96" t="str">
        <x:v>Target Coins/hr</x:v>
      </x:c>
      <x:c r="N1" s="96" t="str">
        <x:v>Target XP/hr</x:v>
      </x:c>
      <x:c r="O1" s="96" t="str">
        <x:v>Buy XP</x:v>
      </x:c>
      <x:c r="P1" s="96" t="str">
        <x:v>Adult Sell (coins)</x:v>
      </x:c>
      <x:c r="Q1" s="96" t="str">
        <x:v>Adult Sell XP</x:v>
      </x:c>
      <x:c r="R1" s="96" t="str">
        <x:v>Junior Sell (coins)</x:v>
      </x:c>
      <x:c r="S1" s="96" t="str">
        <x:v>Junior Sell XP</x:v>
      </x:c>
      <x:c r="T1" s="96" t="str">
        <x:v>Coins/Pearl</x:v>
      </x:c>
      <x:c r="U1" s="96" t="str">
        <x:v>XP/Pearl</x:v>
      </x:c>
      <x:c r="V1" s="96" t="str">
        <x:v>Coins/hr</x:v>
      </x:c>
      <x:c r="W1" s="96" t="str">
        <x:v>XP/hr</x:v>
      </x:c>
      <x:c r="X1" s="96" t="str">
        <x:v>Playstyle</x:v>
      </x:c>
      <x:c r="Y1" s="96" t="str">
        <x:v>Balance Flag</x:v>
      </x:c>
      <x:c r="Z1" s="96" t="str">
        <x:v>Notes</x:v>
      </x:c>
    </x:row>
    <x:row r="2" ht="26.399999618530273" hidden="0" customHeight="1">
      <x:c r="A2" s="118" t="str">
        <x:v>LE-01</x:v>
      </x:c>
      <x:c r="B2" s="118" t="str">
        <x:v>Heartfin Tetra</x:v>
      </x:c>
      <x:c r="C2" s="118" t="str">
        <x:v>Valentine's</x:v>
      </x:c>
      <x:c r="D2" s="118" t="str">
        <x:v>Feb 7-21</x:v>
      </x:c>
      <x:c r="E2" s="126" t="n">
        <x:v>5</x:v>
      </x:c>
      <x:c r="F2" s="126" t="str">
        <x:v>Coins</x:v>
      </x:c>
      <x:c r="G2" s="126" t="n">
        <x:v>500</x:v>
      </x:c>
      <x:c r="H2" s="126" t="n">
        <x:v>2</x:v>
      </x:c>
      <x:c r="I2" s="118" t="str">
        <x:v>2 h</x:v>
      </x:c>
      <x:c r="J2" s="121" t="n">
        <x:f aca="0">H2*Inputs!$B$19</x:f>
        <x:v>8</x:v>
      </x:c>
      <x:c r="K2" s="121" t="n">
        <x:f aca="0">H2*Inputs!$B$20</x:f>
        <x:v>4</x:v>
      </x:c>
      <x:c r="L2" s="121" t="n">
        <x:f aca="0">MIN(Inputs!$B$77,MAX(Inputs!$B$76,K2*Inputs!$B$75))</x:f>
        <x:v>1</x:v>
      </x:c>
      <x:c r="M2" s="121" t="n">
        <x:f aca="0">IF(F2="Coins",ROUND((Inputs!$B$70+(E2-Inputs!$B$68)*(Inputs!$B$71-Inputs!$B$70)/(Inputs!$B$69-Inputs!$B$68))*INDEX(Inputs!$C$87:$C$96,MATCH(H2,Inputs!$A$87:$A$96,1))*INDEX(Inputs!$B$100:$B$107,MATCH("Collection",Inputs!$A$100:$A$107,0))*(1+INDEX(Inputs!$B$38:$B$44,MATCH("Limited",Inputs!$A$38:$A$44,0))*INDEX(Inputs!$D$100:$D$107,MATCH("Collection",Inputs!$A$100:$A$107,0))),1),IF(F2="Pearls",ROUND(G2*Inputs!$B$47*INDEX(Inputs!$B$53:$B$56,MATCH(H2,Inputs!$A$53:$A$56,1))*Inputs!$B$58/J2,1),0))</x:f>
        <x:v>46.4</x:v>
      </x:c>
      <x:c r="N2" s="121" t="n">
        <x:f aca="0">IF(F2="Coins",ROUND((Inputs!$B$72+(E2-Inputs!$B$68)*(Inputs!$B$73-Inputs!$B$72)/(Inputs!$B$69-Inputs!$B$68))*INDEX(Inputs!$D$87:$D$96,MATCH(H2,Inputs!$A$87:$A$96,1))*INDEX(Inputs!$C$100:$C$107,MATCH("Collection",Inputs!$A$100:$A$107,0))*(1+INDEX(Inputs!$B$38:$B$44,MATCH("Limited",Inputs!$A$38:$A$44,0))*INDEX(Inputs!$E$100:$E$107,MATCH("Collection",Inputs!$A$100:$A$107,0))),1),IF(F2="Pearls",ROUND((G2*Inputs!$B$48*INDEX(Inputs!$B$53:$B$56,MATCH(H2,Inputs!$A$53:$A$56,1))*Inputs!$B$58+G2*Inputs!$B$49)/J2,1),IF(F2="Gift",ROUND(250/J2,1),0)))</x:f>
        <x:v>28</x:v>
      </x:c>
      <x:c r="O2" s="121" t="n">
        <x:f aca="0">IF(F2="Coins",ROUND(N2*J2*Inputs!$B$74,0),IF(F2="Pearls",ROUND(G2*Inputs!$B$49,0),0))</x:f>
        <x:v>18</x:v>
      </x:c>
      <x:c r="P2" s="121" t="n">
        <x:f aca="0">IF(F2="Coins",ROUND(G2+M2*J2,0),IF(F2="Pearls",ROUND(G2*Inputs!$B$47*INDEX(Inputs!$B$53:$B$56,MATCH(H2,Inputs!$A$53:$A$56,1))*Inputs!$B$58,0),0))</x:f>
        <x:v>871</x:v>
      </x:c>
      <x:c r="Q2" s="121" t="n">
        <x:f>IF(F2="Coins",MAX(1,ROUND(N2*J2-O2,0)),IF(F2="Pearls",ROUND(G2*Inputs!$B$48*INDEX(Inputs!$B$53:$B$56,MATCH(H2,Inputs!$A$53:$A$56,1))*Inputs!$B$58,0),IF(F2="Gift",250,0)))</x:f>
        <x:v>206</x:v>
      </x:c>
      <x:c r="R2" s="121" t="n">
        <x:f>IF(F2="Coins",ROUND(G2+(P2-G2)*Inputs!$B$22,0),ROUND(P2*Inputs!$B$22,0))</x:f>
        <x:v>593</x:v>
      </x:c>
      <x:c r="S2" s="121" t="n">
        <x:f>ROUND(Q2*Inputs!$B$22,0)</x:f>
        <x:v>52</x:v>
      </x:c>
      <x:c r="T2" s="127" t="n">
        <x:f>IF(F2="Pearls",ROUND(P2/G2,0),0)</x:f>
        <x:v>0</x:v>
      </x:c>
      <x:c r="U2" s="127" t="n">
        <x:f>IF(F2="Pearls",ROUND((O2+Q2)/G2,0),0)</x:f>
        <x:v>0</x:v>
      </x:c>
      <x:c r="V2" s="121" t="n">
        <x:f>IF(F2="Coins",ROUND((P2-G2)/J2,1),IF(F2="Pearls",ROUND(P2/J2,1),0))</x:f>
        <x:v>46.4</x:v>
      </x:c>
      <x:c r="W2" s="121" t="n">
        <x:f>ROUND((O2+Q2)/J2,1)</x:f>
        <x:v>28</x:v>
      </x:c>
      <x:c r="X2" s="118" t="str">
        <x:f>IF(H2&lt;1,"Active",IF(H2&lt;12,"Balanced","Idle"))</x:f>
        <x:v>Balanced</x:v>
      </x:c>
      <x:c r="Y2" s="118" t="str">
        <x:f>IF(F2="Gift","Free / non-resellable",IF(AND(F2="Pearls",T2&gt;1300),"Pearl conversion high","OK"))</x:f>
        <x:v>OK</x:v>
      </x:c>
      <x:c r="Z2" s="118" t="str">
        <x:v>F2P event entry; collection-first, capped near normal progression.</x:v>
      </x:c>
    </x:row>
    <x:row r="3" ht="15" hidden="0" customHeight="1">
      <x:c r="A3" s="118" t="str">
        <x:v>LE-02</x:v>
      </x:c>
      <x:c r="B3" s="118" t="str">
        <x:v>Emerald Cod</x:v>
      </x:c>
      <x:c r="C3" s="118" t="str">
        <x:v>St. Patrick's</x:v>
      </x:c>
      <x:c r="D3" s="118" t="str">
        <x:v>Mar 10-24</x:v>
      </x:c>
      <x:c r="E3" s="126" t="n">
        <x:v>10</x:v>
      </x:c>
      <x:c r="F3" s="126" t="str">
        <x:v>Coins</x:v>
      </x:c>
      <x:c r="G3" s="126" t="n">
        <x:v>800</x:v>
      </x:c>
      <x:c r="H3" s="126" t="n">
        <x:v>6</x:v>
      </x:c>
      <x:c r="I3" s="118" t="str">
        <x:v>6 h</x:v>
      </x:c>
      <x:c r="J3" s="121" t="n">
        <x:f aca="0">H3*Inputs!$B$19</x:f>
        <x:v>24</x:v>
      </x:c>
      <x:c r="K3" s="121" t="n">
        <x:f aca="0">H3*Inputs!$B$20</x:f>
        <x:v>12</x:v>
      </x:c>
      <x:c r="L3" s="121" t="n">
        <x:f aca="0">MIN(Inputs!$B$77,MAX(Inputs!$B$76,K3*Inputs!$B$75))</x:f>
        <x:v>3</x:v>
      </x:c>
      <x:c r="M3" s="121" t="n">
        <x:f aca="0">IF(F3="Coins",ROUND((Inputs!$B$70+(E3-Inputs!$B$68)*(Inputs!$B$71-Inputs!$B$70)/(Inputs!$B$69-Inputs!$B$68))*INDEX(Inputs!$C$87:$C$96,MATCH(H3,Inputs!$A$87:$A$96,1))*INDEX(Inputs!$B$100:$B$107,MATCH("Collection",Inputs!$A$100:$A$107,0))*(1+INDEX(Inputs!$B$38:$B$44,MATCH("Limited",Inputs!$A$38:$A$44,0))*INDEX(Inputs!$D$100:$D$107,MATCH("Collection",Inputs!$A$100:$A$107,0))),1),IF(F3="Pearls",ROUND(G3*Inputs!$B$47*INDEX(Inputs!$B$53:$B$56,MATCH(H3,Inputs!$A$53:$A$56,1))*Inputs!$B$58/J3,1),0))</x:f>
        <x:v>21.9</x:v>
      </x:c>
      <x:c r="N3" s="121" t="n">
        <x:f aca="0">IF(F3="Coins",ROUND((Inputs!$B$72+(E3-Inputs!$B$68)*(Inputs!$B$73-Inputs!$B$72)/(Inputs!$B$69-Inputs!$B$68))*INDEX(Inputs!$D$87:$D$96,MATCH(H3,Inputs!$A$87:$A$96,1))*INDEX(Inputs!$C$100:$C$107,MATCH("Collection",Inputs!$A$100:$A$107,0))*(1+INDEX(Inputs!$B$38:$B$44,MATCH("Limited",Inputs!$A$38:$A$44,0))*INDEX(Inputs!$E$100:$E$107,MATCH("Collection",Inputs!$A$100:$A$107,0))),1),IF(F3="Pearls",ROUND((G3*Inputs!$B$48*INDEX(Inputs!$B$53:$B$56,MATCH(H3,Inputs!$A$53:$A$56,1))*Inputs!$B$58+G3*Inputs!$B$49)/J3,1),IF(F3="Gift",ROUND(250/J3,1),0)))</x:f>
        <x:v>11</x:v>
      </x:c>
      <x:c r="O3" s="121" t="n">
        <x:f aca="0">IF(F3="Coins",ROUND(N3*J3*Inputs!$B$74,0),IF(F3="Pearls",ROUND(G3*Inputs!$B$49,0),0))</x:f>
        <x:v>21</x:v>
      </x:c>
      <x:c r="P3" s="121" t="n">
        <x:f aca="0">IF(F3="Coins",ROUND(G3+M3*J3,0),IF(F3="Pearls",ROUND(G3*Inputs!$B$47*INDEX(Inputs!$B$53:$B$56,MATCH(H3,Inputs!$A$53:$A$56,1))*Inputs!$B$58,0),0))</x:f>
        <x:v>1326</x:v>
      </x:c>
      <x:c r="Q3" s="121" t="n">
        <x:f>IF(F3="Coins",MAX(1,ROUND(N3*J3-O3,0)),IF(F3="Pearls",ROUND(G3*Inputs!$B$48*INDEX(Inputs!$B$53:$B$56,MATCH(H3,Inputs!$A$53:$A$56,1))*Inputs!$B$58,0),IF(F3="Gift",250,0)))</x:f>
        <x:v>243</x:v>
      </x:c>
      <x:c r="R3" s="121" t="n">
        <x:f>IF(F3="Coins",ROUND(G3+(P3-G3)*Inputs!$B$22,0),ROUND(P3*Inputs!$B$22,0))</x:f>
        <x:v>932</x:v>
      </x:c>
      <x:c r="S3" s="121" t="n">
        <x:f>ROUND(Q3*Inputs!$B$22,0)</x:f>
        <x:v>61</x:v>
      </x:c>
      <x:c r="T3" s="127" t="n">
        <x:f>IF(F3="Pearls",ROUND(P3/G3,0),0)</x:f>
        <x:v>0</x:v>
      </x:c>
      <x:c r="U3" s="127" t="n">
        <x:f>IF(F3="Pearls",ROUND((O3+Q3)/G3,0),0)</x:f>
        <x:v>0</x:v>
      </x:c>
      <x:c r="V3" s="121" t="n">
        <x:f>IF(F3="Coins",ROUND((P3-G3)/J3,1),IF(F3="Pearls",ROUND(P3/J3,1),0))</x:f>
        <x:v>21.9</x:v>
      </x:c>
      <x:c r="W3" s="121" t="n">
        <x:f>ROUND((O3+Q3)/J3,1)</x:f>
        <x:v>11</x:v>
      </x:c>
      <x:c r="X3" s="118" t="str">
        <x:f>IF(H3&lt;1,"Active",IF(H3&lt;12,"Balanced","Idle"))</x:f>
        <x:v>Balanced</x:v>
      </x:c>
      <x:c r="Y3" s="118" t="str">
        <x:f>IF(F3="Gift","Free / non-resellable",IF(AND(F3="Pearls",T3&gt;1300),"Pearl conversion high","OK"))</x:f>
        <x:v>OK</x:v>
      </x:c>
      <x:c r="Z3" s="118" t="str">
        <x:v>F2P event entry; modest boost only, not mandatory.</x:v>
      </x:c>
    </x:row>
    <x:row r="4" ht="15" hidden="0" customHeight="1">
      <x:c r="A4" s="118" t="str">
        <x:v>LE-03</x:v>
      </x:c>
      <x:c r="B4" s="118" t="str">
        <x:v>Sakura Goldfish</x:v>
      </x:c>
      <x:c r="C4" s="118" t="str">
        <x:v>Spring Blossom</x:v>
      </x:c>
      <x:c r="D4" s="118" t="str">
        <x:v>Apr 1-21</x:v>
      </x:c>
      <x:c r="E4" s="126" t="n">
        <x:v>8</x:v>
      </x:c>
      <x:c r="F4" s="126" t="str">
        <x:v>Pearls</x:v>
      </x:c>
      <x:c r="G4" s="126" t="n">
        <x:v>8</x:v>
      </x:c>
      <x:c r="H4" s="126" t="n">
        <x:v>10</x:v>
      </x:c>
      <x:c r="I4" s="118" t="str">
        <x:v>10 h</x:v>
      </x:c>
      <x:c r="J4" s="121" t="n">
        <x:f aca="0">H4*Inputs!$B$19</x:f>
        <x:v>40</x:v>
      </x:c>
      <x:c r="K4" s="121" t="n">
        <x:f aca="0">H4*Inputs!$B$20</x:f>
        <x:v>20</x:v>
      </x:c>
      <x:c r="L4" s="121" t="n">
        <x:f aca="0">MIN(Inputs!$B$77,MAX(Inputs!$B$76,K4*Inputs!$B$75))</x:f>
        <x:v>5</x:v>
      </x:c>
      <x:c r="M4" s="121" t="n">
        <x:f aca="0">IF(F4="Coins",ROUND((Inputs!$B$70+(E4-Inputs!$B$68)*(Inputs!$B$71-Inputs!$B$70)/(Inputs!$B$69-Inputs!$B$68))*INDEX(Inputs!$C$87:$C$96,MATCH(H4,Inputs!$A$87:$A$96,1))*INDEX(Inputs!$B$100:$B$107,MATCH("Collection",Inputs!$A$100:$A$107,0))*(1+INDEX(Inputs!$B$38:$B$44,MATCH("Limited",Inputs!$A$38:$A$44,0))*INDEX(Inputs!$D$100:$D$107,MATCH("Collection",Inputs!$A$100:$A$107,0))),1),IF(F4="Pearls",ROUND(G4*Inputs!$B$47*INDEX(Inputs!$B$53:$B$56,MATCH(H4,Inputs!$A$53:$A$56,1))*Inputs!$B$58/J4,1),0))</x:f>
        <x:v>202</x:v>
      </x:c>
      <x:c r="N4" s="121" t="n">
        <x:f aca="0">IF(F4="Coins",ROUND((Inputs!$B$72+(E4-Inputs!$B$68)*(Inputs!$B$73-Inputs!$B$72)/(Inputs!$B$69-Inputs!$B$68))*INDEX(Inputs!$D$87:$D$96,MATCH(H4,Inputs!$A$87:$A$96,1))*INDEX(Inputs!$C$100:$C$107,MATCH("Collection",Inputs!$A$100:$A$107,0))*(1+INDEX(Inputs!$B$38:$B$44,MATCH("Limited",Inputs!$A$38:$A$44,0))*INDEX(Inputs!$E$100:$E$107,MATCH("Collection",Inputs!$A$100:$A$107,0))),1),IF(F4="Pearls",ROUND((G4*Inputs!$B$48*INDEX(Inputs!$B$53:$B$56,MATCH(H4,Inputs!$A$53:$A$56,1))*Inputs!$B$58+G4*Inputs!$B$49)/J4,1),IF(F4="Gift",ROUND(250/J4,1),0)))</x:f>
        <x:v>46.8</x:v>
      </x:c>
      <x:c r="O4" s="121" t="n">
        <x:f aca="0">IF(F4="Coins",ROUND(N4*J4*Inputs!$B$74,0),IF(F4="Pearls",ROUND(G4*Inputs!$B$49,0),0))</x:f>
        <x:v>160</x:v>
      </x:c>
      <x:c r="P4" s="121" t="n">
        <x:f aca="0">IF(F4="Coins",ROUND(G4+M4*J4,0),IF(F4="Pearls",ROUND(G4*Inputs!$B$47*INDEX(Inputs!$B$53:$B$56,MATCH(H4,Inputs!$A$53:$A$56,1))*Inputs!$B$58,0),0))</x:f>
        <x:v>8078</x:v>
      </x:c>
      <x:c r="Q4" s="121" t="n">
        <x:f>IF(F4="Coins",MAX(1,ROUND(N4*J4-O4,0)),IF(F4="Pearls",ROUND(G4*Inputs!$B$48*INDEX(Inputs!$B$53:$B$56,MATCH(H4,Inputs!$A$53:$A$56,1))*Inputs!$B$58,0),IF(F4="Gift",250,0)))</x:f>
        <x:v>1711</x:v>
      </x:c>
      <x:c r="R4" s="121" t="n">
        <x:f>IF(F4="Coins",ROUND(G4+(P4-G4)*Inputs!$B$22,0),ROUND(P4*Inputs!$B$22,0))</x:f>
        <x:v>2020</x:v>
      </x:c>
      <x:c r="S4" s="121" t="n">
        <x:f>ROUND(Q4*Inputs!$B$22,0)</x:f>
        <x:v>428</x:v>
      </x:c>
      <x:c r="T4" s="127" t="n">
        <x:f>IF(F4="Pearls",ROUND(P4/G4,0),0)</x:f>
        <x:v>1010</x:v>
      </x:c>
      <x:c r="U4" s="127" t="n">
        <x:f>IF(F4="Pearls",ROUND((O4+Q4)/G4,0),0)</x:f>
        <x:v>234</x:v>
      </x:c>
      <x:c r="V4" s="121" t="n">
        <x:f>IF(F4="Coins",ROUND((P4-G4)/J4,1),IF(F4="Pearls",ROUND(P4/J4,1),0))</x:f>
        <x:v>202</x:v>
      </x:c>
      <x:c r="W4" s="121" t="n">
        <x:f>ROUND((O4+Q4)/J4,1)</x:f>
        <x:v>46.8</x:v>
      </x:c>
      <x:c r="X4" s="118" t="str">
        <x:f>IF(H4&lt;1,"Active",IF(H4&lt;12,"Balanced","Idle"))</x:f>
        <x:v>Balanced</x:v>
      </x:c>
      <x:c r="Y4" s="118" t="str">
        <x:f>IF(F4="Gift","Free / non-resellable",IF(AND(F4="Pearls",T4&gt;1300),"Pearl conversion high","OK"))</x:f>
        <x:v>OK</x:v>
      </x:c>
      <x:c r="Z4" s="118" t="str"/>
    </x:row>
    <x:row r="5" ht="15" hidden="0" customHeight="1">
      <x:c r="A5" s="118" t="str">
        <x:v>LE-04</x:v>
      </x:c>
      <x:c r="B5" s="118" t="str">
        <x:v>Firework Fish</x:v>
      </x:c>
      <x:c r="C5" s="118" t="str">
        <x:v>Summer Festival</x:v>
      </x:c>
      <x:c r="D5" s="118" t="str">
        <x:v>Jul 1-14</x:v>
      </x:c>
      <x:c r="E5" s="126" t="n">
        <x:v>10</x:v>
      </x:c>
      <x:c r="F5" s="126" t="str">
        <x:v>Pearls</x:v>
      </x:c>
      <x:c r="G5" s="126" t="n">
        <x:v>7</x:v>
      </x:c>
      <x:c r="H5" s="126" t="n">
        <x:v>6</x:v>
      </x:c>
      <x:c r="I5" s="118" t="str">
        <x:v>6 h</x:v>
      </x:c>
      <x:c r="J5" s="121" t="n">
        <x:f aca="0">H5*Inputs!$B$19</x:f>
        <x:v>24</x:v>
      </x:c>
      <x:c r="K5" s="121" t="n">
        <x:f aca="0">H5*Inputs!$B$20</x:f>
        <x:v>12</x:v>
      </x:c>
      <x:c r="L5" s="121" t="n">
        <x:f aca="0">MIN(Inputs!$B$77,MAX(Inputs!$B$76,K5*Inputs!$B$75))</x:f>
        <x:v>3</x:v>
      </x:c>
      <x:c r="M5" s="121" t="n">
        <x:f aca="0">IF(F5="Coins",ROUND((Inputs!$B$70+(E5-Inputs!$B$68)*(Inputs!$B$71-Inputs!$B$70)/(Inputs!$B$69-Inputs!$B$68))*INDEX(Inputs!$C$87:$C$96,MATCH(H5,Inputs!$A$87:$A$96,1))*INDEX(Inputs!$B$100:$B$107,MATCH("Collection",Inputs!$A$100:$A$107,0))*(1+INDEX(Inputs!$B$38:$B$44,MATCH("Limited",Inputs!$A$38:$A$44,0))*INDEX(Inputs!$D$100:$D$107,MATCH("Collection",Inputs!$A$100:$A$107,0))),1),IF(F5="Pearls",ROUND(G5*Inputs!$B$47*INDEX(Inputs!$B$53:$B$56,MATCH(H5,Inputs!$A$53:$A$56,1))*Inputs!$B$58/J5,1),0))</x:f>
        <x:v>281.1</x:v>
      </x:c>
      <x:c r="N5" s="121" t="n">
        <x:f aca="0">IF(F5="Coins",ROUND((Inputs!$B$72+(E5-Inputs!$B$68)*(Inputs!$B$73-Inputs!$B$72)/(Inputs!$B$69-Inputs!$B$68))*INDEX(Inputs!$D$87:$D$96,MATCH(H5,Inputs!$A$87:$A$96,1))*INDEX(Inputs!$C$100:$C$107,MATCH("Collection",Inputs!$A$100:$A$107,0))*(1+INDEX(Inputs!$B$38:$B$44,MATCH("Limited",Inputs!$A$38:$A$44,0))*INDEX(Inputs!$E$100:$E$107,MATCH("Collection",Inputs!$A$100:$A$107,0))),1),IF(F5="Pearls",ROUND((G5*Inputs!$B$48*INDEX(Inputs!$B$53:$B$56,MATCH(H5,Inputs!$A$53:$A$56,1))*Inputs!$B$58+G5*Inputs!$B$49)/J5,1),IF(F5="Gift",ROUND(250/J5,1),0)))</x:f>
        <x:v>65.4</x:v>
      </x:c>
      <x:c r="O5" s="121" t="n">
        <x:f aca="0">IF(F5="Coins",ROUND(N5*J5*Inputs!$B$74,0),IF(F5="Pearls",ROUND(G5*Inputs!$B$49,0),0))</x:f>
        <x:v>140</x:v>
      </x:c>
      <x:c r="P5" s="121" t="n">
        <x:f aca="0">IF(F5="Coins",ROUND(G5+M5*J5,0),IF(F5="Pearls",ROUND(G5*Inputs!$B$47*INDEX(Inputs!$B$53:$B$56,MATCH(H5,Inputs!$A$53:$A$56,1))*Inputs!$B$58,0),0))</x:f>
        <x:v>6747</x:v>
      </x:c>
      <x:c r="Q5" s="121" t="n">
        <x:f>IF(F5="Coins",MAX(1,ROUND(N5*J5-O5,0)),IF(F5="Pearls",ROUND(G5*Inputs!$B$48*INDEX(Inputs!$B$53:$B$56,MATCH(H5,Inputs!$A$53:$A$56,1))*Inputs!$B$58,0),IF(F5="Gift",250,0)))</x:f>
        <x:v>1429</x:v>
      </x:c>
      <x:c r="R5" s="121" t="n">
        <x:f>IF(F5="Coins",ROUND(G5+(P5-G5)*Inputs!$B$22,0),ROUND(P5*Inputs!$B$22,0))</x:f>
        <x:v>1687</x:v>
      </x:c>
      <x:c r="S5" s="121" t="n">
        <x:f>ROUND(Q5*Inputs!$B$22,0)</x:f>
        <x:v>357</x:v>
      </x:c>
      <x:c r="T5" s="127" t="n">
        <x:f>IF(F5="Pearls",ROUND(P5/G5,0),0)</x:f>
        <x:v>964</x:v>
      </x:c>
      <x:c r="U5" s="127" t="n">
        <x:f>IF(F5="Pearls",ROUND((O5+Q5)/G5,0),0)</x:f>
        <x:v>224</x:v>
      </x:c>
      <x:c r="V5" s="121" t="n">
        <x:f>IF(F5="Coins",ROUND((P5-G5)/J5,1),IF(F5="Pearls",ROUND(P5/J5,1),0))</x:f>
        <x:v>281.1</x:v>
      </x:c>
      <x:c r="W5" s="121" t="n">
        <x:f>ROUND((O5+Q5)/J5,1)</x:f>
        <x:v>65.4</x:v>
      </x:c>
      <x:c r="X5" s="118" t="str">
        <x:f>IF(H5&lt;1,"Active",IF(H5&lt;12,"Balanced","Idle"))</x:f>
        <x:v>Balanced</x:v>
      </x:c>
      <x:c r="Y5" s="118" t="str">
        <x:f>IF(F5="Gift","Free / non-resellable",IF(AND(F5="Pearls",T5&gt;1300),"Pearl conversion high","OK"))</x:f>
        <x:v>OK</x:v>
      </x:c>
      <x:c r="Z5" s="118" t="str"/>
    </x:row>
    <x:row r="6" ht="15" hidden="0" customHeight="1">
      <x:c r="A6" s="118" t="str">
        <x:v>LE-05</x:v>
      </x:c>
      <x:c r="B6" s="118" t="str">
        <x:v>Jack-o'-Lantern Puffer</x:v>
      </x:c>
      <x:c r="C6" s="118" t="str">
        <x:v>Halloween</x:v>
      </x:c>
      <x:c r="D6" s="118" t="str">
        <x:v>Oct 17-Nov 2</x:v>
      </x:c>
      <x:c r="E6" s="126" t="n">
        <x:v>12</x:v>
      </x:c>
      <x:c r="F6" s="126" t="str">
        <x:v>Pearls</x:v>
      </x:c>
      <x:c r="G6" s="126" t="n">
        <x:v>8</x:v>
      </x:c>
      <x:c r="H6" s="126" t="n">
        <x:v>12</x:v>
      </x:c>
      <x:c r="I6" s="118" t="str">
        <x:v>12 h</x:v>
      </x:c>
      <x:c r="J6" s="121" t="n">
        <x:f aca="0">H6*Inputs!$B$19</x:f>
        <x:v>48</x:v>
      </x:c>
      <x:c r="K6" s="121" t="n">
        <x:f aca="0">H6*Inputs!$B$20</x:f>
        <x:v>24</x:v>
      </x:c>
      <x:c r="L6" s="121" t="n">
        <x:f aca="0">MIN(Inputs!$B$77,MAX(Inputs!$B$76,K6*Inputs!$B$75))</x:f>
        <x:v>6</x:v>
      </x:c>
      <x:c r="M6" s="121" t="n">
        <x:f aca="0">IF(F6="Coins",ROUND((Inputs!$B$70+(E6-Inputs!$B$68)*(Inputs!$B$71-Inputs!$B$70)/(Inputs!$B$69-Inputs!$B$68))*INDEX(Inputs!$C$87:$C$96,MATCH(H6,Inputs!$A$87:$A$96,1))*INDEX(Inputs!$B$100:$B$107,MATCH("Collection",Inputs!$A$100:$A$107,0))*(1+INDEX(Inputs!$B$38:$B$44,MATCH("Limited",Inputs!$A$38:$A$44,0))*INDEX(Inputs!$D$100:$D$107,MATCH("Collection",Inputs!$A$100:$A$107,0))),1),IF(F6="Pearls",ROUND(G6*Inputs!$B$47*INDEX(Inputs!$B$53:$B$56,MATCH(H6,Inputs!$A$53:$A$56,1))*Inputs!$B$58/J6,1),0))</x:f>
        <x:v>168.3</x:v>
      </x:c>
      <x:c r="N6" s="121" t="n">
        <x:f aca="0">IF(F6="Coins",ROUND((Inputs!$B$72+(E6-Inputs!$B$68)*(Inputs!$B$73-Inputs!$B$72)/(Inputs!$B$69-Inputs!$B$68))*INDEX(Inputs!$D$87:$D$96,MATCH(H6,Inputs!$A$87:$A$96,1))*INDEX(Inputs!$C$100:$C$107,MATCH("Collection",Inputs!$A$100:$A$107,0))*(1+INDEX(Inputs!$B$38:$B$44,MATCH("Limited",Inputs!$A$38:$A$44,0))*INDEX(Inputs!$E$100:$E$107,MATCH("Collection",Inputs!$A$100:$A$107,0))),1),IF(F6="Pearls",ROUND((G6*Inputs!$B$48*INDEX(Inputs!$B$53:$B$56,MATCH(H6,Inputs!$A$53:$A$56,1))*Inputs!$B$58+G6*Inputs!$B$49)/J6,1),IF(F6="Gift",ROUND(250/J6,1),0)))</x:f>
        <x:v>39</x:v>
      </x:c>
      <x:c r="O6" s="121" t="n">
        <x:f aca="0">IF(F6="Coins",ROUND(N6*J6*Inputs!$B$74,0),IF(F6="Pearls",ROUND(G6*Inputs!$B$49,0),0))</x:f>
        <x:v>160</x:v>
      </x:c>
      <x:c r="P6" s="121" t="n">
        <x:f aca="0">IF(F6="Coins",ROUND(G6+M6*J6,0),IF(F6="Pearls",ROUND(G6*Inputs!$B$47*INDEX(Inputs!$B$53:$B$56,MATCH(H6,Inputs!$A$53:$A$56,1))*Inputs!$B$58,0),0))</x:f>
        <x:v>8078</x:v>
      </x:c>
      <x:c r="Q6" s="121" t="n">
        <x:f>IF(F6="Coins",MAX(1,ROUND(N6*J6-O6,0)),IF(F6="Pearls",ROUND(G6*Inputs!$B$48*INDEX(Inputs!$B$53:$B$56,MATCH(H6,Inputs!$A$53:$A$56,1))*Inputs!$B$58,0),IF(F6="Gift",250,0)))</x:f>
        <x:v>1711</x:v>
      </x:c>
      <x:c r="R6" s="121" t="n">
        <x:f>IF(F6="Coins",ROUND(G6+(P6-G6)*Inputs!$B$22,0),ROUND(P6*Inputs!$B$22,0))</x:f>
        <x:v>2020</x:v>
      </x:c>
      <x:c r="S6" s="121" t="n">
        <x:f>ROUND(Q6*Inputs!$B$22,0)</x:f>
        <x:v>428</x:v>
      </x:c>
      <x:c r="T6" s="127" t="n">
        <x:f>IF(F6="Pearls",ROUND(P6/G6,0),0)</x:f>
        <x:v>1010</x:v>
      </x:c>
      <x:c r="U6" s="127" t="n">
        <x:f>IF(F6="Pearls",ROUND((O6+Q6)/G6,0),0)</x:f>
        <x:v>234</x:v>
      </x:c>
      <x:c r="V6" s="121" t="n">
        <x:f>IF(F6="Coins",ROUND((P6-G6)/J6,1),IF(F6="Pearls",ROUND(P6/J6,1),0))</x:f>
        <x:v>168.3</x:v>
      </x:c>
      <x:c r="W6" s="121" t="n">
        <x:f>ROUND((O6+Q6)/J6,1)</x:f>
        <x:v>39</x:v>
      </x:c>
      <x:c r="X6" s="118" t="str">
        <x:f>IF(H6&lt;1,"Active",IF(H6&lt;12,"Balanced","Idle"))</x:f>
        <x:v>Idle</x:v>
      </x:c>
      <x:c r="Y6" s="118" t="str">
        <x:f>IF(F6="Gift","Free / non-resellable",IF(AND(F6="Pearls",T6&gt;1300),"Pearl conversion high","OK"))</x:f>
        <x:v>OK</x:v>
      </x:c>
      <x:c r="Z6" s="118" t="str"/>
    </x:row>
    <x:row r="7" ht="15" hidden="0" customHeight="1">
      <x:c r="A7" s="118" t="str">
        <x:v>LE-06</x:v>
      </x:c>
      <x:c r="B7" s="118" t="str">
        <x:v>Midnight Vampire Squid</x:v>
      </x:c>
      <x:c r="C7" s="118" t="str">
        <x:v>Halloween (ultra)</x:v>
      </x:c>
      <x:c r="D7" s="118" t="str">
        <x:v>Oct 24-31 only</x:v>
      </x:c>
      <x:c r="E7" s="126" t="n">
        <x:v>25</x:v>
      </x:c>
      <x:c r="F7" s="126" t="str">
        <x:v>Pearls</x:v>
      </x:c>
      <x:c r="G7" s="126" t="n">
        <x:v>20</x:v>
      </x:c>
      <x:c r="H7" s="126" t="n">
        <x:v>48</x:v>
      </x:c>
      <x:c r="I7" s="118" t="str">
        <x:v>48 h (2 d)</x:v>
      </x:c>
      <x:c r="J7" s="121" t="n">
        <x:f aca="0">H7*Inputs!$B$19</x:f>
        <x:v>192</x:v>
      </x:c>
      <x:c r="K7" s="121" t="n">
        <x:f aca="0">H7*Inputs!$B$20</x:f>
        <x:v>96</x:v>
      </x:c>
      <x:c r="L7" s="121" t="n">
        <x:f aca="0">MIN(Inputs!$B$77,MAX(Inputs!$B$76,K7*Inputs!$B$75))</x:f>
        <x:v>24</x:v>
      </x:c>
      <x:c r="M7" s="121" t="n">
        <x:f aca="0">IF(F7="Coins",ROUND((Inputs!$B$70+(E7-Inputs!$B$68)*(Inputs!$B$71-Inputs!$B$70)/(Inputs!$B$69-Inputs!$B$68))*INDEX(Inputs!$C$87:$C$96,MATCH(H7,Inputs!$A$87:$A$96,1))*INDEX(Inputs!$B$100:$B$107,MATCH("Collection",Inputs!$A$100:$A$107,0))*(1+INDEX(Inputs!$B$38:$B$44,MATCH("Limited",Inputs!$A$38:$A$44,0))*INDEX(Inputs!$D$100:$D$107,MATCH("Collection",Inputs!$A$100:$A$107,0))),1),IF(F7="Pearls",ROUND(G7*Inputs!$B$47*INDEX(Inputs!$B$53:$B$56,MATCH(H7,Inputs!$A$53:$A$56,1))*Inputs!$B$58/J7,1),0))</x:f>
        <x:v>112.8</x:v>
      </x:c>
      <x:c r="N7" s="121" t="n">
        <x:f aca="0">IF(F7="Coins",ROUND((Inputs!$B$72+(E7-Inputs!$B$68)*(Inputs!$B$73-Inputs!$B$72)/(Inputs!$B$69-Inputs!$B$68))*INDEX(Inputs!$D$87:$D$96,MATCH(H7,Inputs!$A$87:$A$96,1))*INDEX(Inputs!$C$100:$C$107,MATCH("Collection",Inputs!$A$100:$A$107,0))*(1+INDEX(Inputs!$B$38:$B$44,MATCH("Limited",Inputs!$A$38:$A$44,0))*INDEX(Inputs!$E$100:$E$107,MATCH("Collection",Inputs!$A$100:$A$107,0))),1),IF(F7="Pearls",ROUND((G7*Inputs!$B$48*INDEX(Inputs!$B$53:$B$56,MATCH(H7,Inputs!$A$53:$A$56,1))*Inputs!$B$58+G7*Inputs!$B$49)/J7,1),IF(F7="Gift",ROUND(250/J7,1),0)))</x:f>
        <x:v>26</x:v>
      </x:c>
      <x:c r="O7" s="121" t="n">
        <x:f aca="0">IF(F7="Coins",ROUND(N7*J7*Inputs!$B$74,0),IF(F7="Pearls",ROUND(G7*Inputs!$B$49,0),0))</x:f>
        <x:v>400</x:v>
      </x:c>
      <x:c r="P7" s="121" t="n">
        <x:f aca="0">IF(F7="Coins",ROUND(G7+M7*J7,0),IF(F7="Pearls",ROUND(G7*Inputs!$B$47*INDEX(Inputs!$B$53:$B$56,MATCH(H7,Inputs!$A$53:$A$56,1))*Inputs!$B$58,0),0))</x:f>
        <x:v>21665</x:v>
      </x:c>
      <x:c r="Q7" s="121" t="n">
        <x:f>IF(F7="Coins",MAX(1,ROUND(N7*J7-O7,0)),IF(F7="Pearls",ROUND(G7*Inputs!$B$48*INDEX(Inputs!$B$53:$B$56,MATCH(H7,Inputs!$A$53:$A$56,1))*Inputs!$B$58,0),IF(F7="Gift",250,0)))</x:f>
        <x:v>4588</x:v>
      </x:c>
      <x:c r="R7" s="121" t="n">
        <x:f>IF(F7="Coins",ROUND(G7+(P7-G7)*Inputs!$B$22,0),ROUND(P7*Inputs!$B$22,0))</x:f>
        <x:v>5416</x:v>
      </x:c>
      <x:c r="S7" s="121" t="n">
        <x:f>ROUND(Q7*Inputs!$B$22,0)</x:f>
        <x:v>1147</x:v>
      </x:c>
      <x:c r="T7" s="127" t="n">
        <x:f>IF(F7="Pearls",ROUND(P7/G7,0),0)</x:f>
        <x:v>1083</x:v>
      </x:c>
      <x:c r="U7" s="127" t="n">
        <x:f>IF(F7="Pearls",ROUND((O7+Q7)/G7,0),0)</x:f>
        <x:v>249</x:v>
      </x:c>
      <x:c r="V7" s="121" t="n">
        <x:f>IF(F7="Coins",ROUND((P7-G7)/J7,1),IF(F7="Pearls",ROUND(P7/J7,1),0))</x:f>
        <x:v>112.8</x:v>
      </x:c>
      <x:c r="W7" s="121" t="n">
        <x:f>ROUND((O7+Q7)/J7,1)</x:f>
        <x:v>26</x:v>
      </x:c>
      <x:c r="X7" s="118" t="str">
        <x:f>IF(H7&lt;1,"Active",IF(H7&lt;12,"Balanced","Idle"))</x:f>
        <x:v>Idle</x:v>
      </x:c>
      <x:c r="Y7" s="118" t="str">
        <x:f>IF(F7="Gift","Free / non-resellable",IF(AND(F7="Pearls",T7&gt;1300),"Pearl conversion high","OK"))</x:f>
        <x:v>OK</x:v>
      </x:c>
      <x:c r="Z7" s="118" t="str">
        <x:v>Rarest LE; 1-week window</x:v>
      </x:c>
    </x:row>
    <x:row r="8" ht="15" hidden="0" customHeight="1">
      <x:c r="A8" s="118" t="str">
        <x:v>LE-07</x:v>
      </x:c>
      <x:c r="B8" s="118" t="str">
        <x:v>Santa Clownfish</x:v>
      </x:c>
      <x:c r="C8" s="118" t="str">
        <x:v>Winterfest</x:v>
      </x:c>
      <x:c r="D8" s="118" t="str">
        <x:v>Dec 10-31</x:v>
      </x:c>
      <x:c r="E8" s="126" t="n">
        <x:v>5</x:v>
      </x:c>
      <x:c r="F8" s="126" t="str">
        <x:v>Pearls</x:v>
      </x:c>
      <x:c r="G8" s="126" t="n">
        <x:v>6</x:v>
      </x:c>
      <x:c r="H8" s="126" t="n">
        <x:v>8</x:v>
      </x:c>
      <x:c r="I8" s="118" t="str">
        <x:v>8 h</x:v>
      </x:c>
      <x:c r="J8" s="121" t="n">
        <x:f aca="0">H8*Inputs!$B$19</x:f>
        <x:v>32</x:v>
      </x:c>
      <x:c r="K8" s="121" t="n">
        <x:f aca="0">H8*Inputs!$B$20</x:f>
        <x:v>16</x:v>
      </x:c>
      <x:c r="L8" s="121" t="n">
        <x:f aca="0">MIN(Inputs!$B$77,MAX(Inputs!$B$76,K8*Inputs!$B$75))</x:f>
        <x:v>4</x:v>
      </x:c>
      <x:c r="M8" s="121" t="n">
        <x:f aca="0">IF(F8="Coins",ROUND((Inputs!$B$70+(E8-Inputs!$B$68)*(Inputs!$B$71-Inputs!$B$70)/(Inputs!$B$69-Inputs!$B$68))*INDEX(Inputs!$C$87:$C$96,MATCH(H8,Inputs!$A$87:$A$96,1))*INDEX(Inputs!$B$100:$B$107,MATCH("Collection",Inputs!$A$100:$A$107,0))*(1+INDEX(Inputs!$B$38:$B$44,MATCH("Limited",Inputs!$A$38:$A$44,0))*INDEX(Inputs!$D$100:$D$107,MATCH("Collection",Inputs!$A$100:$A$107,0))),1),IF(F8="Pearls",ROUND(G8*Inputs!$B$47*INDEX(Inputs!$B$53:$B$56,MATCH(H8,Inputs!$A$53:$A$56,1))*Inputs!$B$58/J8,1),0))</x:f>
        <x:v>189.3</x:v>
      </x:c>
      <x:c r="N8" s="121" t="n">
        <x:f aca="0">IF(F8="Coins",ROUND((Inputs!$B$72+(E8-Inputs!$B$68)*(Inputs!$B$73-Inputs!$B$72)/(Inputs!$B$69-Inputs!$B$68))*INDEX(Inputs!$D$87:$D$96,MATCH(H8,Inputs!$A$87:$A$96,1))*INDEX(Inputs!$C$100:$C$107,MATCH("Collection",Inputs!$A$100:$A$107,0))*(1+INDEX(Inputs!$B$38:$B$44,MATCH("Limited",Inputs!$A$38:$A$44,0))*INDEX(Inputs!$E$100:$E$107,MATCH("Collection",Inputs!$A$100:$A$107,0))),1),IF(F8="Pearls",ROUND((G8*Inputs!$B$48*INDEX(Inputs!$B$53:$B$56,MATCH(H8,Inputs!$A$53:$A$56,1))*Inputs!$B$58+G8*Inputs!$B$49)/J8,1),IF(F8="Gift",ROUND(250/J8,1),0)))</x:f>
        <x:v>43.8</x:v>
      </x:c>
      <x:c r="O8" s="121" t="n">
        <x:f aca="0">IF(F8="Coins",ROUND(N8*J8*Inputs!$B$74,0),IF(F8="Pearls",ROUND(G8*Inputs!$B$49,0),0))</x:f>
        <x:v>120</x:v>
      </x:c>
      <x:c r="P8" s="121" t="n">
        <x:f aca="0">IF(F8="Coins",ROUND(G8+M8*J8,0),IF(F8="Pearls",ROUND(G8*Inputs!$B$47*INDEX(Inputs!$B$53:$B$56,MATCH(H8,Inputs!$A$53:$A$56,1))*Inputs!$B$58,0),0))</x:f>
        <x:v>6059</x:v>
      </x:c>
      <x:c r="Q8" s="121" t="n">
        <x:f>IF(F8="Coins",MAX(1,ROUND(N8*J8-O8,0)),IF(F8="Pearls",ROUND(G8*Inputs!$B$48*INDEX(Inputs!$B$53:$B$56,MATCH(H8,Inputs!$A$53:$A$56,1))*Inputs!$B$58,0),IF(F8="Gift",250,0)))</x:f>
        <x:v>1283</x:v>
      </x:c>
      <x:c r="R8" s="121" t="n">
        <x:f>IF(F8="Coins",ROUND(G8+(P8-G8)*Inputs!$B$22,0),ROUND(P8*Inputs!$B$22,0))</x:f>
        <x:v>1515</x:v>
      </x:c>
      <x:c r="S8" s="121" t="n">
        <x:f>ROUND(Q8*Inputs!$B$22,0)</x:f>
        <x:v>321</x:v>
      </x:c>
      <x:c r="T8" s="127" t="n">
        <x:f>IF(F8="Pearls",ROUND(P8/G8,0),0)</x:f>
        <x:v>1010</x:v>
      </x:c>
      <x:c r="U8" s="127" t="n">
        <x:f>IF(F8="Pearls",ROUND((O8+Q8)/G8,0),0)</x:f>
        <x:v>234</x:v>
      </x:c>
      <x:c r="V8" s="121" t="n">
        <x:f>IF(F8="Coins",ROUND((P8-G8)/J8,1),IF(F8="Pearls",ROUND(P8/J8,1),0))</x:f>
        <x:v>189.3</x:v>
      </x:c>
      <x:c r="W8" s="121" t="n">
        <x:f>ROUND((O8+Q8)/J8,1)</x:f>
        <x:v>43.8</x:v>
      </x:c>
      <x:c r="X8" s="118" t="str">
        <x:f>IF(H8&lt;1,"Active",IF(H8&lt;12,"Balanced","Idle"))</x:f>
        <x:v>Balanced</x:v>
      </x:c>
      <x:c r="Y8" s="118" t="str">
        <x:f>IF(F8="Gift","Free / non-resellable",IF(AND(F8="Pearls",T8&gt;1300),"Pearl conversion high","OK"))</x:f>
        <x:v>OK</x:v>
      </x:c>
      <x:c r="Z8" s="118" t="str"/>
    </x:row>
    <x:row r="9" ht="15" hidden="0" customHeight="1">
      <x:c r="A9" s="118" t="str">
        <x:v>LE-08</x:v>
      </x:c>
      <x:c r="B9" s="118" t="str">
        <x:v>Frost Angelfish</x:v>
      </x:c>
      <x:c r="C9" s="118" t="str">
        <x:v>Winterfest</x:v>
      </x:c>
      <x:c r="D9" s="118" t="str">
        <x:v>Dec 10-Jan 6</x:v>
      </x:c>
      <x:c r="E9" s="126" t="n">
        <x:v>15</x:v>
      </x:c>
      <x:c r="F9" s="126" t="str">
        <x:v>Pearls</x:v>
      </x:c>
      <x:c r="G9" s="126" t="n">
        <x:v>9</x:v>
      </x:c>
      <x:c r="H9" s="126" t="n">
        <x:v>18</x:v>
      </x:c>
      <x:c r="I9" s="118" t="str">
        <x:v>18 h</x:v>
      </x:c>
      <x:c r="J9" s="121" t="n">
        <x:f aca="0">H9*Inputs!$B$19</x:f>
        <x:v>72</x:v>
      </x:c>
      <x:c r="K9" s="121" t="n">
        <x:f aca="0">H9*Inputs!$B$20</x:f>
        <x:v>36</x:v>
      </x:c>
      <x:c r="L9" s="121" t="n">
        <x:f aca="0">MIN(Inputs!$B$77,MAX(Inputs!$B$76,K9*Inputs!$B$75))</x:f>
        <x:v>9</x:v>
      </x:c>
      <x:c r="M9" s="121" t="n">
        <x:f aca="0">IF(F9="Coins",ROUND((Inputs!$B$70+(E9-Inputs!$B$68)*(Inputs!$B$71-Inputs!$B$70)/(Inputs!$B$69-Inputs!$B$68))*INDEX(Inputs!$C$87:$C$96,MATCH(H9,Inputs!$A$87:$A$96,1))*INDEX(Inputs!$B$100:$B$107,MATCH("Collection",Inputs!$A$100:$A$107,0))*(1+INDEX(Inputs!$B$38:$B$44,MATCH("Limited",Inputs!$A$38:$A$44,0))*INDEX(Inputs!$D$100:$D$107,MATCH("Collection",Inputs!$A$100:$A$107,0))),1),IF(F9="Pearls",ROUND(G9*Inputs!$B$47*INDEX(Inputs!$B$53:$B$56,MATCH(H9,Inputs!$A$53:$A$56,1))*Inputs!$B$58/J9,1),0))</x:f>
        <x:v>126.2</x:v>
      </x:c>
      <x:c r="N9" s="121" t="n">
        <x:f aca="0">IF(F9="Coins",ROUND((Inputs!$B$72+(E9-Inputs!$B$68)*(Inputs!$B$73-Inputs!$B$72)/(Inputs!$B$69-Inputs!$B$68))*INDEX(Inputs!$D$87:$D$96,MATCH(H9,Inputs!$A$87:$A$96,1))*INDEX(Inputs!$C$100:$C$107,MATCH("Collection",Inputs!$A$100:$A$107,0))*(1+INDEX(Inputs!$B$38:$B$44,MATCH("Limited",Inputs!$A$38:$A$44,0))*INDEX(Inputs!$E$100:$E$107,MATCH("Collection",Inputs!$A$100:$A$107,0))),1),IF(F9="Pearls",ROUND((G9*Inputs!$B$48*INDEX(Inputs!$B$53:$B$56,MATCH(H9,Inputs!$A$53:$A$56,1))*Inputs!$B$58+G9*Inputs!$B$49)/J9,1),IF(F9="Gift",ROUND(250/J9,1),0)))</x:f>
        <x:v>29.2</x:v>
      </x:c>
      <x:c r="O9" s="121" t="n">
        <x:f aca="0">IF(F9="Coins",ROUND(N9*J9*Inputs!$B$74,0),IF(F9="Pearls",ROUND(G9*Inputs!$B$49,0),0))</x:f>
        <x:v>180</x:v>
      </x:c>
      <x:c r="P9" s="121" t="n">
        <x:f aca="0">IF(F9="Coins",ROUND(G9+M9*J9,0),IF(F9="Pearls",ROUND(G9*Inputs!$B$47*INDEX(Inputs!$B$53:$B$56,MATCH(H9,Inputs!$A$53:$A$56,1))*Inputs!$B$58,0),0))</x:f>
        <x:v>9088</x:v>
      </x:c>
      <x:c r="Q9" s="121" t="n">
        <x:f>IF(F9="Coins",MAX(1,ROUND(N9*J9-O9,0)),IF(F9="Pearls",ROUND(G9*Inputs!$B$48*INDEX(Inputs!$B$53:$B$56,MATCH(H9,Inputs!$A$53:$A$56,1))*Inputs!$B$58,0),IF(F9="Gift",250,0)))</x:f>
        <x:v>1925</x:v>
      </x:c>
      <x:c r="R9" s="121" t="n">
        <x:f>IF(F9="Coins",ROUND(G9+(P9-G9)*Inputs!$B$22,0),ROUND(P9*Inputs!$B$22,0))</x:f>
        <x:v>2272</x:v>
      </x:c>
      <x:c r="S9" s="121" t="n">
        <x:f>ROUND(Q9*Inputs!$B$22,0)</x:f>
        <x:v>481</x:v>
      </x:c>
      <x:c r="T9" s="127" t="n">
        <x:f>IF(F9="Pearls",ROUND(P9/G9,0),0)</x:f>
        <x:v>1010</x:v>
      </x:c>
      <x:c r="U9" s="127" t="n">
        <x:f>IF(F9="Pearls",ROUND((O9+Q9)/G9,0),0)</x:f>
        <x:v>234</x:v>
      </x:c>
      <x:c r="V9" s="121" t="n">
        <x:f>IF(F9="Coins",ROUND((P9-G9)/J9,1),IF(F9="Pearls",ROUND(P9/J9,1),0))</x:f>
        <x:v>126.2</x:v>
      </x:c>
      <x:c r="W9" s="121" t="n">
        <x:f>ROUND((O9+Q9)/J9,1)</x:f>
        <x:v>29.2</x:v>
      </x:c>
      <x:c r="X9" s="118" t="str">
        <x:f>IF(H9&lt;1,"Active",IF(H9&lt;12,"Balanced","Idle"))</x:f>
        <x:v>Idle</x:v>
      </x:c>
      <x:c r="Y9" s="118" t="str">
        <x:f>IF(F9="Gift","Free / non-resellable",IF(AND(F9="Pearls",T9&gt;1300),"Pearl conversion high","OK"))</x:f>
        <x:v>OK</x:v>
      </x:c>
      <x:c r="Z9" s="118" t="str"/>
    </x:row>
    <x:row r="10" ht="15" hidden="0" customHeight="1">
      <x:c r="A10" s="118" t="str">
        <x:v>LE-09</x:v>
      </x:c>
      <x:c r="B10" s="118" t="str">
        <x:v>Golden Koi</x:v>
      </x:c>
      <x:c r="C10" s="118" t="str">
        <x:v>Lunar New Year</x:v>
      </x:c>
      <x:c r="D10" s="118" t="str">
        <x:v>Jan 25-Feb 8</x:v>
      </x:c>
      <x:c r="E10" s="126" t="n">
        <x:v>10</x:v>
      </x:c>
      <x:c r="F10" s="126" t="str">
        <x:v>Pearls</x:v>
      </x:c>
      <x:c r="G10" s="126" t="n">
        <x:v>10</x:v>
      </x:c>
      <x:c r="H10" s="126" t="n">
        <x:v>24</x:v>
      </x:c>
      <x:c r="I10" s="118" t="str">
        <x:v>24 h (1 d)</x:v>
      </x:c>
      <x:c r="J10" s="121" t="n">
        <x:f aca="0">H10*Inputs!$B$19</x:f>
        <x:v>96</x:v>
      </x:c>
      <x:c r="K10" s="121" t="n">
        <x:f aca="0">H10*Inputs!$B$20</x:f>
        <x:v>48</x:v>
      </x:c>
      <x:c r="L10" s="121" t="n">
        <x:f aca="0">MIN(Inputs!$B$77,MAX(Inputs!$B$76,K10*Inputs!$B$75))</x:f>
        <x:v>12</x:v>
      </x:c>
      <x:c r="M10" s="121" t="n">
        <x:f aca="0">IF(F10="Coins",ROUND((Inputs!$B$70+(E10-Inputs!$B$68)*(Inputs!$B$71-Inputs!$B$70)/(Inputs!$B$69-Inputs!$B$68))*INDEX(Inputs!$C$87:$C$96,MATCH(H10,Inputs!$A$87:$A$96,1))*INDEX(Inputs!$B$100:$B$107,MATCH("Collection",Inputs!$A$100:$A$107,0))*(1+INDEX(Inputs!$B$38:$B$44,MATCH("Limited",Inputs!$A$38:$A$44,0))*INDEX(Inputs!$D$100:$D$107,MATCH("Collection",Inputs!$A$100:$A$107,0))),1),IF(F10="Pearls",ROUND(G10*Inputs!$B$47*INDEX(Inputs!$B$53:$B$56,MATCH(H10,Inputs!$A$53:$A$56,1))*Inputs!$B$58/J10,1),0))</x:f>
        <x:v>112.8</x:v>
      </x:c>
      <x:c r="N10" s="121" t="n">
        <x:f aca="0">IF(F10="Coins",ROUND((Inputs!$B$72+(E10-Inputs!$B$68)*(Inputs!$B$73-Inputs!$B$72)/(Inputs!$B$69-Inputs!$B$68))*INDEX(Inputs!$D$87:$D$96,MATCH(H10,Inputs!$A$87:$A$96,1))*INDEX(Inputs!$C$100:$C$107,MATCH("Collection",Inputs!$A$100:$A$107,0))*(1+INDEX(Inputs!$B$38:$B$44,MATCH("Limited",Inputs!$A$38:$A$44,0))*INDEX(Inputs!$E$100:$E$107,MATCH("Collection",Inputs!$A$100:$A$107,0))),1),IF(F10="Pearls",ROUND((G10*Inputs!$B$48*INDEX(Inputs!$B$53:$B$56,MATCH(H10,Inputs!$A$53:$A$56,1))*Inputs!$B$58+G10*Inputs!$B$49)/J10,1),IF(F10="Gift",ROUND(250/J10,1),0)))</x:f>
        <x:v>26</x:v>
      </x:c>
      <x:c r="O10" s="121" t="n">
        <x:f aca="0">IF(F10="Coins",ROUND(N10*J10*Inputs!$B$74,0),IF(F10="Pearls",ROUND(G10*Inputs!$B$49,0),0))</x:f>
        <x:v>200</x:v>
      </x:c>
      <x:c r="P10" s="121" t="n">
        <x:f aca="0">IF(F10="Coins",ROUND(G10+M10*J10,0),IF(F10="Pearls",ROUND(G10*Inputs!$B$47*INDEX(Inputs!$B$53:$B$56,MATCH(H10,Inputs!$A$53:$A$56,1))*Inputs!$B$58,0),0))</x:f>
        <x:v>10832</x:v>
      </x:c>
      <x:c r="Q10" s="121" t="n">
        <x:f>IF(F10="Coins",MAX(1,ROUND(N10*J10-O10,0)),IF(F10="Pearls",ROUND(G10*Inputs!$B$48*INDEX(Inputs!$B$53:$B$56,MATCH(H10,Inputs!$A$53:$A$56,1))*Inputs!$B$58,0),IF(F10="Gift",250,0)))</x:f>
        <x:v>2294</x:v>
      </x:c>
      <x:c r="R10" s="121" t="n">
        <x:f>IF(F10="Coins",ROUND(G10+(P10-G10)*Inputs!$B$22,0),ROUND(P10*Inputs!$B$22,0))</x:f>
        <x:v>2708</x:v>
      </x:c>
      <x:c r="S10" s="121" t="n">
        <x:f>ROUND(Q10*Inputs!$B$22,0)</x:f>
        <x:v>574</x:v>
      </x:c>
      <x:c r="T10" s="127" t="n">
        <x:f>IF(F10="Pearls",ROUND(P10/G10,0),0)</x:f>
        <x:v>1083</x:v>
      </x:c>
      <x:c r="U10" s="127" t="n">
        <x:f>IF(F10="Pearls",ROUND((O10+Q10)/G10,0),0)</x:f>
        <x:v>249</x:v>
      </x:c>
      <x:c r="V10" s="121" t="n">
        <x:f>IF(F10="Coins",ROUND((P10-G10)/J10,1),IF(F10="Pearls",ROUND(P10/J10,1),0))</x:f>
        <x:v>112.8</x:v>
      </x:c>
      <x:c r="W10" s="121" t="n">
        <x:f>ROUND((O10+Q10)/J10,1)</x:f>
        <x:v>26</x:v>
      </x:c>
      <x:c r="X10" s="118" t="str">
        <x:f>IF(H10&lt;1,"Active",IF(H10&lt;12,"Balanced","Idle"))</x:f>
        <x:v>Idle</x:v>
      </x:c>
      <x:c r="Y10" s="118" t="str">
        <x:f>IF(F10="Gift","Free / non-resellable",IF(AND(F10="Pearls",T10&gt;1300),"Pearl conversion high","OK"))</x:f>
        <x:v>OK</x:v>
      </x:c>
      <x:c r="Z10" s="118" t="str">
        <x:v>Lunar trophy; no longer best pearl-to-coin conversion.</x:v>
      </x:c>
    </x:row>
    <x:row r="11" ht="39.599998474121094" hidden="0" customHeight="1">
      <x:c r="A11" s="118" t="str">
        <x:v>LE-10</x:v>
      </x:c>
      <x:c r="B11" s="118" t="str">
        <x:v>Anniversary Rainbowfish</x:v>
      </x:c>
      <x:c r="C11" s="118" t="str">
        <x:v>Game Anniversary</x:v>
      </x:c>
      <x:c r="D11" s="118" t="str">
        <x:v>1 week, yearly</x:v>
      </x:c>
      <x:c r="E11" s="126" t="n">
        <x:v>1</x:v>
      </x:c>
      <x:c r="F11" s="126" t="str">
        <x:v>Gift</x:v>
      </x:c>
      <x:c r="G11" s="126" t="n">
        <x:v>0</x:v>
      </x:c>
      <x:c r="H11" s="126" t="n">
        <x:v>36</x:v>
      </x:c>
      <x:c r="I11" s="118" t="str">
        <x:v>36 h (1.5 d)</x:v>
      </x:c>
      <x:c r="J11" s="121" t="n">
        <x:f aca="0">H11*Inputs!$B$19</x:f>
        <x:v>144</x:v>
      </x:c>
      <x:c r="K11" s="121" t="n">
        <x:f aca="0">H11*Inputs!$B$20</x:f>
        <x:v>72</x:v>
      </x:c>
      <x:c r="L11" s="121" t="n">
        <x:f aca="0">MIN(Inputs!$B$77,MAX(Inputs!$B$76,K11*Inputs!$B$75))</x:f>
        <x:v>18</x:v>
      </x:c>
      <x:c r="M11" s="121" t="n">
        <x:f aca="0">IF(F11="Coins",ROUND((Inputs!$B$70+(E11-Inputs!$B$68)*(Inputs!$B$71-Inputs!$B$70)/(Inputs!$B$69-Inputs!$B$68))*INDEX(Inputs!$C$87:$C$96,MATCH(H11,Inputs!$A$87:$A$96,1))*INDEX(Inputs!$B$100:$B$107,MATCH("Collection",Inputs!$A$100:$A$107,0))*(1+INDEX(Inputs!$B$38:$B$44,MATCH("Limited",Inputs!$A$38:$A$44,0))*INDEX(Inputs!$D$100:$D$107,MATCH("Collection",Inputs!$A$100:$A$107,0))),1),IF(F11="Pearls",ROUND(G11*Inputs!$B$47*INDEX(Inputs!$B$53:$B$56,MATCH(H11,Inputs!$A$53:$A$56,1))*Inputs!$B$58/J11,1),0))</x:f>
        <x:v>0</x:v>
      </x:c>
      <x:c r="N11" s="121" t="n">
        <x:f aca="0">IF(F11="Coins",ROUND((Inputs!$B$72+(E11-Inputs!$B$68)*(Inputs!$B$73-Inputs!$B$72)/(Inputs!$B$69-Inputs!$B$68))*INDEX(Inputs!$D$87:$D$96,MATCH(H11,Inputs!$A$87:$A$96,1))*INDEX(Inputs!$C$100:$C$107,MATCH("Collection",Inputs!$A$100:$A$107,0))*(1+INDEX(Inputs!$B$38:$B$44,MATCH("Limited",Inputs!$A$38:$A$44,0))*INDEX(Inputs!$E$100:$E$107,MATCH("Collection",Inputs!$A$100:$A$107,0))),1),IF(F11="Pearls",ROUND((G11*Inputs!$B$48*INDEX(Inputs!$B$53:$B$56,MATCH(H11,Inputs!$A$53:$A$56,1))*Inputs!$B$58+G11*Inputs!$B$49)/J11,1),IF(F11="Gift",ROUND(250/J11,1),0)))</x:f>
        <x:v>1.7</x:v>
      </x:c>
      <x:c r="O11" s="121" t="n">
        <x:f aca="0">IF(F11="Coins",ROUND(N11*J11*Inputs!$B$74,0),IF(F11="Pearls",ROUND(G11*Inputs!$B$49,0),0))</x:f>
        <x:v>0</x:v>
      </x:c>
      <x:c r="P11" s="121" t="n">
        <x:f aca="0">IF(F11="Coins",ROUND(G11+M11*J11,0),IF(F11="Pearls",ROUND(G11*Inputs!$B$47*INDEX(Inputs!$B$53:$B$56,MATCH(H11,Inputs!$A$53:$A$56,1))*Inputs!$B$58,0),0))</x:f>
        <x:v>0</x:v>
      </x:c>
      <x:c r="Q11" s="121" t="n">
        <x:f>IF(F11="Coins",MAX(1,ROUND(N11*J11-O11,0)),IF(F11="Pearls",ROUND(G11*Inputs!$B$48*INDEX(Inputs!$B$53:$B$56,MATCH(H11,Inputs!$A$53:$A$56,1))*Inputs!$B$58,0),IF(F11="Gift",250,0)))</x:f>
        <x:v>250</x:v>
      </x:c>
      <x:c r="R11" s="121" t="n">
        <x:f>IF(F11="Coins",ROUND(G11+(P11-G11)*Inputs!$B$22,0),ROUND(P11*Inputs!$B$22,0))</x:f>
        <x:v>0</x:v>
      </x:c>
      <x:c r="S11" s="121" t="n">
        <x:f>ROUND(Q11*Inputs!$B$22,0)</x:f>
        <x:v>63</x:v>
      </x:c>
      <x:c r="T11" s="127" t="n">
        <x:f>IF(F11="Pearls",ROUND(P11/G11,0),0)</x:f>
        <x:v>0</x:v>
      </x:c>
      <x:c r="U11" s="127" t="n">
        <x:f>IF(F11="Pearls",ROUND((O11+Q11)/G11,0),0)</x:f>
        <x:v>0</x:v>
      </x:c>
      <x:c r="V11" s="121" t="n">
        <x:f>IF(F11="Coins",ROUND((P11-G11)/J11,1),IF(F11="Pearls",ROUND(P11/J11,1),0))</x:f>
        <x:v>0</x:v>
      </x:c>
      <x:c r="W11" s="121" t="n">
        <x:f>ROUND((O11+Q11)/J11,1)</x:f>
        <x:v>1.7</x:v>
      </x:c>
      <x:c r="X11" s="118" t="str">
        <x:f>IF(H11&lt;1,"Active",IF(H11&lt;12,"Balanced","Idle"))</x:f>
        <x:v>Idle</x:v>
      </x:c>
      <x:c r="Y11" s="118" t="str">
        <x:f>IF(F11="Gift","Free / non-resellable",IF(AND(F11="Pearls",T11&gt;1300),"Pearl conversion high","OK"))</x:f>
        <x:v>Free / non-resellable</x:v>
      </x:c>
      <x:c r="Z11" s="118" t="str">
        <x:v>Free anniversary claim; non-resellable gift version to avoid free coin farming.</x:v>
      </x:c>
    </x:row>
  </x:sheetData>
  <x:conditionalFormatting sqref="Y2:Y11">
    <x:cfRule type="expression" dxfId="6" priority="1">
      <x:formula>Y2="OK"</x:formula>
    </x:cfRule>
    <x:cfRule type="expression" dxfId="7" priority="2">
      <x:formula>Y2&lt;&gt;"OK"</x:formula>
    </x:cfRule>
  </x:conditionalFormatting>
  <x:dataValidations count="1">
    <x:dataValidation type="list" sqref="F2:F11">
      <x:formula1>"Coins,Pearls,Gift"</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1" workbookViewId="0"/>
  </x:sheetViews>
  <x:sheetFormatPr defaultColWidth="8.6796875" defaultRowHeight="15"/>
  <x:cols>
    <x:col min="1" max="1" width="7" hidden="0" customWidth="1"/>
    <x:col min="2" max="2" width="10" hidden="0" customWidth="1"/>
    <x:col min="3" max="3" width="26" hidden="0" customWidth="1"/>
    <x:col min="4" max="4" width="11" hidden="0" customWidth="1"/>
    <x:col min="5" max="5" width="18" hidden="0" customWidth="1"/>
    <x:col min="6" max="6" width="32" hidden="0" customWidth="1"/>
    <x:col min="7" max="7" width="18" hidden="0" customWidth="1"/>
    <x:col min="8" max="8" width="11" hidden="0" customWidth="1"/>
    <x:col min="9" max="9" width="22" hidden="0" customWidth="1"/>
    <x:col min="10" max="10" width="38" hidden="0" customWidth="1"/>
  </x:cols>
  <x:sheetData>
    <x:row r="1" ht="17.350000381469727" hidden="0">
      <x:c r="A1" s="4" t="s">
        <x:v>0</x:v>
      </x:c>
    </x:row>
    <x:row r="3" ht="30" hidden="0" customHeight="1">
      <x:c r="A3" s="22" t="s">
        <x:v>1</x:v>
      </x:c>
      <x:c r="B3" s="22" t="s">
        <x:v>2</x:v>
      </x:c>
      <x:c r="C3" s="22" t="s">
        <x:v>3</x:v>
      </x:c>
      <x:c r="D3" s="22" t="s">
        <x:v>4</x:v>
      </x:c>
      <x:c r="E3" s="22" t="s">
        <x:v>5</x:v>
      </x:c>
      <x:c r="F3" s="22" t="s">
        <x:v>6</x:v>
      </x:c>
      <x:c r="G3" s="22" t="s">
        <x:v>7</x:v>
      </x:c>
      <x:c r="H3" s="22" t="s">
        <x:v>8</x:v>
      </x:c>
      <x:c r="I3" s="22" t="s">
        <x:v>9</x:v>
      </x:c>
      <x:c r="J3" s="22" t="s">
        <x:v>10</x:v>
      </x:c>
    </x:row>
    <x:row r="4" ht="15" hidden="0" customHeight="1">
      <x:c r="A4" s="23" t="n">
        <x:v>1</x:v>
      </x:c>
      <x:c r="B4" s="13" t="s">
        <x:v>11</x:v>
      </x:c>
      <x:c r="C4" s="13" t="s">
        <x:v>12</x:v>
      </x:c>
      <x:c r="D4" s="13" t="s">
        <x:v>13</x:v>
      </x:c>
      <x:c r="E4" s="136" t="s">
        <x:v>14</x:v>
      </x:c>
      <x:c r="F4" s="136" t="s">
        <x:v>15</x:v>
      </x:c>
      <x:c r="G4" s="13" t="s">
        <x:v>15</x:v>
      </x:c>
      <x:c r="H4" s="13" t="s">
        <x:v>16</x:v>
      </x:c>
      <x:c r="I4" s="13" t="s">
        <x:v>15</x:v>
      </x:c>
      <x:c r="J4" s="13" t="s">
        <x:v>17</x:v>
      </x:c>
    </x:row>
    <x:row r="5" ht="15" hidden="0" customHeight="1">
      <x:c r="A5" s="23" t="n">
        <x:v>2</x:v>
      </x:c>
      <x:c r="B5" s="13" t="s">
        <x:v>11</x:v>
      </x:c>
      <x:c r="C5" s="13" t="s">
        <x:v>18</x:v>
      </x:c>
      <x:c r="D5" s="13" t="s">
        <x:v>13</x:v>
      </x:c>
      <x:c r="E5" s="136" t="s">
        <x:v>19</x:v>
      </x:c>
      <x:c r="F5" s="136" t="str">
        <x:v>Bubble Eye Goldfish [one-time tutorial]</x:v>
      </x:c>
      <x:c r="G5" s="13" t="s">
        <x:v>15</x:v>
      </x:c>
      <x:c r="H5" s="13" t="s">
        <x:v>20</x:v>
      </x:c>
      <x:c r="I5" s="13" t="s">
        <x:v>15</x:v>
      </x:c>
      <x:c r="J5" s="13" t="s">
        <x:v>17</x:v>
      </x:c>
    </x:row>
    <x:row r="6" ht="15" hidden="0" customHeight="1">
      <x:c r="A6" s="23" t="n">
        <x:v>3</x:v>
      </x:c>
      <x:c r="B6" s="13" t="s">
        <x:v>11</x:v>
      </x:c>
      <x:c r="C6" s="13" t="s">
        <x:v>21</x:v>
      </x:c>
      <x:c r="D6" s="13" t="s">
        <x:v>15</x:v>
      </x:c>
      <x:c r="E6" s="136" t="s">
        <x:v>15</x:v>
      </x:c>
      <x:c r="F6" s="136" t="s">
        <x:v>15</x:v>
      </x:c>
      <x:c r="G6" s="13" t="s">
        <x:v>15</x:v>
      </x:c>
      <x:c r="H6" s="13" t="s">
        <x:v>22</x:v>
      </x:c>
      <x:c r="I6" s="13" t="s">
        <x:v>15</x:v>
      </x:c>
      <x:c r="J6" s="13" t="s">
        <x:v>17</x:v>
      </x:c>
    </x:row>
    <x:row r="7" ht="15" hidden="0" customHeight="1">
      <x:c r="A7" s="23" t="n">
        <x:v>4</x:v>
      </x:c>
      <x:c r="B7" s="13" t="s">
        <x:v>11</x:v>
      </x:c>
      <x:c r="C7" s="13" t="s">
        <x:v>23</x:v>
      </x:c>
      <x:c r="D7" s="13" t="s">
        <x:v>13</x:v>
      </x:c>
      <x:c r="E7" s="136" t="s">
        <x:v>24</x:v>
      </x:c>
      <x:c r="F7" s="136" t="s">
        <x:v>15</x:v>
      </x:c>
      <x:c r="G7" s="13" t="s">
        <x:v>25</x:v>
      </x:c>
      <x:c r="H7" s="13" t="s">
        <x:v>26</x:v>
      </x:c>
      <x:c r="I7" s="13" t="s">
        <x:v>15</x:v>
      </x:c>
      <x:c r="J7" s="13" t="s">
        <x:v>17</x:v>
      </x:c>
    </x:row>
    <x:row r="8" ht="15" hidden="0" customHeight="1">
      <x:c r="A8" s="23" t="n">
        <x:v>5</x:v>
      </x:c>
      <x:c r="B8" s="13" t="s">
        <x:v>11</x:v>
      </x:c>
      <x:c r="C8" s="13" t="s">
        <x:v>21</x:v>
      </x:c>
      <x:c r="D8" s="13" t="s">
        <x:v>15</x:v>
      </x:c>
      <x:c r="E8" s="136" t="s">
        <x:v>15</x:v>
      </x:c>
      <x:c r="F8" s="136" t="s">
        <x:v>27</x:v>
      </x:c>
      <x:c r="G8" s="13" t="s">
        <x:v>15</x:v>
      </x:c>
      <x:c r="H8" s="13" t="s">
        <x:v>28</x:v>
      </x:c>
      <x:c r="I8" s="13" t="s">
        <x:v>29</x:v>
      </x:c>
      <x:c r="J8" s="13" t="s">
        <x:v>17</x:v>
      </x:c>
    </x:row>
    <x:row r="9" ht="15" hidden="0" customHeight="1">
      <x:c r="A9" s="23" t="n">
        <x:v>6</x:v>
      </x:c>
      <x:c r="B9" s="13" t="s">
        <x:v>30</x:v>
      </x:c>
      <x:c r="C9" s="13" t="s">
        <x:v>31</x:v>
      </x:c>
      <x:c r="D9" s="13" t="s">
        <x:v>13</x:v>
      </x:c>
      <x:c r="E9" s="136" t="s">
        <x:v>32</x:v>
      </x:c>
      <x:c r="F9" s="136" t="s">
        <x:v>15</x:v>
      </x:c>
      <x:c r="G9" s="13" t="s">
        <x:v>15</x:v>
      </x:c>
      <x:c r="H9" s="13" t="s">
        <x:v>33</x:v>
      </x:c>
      <x:c r="I9" s="13" t="s">
        <x:v>15</x:v>
      </x:c>
      <x:c r="J9" s="13" t="s">
        <x:v>34</x:v>
      </x:c>
    </x:row>
    <x:row r="10" ht="15" hidden="0" customHeight="1">
      <x:c r="A10" s="23" t="n">
        <x:v>7</x:v>
      </x:c>
      <x:c r="B10" s="13" t="s">
        <x:v>30</x:v>
      </x:c>
      <x:c r="C10" s="13" t="s">
        <x:v>21</x:v>
      </x:c>
      <x:c r="D10" s="13" t="s">
        <x:v>15</x:v>
      </x:c>
      <x:c r="E10" s="136" t="s">
        <x:v>15</x:v>
      </x:c>
      <x:c r="F10" s="136" t="s">
        <x:v>15</x:v>
      </x:c>
      <x:c r="G10" s="13" t="s">
        <x:v>35</x:v>
      </x:c>
      <x:c r="H10" s="13" t="s">
        <x:v>36</x:v>
      </x:c>
      <x:c r="I10" s="13" t="s">
        <x:v>15</x:v>
      </x:c>
      <x:c r="J10" s="13" t="s">
        <x:v>34</x:v>
      </x:c>
    </x:row>
    <x:row r="11" ht="15" hidden="0" customHeight="1">
      <x:c r="A11" s="23" t="n">
        <x:v>8</x:v>
      </x:c>
      <x:c r="B11" s="13" t="s">
        <x:v>30</x:v>
      </x:c>
      <x:c r="C11" s="13" t="s">
        <x:v>37</x:v>
      </x:c>
      <x:c r="D11" s="13" t="s">
        <x:v>38</x:v>
      </x:c>
      <x:c r="E11" s="136" t="s">
        <x:v>39</x:v>
      </x:c>
      <x:c r="F11" s="136" t="s">
        <x:v>40</x:v>
      </x:c>
      <x:c r="G11" s="13" t="s">
        <x:v>15</x:v>
      </x:c>
      <x:c r="H11" s="13" t="s">
        <x:v>16</x:v>
      </x:c>
      <x:c r="I11" s="13" t="s">
        <x:v>15</x:v>
      </x:c>
      <x:c r="J11" s="13" t="s">
        <x:v>34</x:v>
      </x:c>
    </x:row>
    <x:row r="12" ht="15" hidden="0" customHeight="1">
      <x:c r="A12" s="23" t="n">
        <x:v>9</x:v>
      </x:c>
      <x:c r="B12" s="13" t="s">
        <x:v>30</x:v>
      </x:c>
      <x:c r="C12" s="13" t="s">
        <x:v>21</x:v>
      </x:c>
      <x:c r="D12" s="13" t="s">
        <x:v>15</x:v>
      </x:c>
      <x:c r="E12" s="136" t="s">
        <x:v>15</x:v>
      </x:c>
      <x:c r="F12" s="136" t="s">
        <x:v>15</x:v>
      </x:c>
      <x:c r="G12" s="13" t="s">
        <x:v>15</x:v>
      </x:c>
      <x:c r="H12" s="13" t="s">
        <x:v>20</x:v>
      </x:c>
      <x:c r="I12" s="13" t="s">
        <x:v>15</x:v>
      </x:c>
      <x:c r="J12" s="13" t="s">
        <x:v>34</x:v>
      </x:c>
    </x:row>
    <x:row r="13" ht="15" hidden="0" customHeight="1">
      <x:c r="A13" s="23" t="n">
        <x:v>10</x:v>
      </x:c>
      <x:c r="B13" s="13" t="s">
        <x:v>30</x:v>
      </x:c>
      <x:c r="C13" s="13" t="s">
        <x:v>21</x:v>
      </x:c>
      <x:c r="D13" s="13" t="s">
        <x:v>15</x:v>
      </x:c>
      <x:c r="E13" s="136" t="s">
        <x:v>15</x:v>
      </x:c>
      <x:c r="F13" s="136" t="s">
        <x:v>41</x:v>
      </x:c>
      <x:c r="G13" s="13" t="s">
        <x:v>42</x:v>
      </x:c>
      <x:c r="H13" s="13" t="s">
        <x:v>22</x:v>
      </x:c>
      <x:c r="I13" s="13" t="s">
        <x:v>15</x:v>
      </x:c>
      <x:c r="J13" s="13" t="s">
        <x:v>34</x:v>
      </x:c>
    </x:row>
    <x:row r="14" ht="15" hidden="0" customHeight="1">
      <x:c r="A14" s="23" t="n">
        <x:v>11</x:v>
      </x:c>
      <x:c r="B14" s="13" t="s">
        <x:v>43</x:v>
      </x:c>
      <x:c r="C14" s="13" t="s">
        <x:v>44</x:v>
      </x:c>
      <x:c r="D14" s="13" t="s">
        <x:v>38</x:v>
      </x:c>
      <x:c r="E14" s="136" t="s">
        <x:v>45</x:v>
      </x:c>
      <x:c r="F14" s="136" t="s">
        <x:v>15</x:v>
      </x:c>
      <x:c r="G14" s="13" t="s">
        <x:v>15</x:v>
      </x:c>
      <x:c r="H14" s="13" t="s">
        <x:v>26</x:v>
      </x:c>
      <x:c r="I14" s="13" t="s">
        <x:v>15</x:v>
      </x:c>
      <x:c r="J14" s="13" t="s">
        <x:v>46</x:v>
      </x:c>
    </x:row>
    <x:row r="15" ht="15" hidden="0" customHeight="1">
      <x:c r="A15" s="23" t="n">
        <x:v>12</x:v>
      </x:c>
      <x:c r="B15" s="13" t="s">
        <x:v>43</x:v>
      </x:c>
      <x:c r="C15" s="13" t="s">
        <x:v>47</x:v>
      </x:c>
      <x:c r="D15" s="13" t="s">
        <x:v>13</x:v>
      </x:c>
      <x:c r="E15" s="136" t="s">
        <x:v>48</x:v>
      </x:c>
      <x:c r="F15" s="136" t="s">
        <x:v>49</x:v>
      </x:c>
      <x:c r="G15" s="13" t="s">
        <x:v>15</x:v>
      </x:c>
      <x:c r="H15" s="13" t="s">
        <x:v>28</x:v>
      </x:c>
      <x:c r="I15" s="13" t="s">
        <x:v>50</x:v>
      </x:c>
      <x:c r="J15" s="13" t="s">
        <x:v>46</x:v>
      </x:c>
    </x:row>
    <x:row r="16" ht="15" hidden="0" customHeight="1">
      <x:c r="A16" s="23" t="n">
        <x:v>13</x:v>
      </x:c>
      <x:c r="B16" s="13" t="s">
        <x:v>43</x:v>
      </x:c>
      <x:c r="C16" s="13" t="s">
        <x:v>21</x:v>
      </x:c>
      <x:c r="D16" s="13" t="s">
        <x:v>15</x:v>
      </x:c>
      <x:c r="E16" s="136" t="s">
        <x:v>15</x:v>
      </x:c>
      <x:c r="F16" s="136" t="s">
        <x:v>15</x:v>
      </x:c>
      <x:c r="G16" s="13" t="s">
        <x:v>51</x:v>
      </x:c>
      <x:c r="H16" s="13" t="s">
        <x:v>33</x:v>
      </x:c>
      <x:c r="I16" s="13" t="s">
        <x:v>15</x:v>
      </x:c>
      <x:c r="J16" s="13" t="s">
        <x:v>46</x:v>
      </x:c>
    </x:row>
    <x:row r="17" ht="15" hidden="0" customHeight="1">
      <x:c r="A17" s="23" t="n">
        <x:v>14</x:v>
      </x:c>
      <x:c r="B17" s="13" t="s">
        <x:v>43</x:v>
      </x:c>
      <x:c r="C17" s="13" t="s">
        <x:v>52</x:v>
      </x:c>
      <x:c r="D17" s="13" t="s">
        <x:v>38</x:v>
      </x:c>
      <x:c r="E17" s="136" t="s">
        <x:v>19</x:v>
      </x:c>
      <x:c r="F17" s="136" t="s">
        <x:v>15</x:v>
      </x:c>
      <x:c r="G17" s="13" t="s">
        <x:v>15</x:v>
      </x:c>
      <x:c r="H17" s="13" t="s">
        <x:v>36</x:v>
      </x:c>
      <x:c r="I17" s="13" t="s">
        <x:v>15</x:v>
      </x:c>
      <x:c r="J17" s="13" t="s">
        <x:v>46</x:v>
      </x:c>
    </x:row>
    <x:row r="18" ht="15" hidden="0" customHeight="1">
      <x:c r="A18" s="23" t="n">
        <x:v>15</x:v>
      </x:c>
      <x:c r="B18" s="13" t="s">
        <x:v>43</x:v>
      </x:c>
      <x:c r="C18" s="13" t="s">
        <x:v>53</x:v>
      </x:c>
      <x:c r="D18" s="13" t="s">
        <x:v>38</x:v>
      </x:c>
      <x:c r="E18" s="136" t="s">
        <x:v>54</x:v>
      </x:c>
      <x:c r="F18" s="136" t="s">
        <x:v>15</x:v>
      </x:c>
      <x:c r="G18" s="13" t="s">
        <x:v>15</x:v>
      </x:c>
      <x:c r="H18" s="13" t="s">
        <x:v>16</x:v>
      </x:c>
      <x:c r="I18" s="13" t="s">
        <x:v>15</x:v>
      </x:c>
      <x:c r="J18" s="13" t="s">
        <x:v>46</x:v>
      </x:c>
    </x:row>
    <x:row r="19" ht="15" hidden="0" customHeight="1">
      <x:c r="A19" s="23" t="n">
        <x:v>16</x:v>
      </x:c>
      <x:c r="B19" s="13" t="s">
        <x:v>43</x:v>
      </x:c>
      <x:c r="C19" s="13" t="s">
        <x:v>55</x:v>
      </x:c>
      <x:c r="D19" s="13" t="s">
        <x:v>38</x:v>
      </x:c>
      <x:c r="E19" s="136" t="s">
        <x:v>56</x:v>
      </x:c>
      <x:c r="F19" s="136" t="s">
        <x:v>57</x:v>
      </x:c>
      <x:c r="G19" s="13" t="s">
        <x:v>58</x:v>
      </x:c>
      <x:c r="H19" s="13" t="s">
        <x:v>20</x:v>
      </x:c>
      <x:c r="I19" s="13" t="s">
        <x:v>15</x:v>
      </x:c>
      <x:c r="J19" s="13" t="s">
        <x:v>46</x:v>
      </x:c>
    </x:row>
    <x:row r="20" ht="15" hidden="0" customHeight="1">
      <x:c r="A20" s="23" t="n">
        <x:v>17</x:v>
      </x:c>
      <x:c r="B20" s="13" t="s">
        <x:v>43</x:v>
      </x:c>
      <x:c r="C20" s="13" t="s">
        <x:v>59</x:v>
      </x:c>
      <x:c r="D20" s="13" t="s">
        <x:v>38</x:v>
      </x:c>
      <x:c r="E20" s="136" t="s">
        <x:v>60</x:v>
      </x:c>
      <x:c r="F20" s="136" t="s">
        <x:v>15</x:v>
      </x:c>
      <x:c r="G20" s="13" t="s">
        <x:v>15</x:v>
      </x:c>
      <x:c r="H20" s="13" t="s">
        <x:v>22</x:v>
      </x:c>
      <x:c r="I20" s="13" t="s">
        <x:v>15</x:v>
      </x:c>
      <x:c r="J20" s="13" t="s">
        <x:v>46</x:v>
      </x:c>
    </x:row>
    <x:row r="21" ht="15" hidden="0" customHeight="1">
      <x:c r="A21" s="23" t="n">
        <x:v>18</x:v>
      </x:c>
      <x:c r="B21" s="13" t="s">
        <x:v>43</x:v>
      </x:c>
      <x:c r="C21" s="13" t="s">
        <x:v>21</x:v>
      </x:c>
      <x:c r="D21" s="13" t="s">
        <x:v>15</x:v>
      </x:c>
      <x:c r="E21" s="136" t="s">
        <x:v>15</x:v>
      </x:c>
      <x:c r="F21" s="136" t="s">
        <x:v>15</x:v>
      </x:c>
      <x:c r="G21" s="13" t="s">
        <x:v>15</x:v>
      </x:c>
      <x:c r="H21" s="13" t="s">
        <x:v>26</x:v>
      </x:c>
      <x:c r="I21" s="13" t="s">
        <x:v>61</x:v>
      </x:c>
      <x:c r="J21" s="13" t="s">
        <x:v>46</x:v>
      </x:c>
    </x:row>
    <x:row r="22" ht="15" hidden="0" customHeight="1">
      <x:c r="A22" s="23" t="n">
        <x:v>19</x:v>
      </x:c>
      <x:c r="B22" s="13" t="s">
        <x:v>43</x:v>
      </x:c>
      <x:c r="C22" s="13" t="s">
        <x:v>21</x:v>
      </x:c>
      <x:c r="D22" s="13" t="s">
        <x:v>15</x:v>
      </x:c>
      <x:c r="E22" s="136" t="s">
        <x:v>15</x:v>
      </x:c>
      <x:c r="F22" s="136" t="s">
        <x:v>15</x:v>
      </x:c>
      <x:c r="G22" s="13" t="s">
        <x:v>62</x:v>
      </x:c>
      <x:c r="H22" s="13" t="s">
        <x:v>28</x:v>
      </x:c>
      <x:c r="I22" s="13" t="s">
        <x:v>15</x:v>
      </x:c>
      <x:c r="J22" s="13" t="s">
        <x:v>46</x:v>
      </x:c>
    </x:row>
    <x:row r="23" ht="15" hidden="0" customHeight="1">
      <x:c r="A23" s="23" t="n">
        <x:v>20</x:v>
      </x:c>
      <x:c r="B23" s="13" t="s">
        <x:v>43</x:v>
      </x:c>
      <x:c r="C23" s="13" t="s">
        <x:v>63</x:v>
      </x:c>
      <x:c r="D23" s="13" t="s">
        <x:v>38</x:v>
      </x:c>
      <x:c r="E23" s="136" t="s">
        <x:v>39</x:v>
      </x:c>
      <x:c r="F23" s="136" t="s">
        <x:v>64</x:v>
      </x:c>
      <x:c r="G23" s="13" t="s">
        <x:v>15</x:v>
      </x:c>
      <x:c r="H23" s="13" t="s">
        <x:v>33</x:v>
      </x:c>
      <x:c r="I23" s="13" t="s">
        <x:v>15</x:v>
      </x:c>
      <x:c r="J23" s="13" t="s">
        <x:v>46</x:v>
      </x:c>
    </x:row>
    <x:row r="24" ht="15" hidden="0" customHeight="1">
      <x:c r="A24" s="23" t="n">
        <x:v>21</x:v>
      </x:c>
      <x:c r="B24" s="13" t="s">
        <x:v>65</x:v>
      </x:c>
      <x:c r="C24" s="13" t="s">
        <x:v>21</x:v>
      </x:c>
      <x:c r="D24" s="13" t="s">
        <x:v>15</x:v>
      </x:c>
      <x:c r="E24" s="136" t="s">
        <x:v>15</x:v>
      </x:c>
      <x:c r="F24" s="136" t="s">
        <x:v>15</x:v>
      </x:c>
      <x:c r="G24" s="13" t="s">
        <x:v>15</x:v>
      </x:c>
      <x:c r="H24" s="13" t="s">
        <x:v>36</x:v>
      </x:c>
      <x:c r="I24" s="13" t="s">
        <x:v>15</x:v>
      </x:c>
      <x:c r="J24" s="13" t="s">
        <x:v>66</x:v>
      </x:c>
    </x:row>
    <x:row r="25" ht="15" hidden="0" customHeight="1">
      <x:c r="A25" s="23" t="n">
        <x:v>22</x:v>
      </x:c>
      <x:c r="B25" s="13" t="s">
        <x:v>65</x:v>
      </x:c>
      <x:c r="C25" s="13" t="s">
        <x:v>67</x:v>
      </x:c>
      <x:c r="D25" s="13" t="s">
        <x:v>68</x:v>
      </x:c>
      <x:c r="E25" s="136" t="s">
        <x:v>69</x:v>
      </x:c>
      <x:c r="F25" s="136" t="s">
        <x:v>15</x:v>
      </x:c>
      <x:c r="G25" s="13" t="s">
        <x:v>70</x:v>
      </x:c>
      <x:c r="H25" s="13" t="s">
        <x:v>16</x:v>
      </x:c>
      <x:c r="I25" s="13" t="s">
        <x:v>15</x:v>
      </x:c>
      <x:c r="J25" s="13" t="s">
        <x:v>66</x:v>
      </x:c>
    </x:row>
    <x:row r="26" ht="15" hidden="0" customHeight="1">
      <x:c r="A26" s="23" t="n">
        <x:v>23</x:v>
      </x:c>
      <x:c r="B26" s="13" t="s">
        <x:v>65</x:v>
      </x:c>
      <x:c r="C26" s="13" t="s">
        <x:v>21</x:v>
      </x:c>
      <x:c r="D26" s="13" t="s">
        <x:v>15</x:v>
      </x:c>
      <x:c r="E26" s="136" t="s">
        <x:v>15</x:v>
      </x:c>
      <x:c r="F26" s="136" t="s">
        <x:v>15</x:v>
      </x:c>
      <x:c r="G26" s="13" t="s">
        <x:v>15</x:v>
      </x:c>
      <x:c r="H26" s="13" t="s">
        <x:v>20</x:v>
      </x:c>
      <x:c r="I26" s="13" t="s">
        <x:v>15</x:v>
      </x:c>
      <x:c r="J26" s="13" t="s">
        <x:v>66</x:v>
      </x:c>
    </x:row>
    <x:row r="27" ht="15" hidden="0" customHeight="1">
      <x:c r="A27" s="23" t="n">
        <x:v>24</x:v>
      </x:c>
      <x:c r="B27" s="13" t="s">
        <x:v>65</x:v>
      </x:c>
      <x:c r="C27" s="13" t="s">
        <x:v>71</x:v>
      </x:c>
      <x:c r="D27" s="13" t="s">
        <x:v>68</x:v>
      </x:c>
      <x:c r="E27" s="136" t="s">
        <x:v>48</x:v>
      </x:c>
      <x:c r="F27" s="136" t="s">
        <x:v>15</x:v>
      </x:c>
      <x:c r="G27" s="13" t="s">
        <x:v>15</x:v>
      </x:c>
      <x:c r="H27" s="13" t="s">
        <x:v>22</x:v>
      </x:c>
      <x:c r="I27" s="13" t="s">
        <x:v>15</x:v>
      </x:c>
      <x:c r="J27" s="13" t="s">
        <x:v>66</x:v>
      </x:c>
    </x:row>
    <x:row r="28" ht="15" hidden="0" customHeight="1">
      <x:c r="A28" s="23" t="n">
        <x:v>25</x:v>
      </x:c>
      <x:c r="B28" s="13" t="s">
        <x:v>65</x:v>
      </x:c>
      <x:c r="C28" s="13" t="s">
        <x:v>21</x:v>
      </x:c>
      <x:c r="D28" s="13" t="s">
        <x:v>15</x:v>
      </x:c>
      <x:c r="E28" s="136" t="s">
        <x:v>15</x:v>
      </x:c>
      <x:c r="F28" s="136" t="s">
        <x:v>72</x:v>
      </x:c>
      <x:c r="G28" s="13" t="s">
        <x:v>73</x:v>
      </x:c>
      <x:c r="H28" s="13" t="s">
        <x:v>26</x:v>
      </x:c>
      <x:c r="I28" s="13" t="s">
        <x:v>15</x:v>
      </x:c>
      <x:c r="J28" s="13" t="s">
        <x:v>66</x:v>
      </x:c>
    </x:row>
    <x:row r="29" ht="15" hidden="0" customHeight="1">
      <x:c r="A29" s="23" t="n">
        <x:v>26</x:v>
      </x:c>
      <x:c r="B29" s="13" t="s">
        <x:v>65</x:v>
      </x:c>
      <x:c r="C29" s="13" t="s">
        <x:v>74</x:v>
      </x:c>
      <x:c r="D29" s="13" t="s">
        <x:v>68</x:v>
      </x:c>
      <x:c r="E29" s="136" t="s">
        <x:v>19</x:v>
      </x:c>
      <x:c r="F29" s="136" t="s">
        <x:v>15</x:v>
      </x:c>
      <x:c r="G29" s="13" t="s">
        <x:v>15</x:v>
      </x:c>
      <x:c r="H29" s="13" t="s">
        <x:v>28</x:v>
      </x:c>
      <x:c r="I29" s="13" t="s">
        <x:v>15</x:v>
      </x:c>
      <x:c r="J29" s="13" t="s">
        <x:v>66</x:v>
      </x:c>
    </x:row>
    <x:row r="30" ht="15" hidden="0" customHeight="1">
      <x:c r="A30" s="23" t="n">
        <x:v>27</x:v>
      </x:c>
      <x:c r="B30" s="13" t="s">
        <x:v>65</x:v>
      </x:c>
      <x:c r="C30" s="13" t="s">
        <x:v>21</x:v>
      </x:c>
      <x:c r="D30" s="13" t="s">
        <x:v>15</x:v>
      </x:c>
      <x:c r="E30" s="136" t="s">
        <x:v>15</x:v>
      </x:c>
      <x:c r="F30" s="136" t="s">
        <x:v>15</x:v>
      </x:c>
      <x:c r="G30" s="13" t="s">
        <x:v>15</x:v>
      </x:c>
      <x:c r="H30" s="13" t="s">
        <x:v>33</x:v>
      </x:c>
      <x:c r="I30" s="13" t="s">
        <x:v>75</x:v>
      </x:c>
      <x:c r="J30" s="13" t="s">
        <x:v>66</x:v>
      </x:c>
    </x:row>
    <x:row r="31" ht="15" hidden="0" customHeight="1">
      <x:c r="A31" s="23" t="n">
        <x:v>28</x:v>
      </x:c>
      <x:c r="B31" s="13" t="s">
        <x:v>65</x:v>
      </x:c>
      <x:c r="C31" s="13" t="s">
        <x:v>21</x:v>
      </x:c>
      <x:c r="D31" s="13" t="s">
        <x:v>15</x:v>
      </x:c>
      <x:c r="E31" s="136" t="s">
        <x:v>15</x:v>
      </x:c>
      <x:c r="F31" s="136" t="s">
        <x:v>15</x:v>
      </x:c>
      <x:c r="G31" s="13" t="s">
        <x:v>76</x:v>
      </x:c>
      <x:c r="H31" s="13" t="s">
        <x:v>36</x:v>
      </x:c>
      <x:c r="I31" s="13" t="s">
        <x:v>15</x:v>
      </x:c>
      <x:c r="J31" s="13" t="s">
        <x:v>66</x:v>
      </x:c>
    </x:row>
    <x:row r="32" ht="15" hidden="0" customHeight="1">
      <x:c r="A32" s="23" t="n">
        <x:v>29</x:v>
      </x:c>
      <x:c r="B32" s="13" t="s">
        <x:v>65</x:v>
      </x:c>
      <x:c r="C32" s="13" t="s">
        <x:v>77</x:v>
      </x:c>
      <x:c r="D32" s="13" t="s">
        <x:v>68</x:v>
      </x:c>
      <x:c r="E32" s="136" t="s">
        <x:v>56</x:v>
      </x:c>
      <x:c r="F32" s="136" t="s">
        <x:v>15</x:v>
      </x:c>
      <x:c r="G32" s="13" t="s">
        <x:v>15</x:v>
      </x:c>
      <x:c r="H32" s="13" t="s">
        <x:v>16</x:v>
      </x:c>
      <x:c r="I32" s="13" t="s">
        <x:v>15</x:v>
      </x:c>
      <x:c r="J32" s="13" t="s">
        <x:v>66</x:v>
      </x:c>
    </x:row>
    <x:row r="33" ht="15" hidden="0" customHeight="1">
      <x:c r="A33" s="23" t="n">
        <x:v>30</x:v>
      </x:c>
      <x:c r="B33" s="13" t="s">
        <x:v>65</x:v>
      </x:c>
      <x:c r="C33" s="13" t="s">
        <x:v>78</x:v>
      </x:c>
      <x:c r="D33" s="13" t="s">
        <x:v>68</x:v>
      </x:c>
      <x:c r="E33" s="136" t="s">
        <x:v>60</x:v>
      </x:c>
      <x:c r="F33" s="136" t="s">
        <x:v>15</x:v>
      </x:c>
      <x:c r="G33" s="13" t="s">
        <x:v>15</x:v>
      </x:c>
      <x:c r="H33" s="13" t="s">
        <x:v>20</x:v>
      </x:c>
      <x:c r="I33" s="13" t="s">
        <x:v>15</x:v>
      </x:c>
      <x:c r="J33" s="13" t="s">
        <x:v>66</x:v>
      </x:c>
    </x:row>
    <x:row r="34" ht="15" hidden="0" customHeight="1">
      <x:c r="A34" s="23" t="n">
        <x:v>31</x:v>
      </x:c>
      <x:c r="B34" s="13" t="s">
        <x:v>65</x:v>
      </x:c>
      <x:c r="C34" s="13" t="s">
        <x:v>21</x:v>
      </x:c>
      <x:c r="D34" s="13" t="s">
        <x:v>15</x:v>
      </x:c>
      <x:c r="E34" s="136" t="s">
        <x:v>15</x:v>
      </x:c>
      <x:c r="F34" s="136" t="s">
        <x:v>15</x:v>
      </x:c>
      <x:c r="G34" s="13" t="s">
        <x:v>79</x:v>
      </x:c>
      <x:c r="H34" s="13" t="s">
        <x:v>22</x:v>
      </x:c>
      <x:c r="I34" s="13" t="s">
        <x:v>15</x:v>
      </x:c>
      <x:c r="J34" s="13" t="s">
        <x:v>66</x:v>
      </x:c>
    </x:row>
    <x:row r="35" ht="15" hidden="0" customHeight="1">
      <x:c r="A35" s="23" t="n">
        <x:v>32</x:v>
      </x:c>
      <x:c r="B35" s="13" t="s">
        <x:v>65</x:v>
      </x:c>
      <x:c r="C35" s="13" t="s">
        <x:v>80</x:v>
      </x:c>
      <x:c r="D35" s="13" t="s">
        <x:v>68</x:v>
      </x:c>
      <x:c r="E35" s="136" t="s">
        <x:v>24</x:v>
      </x:c>
      <x:c r="F35" s="136" t="s">
        <x:v>15</x:v>
      </x:c>
      <x:c r="G35" s="13" t="s">
        <x:v>15</x:v>
      </x:c>
      <x:c r="H35" s="13" t="s">
        <x:v>26</x:v>
      </x:c>
      <x:c r="I35" s="13" t="s">
        <x:v>15</x:v>
      </x:c>
      <x:c r="J35" s="13" t="s">
        <x:v>66</x:v>
      </x:c>
    </x:row>
    <x:row r="36" ht="15" hidden="0" customHeight="1">
      <x:c r="A36" s="23" t="n">
        <x:v>33</x:v>
      </x:c>
      <x:c r="B36" s="13" t="s">
        <x:v>65</x:v>
      </x:c>
      <x:c r="C36" s="13" t="s">
        <x:v>81</x:v>
      </x:c>
      <x:c r="D36" s="13" t="s">
        <x:v>68</x:v>
      </x:c>
      <x:c r="E36" s="136" t="s">
        <x:v>32</x:v>
      </x:c>
      <x:c r="F36" s="136" t="s">
        <x:v>15</x:v>
      </x:c>
      <x:c r="G36" s="13" t="s">
        <x:v>15</x:v>
      </x:c>
      <x:c r="H36" s="13" t="s">
        <x:v>28</x:v>
      </x:c>
      <x:c r="I36" s="13" t="s">
        <x:v>15</x:v>
      </x:c>
      <x:c r="J36" s="13" t="s">
        <x:v>66</x:v>
      </x:c>
    </x:row>
    <x:row r="37" ht="15" hidden="0" customHeight="1">
      <x:c r="A37" s="23" t="n">
        <x:v>34</x:v>
      </x:c>
      <x:c r="B37" s="13" t="s">
        <x:v>65</x:v>
      </x:c>
      <x:c r="C37" s="13" t="s">
        <x:v>21</x:v>
      </x:c>
      <x:c r="D37" s="13" t="s">
        <x:v>15</x:v>
      </x:c>
      <x:c r="E37" s="136" t="s">
        <x:v>15</x:v>
      </x:c>
      <x:c r="F37" s="136" t="s">
        <x:v>15</x:v>
      </x:c>
      <x:c r="G37" s="13" t="s">
        <x:v>82</x:v>
      </x:c>
      <x:c r="H37" s="13" t="s">
        <x:v>33</x:v>
      </x:c>
      <x:c r="I37" s="13" t="s">
        <x:v>15</x:v>
      </x:c>
      <x:c r="J37" s="13" t="s">
        <x:v>66</x:v>
      </x:c>
    </x:row>
    <x:row r="38" ht="15" hidden="0" customHeight="1">
      <x:c r="A38" s="23" t="n">
        <x:v>35</x:v>
      </x:c>
      <x:c r="B38" s="13" t="s">
        <x:v>65</x:v>
      </x:c>
      <x:c r="C38" s="13" t="s">
        <x:v>83</x:v>
      </x:c>
      <x:c r="D38" s="13" t="s">
        <x:v>68</x:v>
      </x:c>
      <x:c r="E38" s="136" t="s">
        <x:v>84</x:v>
      </x:c>
      <x:c r="F38" s="136" t="s">
        <x:v>85</x:v>
      </x:c>
      <x:c r="G38" s="13" t="s">
        <x:v>15</x:v>
      </x:c>
      <x:c r="H38" s="13" t="s">
        <x:v>36</x:v>
      </x:c>
      <x:c r="I38" s="13" t="s">
        <x:v>15</x:v>
      </x:c>
      <x:c r="J38" s="13" t="s">
        <x:v>66</x:v>
      </x:c>
    </x:row>
    <x:row r="39" ht="15" hidden="0" customHeight="1">
      <x:c r="A39" s="23" t="n">
        <x:v>36</x:v>
      </x:c>
      <x:c r="B39" s="13" t="s">
        <x:v>86</x:v>
      </x:c>
      <x:c r="C39" s="13" t="s">
        <x:v>87</x:v>
      </x:c>
      <x:c r="D39" s="13" t="s">
        <x:v>88</x:v>
      </x:c>
      <x:c r="E39" s="136" t="s">
        <x:v>39</x:v>
      </x:c>
      <x:c r="F39" s="136" t="s">
        <x:v>15</x:v>
      </x:c>
      <x:c r="G39" s="13" t="s">
        <x:v>15</x:v>
      </x:c>
      <x:c r="H39" s="13" t="s">
        <x:v>16</x:v>
      </x:c>
      <x:c r="I39" s="13" t="s">
        <x:v>89</x:v>
      </x:c>
      <x:c r="J39" s="13" t="s">
        <x:v>90</x:v>
      </x:c>
    </x:row>
    <x:row r="40" ht="15" hidden="0" customHeight="1">
      <x:c r="A40" s="23" t="n">
        <x:v>37</x:v>
      </x:c>
      <x:c r="B40" s="13" t="s">
        <x:v>86</x:v>
      </x:c>
      <x:c r="C40" s="13" t="s">
        <x:v>21</x:v>
      </x:c>
      <x:c r="D40" s="13" t="s">
        <x:v>15</x:v>
      </x:c>
      <x:c r="E40" s="136" t="s">
        <x:v>15</x:v>
      </x:c>
      <x:c r="F40" s="136" t="s">
        <x:v>15</x:v>
      </x:c>
      <x:c r="G40" s="13" t="s">
        <x:v>91</x:v>
      </x:c>
      <x:c r="H40" s="13" t="s">
        <x:v>20</x:v>
      </x:c>
      <x:c r="I40" s="13" t="s">
        <x:v>15</x:v>
      </x:c>
      <x:c r="J40" s="13" t="s">
        <x:v>90</x:v>
      </x:c>
    </x:row>
    <x:row r="41" ht="15" hidden="0" customHeight="1">
      <x:c r="A41" s="23" t="n">
        <x:v>38</x:v>
      </x:c>
      <x:c r="B41" s="13" t="s">
        <x:v>86</x:v>
      </x:c>
      <x:c r="C41" s="13" t="s">
        <x:v>92</x:v>
      </x:c>
      <x:c r="D41" s="13" t="s">
        <x:v>68</x:v>
      </x:c>
      <x:c r="E41" s="136" t="s">
        <x:v>93</x:v>
      </x:c>
      <x:c r="F41" s="136" t="s">
        <x:v>15</x:v>
      </x:c>
      <x:c r="G41" s="13" t="s">
        <x:v>15</x:v>
      </x:c>
      <x:c r="H41" s="13" t="s">
        <x:v>22</x:v>
      </x:c>
      <x:c r="I41" s="13" t="s">
        <x:v>15</x:v>
      </x:c>
      <x:c r="J41" s="13" t="s">
        <x:v>90</x:v>
      </x:c>
    </x:row>
    <x:row r="42" ht="15" hidden="0" customHeight="1">
      <x:c r="A42" s="23" t="n">
        <x:v>39</x:v>
      </x:c>
      <x:c r="B42" s="13" t="s">
        <x:v>86</x:v>
      </x:c>
      <x:c r="C42" s="13" t="s">
        <x:v>21</x:v>
      </x:c>
      <x:c r="D42" s="13" t="s">
        <x:v>15</x:v>
      </x:c>
      <x:c r="E42" s="136" t="s">
        <x:v>15</x:v>
      </x:c>
      <x:c r="F42" s="136" t="s">
        <x:v>15</x:v>
      </x:c>
      <x:c r="G42" s="13" t="s">
        <x:v>15</x:v>
      </x:c>
      <x:c r="H42" s="13" t="s">
        <x:v>26</x:v>
      </x:c>
      <x:c r="I42" s="13" t="s">
        <x:v>15</x:v>
      </x:c>
      <x:c r="J42" s="13" t="s">
        <x:v>90</x:v>
      </x:c>
    </x:row>
    <x:row r="43" ht="15" hidden="0" customHeight="1">
      <x:c r="A43" s="23" t="n">
        <x:v>40</x:v>
      </x:c>
      <x:c r="B43" s="13" t="s">
        <x:v>86</x:v>
      </x:c>
      <x:c r="C43" s="13" t="s">
        <x:v>94</x:v>
      </x:c>
      <x:c r="D43" s="13" t="s">
        <x:v>88</x:v>
      </x:c>
      <x:c r="E43" s="136" t="s">
        <x:v>48</x:v>
      </x:c>
      <x:c r="F43" s="136" t="s">
        <x:v>95</x:v>
      </x:c>
      <x:c r="G43" s="13" t="s">
        <x:v>96</x:v>
      </x:c>
      <x:c r="H43" s="13" t="s">
        <x:v>28</x:v>
      </x:c>
      <x:c r="I43" s="13" t="s">
        <x:v>15</x:v>
      </x:c>
      <x:c r="J43" s="13" t="s">
        <x:v>90</x:v>
      </x:c>
    </x:row>
    <x:row r="45" ht="24" hidden="0" customHeight="1">
      <x:c r="A45" s="135" t="s">
        <x:v>97</x:v>
      </x:c>
      <x:c r="B45" s="133"/>
      <x:c r="C45" s="133"/>
      <x:c r="D45" s="133"/>
      <x:c r="E45" s="133"/>
      <x:c r="F45" s="133"/>
      <x:c r="G45" s="133"/>
      <x:c r="H45" s="133"/>
      <x:c r="I45" s="133"/>
      <x:c r="J45" s="133"/>
    </x:row>
    <x:row r="47" ht="38" customHeight="1">
      <x:c r="A47" s="184" t="str">
        <x:v>DECOR ADDENDUM — SEE DECOR PROGRESSION FOR THE AUTHORITATIVE ITEM COUNTS</x:v>
      </x:c>
      <x:c r="B47" s="184"/>
      <x:c r="C47" s="184"/>
      <x:c r="D47" s="184"/>
      <x:c r="E47" s="184"/>
      <x:c r="F47" s="184"/>
      <x:c r="G47" s="184"/>
      <x:c r="H47" s="184"/>
      <x:c r="I47" s="184"/>
      <x:c r="J47" s="184"/>
    </x:row>
    <x:row r="48" ht="30" customHeight="1">
      <x:c r="A48" s="133" t="str">
        <x:v>The existing Decor Theme column above is a legacy theme snapshot, not a per-item unlock list. Decor Catalog and Decor Progression now define plant/decor eligibility through Level 70. Preserve the Level 40 launch cap; limited items additionally require their event window.</x:v>
      </x:c>
      <x:c r="B48" s="133"/>
      <x:c r="C48" s="133"/>
      <x:c r="D48" s="133"/>
      <x:c r="E48" s="133"/>
      <x:c r="F48" s="133"/>
      <x:c r="G48" s="133"/>
      <x:c r="H48" s="133"/>
      <x:c r="I48" s="133"/>
      <x:c r="J48" s="133"/>
    </x:row>
    <x:row r="49" ht="30" customHeight="1">
      <x:c r="A49" s="133"/>
      <x:c r="B49" s="133"/>
      <x:c r="C49" s="133"/>
      <x:c r="D49" s="133"/>
      <x:c r="E49" s="133"/>
      <x:c r="F49" s="133"/>
      <x:c r="G49" s="133"/>
      <x:c r="H49" s="133"/>
      <x:c r="I49" s="133"/>
      <x:c r="J49" s="133"/>
    </x:row>
  </x:sheetData>
  <x:mergeCells>
    <x:mergeCell ref="A45:J45"/>
    <x:mergeCell ref="A47:J47"/>
    <x:mergeCell ref="A48:J49"/>
  </x:mergeCells>
  <x:pageMargins left="0.7" right="0.7" top="0.75" bottom="0.75" header="0.3" footer="0.3"/>
</x:worksheet>
</file>

<file path=xl/worksheets/sheet8.xml><?xml version="1.0" encoding="utf-8"?>
<x:worksheet xmlns:x="http://schemas.openxmlformats.org/spreadsheetml/2006/main">
  <x:sheetViews>
    <x:sheetView showGridLines="1" workbookViewId="0"/>
  </x:sheetViews>
  <x:sheetFormatPr defaultColWidth="8.6796875" defaultRowHeight="15"/>
  <x:cols>
    <x:col min="1" max="1" width="8" hidden="0" customWidth="1"/>
    <x:col min="2" max="4" width="10" hidden="0" customWidth="1"/>
    <x:col min="5" max="5" width="16" hidden="0" customWidth="1"/>
    <x:col min="6" max="6" width="20" hidden="0" customWidth="1"/>
    <x:col min="7" max="7" width="26" hidden="0" customWidth="1"/>
    <x:col min="8" max="8" width="42" hidden="0" customWidth="1"/>
    <x:col min="9" max="9" width="48" hidden="0" customWidth="1"/>
    <x:col min="2" max="2" width="10" hidden="0" customWidth="1"/>
    <x:col min="3" max="3" width="10" hidden="0" customWidth="1"/>
    <x:col min="4" max="4" width="10" hidden="0" customWidth="1"/>
  </x:cols>
  <x:sheetData>
    <x:row r="1" ht="22.5" hidden="0" customHeight="1">
      <x:c r="A1" s="132" t="str">
        <x:v>TANK CAPACITY &amp; SOCIAL EXPANSION: friend path or Pearl path</x:v>
      </x:c>
      <x:c r="B1" s="132"/>
      <x:c r="C1" s="132"/>
      <x:c r="D1" s="132"/>
      <x:c r="E1" s="132"/>
      <x:c r="F1" s="132"/>
      <x:c r="G1" s="132"/>
      <x:c r="H1" s="132"/>
      <x:c r="I1" s="132"/>
    </x:row>
    <x:row r="2" ht="15" hidden="0" customHeight="1">
      <x:c r="A2" s="118"/>
      <x:c r="B2" s="118"/>
      <x:c r="C2" s="118"/>
      <x:c r="D2" s="118"/>
      <x:c r="E2" s="118"/>
      <x:c r="F2" s="118"/>
      <x:c r="G2" s="118"/>
      <x:c r="H2" s="118"/>
      <x:c r="I2" s="118"/>
    </x:row>
    <x:row r="3" ht="15" hidden="0" customHeight="1">
      <x:c r="A3" s="88" t="str">
        <x:v>Tank</x:v>
      </x:c>
      <x:c r="B3" s="88" t="str">
        <x:v>Unlock Lvl</x:v>
      </x:c>
      <x:c r="C3" s="88" t="str">
        <x:v>Base Slots</x:v>
      </x:c>
      <x:c r="D3" s="88" t="str">
        <x:v>Max Slots</x:v>
      </x:c>
      <x:c r="E3" s="88" t="str">
        <x:v>Expansion Steps</x:v>
      </x:c>
      <x:c r="F3" s="88" t="str">
        <x:v>Friend Assist Path</x:v>
      </x:c>
      <x:c r="G3" s="88" t="str">
        <x:v>Pearl Costs</x:v>
      </x:c>
      <x:c r="H3" s="88" t="str">
        <x:v>Coin Costs</x:v>
      </x:c>
      <x:c r="I3" s="88" t="str">
        <x:v>Design Note</x:v>
      </x:c>
    </x:row>
    <x:row r="4" ht="15" hidden="0" customHeight="1">
      <x:c r="A4" s="118" t="n">
        <x:v>1</x:v>
      </x:c>
      <x:c r="B4" s="118" t="n">
        <x:v>1</x:v>
      </x:c>
      <x:c r="C4" s="118" t="n">
        <x:v>10</x:v>
      </x:c>
      <x:c r="D4" s="118" t="n">
        <x:f aca="0">Inputs!$B$63</x:f>
        <x:v>40</x:v>
      </x:c>
      <x:c r="E4" s="118" t="str">
        <x:v>10/20/30/40</x:v>
      </x:c>
      <x:c r="F4" s="118" t="str">
        <x:v>0/2/4/6 friends</x:v>
      </x:c>
      <x:c r="G4" s="118" t="str">
        <x:v>0/5/10/15</x:v>
      </x:c>
      <x:c r="H4" s="118" t="str">
        <x:v>0 / 250 / 750 / 1,500</x:v>
      </x:c>
      <x:c r="I4" s="118" t="str">
        <x:v>Tutorial tank; cheap enough for first-session expression</x:v>
      </x:c>
    </x:row>
    <x:row r="5" ht="15" hidden="0" customHeight="1">
      <x:c r="A5" s="118" t="n">
        <x:v>2</x:v>
      </x:c>
      <x:c r="B5" s="118" t="n">
        <x:v>7</x:v>
      </x:c>
      <x:c r="C5" s="118" t="n">
        <x:v>10</x:v>
      </x:c>
      <x:c r="D5" s="118" t="n">
        <x:f aca="0">Inputs!$B$63</x:f>
        <x:v>40</x:v>
      </x:c>
      <x:c r="E5" s="118" t="str">
        <x:v>10/20/30/40</x:v>
      </x:c>
      <x:c r="F5" s="118" t="str">
        <x:v>3/5/7/9</x:v>
      </x:c>
      <x:c r="G5" s="118" t="str">
        <x:v>10/15/20/25</x:v>
      </x:c>
      <x:c r="H5" s="118" t="str">
        <x:v>2,500 / 6,000 / 12,000 / 22,000</x:v>
      </x:c>
      <x:c r="I5" s="118" t="str">
        <x:v>Second production lane; costs about early-game commitment</x:v>
      </x:c>
    </x:row>
    <x:row r="6" ht="15" hidden="0" customHeight="1">
      <x:c r="A6" s="118" t="n">
        <x:v>3</x:v>
      </x:c>
      <x:c r="B6" s="118" t="n">
        <x:v>16</x:v>
      </x:c>
      <x:c r="C6" s="118" t="n">
        <x:v>10</x:v>
      </x:c>
      <x:c r="D6" s="118" t="n">
        <x:f aca="0">Inputs!$B$63</x:f>
        <x:v>40</x:v>
      </x:c>
      <x:c r="E6" s="118" t="str">
        <x:v>10/20/30/40</x:v>
      </x:c>
      <x:c r="F6" s="118" t="str">
        <x:v>5/7/10/12</x:v>
      </x:c>
      <x:c r="G6" s="118" t="str">
        <x:v>20/30/40/55</x:v>
      </x:c>
      <x:c r="H6" s="118" t="str">
        <x:v>12,000 / 28,000 / 52,000 / 85,000</x:v>
      </x:c>
      <x:c r="I6" s="118" t="str">
        <x:v>Pre-mid-game capacity milestone</x:v>
      </x:c>
    </x:row>
    <x:row r="7" ht="15" hidden="0" customHeight="1">
      <x:c r="A7" s="118" t="n">
        <x:v>4</x:v>
      </x:c>
      <x:c r="B7" s="118" t="n">
        <x:v>25</x:v>
      </x:c>
      <x:c r="C7" s="118" t="n">
        <x:v>10</x:v>
      </x:c>
      <x:c r="D7" s="118" t="n">
        <x:f aca="0">Inputs!$B$63</x:f>
        <x:v>40</x:v>
      </x:c>
      <x:c r="E7" s="118" t="str">
        <x:v>10/20/30/40</x:v>
      </x:c>
      <x:c r="F7" s="118" t="str">
        <x:v>7/10/13/16</x:v>
      </x:c>
      <x:c r="G7" s="118" t="str">
        <x:v>35/50/70/95</x:v>
      </x:c>
      <x:c r="H7" s="118" t="str">
        <x:v>40,000 / 80,000 / 140,000 / 220,000</x:v>
      </x:c>
      <x:c r="I7" s="118" t="str">
        <x:v>Mid-game capacity; meaningful coin sink</x:v>
      </x:c>
    </x:row>
    <x:row r="8" ht="15" hidden="0" customHeight="1">
      <x:c r="A8" s="118" t="n">
        <x:v>5</x:v>
      </x:c>
      <x:c r="B8" s="118" t="n">
        <x:v>34</x:v>
      </x:c>
      <x:c r="C8" s="118" t="n">
        <x:v>10</x:v>
      </x:c>
      <x:c r="D8" s="118" t="n">
        <x:f aca="0">Inputs!$B$63</x:f>
        <x:v>40</x:v>
      </x:c>
      <x:c r="E8" s="118" t="str">
        <x:v>10/20/30/40</x:v>
      </x:c>
      <x:c r="F8" s="118" t="str">
        <x:v>10/14/18/22</x:v>
      </x:c>
      <x:c r="G8" s="118" t="str">
        <x:v>60/85/115/150</x:v>
      </x:c>
      <x:c r="H8" s="118" t="str">
        <x:v>110,000 / 220,000 / 380,000 / 600,000</x:v>
      </x:c>
      <x:c r="I8" s="118" t="str">
        <x:v>No longer buyable in &lt;1 hour of optimized Foxface output</x:v>
      </x:c>
    </x:row>
    <x:row r="9" ht="15" hidden="0" customHeight="1">
      <x:c r="A9" s="118" t="n">
        <x:v>6</x:v>
      </x:c>
      <x:c r="B9" s="118" t="n">
        <x:v>43</x:v>
      </x:c>
      <x:c r="C9" s="118" t="n">
        <x:v>10</x:v>
      </x:c>
      <x:c r="D9" s="118" t="n">
        <x:f aca="0">Inputs!$B$63</x:f>
        <x:v>40</x:v>
      </x:c>
      <x:c r="E9" s="118" t="str">
        <x:v>10/20/30/40</x:v>
      </x:c>
      <x:c r="F9" s="118" t="str">
        <x:v>13/18/23/28</x:v>
      </x:c>
      <x:c r="G9" s="118" t="str">
        <x:v>90/125/170/220</x:v>
      </x:c>
      <x:c r="H9" s="118" t="str">
        <x:v>250,000 / 500,000 / 850,000 / 1,300,000</x:v>
      </x:c>
      <x:c r="I9" s="118" t="str">
        <x:v>Post-launch long-term capacity</x:v>
      </x:c>
    </x:row>
    <x:row r="10" ht="15" hidden="0" customHeight="1">
      <x:c r="A10" s="118" t="n">
        <x:v>7</x:v>
      </x:c>
      <x:c r="B10" s="118" t="n">
        <x:v>52</x:v>
      </x:c>
      <x:c r="C10" s="118" t="n">
        <x:v>10</x:v>
      </x:c>
      <x:c r="D10" s="118" t="n">
        <x:f aca="0">Inputs!$B$63</x:f>
        <x:v>40</x:v>
      </x:c>
      <x:c r="E10" s="118" t="str">
        <x:v>10/20/30/40</x:v>
      </x:c>
      <x:c r="F10" s="118" t="str">
        <x:v>16/22/28/34</x:v>
      </x:c>
      <x:c r="G10" s="118" t="str">
        <x:v>130/180/240/310</x:v>
      </x:c>
      <x:c r="H10" s="118" t="str">
        <x:v>600,000 / 1,100,000 / 1,800,000 / 2,700,000</x:v>
      </x:c>
      <x:c r="I10" s="118" t="str">
        <x:v>Prestige tank; friendship materially discounts friction</x:v>
      </x:c>
    </x:row>
    <x:row r="11" ht="15" hidden="0" customHeight="1">
      <x:c r="A11" s="118" t="n">
        <x:v>8</x:v>
      </x:c>
      <x:c r="B11" s="118" t="n">
        <x:v>61</x:v>
      </x:c>
      <x:c r="C11" s="118" t="n">
        <x:v>10</x:v>
      </x:c>
      <x:c r="D11" s="118" t="n">
        <x:f aca="0">Inputs!$B$63</x:f>
        <x:v>40</x:v>
      </x:c>
      <x:c r="E11" s="118" t="str">
        <x:v>10/20/30/40</x:v>
      </x:c>
      <x:c r="F11" s="118" t="str">
        <x:v>20/28/36/44</x:v>
      </x:c>
      <x:c r="G11" s="118" t="str">
        <x:v>190/260/350/460</x:v>
      </x:c>
      <x:c r="H11" s="118" t="str">
        <x:v>1,300,000 / 2,400,000 / 3,800,000 / 5,500,000</x:v>
      </x:c>
      <x:c r="I11" s="118" t="str">
        <x:v>Endgame expansion; Large Tank 8 caps at L70</x:v>
      </x:c>
    </x:row>
    <x:row r="12" ht="15" hidden="0" customHeight="1">
      <x:c r="A12" s="118"/>
      <x:c r="B12" s="118"/>
      <x:c r="C12" s="118"/>
      <x:c r="D12" s="118"/>
      <x:c r="E12" s="118"/>
      <x:c r="F12" s="118"/>
      <x:c r="G12" s="118"/>
      <x:c r="H12" s="118"/>
      <x:c r="I12" s="118"/>
    </x:row>
    <x:row r="13" ht="24" hidden="0" customHeight="1">
      <x:c r="A13" s="133" t="str">
        <x:v>Pricing is now scaled as a real coin sink; fish purchases are working capital, not a permanent sink.</x:v>
      </x:c>
      <x:c r="B13" s="133"/>
      <x:c r="C13" s="133"/>
      <x:c r="D13" s="133"/>
      <x:c r="E13" s="133"/>
      <x:c r="F13" s="133"/>
      <x:c r="G13" s="133"/>
      <x:c r="H13" s="133"/>
      <x:c r="I13" s="133"/>
    </x:row>
  </x:sheetData>
  <x:mergeCells>
    <x:mergeCell ref="A1:I1"/>
    <x:mergeCell ref="A13:I13"/>
  </x:mergeCells>
  <x:pageMargins left="0.7" right="0.7" top="0.75" bottom="0.75" header="0.3" footer="0.3"/>
</x:worksheet>
</file>

<file path=xl/worksheets/sheet9.xml><?xml version="1.0" encoding="utf-8"?>
<x:worksheet xmlns:x="http://schemas.openxmlformats.org/spreadsheetml/2006/main">
  <x:sheetViews>
    <x:sheetView showGridLines="1" workbookViewId="0"/>
  </x:sheetViews>
  <x:sheetFormatPr defaultColWidth="8.6796875" defaultRowHeight="15"/>
  <x:cols>
    <x:col min="1" max="1" width="6" hidden="0" customWidth="1"/>
    <x:col min="2" max="2" width="16" hidden="0" customWidth="1"/>
    <x:col min="3" max="3" width="30" hidden="0" customWidth="1"/>
    <x:col min="4" max="4" width="38" hidden="0" customWidth="1"/>
    <x:col min="5" max="5" width="24" hidden="0" customWidth="1"/>
    <x:col min="6" max="6" width="26" hidden="0" customWidth="1"/>
    <x:col min="7" max="7" width="20" hidden="0" customWidth="1"/>
  </x:cols>
  <x:sheetData>
    <x:row r="1" ht="17.350000381469727" hidden="0">
      <x:c r="A1" s="4" t="s">
        <x:v>98</x:v>
      </x:c>
    </x:row>
    <x:row r="3" ht="30" hidden="0" customHeight="1">
      <x:c r="A3" s="22" t="s">
        <x:v>99</x:v>
      </x:c>
      <x:c r="B3" s="22" t="s">
        <x:v>100</x:v>
      </x:c>
      <x:c r="C3" s="22" t="s">
        <x:v>101</x:v>
      </x:c>
      <x:c r="D3" s="22" t="s">
        <x:v>102</x:v>
      </x:c>
      <x:c r="E3" s="22" t="s">
        <x:v>103</x:v>
      </x:c>
      <x:c r="F3" s="22" t="s">
        <x:v>104</x:v>
      </x:c>
      <x:c r="G3" s="22" t="s">
        <x:v>105</x:v>
      </x:c>
    </x:row>
    <x:row r="4" ht="23.850000381469727" hidden="0">
      <x:c r="A4" s="23" t="n">
        <x:v>1</x:v>
      </x:c>
      <x:c r="B4" s="13" t="s">
        <x:v>106</x:v>
      </x:c>
      <x:c r="C4" s="26" t="s">
        <x:v>107</x:v>
      </x:c>
      <x:c r="D4" s="26" t="s">
        <x:v>108</x:v>
      </x:c>
      <x:c r="E4" s="13" t="s">
        <x:v>109</x:v>
      </x:c>
      <x:c r="F4" s="13" t="s">
        <x:v>110</x:v>
      </x:c>
      <x:c r="G4" s="13" t="s">
        <x:v>111</x:v>
      </x:c>
    </x:row>
    <x:row r="5" ht="15" hidden="0">
      <x:c r="A5" s="23" t="n">
        <x:v>2</x:v>
      </x:c>
      <x:c r="B5" s="13" t="s">
        <x:v>112</x:v>
      </x:c>
      <x:c r="C5" s="26" t="s">
        <x:v>113</x:v>
      </x:c>
      <x:c r="D5" s="26" t="s">
        <x:v>114</x:v>
      </x:c>
      <x:c r="E5" s="13" t="s">
        <x:v>115</x:v>
      </x:c>
      <x:c r="F5" s="13" t="s">
        <x:v>116</x:v>
      </x:c>
      <x:c r="G5" s="13" t="s">
        <x:v>117</x:v>
      </x:c>
    </x:row>
    <x:row r="6" ht="23.850000381469727" hidden="0">
      <x:c r="A6" s="23" t="n">
        <x:v>3</x:v>
      </x:c>
      <x:c r="B6" s="13" t="s">
        <x:v>118</x:v>
      </x:c>
      <x:c r="C6" s="26" t="s">
        <x:v>119</x:v>
      </x:c>
      <x:c r="D6" s="26" t="s">
        <x:v>120</x:v>
      </x:c>
      <x:c r="E6" s="13" t="s">
        <x:v>121</x:v>
      </x:c>
      <x:c r="F6" s="13" t="s">
        <x:v>122</x:v>
      </x:c>
      <x:c r="G6" s="13" t="s">
        <x:v>123</x:v>
      </x:c>
    </x:row>
    <x:row r="7" ht="15" hidden="0">
      <x:c r="A7" s="23" t="n">
        <x:v>4</x:v>
      </x:c>
      <x:c r="B7" s="13" t="s">
        <x:v>124</x:v>
      </x:c>
      <x:c r="C7" s="26" t="s">
        <x:v>125</x:v>
      </x:c>
      <x:c r="D7" s="26" t="s">
        <x:v>126</x:v>
      </x:c>
      <x:c r="E7" s="13" t="s">
        <x:v>127</x:v>
      </x:c>
      <x:c r="F7" s="13" t="s">
        <x:v>128</x:v>
      </x:c>
      <x:c r="G7" s="13" t="s">
        <x:v>129</x:v>
      </x:c>
    </x:row>
    <x:row r="8" ht="15" hidden="0">
      <x:c r="A8" s="23" t="n">
        <x:v>5</x:v>
      </x:c>
      <x:c r="B8" s="13" t="s">
        <x:v>130</x:v>
      </x:c>
      <x:c r="C8" s="26" t="s">
        <x:v>131</x:v>
      </x:c>
      <x:c r="D8" s="26" t="s">
        <x:v>132</x:v>
      </x:c>
      <x:c r="E8" s="13" t="s">
        <x:v>133</x:v>
      </x:c>
      <x:c r="F8" s="13" t="s">
        <x:v>134</x:v>
      </x:c>
      <x:c r="G8" s="13" t="s">
        <x:v>135</x:v>
      </x:c>
    </x:row>
    <x:row r="9" ht="15" hidden="0">
      <x:c r="A9" s="23" t="n">
        <x:v>6</x:v>
      </x:c>
      <x:c r="B9" s="13" t="s">
        <x:v>136</x:v>
      </x:c>
      <x:c r="C9" s="26" t="s">
        <x:v>137</x:v>
      </x:c>
      <x:c r="D9" s="26" t="s">
        <x:v>138</x:v>
      </x:c>
      <x:c r="E9" s="13" t="s">
        <x:v>139</x:v>
      </x:c>
      <x:c r="F9" s="13" t="s">
        <x:v>140</x:v>
      </x:c>
      <x:c r="G9" s="13" t="s">
        <x:v>141</x:v>
      </x:c>
    </x:row>
    <x:row r="10" ht="15" hidden="0">
      <x:c r="A10" s="23" t="n">
        <x:v>7</x:v>
      </x:c>
      <x:c r="B10" s="13" t="s">
        <x:v>142</x:v>
      </x:c>
      <x:c r="C10" s="26" t="s">
        <x:v>143</x:v>
      </x:c>
      <x:c r="D10" s="26" t="s">
        <x:v>144</x:v>
      </x:c>
      <x:c r="E10" s="13" t="s">
        <x:v>145</x:v>
      </x:c>
      <x:c r="F10" s="13" t="s">
        <x:v>146</x:v>
      </x:c>
      <x:c r="G10" s="13" t="s">
        <x:v>147</x:v>
      </x:c>
    </x:row>
    <x:row r="11" ht="84" hidden="0" customHeight="1">
      <x:c r="A11" s="23" t="n">
        <x:v>8</x:v>
      </x:c>
      <x:c r="B11" s="13" t="s">
        <x:v>148</x:v>
      </x:c>
      <x:c r="C11" s="26" t="str">
        <x:v>Buy and place Pebble Moss Tuft (CP-01), 25 Coins</x:v>
      </x:c>
      <x:c r="D11" s="26" t="str">
        <x:v>Cosmetic expression and one-time ownership XP; no fish stat effect</x:v>
      </x:c>
      <x:c r="E11" s="13" t="str">
        <x:f>'Decor Guide'!$B$10&amp;" XP total ("&amp;INDEX('Decor Catalog'!$K$5:$K$124,MATCH('Decor Guide'!$B$11,'Decor Catalog'!$A$5:$A$124,0))&amp;" item + "&amp;MAX(0,'Decor Guide'!$B$10-INDEX('Decor Catalog'!$K$5:$K$124,MATCH('Decor Guide'!$B$11,'Decor Catalog'!$A$5:$A$124,0)))&amp;" tutorial) + "&amp;INDEX('Decor Catalog'!$L$5:$L$124,MATCH('Decor Guide'!$B$11,'Decor Catalog'!$A$5:$A$124,0))&amp;" Decor Score"</x:f>
        <x:v>15 XP total (1 item + 14 tutorial) + 10 Decor Score</x:v>
      </x:c>
      <x:c r="F11" s="13" t="str">
        <x:v>Only CP-01 enabled; hide other decor and Pearl offers until onboarding ends</x:v>
      </x:c>
      <x:c r="G11" s="13" t="s">
        <x:v>149</x:v>
      </x:c>
    </x:row>
    <x:row r="12" ht="15" hidden="0">
      <x:c r="A12" s="23" t="n">
        <x:v>9</x:v>
      </x:c>
      <x:c r="B12" s="13" t="s">
        <x:v>150</x:v>
      </x:c>
      <x:c r="C12" s="26" t="s">
        <x:v>151</x:v>
      </x:c>
      <x:c r="D12" s="26" t="s">
        <x:v>152</x:v>
      </x:c>
      <x:c r="E12" s="13" t="s">
        <x:v>153</x:v>
      </x:c>
      <x:c r="F12" s="13" t="s">
        <x:v>154</x:v>
      </x:c>
      <x:c r="G12" s="13" t="s">
        <x:v>155</x:v>
      </x:c>
    </x:row>
    <x:row r="13" ht="15" hidden="0">
      <x:c r="A13" s="23" t="n">
        <x:v>10</x:v>
      </x:c>
      <x:c r="B13" s="13" t="s">
        <x:v>156</x:v>
      </x:c>
      <x:c r="C13" s="26" t="s">
        <x:v>157</x:v>
      </x:c>
      <x:c r="D13" s="26" t="s">
        <x:v>158</x:v>
      </x:c>
      <x:c r="E13" s="13" t="s">
        <x:v>159</x:v>
      </x:c>
      <x:c r="F13" s="13" t="s">
        <x:v>160</x:v>
      </x:c>
      <x:c r="G13" s="13" t="s">
        <x:v>161</x:v>
      </x:c>
    </x:row>
    <x:row r="14" ht="15" hidden="0">
      <x:c r="A14" s="23" t="n">
        <x:v>11</x:v>
      </x:c>
      <x:c r="B14" s="13" t="s">
        <x:v>162</x:v>
      </x:c>
      <x:c r="C14" s="26" t="s">
        <x:v>163</x:v>
      </x:c>
      <x:c r="D14" s="26" t="s">
        <x:v>164</x:v>
      </x:c>
      <x:c r="E14" s="13" t="s">
        <x:v>165</x:v>
      </x:c>
      <x:c r="F14" s="13" t="s">
        <x:v>166</x:v>
      </x:c>
      <x:c r="G14" s="13" t="s">
        <x:v>167</x:v>
      </x:c>
    </x:row>
    <x:row r="15" ht="23.850000381469727" hidden="0">
      <x:c r="A15" s="23" t="n">
        <x:v>12</x:v>
      </x:c>
      <x:c r="B15" s="13" t="s">
        <x:v>168</x:v>
      </x:c>
      <x:c r="C15" s="26" t="s">
        <x:v>169</x:v>
      </x:c>
      <x:c r="D15" s="26" t="s">
        <x:v>170</x:v>
      </x:c>
      <x:c r="E15" s="13" t="s">
        <x:v>171</x:v>
      </x:c>
      <x:c r="F15" s="13" t="s">
        <x:v>172</x:v>
      </x:c>
      <x:c r="G15" s="13" t="s">
        <x:v>173</x:v>
      </x:c>
    </x:row>
  </x:sheetData>
  <x:pageMargins left="0.7" right="0.7" top="0.75" bottom="0.75" header="0.3" footer="0.3"/>
</x:worksheet>
</file>

<file path=xl/worksheets/sheet10.xml><?xml version="1.0" encoding="utf-8"?>
<x:worksheet xmlns:x="http://schemas.openxmlformats.org/spreadsheetml/2006/main">
  <x:sheetViews>
    <x:sheetView showGridLines="1" workbookViewId="0"/>
  </x:sheetViews>
  <x:sheetFormatPr defaultColWidth="8.6796875" defaultRowHeight="15"/>
  <x:cols>
    <x:col min="1" max="1" width="14" hidden="0" customWidth="1"/>
    <x:col min="2" max="2" width="24" hidden="0" customWidth="1"/>
    <x:col min="3" max="3" width="36" hidden="0" customWidth="1"/>
    <x:col min="4" max="4" width="34" hidden="0" customWidth="1"/>
    <x:col min="5" max="6" width="10" hidden="0" customWidth="1"/>
    <x:col min="7" max="7" width="48" hidden="0" customWidth="1"/>
    <x:col min="5" max="5" width="12" hidden="0" customWidth="1"/>
    <x:col min="6" max="6" width="10" hidden="0" customWidth="1"/>
  </x:cols>
  <x:sheetData>
    <x:row r="1" ht="22.5" hidden="0" customHeight="1">
      <x:c r="A1" s="132" t="str">
        <x:v>QUEST, MISSION &amp; LIVE-OPS LAYER — rewards scale from Quest Scaling sheet</x:v>
      </x:c>
      <x:c r="B1" s="132"/>
      <x:c r="C1" s="132"/>
      <x:c r="D1" s="132"/>
      <x:c r="E1" s="132"/>
      <x:c r="F1" s="132"/>
      <x:c r="G1" s="132"/>
    </x:row>
    <x:row r="2" ht="15" hidden="0" customHeight="1">
      <x:c r="A2" s="118"/>
      <x:c r="B2" s="118"/>
      <x:c r="C2" s="118"/>
      <x:c r="D2" s="118"/>
      <x:c r="E2" s="118"/>
      <x:c r="F2" s="118"/>
      <x:c r="G2" s="118"/>
    </x:row>
    <x:row r="3" ht="15" hidden="0" customHeight="1">
      <x:c r="A3" s="88" t="str">
        <x:v>Cadence</x:v>
      </x:c>
      <x:c r="B3" s="88" t="str">
        <x:v>Quest / System</x:v>
      </x:c>
      <x:c r="C3" s="88" t="str">
        <x:v>Player Requirement</x:v>
      </x:c>
      <x:c r="D3" s="88" t="str">
        <x:v>Reward</x:v>
      </x:c>
      <x:c r="E3" s="88" t="str">
        <x:v>Unlock</x:v>
      </x:c>
      <x:c r="F3" s="88" t="str">
        <x:v>Reset</x:v>
      </x:c>
      <x:c r="G3" s="88" t="str">
        <x:v>Design Role</x:v>
      </x:c>
    </x:row>
    <x:row r="4" ht="26.399999618530273" hidden="0" customHeight="1">
      <x:c r="A4" s="118" t="str">
        <x:v>Daily</x:v>
      </x:c>
      <x:c r="B4" s="118" t="str">
        <x:v>Feed Caretaker</x:v>
      </x:c>
      <x:c r="C4" s="118" t="str">
        <x:v>Feed 8 fish before any become sick</x:v>
      </x:c>
      <x:c r="D4" s="118" t="str">
        <x:v>25% of daily XP pool + coins; see Quest Scaling</x:v>
      </x:c>
      <x:c r="E4" s="118" t="str">
        <x:v>L2+</x:v>
      </x:c>
      <x:c r="F4" s="118" t="str">
        <x:v>Daily</x:v>
      </x:c>
      <x:c r="G4" s="118" t="str">
        <x:v>Reinforces care loop; reduces death churn</x:v>
      </x:c>
    </x:row>
    <x:row r="5" ht="26.399999618530273" hidden="0" customHeight="1">
      <x:c r="A5" s="118" t="str">
        <x:v>Daily</x:v>
      </x:c>
      <x:c r="B5" s="118" t="str">
        <x:v>Junior Seller</x:v>
      </x:c>
      <x:c r="C5" s="118" t="str">
        <x:v>Raise and sell 2 fish at Junior or better</x:v>
      </x:c>
      <x:c r="D5" s="118" t="str">
        <x:v>28% of daily XP pool + coins; see Quest Scaling</x:v>
      </x:c>
      <x:c r="E5" s="118" t="str">
        <x:v>L2+</x:v>
      </x:c>
      <x:c r="F5" s="118" t="str">
        <x:v>Daily</x:v>
      </x:c>
      <x:c r="G5" s="118" t="str">
        <x:v>Teaches early-sell option using stage-specific XP</x:v>
      </x:c>
    </x:row>
    <x:row r="6" ht="26.399999618530273" hidden="0" customHeight="1">
      <x:c r="A6" s="118" t="str">
        <x:v>Daily</x:v>
      </x:c>
      <x:c r="B6" s="118" t="str">
        <x:v>Adult Harvest</x:v>
      </x:c>
      <x:c r="C6" s="118" t="str">
        <x:v>Sell 1 Adult fish</x:v>
      </x:c>
      <x:c r="D6" s="118" t="str">
        <x:v>32% of daily XP pool + coins; see Quest Scaling</x:v>
      </x:c>
      <x:c r="E6" s="118" t="str">
        <x:v>L3+</x:v>
      </x:c>
      <x:c r="F6" s="118" t="str">
        <x:v>Daily</x:v>
      </x:c>
      <x:c r="G6" s="118" t="str">
        <x:v>Main loop reward without replacing fish economy</x:v>
      </x:c>
    </x:row>
    <x:row r="7" ht="76" hidden="0" customHeight="1">
      <x:c r="A7" s="118" t="str">
        <x:v>Daily</x:v>
      </x:c>
      <x:c r="B7" s="118" t="str">
        <x:v>Tank Stylist</x:v>
      </x:c>
      <x:c r="C7" s="118" t="str">
        <x:v>Place or rearrange 1 already-owned plant/decor item; purchase not required</x:v>
      </x:c>
      <x:c r="D7" s="118" t="str">
        <x:v>Remaining daily XP pool; Decor Score comes only from distinct placed IDs</x:v>
      </x:c>
      <x:c r="E7" s="118" t="str">
        <x:v>L3+</x:v>
      </x:c>
      <x:c r="F7" s="118" t="str">
        <x:v>Daily</x:v>
      </x:c>
      <x:c r="G7" s="118" t="str">
        <x:v>Optional styling; no duplicate purchase XP or direct score grant</x:v>
      </x:c>
    </x:row>
    <x:row r="8" ht="15" hidden="0" customHeight="1">
      <x:c r="A8" s="118" t="str">
        <x:v>Weekly</x:v>
      </x:c>
      <x:c r="B8" s="118" t="str">
        <x:v>Collection Chapter</x:v>
      </x:c>
      <x:c r="C8" s="118" t="str">
        <x:v>Complete 5 fish entries in a themed collection</x:v>
      </x:c>
      <x:c r="D8" s="118" t="str">
        <x:v>~45% of next-level XP + Pearls/event egg</x:v>
      </x:c>
      <x:c r="E8" s="118" t="str">
        <x:v>L8+</x:v>
      </x:c>
      <x:c r="F8" s="118" t="str">
        <x:v>Weekly</x:v>
      </x:c>
      <x:c r="G8" s="118" t="str">
        <x:v>Medium-term collection goal</x:v>
      </x:c>
    </x:row>
    <x:row r="9" ht="15" hidden="0" customHeight="1">
      <x:c r="A9" s="118" t="str">
        <x:v>Weekly</x:v>
      </x:c>
      <x:c r="B9" s="118" t="str">
        <x:v>Neighbor Helper</x:v>
      </x:c>
      <x:c r="C9" s="118" t="str">
        <x:v>Send/receive 5 gifts or use NPC tickets</x:v>
      </x:c>
      <x:c r="D9" s="118" t="str">
        <x:v>Pearls + Coins</x:v>
      </x:c>
      <x:c r="E9" s="118" t="str">
        <x:v>L5+</x:v>
      </x:c>
      <x:c r="F9" s="118" t="str">
        <x:v>Weekly</x:v>
      </x:c>
      <x:c r="G9" s="118" t="str">
        <x:v>Social without hard friend walls</x:v>
      </x:c>
    </x:row>
    <x:row r="10" ht="15" hidden="0" customHeight="1">
      <x:c r="A10" s="118" t="str">
        <x:v>Achievement</x:v>
      </x:c>
      <x:c r="B10" s="118" t="str">
        <x:v>Species Mastery</x:v>
      </x:c>
      <x:c r="C10" s="118" t="str">
        <x:v>Raise a species to Adult 5/25/100 times</x:v>
      </x:c>
      <x:c r="D10" s="118" t="str">
        <x:v>Badge + XP + statue decor</x:v>
      </x:c>
      <x:c r="E10" s="118" t="str">
        <x:v>All</x:v>
      </x:c>
      <x:c r="F10" s="118" t="str">
        <x:v>Permanent</x:v>
      </x:c>
      <x:c r="G10" s="118" t="str">
        <x:v>Depth without changing fish math</x:v>
      </x:c>
    </x:row>
    <x:row r="11" ht="15" hidden="0" customHeight="1">
      <x:c r="A11" s="118" t="str">
        <x:v>Achievement</x:v>
      </x:c>
      <x:c r="B11" s="118" t="str">
        <x:v>Decorator</x:v>
      </x:c>
      <x:c r="C11" s="118" t="str">
        <x:v>Reach decor score thresholds</x:v>
      </x:c>
      <x:c r="D11" s="118" t="str">
        <x:v>Cosmetic titles + backgrounds</x:v>
      </x:c>
      <x:c r="E11" s="118" t="str">
        <x:v>L3+</x:v>
      </x:c>
      <x:c r="F11" s="118" t="str">
        <x:v>Permanent</x:v>
      </x:c>
      <x:c r="G11" s="118" t="str">
        <x:v>Decor as progression expression</x:v>
      </x:c>
    </x:row>
    <x:row r="12" ht="26.399999618530273" hidden="0" customHeight="1">
      <x:c r="A12" s="118" t="str">
        <x:v>Live Ops</x:v>
      </x:c>
      <x:c r="B12" s="118" t="str">
        <x:v>Daily Egg Basket</x:v>
      </x:c>
      <x:c r="C12" s="118" t="str">
        <x:v>Claim a random egg every 24h; tables rotate weekly</x:v>
      </x:c>
      <x:c r="D12" s="118" t="str">
        <x:v>Random fish egg; retired fish chance; no economy-breaking resale</x:v>
      </x:c>
      <x:c r="E12" s="118" t="str">
        <x:v>L6+</x:v>
      </x:c>
      <x:c r="F12" s="118" t="str">
        <x:v>Daily</x:v>
      </x:c>
      <x:c r="G12" s="118" t="str">
        <x:v>FishVille retired-fish Egg Basket concept</x:v>
      </x:c>
    </x:row>
    <x:row r="13" ht="15" hidden="0" customHeight="1">
      <x:c r="A13" s="118" t="str">
        <x:v>Live Ops</x:v>
      </x:c>
      <x:c r="B13" s="118" t="str">
        <x:v>Limited Fish Window</x:v>
      </x:c>
      <x:c r="C13" s="118" t="str">
        <x:v>LE fish appears per Limited Edition calendar</x:v>
      </x:c>
      <x:c r="D13" s="118" t="str">
        <x:v>Limited catalog entry; capped advantage</x:v>
      </x:c>
      <x:c r="E13" s="118" t="str">
        <x:v>L per fish</x:v>
      </x:c>
      <x:c r="F13" s="118" t="str">
        <x:v>Event</x:v>
      </x:c>
      <x:c r="G13" s="118" t="str">
        <x:v>Mirrors 7-day limited pattern without mandatory power creep</x:v>
      </x:c>
    </x:row>
    <x:row r="14" ht="72" customHeight="1">
      <x:c r="A14" s="118" t="str">
        <x:v>Live Ops</x:v>
      </x:c>
      <x:c r="B14" s="118" t="str">
        <x:v>Limited Plants &amp; Decor</x:v>
      </x:c>
      <x:c r="C14" s="118" t="str">
        <x:v>Complete onboarding, meet item level and open event window</x:v>
      </x:c>
      <x:c r="D14" s="118" t="str">
        <x:v>Permanent cosmetic ownership; capped first paid ownership XP</x:v>
      </x:c>
      <x:c r="E14" s="118" t="str">
        <x:v>Per item</x:v>
      </x:c>
      <x:c r="F14" s="118" t="str">
        <x:v>12 event pairs</x:v>
      </x:c>
      <x:c r="G14" s="118" t="str">
        <x:v>One Coin route and one Pearl route per event; no fish power</x:v>
      </x:c>
    </x:row>
  </x:sheetData>
  <x:mergeCells>
    <x:mergeCell ref="A1:G1"/>
  </x:mergeCells>
  <x:pageMargins left="0.7" right="0.7" top="0.75" bottom="0.75" header="0.3" footer="0.3"/>
</x:worksheet>
</file>

<file path=xl/worksheets/sheet11.xml><?xml version="1.0" encoding="utf-8"?>
<x:worksheet xmlns:x="http://schemas.openxmlformats.org/spreadsheetml/2006/main">
  <x:sheetViews>
    <x:sheetView showGridLines="1" workbookViewId="0"/>
  </x:sheetViews>
  <x:sheetFormatPr defaultColWidth="8.6796875" defaultRowHeight="15"/>
  <x:cols>
    <x:col min="1" max="1" width="20" hidden="0" customWidth="1"/>
    <x:col min="2" max="2" width="18" hidden="0" customWidth="1"/>
    <x:col min="3" max="4" width="42" hidden="0" customWidth="1"/>
    <x:col min="5" max="5" width="48" hidden="0" customWidth="1"/>
    <x:col min="6" max="6" width="16" hidden="0" customWidth="1"/>
    <x:col min="3" max="3" width="48" hidden="0" customWidth="1"/>
    <x:col min="4" max="4" width="48" hidden="0" customWidth="1"/>
  </x:cols>
  <x:sheetData>
    <x:row r="1" ht="22.5" hidden="0" customHeight="1">
      <x:c r="A1" s="132" t="str">
        <x:v>CURRENCY &amp; RESOURCE SYSTEM — sources, sinks, guardrails</x:v>
      </x:c>
      <x:c r="B1" s="132"/>
      <x:c r="C1" s="132"/>
      <x:c r="D1" s="132"/>
      <x:c r="E1" s="132"/>
      <x:c r="F1" s="132"/>
    </x:row>
    <x:row r="2" ht="15" hidden="0" customHeight="1">
      <x:c r="A2" s="118"/>
      <x:c r="B2" s="118"/>
      <x:c r="C2" s="118"/>
      <x:c r="D2" s="118"/>
      <x:c r="E2" s="118"/>
      <x:c r="F2" s="118"/>
    </x:row>
    <x:row r="3" ht="15" hidden="0" customHeight="1">
      <x:c r="A3" s="88" t="str">
        <x:v>Currency / Resource</x:v>
      </x:c>
      <x:c r="B3" s="88" t="str">
        <x:v>Type</x:v>
      </x:c>
      <x:c r="C3" s="88" t="str">
        <x:v>Sources</x:v>
      </x:c>
      <x:c r="D3" s="88" t="str">
        <x:v>Sinks</x:v>
      </x:c>
      <x:c r="E3" s="88" t="str">
        <x:v>Guardrails</x:v>
      </x:c>
      <x:c r="F3" s="88" t="str">
        <x:v>Role</x:v>
      </x:c>
    </x:row>
    <x:row r="4" ht="26.399999618530273" hidden="0" customHeight="1">
      <x:c r="A4" s="118" t="str">
        <x:v>Coins</x:v>
      </x:c>
      <x:c r="B4" s="118" t="str">
        <x:v>Soft currency</x:v>
      </x:c>
      <x:c r="C4" s="118" t="str">
        <x:v>Sell fish; quests; daily bonus; friend visits; achievements; collections</x:v>
      </x:c>
      <x:c r="D4" s="118" t="str">
        <x:v>Coin fish; plants; decor; tanks; capacity; basic food; recurring maintenance</x:v>
      </x:c>
      <x:c r="E4" s="118" t="str">
        <x:v>No bankruptcy in first 3 sessions; adult loops are net-positive but sinks absorb long-term surplus</x:v>
      </x:c>
      <x:c r="F4" s="118" t="str">
        <x:v>Primary</x:v>
      </x:c>
    </x:row>
    <x:row r="5" ht="39.599998474121094" hidden="0" customHeight="1">
      <x:c r="A5" s="118" t="str">
        <x:v>Pearls</x:v>
      </x:c>
      <x:c r="B5" s="118" t="str">
        <x:v>Premium currency</x:v>
      </x:c>
      <x:c r="C5" s="118" t="str">
        <x:v>Level-up grants; events; IAP; offers</x:v>
      </x:c>
      <x:c r="D5" s="118" t="str">
        <x:v>Premium fish and cosmetics; premium plants/decor; speed-ups; event eggs; premium gifts; tank capacity</x:v>
      </x:c>
      <x:c r="E5" s="118" t="str">
        <x:v>Required for premium purchases, revival, and tank capacity; never required for levels</x:v>
      </x:c>
      <x:c r="F5" s="118" t="str">
        <x:v>Monetization</x:v>
      </x:c>
    </x:row>
    <x:row r="6" ht="26.399999618530273" hidden="0" customHeight="1">
      <x:c r="A6" s="118" t="str">
        <x:v>XP</x:v>
      </x:c>
      <x:c r="B6" s="118" t="str">
        <x:v>Progress currency</x:v>
      </x:c>
      <x:c r="C6" s="118" t="str">
        <x:v>Buy fish; sell fish at stage-specific XP; first paid ownership of a plant/decor ID; quests; social; collections</x:v>
      </x:c>
      <x:c r="D6" s="118" t="str">
        <x:v>Levels only; cannot be spent</x:v>
      </x:c>
      <x:c r="E6" s="118" t="str">
        <x:v>Every session moves the bar; daily quests scale to 8-12% of next-level XP after tutorial</x:v>
      </x:c>
      <x:c r="F6" s="118" t="str">
        <x:v>Progression</x:v>
      </x:c>
    </x:row>
    <x:row r="7" ht="26.399999618530273" hidden="0" customHeight="1">
      <x:c r="A7" s="118" t="str">
        <x:v>Tank Slots</x:v>
      </x:c>
      <x:c r="B7" s="118" t="str">
        <x:v>Capacity</x:v>
      </x:c>
      <x:c r="C7" s="118" t="str">
        <x:v>Start 10; upgrades via Coins, levels, Pearls/friends, optional discounts</x:v>
      </x:c>
      <x:c r="D7" s="118" t="str">
        <x:v>Expansion purchases</x:v>
      </x:c>
      <x:c r="E7" s="118" t="str">
        <x:v>Capacity is the main production scaler, so tank prices scale with realistic daily income</x:v>
      </x:c>
      <x:c r="F7" s="118" t="str">
        <x:v>Production</x:v>
      </x:c>
    </x:row>
    <x:row r="8" ht="82" hidden="0" customHeight="1">
      <x:c r="A8" s="118" t="str">
        <x:v>Decor Score</x:v>
      </x:c>
      <x:c r="B8" s="118" t="str">
        <x:v>Meta score</x:v>
      </x:c>
      <x:c r="C8" s="118" t="str">
        <x:v>Distinct plant/decor IDs currently placed in each tank; see Decor Guide</x:v>
      </x:c>
      <x:c r="D8" s="118" t="str">
        <x:v>Non-spendable; cosmetic titles/background thresholds and showcases</x:v>
      </x:c>
      <x:c r="E8" s="118" t="str">
        <x:v>No fish power; duplicates of an ID add no extra score per tank; no score-weighted economy rewards</x:v>
      </x:c>
      <x:c r="F8" s="118" t="str">
        <x:v>Expression, not power</x:v>
      </x:c>
    </x:row>
    <x:row r="9" ht="26.399999618530273" hidden="0" customHeight="1">
      <x:c r="A9" s="118" t="str">
        <x:v>Event Eggs</x:v>
      </x:c>
      <x:c r="B9" s="118" t="str">
        <x:v>Limited collectible</x:v>
      </x:c>
      <x:c r="C9" s="118" t="str">
        <x:v>Daily egg basket; event quests; gift chains</x:v>
      </x:c>
      <x:c r="D9" s="118" t="str">
        <x:v>Hatch limited/retired fish</x:v>
      </x:c>
      <x:c r="E9" s="118" t="str">
        <x:v>Rotating return-reasons without breaking core economy; LE fish capped near normal frontier</x:v>
      </x:c>
      <x:c r="F9" s="118" t="str">
        <x:v>Live Ops</x:v>
      </x:c>
    </x:row>
    <x:row r="10" ht="26.399999618530273" hidden="0" customHeight="1">
      <x:c r="A10" s="118"/>
      <x:c r="B10" s="118"/>
      <x:c r="C10" s="118"/>
      <x:c r="D10" s="118"/>
      <x:c r="E10" s="118"/>
      <x:c r="F10" s="118"/>
    </x:row>
  </x:sheetData>
  <x:mergeCells>
    <x:mergeCell ref="A1:F1"/>
  </x:mergeCells>
  <x:pageMargins left="0.7" right="0.7" top="0.75" bottom="0.75" header="0.3" footer="0.3"/>
</x:worksheet>
</file>

<file path=xl/worksheets/sheet12.xml><?xml version="1.0" encoding="utf-8"?>
<x:worksheet xmlns:x="http://schemas.openxmlformats.org/spreadsheetml/2006/main">
  <x:sheetViews>
    <x:sheetView showGridLines="1" workbookViewId="0"/>
  </x:sheetViews>
  <x:sheetFormatPr defaultColWidth="8.6796875" defaultRowHeight="15"/>
  <x:cols>
    <x:col min="1" max="1" width="34" hidden="0" customWidth="1"/>
    <x:col min="2" max="2" width="16" hidden="0" customWidth="1"/>
    <x:col min="3" max="3" width="32" hidden="0" customWidth="1"/>
    <x:col min="4" max="4" width="50" hidden="0" customWidth="1"/>
  </x:cols>
  <x:sheetData>
    <x:row r="1" ht="22.5" hidden="0" customHeight="1">
      <x:c r="A1" s="132" t="str">
        <x:v>BALANCING DASHBOARD — updated target-rate economy</x:v>
      </x:c>
      <x:c r="B1" s="132"/>
      <x:c r="C1" s="132"/>
      <x:c r="D1" s="132"/>
    </x:row>
    <x:row r="2" ht="15" hidden="0" customHeight="1">
      <x:c r="A2" s="118"/>
      <x:c r="B2" s="118"/>
      <x:c r="C2" s="118"/>
      <x:c r="D2" s="118"/>
    </x:row>
    <x:row r="3" ht="15" hidden="0" customHeight="1">
      <x:c r="A3" s="88" t="str">
        <x:v>KPI</x:v>
      </x:c>
      <x:c r="B3" s="88" t="str">
        <x:v>Value</x:v>
      </x:c>
      <x:c r="C3" s="88" t="str">
        <x:v>Design Target</x:v>
      </x:c>
      <x:c r="D3" s="88" t="str">
        <x:v>Status / Interpretation</x:v>
      </x:c>
    </x:row>
    <x:row r="4" ht="15" hidden="0" customHeight="1">
      <x:c r="A4" s="118" t="str">
        <x:v>Starting Coins</x:v>
      </x:c>
      <x:c r="B4" s="118" t="n">
        <x:f aca="0">Inputs!$B$6</x:f>
        <x:v>250</x:v>
      </x:c>
      <x:c r="C4" s="118" t="str">
        <x:v>250, enough for first loop</x:v>
      </x:c>
      <x:c r="D4" s="118" t="str">
        <x:v>Low-friction first session</x:v>
      </x:c>
    </x:row>
    <x:row r="5" ht="15" hidden="0" customHeight="1">
      <x:c r="A5" s="118" t="str">
        <x:v>Starting Pearls</x:v>
      </x:c>
      <x:c r="B5" s="118" t="n">
        <x:f aca="0">Inputs!$B$7</x:f>
        <x:v>0</x:v>
      </x:c>
      <x:c r="C5" s="118" t="str">
        <x:v>0 at install; Level 2 grants 1</x:v>
      </x:c>
      <x:c r="D5" s="118" t="str">
        <x:v>Prevents early Pearl-to-coin arbitrage</x:v>
      </x:c>
    </x:row>
    <x:row r="6" ht="15" hidden="0" customHeight="1">
      <x:c r="A6" s="118" t="str">
        <x:v>XP to reach Level 2</x:v>
      </x:c>
      <x:c r="B6" s="118" t="n">
        <x:f aca="0">'XP Curve'!G5</x:f>
        <x:v>80</x:v>
      </x:c>
      <x:c r="C6" s="118" t="str">
        <x:v>Reachable inside tutorial</x:v>
      </x:c>
      <x:c r="D6" s="118" t="str">
        <x:v>Onboarding delivers first level-up</x:v>
      </x:c>
    </x:row>
    <x:row r="7" ht="15" hidden="0" customHeight="1">
      <x:c r="A7" s="118" t="str">
        <x:v>XP to reach Level 10</x:v>
      </x:c>
      <x:c r="B7" s="118" t="n">
        <x:f aca="0">'XP Curve'!G13</x:f>
        <x:v>8030</x:v>
      </x:c>
      <x:c r="C7" s="118" t="str">
        <x:v>Day 1-2 for active players</x:v>
      </x:c>
      <x:c r="D7" s="118" t="str">
        <x:v>Early hook pacing</x:v>
      </x:c>
    </x:row>
    <x:row r="8" ht="15" hidden="0" customHeight="1">
      <x:c r="A8" s="118" t="str">
        <x:v>XP to reach Level 30</x:v>
      </x:c>
      <x:c r="B8" s="118" t="n">
        <x:f aca="0">'XP Curve'!G33</x:f>
        <x:v>354460</x:v>
      </x:c>
      <x:c r="C8" s="118" t="str">
        <x:v>Multi-week goal</x:v>
      </x:c>
      <x:c r="D8" s="118" t="str">
        <x:v>Medium-term retention</x:v>
      </x:c>
    </x:row>
    <x:row r="9" ht="15" hidden="0" customHeight="1">
      <x:c r="A9" s="118" t="str">
        <x:v>XP to reach Level 70</x:v>
      </x:c>
      <x:c r="B9" s="118" t="n">
        <x:f aca="0">'XP Curve'!G73</x:f>
        <x:v>6333050</x:v>
      </x:c>
      <x:c r="C9" s="118" t="str">
        <x:v>Months-long aspiration</x:v>
      </x:c>
      <x:c r="D9" s="118" t="str">
        <x:v>Endgame prestige</x:v>
      </x:c>
    </x:row>
    <x:row r="10" ht="15" hidden="0" customHeight="1">
      <x:c r="A10" s="118" t="str">
        <x:v>L10/L11 delta ratio</x:v>
      </x:c>
      <x:c r="B10" s="120" t="n">
        <x:f aca="0">ROUND('XP Curve'!F14/'XP Curve'!F13,2)</x:f>
        <x:v>1.3</x:v>
      </x:c>
      <x:c r="C10" s="118" t="str">
        <x:v>~1.0-1.3</x:v>
      </x:c>
      <x:c r="D10" s="118" t="str">
        <x:v>Smoothed early-to-habit transition</x:v>
      </x:c>
    </x:row>
    <x:row r="11" ht="15" hidden="0" customHeight="1">
      <x:c r="A11" s="118" t="str">
        <x:v>L31/L30 delta ratio</x:v>
      </x:c>
      <x:c r="B11" s="120" t="n">
        <x:f aca="0">ROUND('XP Curve'!F34/'XP Curve'!F33,2)</x:f>
        <x:v>1.11</x:v>
      </x:c>
      <x:c r="C11" s="118" t="str">
        <x:v>~1.0-1.4</x:v>
      </x:c>
      <x:c r="D11" s="118" t="str">
        <x:v>Confirms XP wall stays fixed</x:v>
      </x:c>
    </x:row>
    <x:row r="12" ht="15" hidden="0" customHeight="1">
      <x:c r="A12" s="118" t="str">
        <x:v>Coin fish in catalog</x:v>
      </x:c>
      <x:c r="B12" s="118" t="n">
        <x:f aca="0">COUNTA('Coin Fish'!A2:A27)</x:f>
        <x:v>26</x:v>
      </x:c>
      <x:c r="C12" s="118" t="str">
        <x:v>26 at launch</x:v>
      </x:c>
      <x:c r="D12" s="118" t="str">
        <x:v>Store breadth</x:v>
      </x:c>
    </x:row>
    <x:row r="13" ht="15" hidden="0" customHeight="1">
      <x:c r="A13" s="118" t="str">
        <x:v>Premium fish in catalog</x:v>
      </x:c>
      <x:c r="B13" s="118" t="n">
        <x:f aca="0">COUNTA('Premium Fish'!A2:A11)</x:f>
        <x:v>10</x:v>
      </x:c>
      <x:c r="C13" s="118" t="str">
        <x:v>10 at launch</x:v>
      </x:c>
      <x:c r="D13" s="118" t="str">
        <x:v>Monetization breadth</x:v>
      </x:c>
    </x:row>
    <x:row r="14" ht="15" hidden="0" customHeight="1">
      <x:c r="A14" s="118" t="str">
        <x:v>Limited fish in calendar</x:v>
      </x:c>
      <x:c r="B14" s="118" t="n">
        <x:f aca="0">COUNTA('Limited Edition'!A2:A11)</x:f>
        <x:v>10</x:v>
      </x:c>
      <x:c r="C14" s="118" t="str">
        <x:v>8-12 across year</x:v>
      </x:c>
      <x:c r="D14" s="118" t="str">
        <x:v>Live-ops coverage</x:v>
      </x:c>
    </x:row>
    <x:row r="15" ht="15" hidden="0" customHeight="1">
      <x:c r="A15" s="118" t="str">
        <x:v>Active / Balanced / Idle fish</x:v>
      </x:c>
      <x:c r="B15" s="118" t="str">
        <x:f aca="0">COUNTIF('Coin Fish'!AC2:AC27,"Active")&amp;" / "&amp;COUNTIF('Coin Fish'!AC2:AC27,"Balanced")&amp;" / "&amp;COUNTIF('Coin Fish'!AC2:AC27,"Idle")</x:f>
        <x:v>6 / 6 / 14</x:v>
      </x:c>
      <x:c r="C15" s="118" t="str">
        <x:v>All playstyles present</x:v>
      </x:c>
      <x:c r="D15" s="118" t="str">
        <x:v>Schedule-choice model preserved</x:v>
      </x:c>
    </x:row>
    <x:row r="16" ht="15" hidden="0" customHeight="1">
      <x:c r="A16" s="118" t="str">
        <x:v>Max coin fish coins/hr</x:v>
      </x:c>
      <x:c r="B16" s="121" t="n">
        <x:f aca="0">ROUND(MAX('Coin Fish'!W2:W27),1)</x:f>
        <x:v>415.7</x:v>
      </x:c>
      <x:c r="C16" s="118" t="str">
        <x:v>≤700 at L70 frontier</x:v>
      </x:c>
      <x:c r="D16" s="118" t="str">
        <x:v>Prevents high-level fast-fish runaway</x:v>
      </x:c>
    </x:row>
    <x:row r="17" ht="15" hidden="0" customHeight="1">
      <x:c r="A17" s="118" t="str">
        <x:v>Foxface Rabbitfish coins/hr</x:v>
      </x:c>
      <x:c r="B17" s="121" t="n">
        <x:f aca="0">ROUND(INDEX('Coin Fish'!W2:W27,MATCH("Foxface Rabbitfish",'Coin Fish'!B2:B27,0)),1)</x:f>
        <x:v>415.7</x:v>
      </x:c>
      <x:c r="C17" s="118" t="str">
        <x:v>~360-430</x:v>
      </x:c>
      <x:c r="D17" s="118" t="str">
        <x:v>Late active coin specialist, not universal best</x:v>
      </x:c>
    </x:row>
    <x:row r="18" ht="15" hidden="0" customHeight="1">
      <x:c r="A18" s="118" t="str">
        <x:v>Queen Angelfish coins/hr</x:v>
      </x:c>
      <x:c r="B18" s="121" t="n">
        <x:f aca="0">ROUND(INDEX('Coin Fish'!W2:W27,MATCH("Queen Angelfish",'Coin Fish'!B2:B27,0)),1)</x:f>
        <x:v>35.5</x:v>
      </x:c>
      <x:c r="C18" s="118" t="str">
        <x:v>Low hourly, high action value</x:v>
      </x:c>
      <x:c r="D18" s="118" t="str">
        <x:v>Capstone lump payout fantasy</x:v>
      </x:c>
    </x:row>
    <x:row r="19" ht="15" hidden="0" customHeight="1">
      <x:c r="A19" s="118" t="str">
        <x:v>Avg active coins/hr</x:v>
      </x:c>
      <x:c r="B19" s="121" t="n">
        <x:f aca="0">ROUND(AVERAGEIF('Coin Fish'!AC2:AC27,"Active",'Coin Fish'!W2:W27),1)</x:f>
        <x:v>187.3</x:v>
      </x:c>
      <x:c r="C19" s="118" t="str">
        <x:v>&gt; idle average</x:v>
      </x:c>
      <x:c r="D19" s="118" t="str">
        <x:v>FishVille-like active bonus</x:v>
      </x:c>
    </x:row>
    <x:row r="20" ht="15" hidden="0" customHeight="1">
      <x:c r="A20" s="118" t="str">
        <x:v>Avg idle coins/hr</x:v>
      </x:c>
      <x:c r="B20" s="121" t="n">
        <x:f>ROUND(AVERAGEIF('Coin Fish'!AC2:AC27,"Idle",'Coin Fish'!W2:W27),1)</x:f>
        <x:v>20</x:v>
      </x:c>
      <x:c r="C20" s="118" t="str">
        <x:v>Lower hourly, high convenience</x:v>
      </x:c>
      <x:c r="D20" s="118" t="str">
        <x:v>Idle players served</x:v>
      </x:c>
    </x:row>
    <x:row r="21" ht="15" hidden="0" customHeight="1">
      <x:c r="A21" s="118" t="str">
        <x:v>Best premium coins/Pearl</x:v>
      </x:c>
      <x:c r="B21" s="121" t="n">
        <x:f>ROUND(MAX('Premium Fish'!S2:S11),0)</x:f>
        <x:v>1103</x:v>
      </x:c>
      <x:c r="C21" s="118" t="str">
        <x:v>≤1,200</x:v>
      </x:c>
      <x:c r="D21" s="118" t="str">
        <x:v>Premium capped to cosmetic/convenience</x:v>
      </x:c>
    </x:row>
    <x:row r="22" ht="15" hidden="0" customHeight="1">
      <x:c r="A22" s="118" t="str">
        <x:v>Best LE pearl conversion</x:v>
      </x:c>
      <x:c r="B22" s="121" t="n">
        <x:f>ROUND(MAX('Limited Edition'!T2:T11),0)</x:f>
        <x:v>1083</x:v>
      </x:c>
      <x:c r="C22" s="118" t="str">
        <x:v>≤1,300</x:v>
      </x:c>
      <x:c r="D22" s="118" t="str">
        <x:v>Limited fish cannot bypass premium cap</x:v>
      </x:c>
    </x:row>
    <x:row r="23" ht="26.399999618530273" hidden="0" customHeight="1">
      <x:c r="A23" s="118" t="str">
        <x:v>Heartfin Tetra coins/hr</x:v>
      </x:c>
      <x:c r="B23" s="121" t="n">
        <x:f>ROUND(INDEX('Limited Edition'!V2:V11,MATCH("Heartfin Tetra",'Limited Edition'!B2:B11,0)),1)</x:f>
        <x:v>46.4</x:v>
      </x:c>
      <x:c r="C23" s="118" t="str">
        <x:v>≤15% above comparable normal event frontier</x:v>
      </x:c>
      <x:c r="D23" s="118" t="str">
        <x:v>F2P event fish no longer mandatory exploit</x:v>
      </x:c>
    </x:row>
    <x:row r="24" ht="15" hidden="0" customHeight="1">
      <x:c r="A24" s="118" t="str">
        <x:v>Estimated core days to Level 70</x:v>
      </x:c>
      <x:c r="B24" s="121" t="n">
        <x:f>ROUND('Economy Simulation'!K73,0)</x:f>
        <x:v>251</x:v>
      </x:c>
      <x:c r="C24" s="118" t="str">
        <x:v>~230-270 days directional</x:v>
      </x:c>
      <x:c r="D24" s="118" t="str">
        <x:v>Simulation-driven pacing</x:v>
      </x:c>
    </x:row>
    <x:row r="25" ht="15" hidden="0" customHeight="1">
      <x:c r="A25" s="118" t="str">
        <x:v>Tank 5 full cost / L34 daily income</x:v>
      </x:c>
      <x:c r="B25" s="121" t="n">
        <x:f>ROUND((110000+220000+380000+600000)/INDEX('Economy Simulation'!G4:G73,MATCH(34,'Economy Simulation'!A4:A73,0)),1)</x:f>
        <x:v>20.7</x:v>
      </x:c>
      <x:c r="C25" s="118" t="str">
        <x:v>Several days, not minutes</x:v>
      </x:c>
      <x:c r="D25" s="118" t="str">
        <x:v>Tank costs now act as real sinks</x:v>
      </x:c>
    </x:row>
    <x:row r="26" ht="15" hidden="0" customHeight="1">
      <x:c r="A26" s="118" t="str">
        <x:v>Daily XP pool at Level 30</x:v>
      </x:c>
      <x:c r="B26" s="122" t="n">
        <x:f>ROUND(INDEX('Quest Scaling'!C4:C72,MATCH(30,'Quest Scaling'!A4:A72,0))/INDEX('Quest Scaling'!B4:B72,MATCH(30,'Quest Scaling'!A4:A72,0)),2)</x:f>
        <x:v>0.1</x:v>
      </x:c>
      <x:c r="C26" s="118" t="str">
        <x:v>8-12% of next level</x:v>
      </x:c>
      <x:c r="D26" s="118" t="str">
        <x:v>Quest Scaling no longer becomes irrelevant</x:v>
      </x:c>
    </x:row>
    <x:row r="28" ht="38" customHeight="1">
      <x:c r="A28" s="184" t="str">
        <x:v>PLANTS &amp; DECOR — COSMETIC CATALOG EXPANSION</x:v>
      </x:c>
      <x:c r="B28" s="184"/>
      <x:c r="C28" s="184"/>
      <x:c r="D28" s="184"/>
    </x:row>
    <x:row r="29" ht="58" customHeight="1">
      <x:c r="A29" s="133" t="str">
        <x:v>Plant/decor items</x:v>
      </x:c>
      <x:c r="B29" s="235" t="n">
        <x:f>'Decor Dashboard'!A5</x:f>
        <x:v>120</x:v>
      </x:c>
      <x:c r="C29" s="133" t="str">
        <x:v>120 proposed; use Decor Dashboard</x:v>
      </x:c>
      <x:c r="D29" s="133" t="str">
        <x:v>First-ownership XP only; not a fish power system</x:v>
      </x:c>
    </x:row>
    <x:row r="30" ht="58" customHeight="1">
      <x:c r="A30" s="133" t="str">
        <x:v>Coin items (evergreen)</x:v>
      </x:c>
      <x:c r="B30" s="235" t="n">
        <x:f>COUNTIF('Decor Catalog'!$F$5:$F$124,"Coin")</x:f>
        <x:v>64</x:v>
      </x:c>
      <x:c r="C30" s="133" t="str">
        <x:v>64 items</x:v>
      </x:c>
      <x:c r="D30" s="133" t="str">
        <x:v>32 plants + 32 decorations</x:v>
      </x:c>
    </x:row>
    <x:row r="31" ht="58" customHeight="1">
      <x:c r="A31" s="133" t="str">
        <x:v>Premium items (evergreen)</x:v>
      </x:c>
      <x:c r="B31" s="235" t="n">
        <x:f>COUNTIF('Decor Catalog'!$F$5:$F$124,"Premium")</x:f>
        <x:v>32</x:v>
      </x:c>
      <x:c r="C31" s="133" t="str">
        <x:v>32 items</x:v>
      </x:c>
      <x:c r="D31" s="133" t="str">
        <x:v>16 plants + 16 decorations; all have animation briefs</x:v>
      </x:c>
    </x:row>
    <x:row r="32" ht="58" customHeight="1">
      <x:c r="A32" s="133" t="str">
        <x:v>Limited items</x:v>
      </x:c>
      <x:c r="B32" s="235" t="n">
        <x:f>COUNTIF('Decor Catalog'!$F$5:$F$124,"Limited Edition")</x:f>
        <x:v>24</x:v>
      </x:c>
      <x:c r="C32" s="133" t="str">
        <x:v>24 items / 12 event pairs</x:v>
      </x:c>
      <x:c r="D32" s="133" t="str">
        <x:v>Every event includes one Coins option and one Pearls option</x:v>
      </x:c>
    </x:row>
    <x:row r="33" ht="58" customHeight="1">
      <x:c r="A33" s="133" t="str">
        <x:v>Evergreen launch items</x:v>
      </x:c>
      <x:c r="B33" s="235" t="n">
        <x:f>'Decor Dashboard'!D16</x:f>
        <x:v>72</x:v>
      </x:c>
      <x:c r="C33" s="133" t="str">
        <x:v>L1–40; 72 items</x:v>
      </x:c>
      <x:c r="D33" s="133" t="str">
        <x:v>Event content is counted separately</x:v>
      </x:c>
    </x:row>
    <x:row r="34" ht="58" customHeight="1">
      <x:c r="A34" s="133" t="str">
        <x:v>Optional all-catalog Coin cost</x:v>
      </x:c>
      <x:c r="B34" s="235" t="n">
        <x:f>'Decor Dashboard'!D23</x:f>
        <x:v>631790</x:v>
      </x:c>
      <x:c r="C34" s="133" t="str">
        <x:v>Proposed completion cost, not mandatory</x:v>
      </x:c>
      <x:c r="D34" s="133" t="str">
        <x:v>Includes all waves and limited Coin items</x:v>
      </x:c>
    </x:row>
    <x:row r="35" ht="58" customHeight="1">
      <x:c r="A35" s="133" t="str">
        <x:v>Optional all-catalog Pearl cost</x:v>
      </x:c>
      <x:c r="B35" s="235" t="n">
        <x:f>'Decor Dashboard'!D24</x:f>
        <x:v>477</x:v>
      </x:c>
      <x:c r="C35" s="133" t="str">
        <x:v>Proposed completion cost, not mandatory</x:v>
      </x:c>
      <x:c r="D35" s="133" t="str">
        <x:v>No cash conversion supplied</x:v>
      </x:c>
    </x:row>
    <x:row r="36" ht="58" customHeight="1">
      <x:c r="A36" s="133" t="str">
        <x:v>Decor economy simulation</x:v>
      </x:c>
      <x:c r="B36" s="133" t="str">
        <x:v>Not yet included</x:v>
      </x:c>
      <x:c r="C36" s="133" t="str">
        <x:v>Playtest before final pricing</x:v>
      </x:c>
      <x:c r="D36" s="133" t="str">
        <x:v>Existing fish/tank forecasts and production formulas are unchanged</x:v>
      </x:c>
    </x:row>
  </x:sheetData>
  <x:mergeCells>
    <x:mergeCell ref="A1:D1"/>
    <x:mergeCell ref="A28:D28"/>
  </x:mergeCells>
  <x:pageMargins left="0.7" right="0.7" top="0.75" bottom="0.75" header="0.3" footer="0.3"/>
</x:worksheet>
</file>

<file path=xl/worksheets/sheet13.xml><?xml version="1.0" encoding="utf-8"?>
<x:worksheet xmlns:x="http://schemas.openxmlformats.org/spreadsheetml/2006/main">
  <x:sheetViews>
    <x:sheetView showGridLines="1" workbookViewId="0"/>
  </x:sheetViews>
  <x:sheetFormatPr defaultColWidth="8.6796875" defaultRowHeight="15"/>
  <x:cols>
    <x:col min="1" max="1" width="34" hidden="0" customWidth="1"/>
    <x:col min="2" max="2" width="12" hidden="0" customWidth="1"/>
    <x:col min="3" max="3" width="26" hidden="0" customWidth="1"/>
    <x:col min="4" max="4" width="12" hidden="0" customWidth="1"/>
    <x:col min="5" max="5" width="12" hidden="0" customWidth="1"/>
    <x:col min="6" max="6" width="14" hidden="0" customWidth="1"/>
    <x:col min="7" max="7" width="12" hidden="0" customWidth="1"/>
    <x:col min="8" max="8" width="18" hidden="0" customWidth="1"/>
    <x:col min="9" max="9" width="14" hidden="0" customWidth="1"/>
    <x:col min="10" max="10" width="14" hidden="0" customWidth="1"/>
    <x:col min="11" max="11" width="54" hidden="0" customWidth="1"/>
  </x:cols>
  <x:sheetData>
    <x:row r="1" ht="22.5" hidden="0" customHeight="1">
      <x:c r="A1" s="132" t="str">
        <x:v>POST-LAUNCH FISH ROADMAP — target-rate guardrails added</x:v>
      </x:c>
      <x:c r="B1" s="132"/>
      <x:c r="C1" s="132"/>
      <x:c r="D1" s="132"/>
      <x:c r="E1" s="132"/>
      <x:c r="F1" s="132"/>
      <x:c r="G1" s="132"/>
      <x:c r="H1" s="132"/>
      <x:c r="I1" s="132"/>
      <x:c r="J1" s="132"/>
      <x:c r="K1" s="132"/>
    </x:row>
    <x:row r="2" ht="15" hidden="0" customHeight="1">
      <x:c r="A2" s="118"/>
      <x:c r="B2" s="118"/>
      <x:c r="C2" s="118"/>
      <x:c r="D2" s="118"/>
      <x:c r="E2" s="118"/>
      <x:c r="F2" s="118"/>
      <x:c r="G2" s="118"/>
      <x:c r="H2" s="118"/>
      <x:c r="I2" s="118"/>
      <x:c r="J2" s="118"/>
      <x:c r="K2" s="118"/>
    </x:row>
    <x:row r="3" ht="26.399999618530273" hidden="0" customHeight="1">
      <x:c r="A3" s="88" t="str">
        <x:v>Wave</x:v>
      </x:c>
      <x:c r="B3" s="88" t="str">
        <x:v>Suggested Lvl</x:v>
      </x:c>
      <x:c r="C3" s="88" t="str">
        <x:v>Fish</x:v>
      </x:c>
      <x:c r="D3" s="88" t="str">
        <x:v>Rarity</x:v>
      </x:c>
      <x:c r="E3" s="88" t="str">
        <x:v>Stage Time (hrs)</x:v>
      </x:c>
      <x:c r="F3" s="88" t="str">
        <x:v>Stage Time</x:v>
      </x:c>
      <x:c r="G3" s="88" t="str">
        <x:v>Est. Buy</x:v>
      </x:c>
      <x:c r="H3" s="88" t="str">
        <x:v>Suggested Role</x:v>
      </x:c>
      <x:c r="I3" s="88" t="str">
        <x:v>Target Coins/hr</x:v>
      </x:c>
      <x:c r="J3" s="88" t="str">
        <x:v>Target XP/hr</x:v>
      </x:c>
      <x:c r="K3" s="88" t="str">
        <x:v>Balance Note</x:v>
      </x:c>
    </x:row>
    <x:row r="4" ht="26.399999618530273" hidden="0" customHeight="1">
      <x:c r="A4" s="118" t="str">
        <x:v>Wave 1 - Content Refresh (fills launch crate levels)</x:v>
      </x:c>
      <x:c r="B4" s="118" t="n">
        <x:v>3</x:v>
      </x:c>
      <x:c r="C4" s="118" t="str">
        <x:v>Cherry Barb</x:v>
      </x:c>
      <x:c r="D4" s="118" t="str">
        <x:v>Common</x:v>
      </x:c>
      <x:c r="E4" s="126" t="n">
        <x:v>4</x:v>
      </x:c>
      <x:c r="F4" s="118" t="str">
        <x:v>4 h</x:v>
      </x:c>
      <x:c r="G4" s="118" t="n">
        <x:v>40</x:v>
      </x:c>
      <x:c r="H4" s="118" t="str">
        <x:v>Balanced</x:v>
      </x:c>
      <x:c r="I4" s="128" t="n">
        <x:f>IF(D4="Premium","",ROUND((Inputs!$B$70+(B4-Inputs!$B$68)*(Inputs!$B$71-Inputs!$B$70)/(Inputs!$B$69-Inputs!$B$68))*INDEX(Inputs!$C$87:$C$96,MATCH(E4,Inputs!$A$87:$A$96,1))*INDEX(Inputs!$B$100:$B$107,MATCH(H4,Inputs!$A$100:$A$107,0))*(1+INDEX(Inputs!$B$38:$B$44,MATCH(D4,Inputs!$A$38:$A$44,0))*INDEX(Inputs!$D$100:$D$107,MATCH(H4,Inputs!$A$100:$A$107,0))),1))</x:f>
        <x:v>21.2</x:v>
      </x:c>
      <x:c r="J4" s="128" t="n">
        <x:f>IF(D4="Premium","",ROUND((Inputs!$B$72+(B4-Inputs!$B$68)*(Inputs!$B$73-Inputs!$B$72)/(Inputs!$B$69-Inputs!$B$68))*INDEX(Inputs!$D$87:$D$96,MATCH(E4,Inputs!$A$87:$A$96,1))*INDEX(Inputs!$C$100:$C$107,MATCH(H4,Inputs!$A$100:$A$107,0))*(1+INDEX(Inputs!$B$38:$B$44,MATCH(D4,Inputs!$A$38:$A$44,0))*INDEX(Inputs!$E$100:$E$107,MATCH(H4,Inputs!$A$100:$A$107,0))),1))</x:f>
        <x:v>10</x:v>
      </x:c>
      <x:c r="K4" s="118" t="str">
        <x:v>Formula preview: target rates before activating live sheet.</x:v>
      </x:c>
    </x:row>
    <x:row r="5" ht="26.399999618530273" hidden="0" customHeight="1">
      <x:c r="A5" s="118" t="str">
        <x:v>Wave 1 - Content Refresh (fills launch crate levels)</x:v>
      </x:c>
      <x:c r="B5" s="118" t="n">
        <x:v>5</x:v>
      </x:c>
      <x:c r="C5" s="118" t="str">
        <x:v>White Cloud Minnow</x:v>
      </x:c>
      <x:c r="D5" s="118" t="str">
        <x:v>Common</x:v>
      </x:c>
      <x:c r="E5" s="126" t="n">
        <x:v>12</x:v>
      </x:c>
      <x:c r="F5" s="118" t="str">
        <x:v>12 h</x:v>
      </x:c>
      <x:c r="G5" s="118" t="n">
        <x:v>75</x:v>
      </x:c>
      <x:c r="H5" s="118" t="str">
        <x:v>Balanced</x:v>
      </x:c>
      <x:c r="I5" s="128" t="n">
        <x:f>IF(D5="Premium","",ROUND((Inputs!$B$70+(B5-Inputs!$B$68)*(Inputs!$B$71-Inputs!$B$70)/(Inputs!$B$69-Inputs!$B$68))*INDEX(Inputs!$C$87:$C$96,MATCH(E5,Inputs!$A$87:$A$96,1))*INDEX(Inputs!$B$100:$B$107,MATCH(H5,Inputs!$A$100:$A$107,0))*(1+INDEX(Inputs!$B$38:$B$44,MATCH(D5,Inputs!$A$38:$A$44,0))*INDEX(Inputs!$D$100:$D$107,MATCH(H5,Inputs!$A$100:$A$107,0))),1))</x:f>
        <x:v>13.8</x:v>
      </x:c>
      <x:c r="J5" s="128" t="n">
        <x:f>IF(D5="Premium","",ROUND((Inputs!$B$72+(B5-Inputs!$B$68)*(Inputs!$B$73-Inputs!$B$72)/(Inputs!$B$69-Inputs!$B$68))*INDEX(Inputs!$D$87:$D$96,MATCH(E5,Inputs!$A$87:$A$96,1))*INDEX(Inputs!$C$100:$C$107,MATCH(H5,Inputs!$A$100:$A$107,0))*(1+INDEX(Inputs!$B$38:$B$44,MATCH(D5,Inputs!$A$38:$A$44,0))*INDEX(Inputs!$E$100:$E$107,MATCH(H5,Inputs!$A$100:$A$107,0))),1))</x:f>
        <x:v>8.5</x:v>
      </x:c>
      <x:c r="K5" s="118" t="str">
        <x:v>Formula preview: target rates before activating live sheet.</x:v>
      </x:c>
    </x:row>
    <x:row r="6" ht="26.399999618530273" hidden="0" customHeight="1">
      <x:c r="A6" s="118" t="str">
        <x:v>Wave 1 - Content Refresh (fills launch crate levels)</x:v>
      </x:c>
      <x:c r="B6" s="118" t="n">
        <x:v>7</x:v>
      </x:c>
      <x:c r="C6" s="118" t="str">
        <x:v>Swordtail</x:v>
      </x:c>
      <x:c r="D6" s="118" t="str">
        <x:v>Common</x:v>
      </x:c>
      <x:c r="E6" s="126" t="n">
        <x:v>24</x:v>
      </x:c>
      <x:c r="F6" s="118" t="str">
        <x:v>24 h (1 d)</x:v>
      </x:c>
      <x:c r="G6" s="118" t="n">
        <x:v>110</x:v>
      </x:c>
      <x:c r="H6" s="118" t="str">
        <x:v>Convenience</x:v>
      </x:c>
      <x:c r="I6" s="128" t="n">
        <x:f>IF(D6="Premium","",ROUND((Inputs!$B$70+(B6-Inputs!$B$68)*(Inputs!$B$71-Inputs!$B$70)/(Inputs!$B$69-Inputs!$B$68))*INDEX(Inputs!$C$87:$C$96,MATCH(E6,Inputs!$A$87:$A$96,1))*INDEX(Inputs!$B$100:$B$107,MATCH(H6,Inputs!$A$100:$A$107,0))*(1+INDEX(Inputs!$B$38:$B$44,MATCH(D6,Inputs!$A$38:$A$44,0))*INDEX(Inputs!$D$100:$D$107,MATCH(H6,Inputs!$A$100:$A$107,0))),1))</x:f>
        <x:v>11.7</x:v>
      </x:c>
      <x:c r="J6" s="128" t="n">
        <x:f>IF(D6="Premium","",ROUND((Inputs!$B$72+(B6-Inputs!$B$68)*(Inputs!$B$73-Inputs!$B$72)/(Inputs!$B$69-Inputs!$B$68))*INDEX(Inputs!$D$87:$D$96,MATCH(E6,Inputs!$A$87:$A$96,1))*INDEX(Inputs!$C$100:$C$107,MATCH(H6,Inputs!$A$100:$A$107,0))*(1+INDEX(Inputs!$B$38:$B$44,MATCH(D6,Inputs!$A$38:$A$44,0))*INDEX(Inputs!$E$100:$E$107,MATCH(H6,Inputs!$A$100:$A$107,0))),1))</x:f>
        <x:v>8.5</x:v>
      </x:c>
      <x:c r="K6" s="118" t="str">
        <x:v>Formula preview: target rates before activating live sheet.</x:v>
      </x:c>
    </x:row>
    <x:row r="7" ht="26.399999618530273" hidden="0" customHeight="1">
      <x:c r="A7" s="118" t="str">
        <x:v>Wave 1 - Content Refresh (fills launch crate levels)</x:v>
      </x:c>
      <x:c r="B7" s="118" t="n">
        <x:v>9</x:v>
      </x:c>
      <x:c r="C7" s="118" t="str">
        <x:v>Royal Gramma</x:v>
      </x:c>
      <x:c r="D7" s="118" t="str">
        <x:v>Uncommon</x:v>
      </x:c>
      <x:c r="E7" s="126" t="n">
        <x:v>1</x:v>
      </x:c>
      <x:c r="F7" s="118" t="str">
        <x:v>1 h</x:v>
      </x:c>
      <x:c r="G7" s="118" t="n">
        <x:v>35</x:v>
      </x:c>
      <x:c r="H7" s="118" t="str">
        <x:v>Balanced</x:v>
      </x:c>
      <x:c r="I7" s="128" t="n">
        <x:f>IF(D7="Premium","",ROUND((Inputs!$B$70+(B7-Inputs!$B$68)*(Inputs!$B$71-Inputs!$B$70)/(Inputs!$B$69-Inputs!$B$68))*INDEX(Inputs!$C$87:$C$96,MATCH(E7,Inputs!$A$87:$A$96,1))*INDEX(Inputs!$B$100:$B$107,MATCH(H7,Inputs!$A$100:$A$107,0))*(1+INDEX(Inputs!$B$38:$B$44,MATCH(D7,Inputs!$A$38:$A$44,0))*INDEX(Inputs!$D$100:$D$107,MATCH(H7,Inputs!$A$100:$A$107,0))),1))</x:f>
        <x:v>90.5</x:v>
      </x:c>
      <x:c r="J7" s="128" t="n">
        <x:f>IF(D7="Premium","",ROUND((Inputs!$B$72+(B7-Inputs!$B$68)*(Inputs!$B$73-Inputs!$B$72)/(Inputs!$B$69-Inputs!$B$68))*INDEX(Inputs!$D$87:$D$96,MATCH(E7,Inputs!$A$87:$A$96,1))*INDEX(Inputs!$C$100:$C$107,MATCH(H7,Inputs!$A$100:$A$107,0))*(1+INDEX(Inputs!$B$38:$B$44,MATCH(D7,Inputs!$A$38:$A$44,0))*INDEX(Inputs!$E$100:$E$107,MATCH(H7,Inputs!$A$100:$A$107,0))),1))</x:f>
        <x:v>35.6</x:v>
      </x:c>
      <x:c r="K7" s="118" t="str">
        <x:v>Formula preview: target rates before activating live sheet.</x:v>
      </x:c>
    </x:row>
    <x:row r="8" ht="26.399999618530273" hidden="0" customHeight="1">
      <x:c r="A8" s="118" t="str">
        <x:v>Wave 1 - Content Refresh (fills launch crate levels)</x:v>
      </x:c>
      <x:c r="B8" s="118" t="n">
        <x:v>10</x:v>
      </x:c>
      <x:c r="C8" s="118" t="str">
        <x:v>Dwarf Gourami</x:v>
      </x:c>
      <x:c r="D8" s="118" t="str">
        <x:v>Uncommon</x:v>
      </x:c>
      <x:c r="E8" s="126" t="n">
        <x:v>36</x:v>
      </x:c>
      <x:c r="F8" s="118" t="str">
        <x:v>36 h (1.5 d)</x:v>
      </x:c>
      <x:c r="G8" s="118" t="n">
        <x:v>170</x:v>
      </x:c>
      <x:c r="H8" s="118" t="str">
        <x:v>Payout</x:v>
      </x:c>
      <x:c r="I8" s="128" t="n">
        <x:f>IF(D8="Premium","",ROUND((Inputs!$B$70+(B8-Inputs!$B$68)*(Inputs!$B$71-Inputs!$B$70)/(Inputs!$B$69-Inputs!$B$68))*INDEX(Inputs!$C$87:$C$96,MATCH(E8,Inputs!$A$87:$A$96,1))*INDEX(Inputs!$B$100:$B$107,MATCH(H8,Inputs!$A$100:$A$107,0))*(1+INDEX(Inputs!$B$38:$B$44,MATCH(D8,Inputs!$A$38:$A$44,0))*INDEX(Inputs!$D$100:$D$107,MATCH(H8,Inputs!$A$100:$A$107,0))),1))</x:f>
        <x:v>18.3</x:v>
      </x:c>
      <x:c r="J8" s="128" t="n">
        <x:f>IF(D8="Premium","",ROUND((Inputs!$B$72+(B8-Inputs!$B$68)*(Inputs!$B$73-Inputs!$B$72)/(Inputs!$B$69-Inputs!$B$68))*INDEX(Inputs!$D$87:$D$96,MATCH(E8,Inputs!$A$87:$A$96,1))*INDEX(Inputs!$C$100:$C$107,MATCH(H8,Inputs!$A$100:$A$107,0))*(1+INDEX(Inputs!$B$38:$B$44,MATCH(D8,Inputs!$A$38:$A$44,0))*INDEX(Inputs!$E$100:$E$107,MATCH(H8,Inputs!$A$100:$A$107,0))),1))</x:f>
        <x:v>7.6</x:v>
      </x:c>
      <x:c r="K8" s="118" t="str">
        <x:v>Formula preview: target rates before activating live sheet.</x:v>
      </x:c>
    </x:row>
    <x:row r="9" ht="26.399999618530273" hidden="0" customHeight="1">
      <x:c r="A9" s="118" t="str">
        <x:v>Wave 1 - Content Refresh (fills launch crate levels)</x:v>
      </x:c>
      <x:c r="B9" s="118" t="n">
        <x:v>13</x:v>
      </x:c>
      <x:c r="C9" s="118" t="str">
        <x:v>Corydoras Catfish</x:v>
      </x:c>
      <x:c r="D9" s="118" t="str">
        <x:v>Common</x:v>
      </x:c>
      <x:c r="E9" s="126" t="n">
        <x:v>20</x:v>
      </x:c>
      <x:c r="F9" s="118" t="str">
        <x:v>20 h</x:v>
      </x:c>
      <x:c r="G9" s="118" t="n">
        <x:v>130</x:v>
      </x:c>
      <x:c r="H9" s="118" t="str">
        <x:v>Balanced</x:v>
      </x:c>
      <x:c r="I9" s="128" t="n">
        <x:f>IF(D9="Premium","",ROUND((Inputs!$B$70+(B9-Inputs!$B$68)*(Inputs!$B$71-Inputs!$B$70)/(Inputs!$B$69-Inputs!$B$68))*INDEX(Inputs!$C$87:$C$96,MATCH(E9,Inputs!$A$87:$A$96,1))*INDEX(Inputs!$B$100:$B$107,MATCH(H9,Inputs!$A$100:$A$107,0))*(1+INDEX(Inputs!$B$38:$B$44,MATCH(D9,Inputs!$A$38:$A$44,0))*INDEX(Inputs!$D$100:$D$107,MATCH(H9,Inputs!$A$100:$A$107,0))),1))</x:f>
        <x:v>16.8</x:v>
      </x:c>
      <x:c r="J9" s="128" t="n">
        <x:f>IF(D9="Premium","",ROUND((Inputs!$B$72+(B9-Inputs!$B$68)*(Inputs!$B$73-Inputs!$B$72)/(Inputs!$B$69-Inputs!$B$68))*INDEX(Inputs!$D$87:$D$96,MATCH(E9,Inputs!$A$87:$A$96,1))*INDEX(Inputs!$C$100:$C$107,MATCH(H9,Inputs!$A$100:$A$107,0))*(1+INDEX(Inputs!$B$38:$B$44,MATCH(D9,Inputs!$A$38:$A$44,0))*INDEX(Inputs!$E$100:$E$107,MATCH(H9,Inputs!$A$100:$A$107,0))),1))</x:f>
        <x:v>9.8</x:v>
      </x:c>
      <x:c r="K9" s="118" t="str">
        <x:v>Formula preview: target rates before activating live sheet.</x:v>
      </x:c>
    </x:row>
    <x:row r="10" ht="26.399999618530273" hidden="0" customHeight="1">
      <x:c r="A10" s="118" t="str">
        <x:v>Wave 1 - Content Refresh (fills launch crate levels)</x:v>
      </x:c>
      <x:c r="B10" s="118" t="n">
        <x:v>18</x:v>
      </x:c>
      <x:c r="C10" s="118" t="str">
        <x:v>Siamese Fighting Fish</x:v>
      </x:c>
      <x:c r="D10" s="118" t="str">
        <x:v>Uncommon</x:v>
      </x:c>
      <x:c r="E10" s="126" t="n">
        <x:v>0.083</x:v>
      </x:c>
      <x:c r="F10" s="118" t="str">
        <x:v>5 min</x:v>
      </x:c>
      <x:c r="G10" s="118" t="n">
        <x:v>35</x:v>
      </x:c>
      <x:c r="H10" s="118" t="str">
        <x:v>Coin Specialist</x:v>
      </x:c>
      <x:c r="I10" s="128" t="n">
        <x:f>IF(D10="Premium","",ROUND((Inputs!$B$70+(B10-Inputs!$B$68)*(Inputs!$B$71-Inputs!$B$70)/(Inputs!$B$69-Inputs!$B$68))*INDEX(Inputs!$C$87:$C$96,MATCH(E10,Inputs!$A$87:$A$96,1))*INDEX(Inputs!$B$100:$B$107,MATCH(H10,Inputs!$A$100:$A$107,0))*(1+INDEX(Inputs!$B$38:$B$44,MATCH(D10,Inputs!$A$38:$A$44,0))*INDEX(Inputs!$D$100:$D$107,MATCH(H10,Inputs!$A$100:$A$107,0))),1))</x:f>
        <x:v>313.8</x:v>
      </x:c>
      <x:c r="J10" s="128" t="n">
        <x:f>IF(D10="Premium","",ROUND((Inputs!$B$72+(B10-Inputs!$B$68)*(Inputs!$B$73-Inputs!$B$72)/(Inputs!$B$69-Inputs!$B$68))*INDEX(Inputs!$D$87:$D$96,MATCH(E10,Inputs!$A$87:$A$96,1))*INDEX(Inputs!$C$100:$C$107,MATCH(H10,Inputs!$A$100:$A$107,0))*(1+INDEX(Inputs!$B$38:$B$44,MATCH(D10,Inputs!$A$38:$A$44,0))*INDEX(Inputs!$E$100:$E$107,MATCH(H10,Inputs!$A$100:$A$107,0))),1))</x:f>
        <x:v>74.3</x:v>
      </x:c>
      <x:c r="K10" s="118" t="str">
        <x:v>Fast fish | Formula preview: target rates before activating live sheet.</x:v>
      </x:c>
    </x:row>
    <x:row r="11" ht="26.399999618530273" hidden="0" customHeight="1">
      <x:c r="A11" s="118" t="str">
        <x:v>Wave 1 - Content Refresh (fills launch crate levels)</x:v>
      </x:c>
      <x:c r="B11" s="118" t="n">
        <x:v>19</x:v>
      </x:c>
      <x:c r="C11" s="118" t="str">
        <x:v>Firefish Goby</x:v>
      </x:c>
      <x:c r="D11" s="118" t="str">
        <x:v>Uncommon</x:v>
      </x:c>
      <x:c r="E11" s="126" t="n">
        <x:v>6</x:v>
      </x:c>
      <x:c r="F11" s="118" t="str">
        <x:v>6 h</x:v>
      </x:c>
      <x:c r="G11" s="118" t="n">
        <x:v>110</x:v>
      </x:c>
      <x:c r="H11" s="118" t="str">
        <x:v>Balanced</x:v>
      </x:c>
      <x:c r="I11" s="128" t="n">
        <x:f>IF(D11="Premium","",ROUND((Inputs!$B$70+(B11-Inputs!$B$68)*(Inputs!$B$71-Inputs!$B$70)/(Inputs!$B$69-Inputs!$B$68))*INDEX(Inputs!$C$87:$C$96,MATCH(E11,Inputs!$A$87:$A$96,1))*INDEX(Inputs!$B$100:$B$107,MATCH(H11,Inputs!$A$100:$A$107,0))*(1+INDEX(Inputs!$B$38:$B$44,MATCH(D11,Inputs!$A$38:$A$44,0))*INDEX(Inputs!$D$100:$D$107,MATCH(H11,Inputs!$A$100:$A$107,0))),1))</x:f>
        <x:v>29.6</x:v>
      </x:c>
      <x:c r="J11" s="128" t="n">
        <x:f>IF(D11="Premium","",ROUND((Inputs!$B$72+(B11-Inputs!$B$68)*(Inputs!$B$73-Inputs!$B$72)/(Inputs!$B$69-Inputs!$B$68))*INDEX(Inputs!$D$87:$D$96,MATCH(E11,Inputs!$A$87:$A$96,1))*INDEX(Inputs!$C$100:$C$107,MATCH(H11,Inputs!$A$100:$A$107,0))*(1+INDEX(Inputs!$B$38:$B$44,MATCH(D11,Inputs!$A$38:$A$44,0))*INDEX(Inputs!$E$100:$E$107,MATCH(H11,Inputs!$A$100:$A$107,0))),1))</x:f>
        <x:v>12.6</x:v>
      </x:c>
      <x:c r="K11" s="118" t="str">
        <x:v>Formula preview: target rates before activating live sheet.</x:v>
      </x:c>
    </x:row>
    <x:row r="12" ht="26.399999618530273" hidden="0" customHeight="1">
      <x:c r="A12" s="118" t="str">
        <x:v>Wave 1 - Content Refresh (fills launch crate levels)</x:v>
      </x:c>
      <x:c r="B12" s="118" t="n">
        <x:v>21</x:v>
      </x:c>
      <x:c r="C12" s="118" t="str">
        <x:v>Kuhli Loach</x:v>
      </x:c>
      <x:c r="D12" s="118" t="str">
        <x:v>Common</x:v>
      </x:c>
      <x:c r="E12" s="126" t="n">
        <x:v>36</x:v>
      </x:c>
      <x:c r="F12" s="118" t="str">
        <x:v>36 h (1.5 d)</x:v>
      </x:c>
      <x:c r="G12" s="118" t="n">
        <x:v>210</x:v>
      </x:c>
      <x:c r="H12" s="118" t="str">
        <x:v>Payout</x:v>
      </x:c>
      <x:c r="I12" s="128" t="n">
        <x:f>IF(D12="Premium","",ROUND((Inputs!$B$70+(B12-Inputs!$B$68)*(Inputs!$B$71-Inputs!$B$70)/(Inputs!$B$69-Inputs!$B$68))*INDEX(Inputs!$C$87:$C$96,MATCH(E12,Inputs!$A$87:$A$96,1))*INDEX(Inputs!$B$100:$B$107,MATCH(H12,Inputs!$A$100:$A$107,0))*(1+INDEX(Inputs!$B$38:$B$44,MATCH(D12,Inputs!$A$38:$A$44,0))*INDEX(Inputs!$D$100:$D$107,MATCH(H12,Inputs!$A$100:$A$107,0))),1))</x:f>
        <x:v>22.4</x:v>
      </x:c>
      <x:c r="J12" s="128" t="n">
        <x:f>IF(D12="Premium","",ROUND((Inputs!$B$72+(B12-Inputs!$B$68)*(Inputs!$B$73-Inputs!$B$72)/(Inputs!$B$69-Inputs!$B$68))*INDEX(Inputs!$D$87:$D$96,MATCH(E12,Inputs!$A$87:$A$96,1))*INDEX(Inputs!$C$100:$C$107,MATCH(H12,Inputs!$A$100:$A$107,0))*(1+INDEX(Inputs!$B$38:$B$44,MATCH(D12,Inputs!$A$38:$A$44,0))*INDEX(Inputs!$E$100:$E$107,MATCH(H12,Inputs!$A$100:$A$107,0))),1))</x:f>
        <x:v>9</x:v>
      </x:c>
      <x:c r="K12" s="118" t="str">
        <x:v>Overnight common | Formula preview: target rates before activating live sheet.</x:v>
      </x:c>
    </x:row>
    <x:row r="13" ht="26.399999618530273" hidden="0" customHeight="1">
      <x:c r="A13" s="118" t="str">
        <x:v>Wave 1 - Content Refresh (fills launch crate levels)</x:v>
      </x:c>
      <x:c r="B13" s="118" t="n">
        <x:v>23</x:v>
      </x:c>
      <x:c r="C13" s="118" t="str">
        <x:v>Freshwater Angelfish</x:v>
      </x:c>
      <x:c r="D13" s="118" t="str">
        <x:v>Uncommon</x:v>
      </x:c>
      <x:c r="E13" s="126" t="n">
        <x:v>8</x:v>
      </x:c>
      <x:c r="F13" s="118" t="str">
        <x:v>8 h</x:v>
      </x:c>
      <x:c r="G13" s="118" t="n">
        <x:v>130</x:v>
      </x:c>
      <x:c r="H13" s="118" t="str">
        <x:v>Balanced</x:v>
      </x:c>
      <x:c r="I13" s="128" t="n">
        <x:f>IF(D13="Premium","",ROUND((Inputs!$B$70+(B13-Inputs!$B$68)*(Inputs!$B$71-Inputs!$B$70)/(Inputs!$B$69-Inputs!$B$68))*INDEX(Inputs!$C$87:$C$96,MATCH(E13,Inputs!$A$87:$A$96,1))*INDEX(Inputs!$B$100:$B$107,MATCH(H13,Inputs!$A$100:$A$107,0))*(1+INDEX(Inputs!$B$38:$B$44,MATCH(D13,Inputs!$A$38:$A$44,0))*INDEX(Inputs!$D$100:$D$107,MATCH(H13,Inputs!$A$100:$A$107,0))),1))</x:f>
        <x:v>28.7</x:v>
      </x:c>
      <x:c r="J13" s="128" t="n">
        <x:f>IF(D13="Premium","",ROUND((Inputs!$B$72+(B13-Inputs!$B$68)*(Inputs!$B$73-Inputs!$B$72)/(Inputs!$B$69-Inputs!$B$68))*INDEX(Inputs!$D$87:$D$96,MATCH(E13,Inputs!$A$87:$A$96,1))*INDEX(Inputs!$C$100:$C$107,MATCH(H13,Inputs!$A$100:$A$107,0))*(1+INDEX(Inputs!$B$38:$B$44,MATCH(D13,Inputs!$A$38:$A$44,0))*INDEX(Inputs!$E$100:$E$107,MATCH(H13,Inputs!$A$100:$A$107,0))),1))</x:f>
        <x:v>12.5</x:v>
      </x:c>
      <x:c r="K13" s="118" t="str">
        <x:v>Formula preview: target rates before activating live sheet.</x:v>
      </x:c>
    </x:row>
    <x:row r="14" ht="26.399999618530273" hidden="0" customHeight="1">
      <x:c r="A14" s="118" t="str">
        <x:v>Wave 1 - Content Refresh (fills launch crate levels)</x:v>
      </x:c>
      <x:c r="B14" s="118" t="n">
        <x:v>25</x:v>
      </x:c>
      <x:c r="C14" s="118" t="str">
        <x:v>Bicolor Blenny</x:v>
      </x:c>
      <x:c r="D14" s="118" t="str">
        <x:v>Uncommon</x:v>
      </x:c>
      <x:c r="E14" s="126" t="n">
        <x:v>1</x:v>
      </x:c>
      <x:c r="F14" s="118" t="str">
        <x:v>1 h</x:v>
      </x:c>
      <x:c r="G14" s="118" t="n">
        <x:v>55</x:v>
      </x:c>
      <x:c r="H14" s="118" t="str">
        <x:v>Balanced</x:v>
      </x:c>
      <x:c r="I14" s="128" t="n">
        <x:f>IF(D14="Premium","",ROUND((Inputs!$B$70+(B14-Inputs!$B$68)*(Inputs!$B$71-Inputs!$B$70)/(Inputs!$B$69-Inputs!$B$68))*INDEX(Inputs!$C$87:$C$96,MATCH(E14,Inputs!$A$87:$A$96,1))*INDEX(Inputs!$B$100:$B$107,MATCH(H14,Inputs!$A$100:$A$107,0))*(1+INDEX(Inputs!$B$38:$B$44,MATCH(D14,Inputs!$A$38:$A$44,0))*INDEX(Inputs!$D$100:$D$107,MATCH(H14,Inputs!$A$100:$A$107,0))),1))</x:f>
        <x:v>125.7</x:v>
      </x:c>
      <x:c r="J14" s="128" t="n">
        <x:f>IF(D14="Premium","",ROUND((Inputs!$B$72+(B14-Inputs!$B$68)*(Inputs!$B$73-Inputs!$B$72)/(Inputs!$B$69-Inputs!$B$68))*INDEX(Inputs!$D$87:$D$96,MATCH(E14,Inputs!$A$87:$A$96,1))*INDEX(Inputs!$C$100:$C$107,MATCH(H14,Inputs!$A$100:$A$107,0))*(1+INDEX(Inputs!$B$38:$B$44,MATCH(D14,Inputs!$A$38:$A$44,0))*INDEX(Inputs!$E$100:$E$107,MATCH(H14,Inputs!$A$100:$A$107,0))),1))</x:f>
        <x:v>46.1</x:v>
      </x:c>
      <x:c r="K14" s="118" t="str">
        <x:v>Formula preview: target rates before activating live sheet.</x:v>
      </x:c>
    </x:row>
    <x:row r="15" ht="26.399999618530273" hidden="0" customHeight="1">
      <x:c r="A15" s="118" t="str">
        <x:v>Wave 1 - Content Refresh (fills launch crate levels)</x:v>
      </x:c>
      <x:c r="B15" s="118" t="n">
        <x:v>27</x:v>
      </x:c>
      <x:c r="C15" s="118" t="str">
        <x:v>Royal Dottyback</x:v>
      </x:c>
      <x:c r="D15" s="118" t="str">
        <x:v>Uncommon</x:v>
      </x:c>
      <x:c r="E15" s="126" t="n">
        <x:v>4</x:v>
      </x:c>
      <x:c r="F15" s="118" t="str">
        <x:v>4 h</x:v>
      </x:c>
      <x:c r="G15" s="118" t="n">
        <x:v>110</x:v>
      </x:c>
      <x:c r="H15" s="118" t="str">
        <x:v>Balanced</x:v>
      </x:c>
      <x:c r="I15" s="128" t="n">
        <x:f>IF(D15="Premium","",ROUND((Inputs!$B$70+(B15-Inputs!$B$68)*(Inputs!$B$71-Inputs!$B$70)/(Inputs!$B$69-Inputs!$B$68))*INDEX(Inputs!$C$87:$C$96,MATCH(E15,Inputs!$A$87:$A$96,1))*INDEX(Inputs!$B$100:$B$107,MATCH(H15,Inputs!$A$100:$A$107,0))*(1+INDEX(Inputs!$B$38:$B$44,MATCH(D15,Inputs!$A$38:$A$44,0))*INDEX(Inputs!$D$100:$D$107,MATCH(H15,Inputs!$A$100:$A$107,0))),1))</x:f>
        <x:v>35.9</x:v>
      </x:c>
      <x:c r="J15" s="128" t="n">
        <x:f>IF(D15="Premium","",ROUND((Inputs!$B$72+(B15-Inputs!$B$68)*(Inputs!$B$73-Inputs!$B$72)/(Inputs!$B$69-Inputs!$B$68))*INDEX(Inputs!$D$87:$D$96,MATCH(E15,Inputs!$A$87:$A$96,1))*INDEX(Inputs!$C$100:$C$107,MATCH(H15,Inputs!$A$100:$A$107,0))*(1+INDEX(Inputs!$B$38:$B$44,MATCH(D15,Inputs!$A$38:$A$44,0))*INDEX(Inputs!$E$100:$E$107,MATCH(H15,Inputs!$A$100:$A$107,0))),1))</x:f>
        <x:v>15.2</x:v>
      </x:c>
      <x:c r="K15" s="118" t="str">
        <x:v>Formula preview: target rates before activating live sheet.</x:v>
      </x:c>
    </x:row>
    <x:row r="16" ht="26.399999618530273" hidden="0" customHeight="1">
      <x:c r="A16" s="118" t="str">
        <x:v>Wave 1 - Content Refresh (fills launch crate levels)</x:v>
      </x:c>
      <x:c r="B16" s="118" t="n">
        <x:v>28</x:v>
      </x:c>
      <x:c r="C16" s="118" t="str">
        <x:v>Golden Puffer</x:v>
      </x:c>
      <x:c r="D16" s="118" t="str">
        <x:v>Rare</x:v>
      </x:c>
      <x:c r="E16" s="126" t="n">
        <x:v>4</x:v>
      </x:c>
      <x:c r="F16" s="118" t="str">
        <x:v>4 h</x:v>
      </x:c>
      <x:c r="G16" s="118" t="n">
        <x:v>130</x:v>
      </x:c>
      <x:c r="H16" s="118" t="str">
        <x:v>Collection</x:v>
      </x:c>
      <x:c r="I16" s="128" t="n">
        <x:f>IF(D16="Premium","",ROUND((Inputs!$B$70+(B16-Inputs!$B$68)*(Inputs!$B$71-Inputs!$B$70)/(Inputs!$B$69-Inputs!$B$68))*INDEX(Inputs!$C$87:$C$96,MATCH(E16,Inputs!$A$87:$A$96,1))*INDEX(Inputs!$B$100:$B$107,MATCH(H16,Inputs!$A$100:$A$107,0))*(1+INDEX(Inputs!$B$38:$B$44,MATCH(D16,Inputs!$A$38:$A$44,0))*INDEX(Inputs!$D$100:$D$107,MATCH(H16,Inputs!$A$100:$A$107,0))),1))</x:f>
        <x:v>32.8</x:v>
      </x:c>
      <x:c r="J16" s="128" t="n">
        <x:f>IF(D16="Premium","",ROUND((Inputs!$B$72+(B16-Inputs!$B$68)*(Inputs!$B$73-Inputs!$B$72)/(Inputs!$B$69-Inputs!$B$68))*INDEX(Inputs!$D$87:$D$96,MATCH(E16,Inputs!$A$87:$A$96,1))*INDEX(Inputs!$C$100:$C$107,MATCH(H16,Inputs!$A$100:$A$107,0))*(1+INDEX(Inputs!$B$38:$B$44,MATCH(D16,Inputs!$A$38:$A$44,0))*INDEX(Inputs!$E$100:$E$107,MATCH(H16,Inputs!$A$100:$A$107,0))),1))</x:f>
        <x:v>15.6</x:v>
      </x:c>
      <x:c r="K16" s="118" t="str">
        <x:v>Formula preview: target rates before activating live sheet.</x:v>
      </x:c>
    </x:row>
    <x:row r="17" ht="26.399999618530273" hidden="0" customHeight="1">
      <x:c r="A17" s="118" t="str">
        <x:v>Wave 1 - Content Refresh (fills launch crate levels)</x:v>
      </x:c>
      <x:c r="B17" s="118" t="n">
        <x:v>31</x:v>
      </x:c>
      <x:c r="C17" s="118" t="str">
        <x:v>Longnose Hawkfish</x:v>
      </x:c>
      <x:c r="D17" s="118" t="str">
        <x:v>Uncommon</x:v>
      </x:c>
      <x:c r="E17" s="126" t="n">
        <x:v>24</x:v>
      </x:c>
      <x:c r="F17" s="118" t="str">
        <x:v>24 h (1 d)</x:v>
      </x:c>
      <x:c r="G17" s="118" t="n">
        <x:v>260</x:v>
      </x:c>
      <x:c r="H17" s="118" t="str">
        <x:v>Convenience</x:v>
      </x:c>
      <x:c r="I17" s="128" t="n">
        <x:f>IF(D17="Premium","",ROUND((Inputs!$B$70+(B17-Inputs!$B$68)*(Inputs!$B$71-Inputs!$B$70)/(Inputs!$B$69-Inputs!$B$68))*INDEX(Inputs!$C$87:$C$96,MATCH(E17,Inputs!$A$87:$A$96,1))*INDEX(Inputs!$B$100:$B$107,MATCH(H17,Inputs!$A$100:$A$107,0))*(1+INDEX(Inputs!$B$38:$B$44,MATCH(D17,Inputs!$A$38:$A$44,0))*INDEX(Inputs!$D$100:$D$107,MATCH(H17,Inputs!$A$100:$A$107,0))),1))</x:f>
        <x:v>19</x:v>
      </x:c>
      <x:c r="J17" s="128" t="n">
        <x:f>IF(D17="Premium","",ROUND((Inputs!$B$72+(B17-Inputs!$B$68)*(Inputs!$B$73-Inputs!$B$72)/(Inputs!$B$69-Inputs!$B$68))*INDEX(Inputs!$D$87:$D$96,MATCH(E17,Inputs!$A$87:$A$96,1))*INDEX(Inputs!$C$100:$C$107,MATCH(H17,Inputs!$A$100:$A$107,0))*(1+INDEX(Inputs!$B$38:$B$44,MATCH(D17,Inputs!$A$38:$A$44,0))*INDEX(Inputs!$E$100:$E$107,MATCH(H17,Inputs!$A$100:$A$107,0))),1))</x:f>
        <x:v>12.9</x:v>
      </x:c>
      <x:c r="K17" s="118" t="str">
        <x:v>Formula preview: target rates before activating live sheet.</x:v>
      </x:c>
    </x:row>
    <x:row r="18" ht="26.399999618530273" hidden="0" customHeight="1">
      <x:c r="A18" s="118" t="str">
        <x:v>Wave 1 - Content Refresh (fills launch crate levels)</x:v>
      </x:c>
      <x:c r="B18" s="118" t="n">
        <x:v>31</x:v>
      </x:c>
      <x:c r="C18" s="118" t="str">
        <x:v>Velvet Damselfish</x:v>
      </x:c>
      <x:c r="D18" s="118" t="str">
        <x:v>Rare</x:v>
      </x:c>
      <x:c r="E18" s="126" t="n">
        <x:v>0.083</x:v>
      </x:c>
      <x:c r="F18" s="118" t="str">
        <x:v>5 min</x:v>
      </x:c>
      <x:c r="G18" s="118" t="n">
        <x:v>85</x:v>
      </x:c>
      <x:c r="H18" s="118" t="str">
        <x:v>Coin Specialist</x:v>
      </x:c>
      <x:c r="I18" s="128" t="n">
        <x:f>IF(D18="Premium","",ROUND((Inputs!$B$70+(B18-Inputs!$B$68)*(Inputs!$B$71-Inputs!$B$70)/(Inputs!$B$69-Inputs!$B$68))*INDEX(Inputs!$C$87:$C$96,MATCH(E18,Inputs!$A$87:$A$96,1))*INDEX(Inputs!$B$100:$B$107,MATCH(H18,Inputs!$A$100:$A$107,0))*(1+INDEX(Inputs!$B$38:$B$44,MATCH(D18,Inputs!$A$38:$A$44,0))*INDEX(Inputs!$D$100:$D$107,MATCH(H18,Inputs!$A$100:$A$107,0))),1))</x:f>
        <x:v>410.2</x:v>
      </x:c>
      <x:c r="J18" s="128" t="n">
        <x:f>IF(D18="Premium","",ROUND((Inputs!$B$72+(B18-Inputs!$B$68)*(Inputs!$B$73-Inputs!$B$72)/(Inputs!$B$69-Inputs!$B$68))*INDEX(Inputs!$D$87:$D$96,MATCH(E18,Inputs!$A$87:$A$96,1))*INDEX(Inputs!$C$100:$C$107,MATCH(H18,Inputs!$A$100:$A$107,0))*(1+INDEX(Inputs!$B$38:$B$44,MATCH(D18,Inputs!$A$38:$A$44,0))*INDEX(Inputs!$E$100:$E$107,MATCH(H18,Inputs!$A$100:$A$107,0))),1))</x:f>
        <x:v>89.9</x:v>
      </x:c>
      <x:c r="K18" s="118" t="str">
        <x:v>Fast rare | Formula preview: target rates before activating live sheet.</x:v>
      </x:c>
    </x:row>
    <x:row r="19" ht="26.399999618530273" hidden="0" customHeight="1">
      <x:c r="A19" s="118" t="str">
        <x:v>Wave 1 - Content Refresh (fills launch crate levels)</x:v>
      </x:c>
      <x:c r="B19" s="118" t="n">
        <x:v>34</x:v>
      </x:c>
      <x:c r="C19" s="118" t="str">
        <x:v>Sunburst Anthias</x:v>
      </x:c>
      <x:c r="D19" s="118" t="str">
        <x:v>Rare</x:v>
      </x:c>
      <x:c r="E19" s="126" t="n">
        <x:v>6</x:v>
      </x:c>
      <x:c r="F19" s="118" t="str">
        <x:v>6 h</x:v>
      </x:c>
      <x:c r="G19" s="118" t="n">
        <x:v>180</x:v>
      </x:c>
      <x:c r="H19" s="118" t="str">
        <x:v>Collection</x:v>
      </x:c>
      <x:c r="I19" s="128" t="n">
        <x:f>IF(D19="Premium","",ROUND((Inputs!$B$70+(B19-Inputs!$B$68)*(Inputs!$B$71-Inputs!$B$70)/(Inputs!$B$69-Inputs!$B$68))*INDEX(Inputs!$C$87:$C$96,MATCH(E19,Inputs!$A$87:$A$96,1))*INDEX(Inputs!$B$100:$B$107,MATCH(H19,Inputs!$A$100:$A$107,0))*(1+INDEX(Inputs!$B$38:$B$44,MATCH(D19,Inputs!$A$38:$A$44,0))*INDEX(Inputs!$D$100:$D$107,MATCH(H19,Inputs!$A$100:$A$107,0))),1))</x:f>
        <x:v>34.4</x:v>
      </x:c>
      <x:c r="J19" s="128" t="n">
        <x:f>IF(D19="Premium","",ROUND((Inputs!$B$72+(B19-Inputs!$B$68)*(Inputs!$B$73-Inputs!$B$72)/(Inputs!$B$69-Inputs!$B$68))*INDEX(Inputs!$D$87:$D$96,MATCH(E19,Inputs!$A$87:$A$96,1))*INDEX(Inputs!$C$100:$C$107,MATCH(H19,Inputs!$A$100:$A$107,0))*(1+INDEX(Inputs!$B$38:$B$44,MATCH(D19,Inputs!$A$38:$A$44,0))*INDEX(Inputs!$E$100:$E$107,MATCH(H19,Inputs!$A$100:$A$107,0))),1))</x:f>
        <x:v>15.8</x:v>
      </x:c>
      <x:c r="K19" s="118" t="str">
        <x:v>Formula preview: target rates before activating live sheet.</x:v>
      </x:c>
    </x:row>
    <x:row r="20" ht="26.399999618530273" hidden="0" customHeight="1">
      <x:c r="A20" s="118" t="str">
        <x:v>Wave 1 - Content Refresh (fills launch crate levels)</x:v>
      </x:c>
      <x:c r="B20" s="118" t="n">
        <x:v>34</x:v>
      </x:c>
      <x:c r="C20" s="118" t="str">
        <x:v>Copperband Butterflyfish</x:v>
      </x:c>
      <x:c r="D20" s="118" t="str">
        <x:v>Rare</x:v>
      </x:c>
      <x:c r="E20" s="126" t="n">
        <x:v>8</x:v>
      </x:c>
      <x:c r="F20" s="118" t="str">
        <x:v>8 h</x:v>
      </x:c>
      <x:c r="G20" s="118" t="n">
        <x:v>200</x:v>
      </x:c>
      <x:c r="H20" s="118" t="str">
        <x:v>Collection</x:v>
      </x:c>
      <x:c r="I20" s="128" t="n">
        <x:f>IF(D20="Premium","",ROUND((Inputs!$B$70+(B20-Inputs!$B$68)*(Inputs!$B$71-Inputs!$B$70)/(Inputs!$B$69-Inputs!$B$68))*INDEX(Inputs!$C$87:$C$96,MATCH(E20,Inputs!$A$87:$A$96,1))*INDEX(Inputs!$B$100:$B$107,MATCH(H20,Inputs!$A$100:$A$107,0))*(1+INDEX(Inputs!$B$38:$B$44,MATCH(D20,Inputs!$A$38:$A$44,0))*INDEX(Inputs!$D$100:$D$107,MATCH(H20,Inputs!$A$100:$A$107,0))),1))</x:f>
        <x:v>30.9</x:v>
      </x:c>
      <x:c r="J20" s="128" t="n">
        <x:f>IF(D20="Premium","",ROUND((Inputs!$B$72+(B20-Inputs!$B$68)*(Inputs!$B$73-Inputs!$B$72)/(Inputs!$B$69-Inputs!$B$68))*INDEX(Inputs!$D$87:$D$96,MATCH(E20,Inputs!$A$87:$A$96,1))*INDEX(Inputs!$C$100:$C$107,MATCH(H20,Inputs!$A$100:$A$107,0))*(1+INDEX(Inputs!$B$38:$B$44,MATCH(D20,Inputs!$A$38:$A$44,0))*INDEX(Inputs!$E$100:$E$107,MATCH(H20,Inputs!$A$100:$A$107,0))),1))</x:f>
        <x:v>14.8</x:v>
      </x:c>
      <x:c r="K20" s="118" t="str">
        <x:v>Formula preview: target rates before activating live sheet.</x:v>
      </x:c>
    </x:row>
    <x:row r="21" ht="26.399999618530273" hidden="0" customHeight="1">
      <x:c r="A21" s="118" t="str">
        <x:v>Wave 1 - Content Refresh (fills launch crate levels)</x:v>
      </x:c>
      <x:c r="B21" s="118" t="n">
        <x:v>37</x:v>
      </x:c>
      <x:c r="C21" s="118" t="str">
        <x:v>Bluedot Jawfish</x:v>
      </x:c>
      <x:c r="D21" s="118" t="str">
        <x:v>Rare</x:v>
      </x:c>
      <x:c r="E21" s="126" t="n">
        <x:v>24</x:v>
      </x:c>
      <x:c r="F21" s="118" t="str">
        <x:v>24 h (1 d)</x:v>
      </x:c>
      <x:c r="G21" s="118" t="n">
        <x:v>340</x:v>
      </x:c>
      <x:c r="H21" s="118" t="str">
        <x:v>Convenience</x:v>
      </x:c>
      <x:c r="I21" s="128" t="n">
        <x:f>IF(D21="Premium","",ROUND((Inputs!$B$70+(B21-Inputs!$B$68)*(Inputs!$B$71-Inputs!$B$70)/(Inputs!$B$69-Inputs!$B$68))*INDEX(Inputs!$C$87:$C$96,MATCH(E21,Inputs!$A$87:$A$96,1))*INDEX(Inputs!$B$100:$B$107,MATCH(H21,Inputs!$A$100:$A$107,0))*(1+INDEX(Inputs!$B$38:$B$44,MATCH(D21,Inputs!$A$38:$A$44,0))*INDEX(Inputs!$D$100:$D$107,MATCH(H21,Inputs!$A$100:$A$107,0))),1))</x:f>
        <x:v>20.9</x:v>
      </x:c>
      <x:c r="J21" s="128" t="n">
        <x:f>IF(D21="Premium","",ROUND((Inputs!$B$72+(B21-Inputs!$B$68)*(Inputs!$B$73-Inputs!$B$72)/(Inputs!$B$69-Inputs!$B$68))*INDEX(Inputs!$D$87:$D$96,MATCH(E21,Inputs!$A$87:$A$96,1))*INDEX(Inputs!$C$100:$C$107,MATCH(H21,Inputs!$A$100:$A$107,0))*(1+INDEX(Inputs!$B$38:$B$44,MATCH(D21,Inputs!$A$38:$A$44,0))*INDEX(Inputs!$E$100:$E$107,MATCH(H21,Inputs!$A$100:$A$107,0))),1))</x:f>
        <x:v>14.3</x:v>
      </x:c>
      <x:c r="K21" s="118" t="str">
        <x:v>Formula preview: target rates before activating live sheet.</x:v>
      </x:c>
    </x:row>
    <x:row r="22" ht="26.399999618530273" hidden="0" customHeight="1">
      <x:c r="A22" s="118" t="str">
        <x:v>Wave 1 - Content Refresh (fills launch crate levels)</x:v>
      </x:c>
      <x:c r="B22" s="118" t="n">
        <x:v>37</x:v>
      </x:c>
      <x:c r="C22" s="118" t="str">
        <x:v>Emperor Angelfish</x:v>
      </x:c>
      <x:c r="D22" s="118" t="str">
        <x:v>Rare</x:v>
      </x:c>
      <x:c r="E22" s="126" t="n">
        <x:v>20</x:v>
      </x:c>
      <x:c r="F22" s="118" t="str">
        <x:v>20 h</x:v>
      </x:c>
      <x:c r="G22" s="118" t="n">
        <x:v>320</x:v>
      </x:c>
      <x:c r="H22" s="118" t="str">
        <x:v>Collection</x:v>
      </x:c>
      <x:c r="I22" s="128" t="n">
        <x:f>IF(D22="Premium","",ROUND((Inputs!$B$70+(B22-Inputs!$B$68)*(Inputs!$B$71-Inputs!$B$70)/(Inputs!$B$69-Inputs!$B$68))*INDEX(Inputs!$C$87:$C$96,MATCH(E22,Inputs!$A$87:$A$96,1))*INDEX(Inputs!$B$100:$B$107,MATCH(H22,Inputs!$A$100:$A$107,0))*(1+INDEX(Inputs!$B$38:$B$44,MATCH(D22,Inputs!$A$38:$A$44,0))*INDEX(Inputs!$D$100:$D$107,MATCH(H22,Inputs!$A$100:$A$107,0))),1))</x:f>
        <x:v>23.4</x:v>
      </x:c>
      <x:c r="J22" s="128" t="n">
        <x:f>IF(D22="Premium","",ROUND((Inputs!$B$72+(B22-Inputs!$B$68)*(Inputs!$B$73-Inputs!$B$72)/(Inputs!$B$69-Inputs!$B$68))*INDEX(Inputs!$D$87:$D$96,MATCH(E22,Inputs!$A$87:$A$96,1))*INDEX(Inputs!$C$100:$C$107,MATCH(H22,Inputs!$A$100:$A$107,0))*(1+INDEX(Inputs!$B$38:$B$44,MATCH(D22,Inputs!$A$38:$A$44,0))*INDEX(Inputs!$E$100:$E$107,MATCH(H22,Inputs!$A$100:$A$107,0))),1))</x:f>
        <x:v>14.2</x:v>
      </x:c>
      <x:c r="K22" s="118" t="str">
        <x:v>Formula preview: target rates before activating live sheet.</x:v>
      </x:c>
    </x:row>
    <x:row r="23" ht="26.399999618530273" hidden="0" customHeight="1">
      <x:c r="A23" s="118" t="str">
        <x:v>Wave 1 - Content Refresh (fills launch crate levels)</x:v>
      </x:c>
      <x:c r="B23" s="118" t="n">
        <x:v>39</x:v>
      </x:c>
      <x:c r="C23" s="118" t="str">
        <x:v>Harlequin Tuskfish</x:v>
      </x:c>
      <x:c r="D23" s="118" t="str">
        <x:v>Rare</x:v>
      </x:c>
      <x:c r="E23" s="126" t="n">
        <x:v>0.5</x:v>
      </x:c>
      <x:c r="F23" s="118" t="str">
        <x:v>30 min</x:v>
      </x:c>
      <x:c r="G23" s="118" t="n">
        <x:v>120</x:v>
      </x:c>
      <x:c r="H23" s="118" t="str">
        <x:v>Coin Specialist</x:v>
      </x:c>
      <x:c r="I23" s="128" t="n">
        <x:f>IF(D23="Premium","",ROUND((Inputs!$B$70+(B23-Inputs!$B$68)*(Inputs!$B$71-Inputs!$B$70)/(Inputs!$B$69-Inputs!$B$68))*INDEX(Inputs!$C$87:$C$96,MATCH(E23,Inputs!$A$87:$A$96,1))*INDEX(Inputs!$B$100:$B$107,MATCH(H23,Inputs!$A$100:$A$107,0))*(1+INDEX(Inputs!$B$38:$B$44,MATCH(D23,Inputs!$A$38:$A$44,0))*INDEX(Inputs!$D$100:$D$107,MATCH(H23,Inputs!$A$100:$A$107,0))),1))</x:f>
        <x:v>175.6</x:v>
      </x:c>
      <x:c r="J23" s="128" t="n">
        <x:f>IF(D23="Premium","",ROUND((Inputs!$B$72+(B23-Inputs!$B$68)*(Inputs!$B$73-Inputs!$B$72)/(Inputs!$B$69-Inputs!$B$68))*INDEX(Inputs!$D$87:$D$96,MATCH(E23,Inputs!$A$87:$A$96,1))*INDEX(Inputs!$C$100:$C$107,MATCH(H23,Inputs!$A$100:$A$107,0))*(1+INDEX(Inputs!$B$38:$B$44,MATCH(D23,Inputs!$A$38:$A$44,0))*INDEX(Inputs!$E$100:$E$107,MATCH(H23,Inputs!$A$100:$A$107,0))),1))</x:f>
        <x:v>49.7</x:v>
      </x:c>
      <x:c r="K23" s="118" t="str">
        <x:v>Fast rare | Formula preview: target rates before activating live sheet.</x:v>
      </x:c>
    </x:row>
    <x:row r="24" ht="26.399999618530273" hidden="0" customHeight="1">
      <x:c r="A24" s="118" t="str">
        <x:v>Wave 1 - Content Refresh (fills launch crate levels)</x:v>
      </x:c>
      <x:c r="B24" s="118" t="n">
        <x:v>40</x:v>
      </x:c>
      <x:c r="C24" s="118" t="str">
        <x:v>Blue Tang</x:v>
      </x:c>
      <x:c r="D24" s="118" t="str">
        <x:v>Rare</x:v>
      </x:c>
      <x:c r="E24" s="126" t="n">
        <x:v>48</x:v>
      </x:c>
      <x:c r="F24" s="118" t="str">
        <x:v>48 h (2 d)</x:v>
      </x:c>
      <x:c r="G24" s="118" t="n">
        <x:v>490</x:v>
      </x:c>
      <x:c r="H24" s="118" t="str">
        <x:v>Payout</x:v>
      </x:c>
      <x:c r="I24" s="128" t="n">
        <x:f>IF(D24="Premium","",ROUND((Inputs!$B$70+(B24-Inputs!$B$68)*(Inputs!$B$71-Inputs!$B$70)/(Inputs!$B$69-Inputs!$B$68))*INDEX(Inputs!$C$87:$C$96,MATCH(E24,Inputs!$A$87:$A$96,1))*INDEX(Inputs!$B$100:$B$107,MATCH(H24,Inputs!$A$100:$A$107,0))*(1+INDEX(Inputs!$B$38:$B$44,MATCH(D24,Inputs!$A$38:$A$44,0))*INDEX(Inputs!$D$100:$D$107,MATCH(H24,Inputs!$A$100:$A$107,0))),1))</x:f>
        <x:v>34.5</x:v>
      </x:c>
      <x:c r="J24" s="128" t="n">
        <x:f>IF(D24="Premium","",ROUND((Inputs!$B$72+(B24-Inputs!$B$68)*(Inputs!$B$73-Inputs!$B$72)/(Inputs!$B$69-Inputs!$B$68))*INDEX(Inputs!$D$87:$D$96,MATCH(E24,Inputs!$A$87:$A$96,1))*INDEX(Inputs!$C$100:$C$107,MATCH(H24,Inputs!$A$100:$A$107,0))*(1+INDEX(Inputs!$B$38:$B$44,MATCH(D24,Inputs!$A$38:$A$44,0))*INDEX(Inputs!$E$100:$E$107,MATCH(H24,Inputs!$A$100:$A$107,0))),1))</x:f>
        <x:v>10.7</x:v>
      </x:c>
      <x:c r="K24" s="118" t="str">
        <x:v>Formula preview: target rates before activating live sheet.</x:v>
      </x:c>
    </x:row>
    <x:row r="25" ht="26.399999618530273" hidden="0" customHeight="1">
      <x:c r="A25" s="118" t="str">
        <x:v>Wave 2 - Premium Showcase (pearl fish drops)</x:v>
      </x:c>
      <x:c r="B25" s="118" t="n">
        <x:v>5</x:v>
      </x:c>
      <x:c r="C25" s="118" t="str">
        <x:v>Golden Seahorse</x:v>
      </x:c>
      <x:c r="D25" s="118" t="str">
        <x:v>Premium</x:v>
      </x:c>
      <x:c r="E25" s="126" t="n">
        <x:v>4</x:v>
      </x:c>
      <x:c r="F25" s="118" t="str">
        <x:v>4 h</x:v>
      </x:c>
      <x:c r="G25" s="118" t="str">
        <x:v>see note</x:v>
      </x:c>
      <x:c r="H25" s="118" t="str">
        <x:v>Premium Showcase</x:v>
      </x:c>
      <x:c r="I25" s="128" t="str">
        <x:f>IF(D25="Premium","",ROUND((Inputs!$B$70+(B25-Inputs!$B$68)*(Inputs!$B$71-Inputs!$B$70)/(Inputs!$B$69-Inputs!$B$68))*INDEX(Inputs!$C$87:$C$96,MATCH(E25,Inputs!$A$87:$A$96,1))*INDEX(Inputs!$B$100:$B$107,MATCH(H25,Inputs!$A$100:$A$107,0))*(1+INDEX(Inputs!$B$38:$B$44,MATCH(D25,Inputs!$A$38:$A$44,0))*INDEX(Inputs!$D$100:$D$107,MATCH(H25,Inputs!$A$100:$A$107,0))),1))</x:f>
      </x:c>
      <x:c r="J25" s="128" t="str">
        <x:f>IF(D25="Premium","",ROUND((Inputs!$B$72+(B25-Inputs!$B$68)*(Inputs!$B$73-Inputs!$B$72)/(Inputs!$B$69-Inputs!$B$68))*INDEX(Inputs!$D$87:$D$96,MATCH(E25,Inputs!$A$87:$A$96,1))*INDEX(Inputs!$C$100:$C$107,MATCH(H25,Inputs!$A$100:$A$107,0))*(1+INDEX(Inputs!$B$38:$B$44,MATCH(D25,Inputs!$A$38:$A$44,0))*INDEX(Inputs!$E$100:$E$107,MATCH(H25,Inputs!$A$100:$A$107,0))),1))</x:f>
      </x:c>
      <x:c r="K25" s="118" t="str">
        <x:v>2 pearls - living jewelry</x:v>
      </x:c>
    </x:row>
    <x:row r="26" ht="26.399999618530273" hidden="0" customHeight="1">
      <x:c r="A26" s="118" t="str">
        <x:v>Wave 2 - Premium Showcase (pearl fish drops)</x:v>
      </x:c>
      <x:c r="B26" s="118" t="n">
        <x:v>8</x:v>
      </x:c>
      <x:c r="C26" s="118" t="str">
        <x:v>Glass Catfish</x:v>
      </x:c>
      <x:c r="D26" s="118" t="str">
        <x:v>Premium</x:v>
      </x:c>
      <x:c r="E26" s="126" t="n">
        <x:v>6</x:v>
      </x:c>
      <x:c r="F26" s="118" t="str">
        <x:v>6 h</x:v>
      </x:c>
      <x:c r="G26" s="118" t="str">
        <x:v>see note</x:v>
      </x:c>
      <x:c r="H26" s="118" t="str">
        <x:v>Premium Showcase</x:v>
      </x:c>
      <x:c r="I26" s="128" t="str">
        <x:f>IF(D26="Premium","",ROUND((Inputs!$B$70+(B26-Inputs!$B$68)*(Inputs!$B$71-Inputs!$B$70)/(Inputs!$B$69-Inputs!$B$68))*INDEX(Inputs!$C$87:$C$96,MATCH(E26,Inputs!$A$87:$A$96,1))*INDEX(Inputs!$B$100:$B$107,MATCH(H26,Inputs!$A$100:$A$107,0))*(1+INDEX(Inputs!$B$38:$B$44,MATCH(D26,Inputs!$A$38:$A$44,0))*INDEX(Inputs!$D$100:$D$107,MATCH(H26,Inputs!$A$100:$A$107,0))),1))</x:f>
      </x:c>
      <x:c r="J26" s="128" t="str">
        <x:f>IF(D26="Premium","",ROUND((Inputs!$B$72+(B26-Inputs!$B$68)*(Inputs!$B$73-Inputs!$B$72)/(Inputs!$B$69-Inputs!$B$68))*INDEX(Inputs!$D$87:$D$96,MATCH(E26,Inputs!$A$87:$A$96,1))*INDEX(Inputs!$C$100:$C$107,MATCH(H26,Inputs!$A$100:$A$107,0))*(1+INDEX(Inputs!$B$38:$B$44,MATCH(D26,Inputs!$A$38:$A$44,0))*INDEX(Inputs!$E$100:$E$107,MATCH(H26,Inputs!$A$100:$A$107,0))),1))</x:f>
      </x:c>
      <x:c r="K26" s="118" t="str">
        <x:v>2 pearls - fully transparent body</x:v>
      </x:c>
    </x:row>
    <x:row r="27" ht="26.399999618530273" hidden="0" customHeight="1">
      <x:c r="A27" s="118" t="str">
        <x:v>Wave 2 - Premium Showcase (pearl fish drops)</x:v>
      </x:c>
      <x:c r="B27" s="118" t="n">
        <x:v>15</x:v>
      </x:c>
      <x:c r="C27" s="118" t="str">
        <x:v>Ornate Ghost Pipefish</x:v>
      </x:c>
      <x:c r="D27" s="118" t="str">
        <x:v>Premium</x:v>
      </x:c>
      <x:c r="E27" s="126" t="n">
        <x:v>10</x:v>
      </x:c>
      <x:c r="F27" s="118" t="str">
        <x:v>10 h</x:v>
      </x:c>
      <x:c r="G27" s="118" t="str">
        <x:v>see note</x:v>
      </x:c>
      <x:c r="H27" s="118" t="str">
        <x:v>Premium Showcase</x:v>
      </x:c>
      <x:c r="I27" s="128" t="str">
        <x:f>IF(D27="Premium","",ROUND((Inputs!$B$70+(B27-Inputs!$B$68)*(Inputs!$B$71-Inputs!$B$70)/(Inputs!$B$69-Inputs!$B$68))*INDEX(Inputs!$C$87:$C$96,MATCH(E27,Inputs!$A$87:$A$96,1))*INDEX(Inputs!$B$100:$B$107,MATCH(H27,Inputs!$A$100:$A$107,0))*(1+INDEX(Inputs!$B$38:$B$44,MATCH(D27,Inputs!$A$38:$A$44,0))*INDEX(Inputs!$D$100:$D$107,MATCH(H27,Inputs!$A$100:$A$107,0))),1))</x:f>
      </x:c>
      <x:c r="J27" s="128" t="str">
        <x:f>IF(D27="Premium","",ROUND((Inputs!$B$72+(B27-Inputs!$B$68)*(Inputs!$B$73-Inputs!$B$72)/(Inputs!$B$69-Inputs!$B$68))*INDEX(Inputs!$D$87:$D$96,MATCH(E27,Inputs!$A$87:$A$96,1))*INDEX(Inputs!$C$100:$C$107,MATCH(H27,Inputs!$A$100:$A$107,0))*(1+INDEX(Inputs!$B$38:$B$44,MATCH(D27,Inputs!$A$38:$A$44,0))*INDEX(Inputs!$E$100:$E$107,MATCH(H27,Inputs!$A$100:$A$107,0))),1))</x:f>
      </x:c>
      <x:c r="K27" s="118" t="str">
        <x:v>4 pearls - harlequin drifting twig</x:v>
      </x:c>
    </x:row>
    <x:row r="28" ht="26.399999618530273" hidden="0" customHeight="1">
      <x:c r="A28" s="118" t="str">
        <x:v>Wave 2 - Premium Showcase (pearl fish drops)</x:v>
      </x:c>
      <x:c r="B28" s="118" t="n">
        <x:v>18</x:v>
      </x:c>
      <x:c r="C28" s="118" t="str">
        <x:v>Ribbon Eel</x:v>
      </x:c>
      <x:c r="D28" s="118" t="str">
        <x:v>Premium</x:v>
      </x:c>
      <x:c r="E28" s="126" t="n">
        <x:v>18</x:v>
      </x:c>
      <x:c r="F28" s="118" t="str">
        <x:v>18 h</x:v>
      </x:c>
      <x:c r="G28" s="118" t="str">
        <x:v>see note</x:v>
      </x:c>
      <x:c r="H28" s="118" t="str">
        <x:v>Premium Showcase</x:v>
      </x:c>
      <x:c r="I28" s="128" t="str">
        <x:f>IF(D28="Premium","",ROUND((Inputs!$B$70+(B28-Inputs!$B$68)*(Inputs!$B$71-Inputs!$B$70)/(Inputs!$B$69-Inputs!$B$68))*INDEX(Inputs!$C$87:$C$96,MATCH(E28,Inputs!$A$87:$A$96,1))*INDEX(Inputs!$B$100:$B$107,MATCH(H28,Inputs!$A$100:$A$107,0))*(1+INDEX(Inputs!$B$38:$B$44,MATCH(D28,Inputs!$A$38:$A$44,0))*INDEX(Inputs!$D$100:$D$107,MATCH(H28,Inputs!$A$100:$A$107,0))),1))</x:f>
      </x:c>
      <x:c r="J28" s="128" t="str">
        <x:f>IF(D28="Premium","",ROUND((Inputs!$B$72+(B28-Inputs!$B$68)*(Inputs!$B$73-Inputs!$B$72)/(Inputs!$B$69-Inputs!$B$68))*INDEX(Inputs!$D$87:$D$96,MATCH(E28,Inputs!$A$87:$A$96,1))*INDEX(Inputs!$C$100:$C$107,MATCH(H28,Inputs!$A$100:$A$107,0))*(1+INDEX(Inputs!$B$38:$B$44,MATCH(D28,Inputs!$A$38:$A$44,0))*INDEX(Inputs!$E$100:$E$107,MATCH(H28,Inputs!$A$100:$A$107,0))),1))</x:f>
      </x:c>
      <x:c r="K28" s="118" t="str">
        <x:v>6 pearls - electric blue ribbon</x:v>
      </x:c>
    </x:row>
    <x:row r="29" ht="26.399999618530273" hidden="0" customHeight="1">
      <x:c r="A29" s="118" t="str">
        <x:v>Wave 2 - Premium Showcase (pearl fish drops)</x:v>
      </x:c>
      <x:c r="B29" s="118" t="n">
        <x:v>22</x:v>
      </x:c>
      <x:c r="C29" s="118" t="str">
        <x:v>Clown Frogfish</x:v>
      </x:c>
      <x:c r="D29" s="118" t="str">
        <x:v>Premium</x:v>
      </x:c>
      <x:c r="E29" s="126" t="n">
        <x:v>30</x:v>
      </x:c>
      <x:c r="F29" s="118" t="str">
        <x:v>30 h (1.25 d)</x:v>
      </x:c>
      <x:c r="G29" s="118" t="str">
        <x:v>see note</x:v>
      </x:c>
      <x:c r="H29" s="118" t="str">
        <x:v>Premium Showcase</x:v>
      </x:c>
      <x:c r="I29" s="128" t="str">
        <x:f>IF(D29="Premium","",ROUND((Inputs!$B$70+(B29-Inputs!$B$68)*(Inputs!$B$71-Inputs!$B$70)/(Inputs!$B$69-Inputs!$B$68))*INDEX(Inputs!$C$87:$C$96,MATCH(E29,Inputs!$A$87:$A$96,1))*INDEX(Inputs!$B$100:$B$107,MATCH(H29,Inputs!$A$100:$A$107,0))*(1+INDEX(Inputs!$B$38:$B$44,MATCH(D29,Inputs!$A$38:$A$44,0))*INDEX(Inputs!$D$100:$D$107,MATCH(H29,Inputs!$A$100:$A$107,0))),1))</x:f>
      </x:c>
      <x:c r="J29" s="128" t="str">
        <x:f>IF(D29="Premium","",ROUND((Inputs!$B$72+(B29-Inputs!$B$68)*(Inputs!$B$73-Inputs!$B$72)/(Inputs!$B$69-Inputs!$B$68))*INDEX(Inputs!$D$87:$D$96,MATCH(E29,Inputs!$A$87:$A$96,1))*INDEX(Inputs!$C$100:$C$107,MATCH(H29,Inputs!$A$100:$A$107,0))*(1+INDEX(Inputs!$B$38:$B$44,MATCH(D29,Inputs!$A$38:$A$44,0))*INDEX(Inputs!$E$100:$E$107,MATCH(H29,Inputs!$A$100:$A$107,0))),1))</x:f>
      </x:c>
      <x:c r="K29" s="118" t="str">
        <x:v>9 pearls - coral-mimic that walks on fins</x:v>
      </x:c>
    </x:row>
    <x:row r="30" ht="26.399999618530273" hidden="0" customHeight="1">
      <x:c r="A30" s="118" t="str">
        <x:v>Wave 2 - Premium Showcase (pearl fish drops)</x:v>
      </x:c>
      <x:c r="B30" s="118" t="n">
        <x:v>28</x:v>
      </x:c>
      <x:c r="C30" s="118" t="str">
        <x:v>Leafy Seadragon</x:v>
      </x:c>
      <x:c r="D30" s="118" t="str">
        <x:v>Premium</x:v>
      </x:c>
      <x:c r="E30" s="126" t="n">
        <x:v>3</x:v>
      </x:c>
      <x:c r="F30" s="118" t="str">
        <x:v>3 h</x:v>
      </x:c>
      <x:c r="G30" s="118" t="str">
        <x:v>see note</x:v>
      </x:c>
      <x:c r="H30" s="118" t="str">
        <x:v>Premium Showcase</x:v>
      </x:c>
      <x:c r="I30" s="128" t="str">
        <x:f>IF(D30="Premium","",ROUND((Inputs!$B$70+(B30-Inputs!$B$68)*(Inputs!$B$71-Inputs!$B$70)/(Inputs!$B$69-Inputs!$B$68))*INDEX(Inputs!$C$87:$C$96,MATCH(E30,Inputs!$A$87:$A$96,1))*INDEX(Inputs!$B$100:$B$107,MATCH(H30,Inputs!$A$100:$A$107,0))*(1+INDEX(Inputs!$B$38:$B$44,MATCH(D30,Inputs!$A$38:$A$44,0))*INDEX(Inputs!$D$100:$D$107,MATCH(H30,Inputs!$A$100:$A$107,0))),1))</x:f>
      </x:c>
      <x:c r="J30" s="128" t="str">
        <x:f>IF(D30="Premium","",ROUND((Inputs!$B$72+(B30-Inputs!$B$68)*(Inputs!$B$73-Inputs!$B$72)/(Inputs!$B$69-Inputs!$B$68))*INDEX(Inputs!$D$87:$D$96,MATCH(E30,Inputs!$A$87:$A$96,1))*INDEX(Inputs!$C$100:$C$107,MATCH(H30,Inputs!$A$100:$A$107,0))*(1+INDEX(Inputs!$B$38:$B$44,MATCH(D30,Inputs!$A$38:$A$44,0))*INDEX(Inputs!$E$100:$E$107,MATCH(H30,Inputs!$A$100:$A$107,0))),1))</x:f>
      </x:c>
      <x:c r="K30" s="118" t="str">
        <x:v>11 pearls - living seaweed; fast premium</x:v>
      </x:c>
    </x:row>
    <x:row r="31" ht="26.399999618530273" hidden="0" customHeight="1">
      <x:c r="A31" s="118" t="str">
        <x:v>Wave 2 - Premium Showcase (pearl fish drops)</x:v>
      </x:c>
      <x:c r="B31" s="118" t="n">
        <x:v>30</x:v>
      </x:c>
      <x:c r="C31" s="118" t="str">
        <x:v>Peacock Mantis Shrimp</x:v>
      </x:c>
      <x:c r="D31" s="118" t="str">
        <x:v>Premium</x:v>
      </x:c>
      <x:c r="E31" s="126" t="n">
        <x:v>48</x:v>
      </x:c>
      <x:c r="F31" s="118" t="str">
        <x:v>48 h (2 d)</x:v>
      </x:c>
      <x:c r="G31" s="118" t="str">
        <x:v>see note</x:v>
      </x:c>
      <x:c r="H31" s="118" t="str">
        <x:v>Premium Showcase</x:v>
      </x:c>
      <x:c r="I31" s="128" t="str">
        <x:f>IF(D31="Premium","",ROUND((Inputs!$B$70+(B31-Inputs!$B$68)*(Inputs!$B$71-Inputs!$B$70)/(Inputs!$B$69-Inputs!$B$68))*INDEX(Inputs!$C$87:$C$96,MATCH(E31,Inputs!$A$87:$A$96,1))*INDEX(Inputs!$B$100:$B$107,MATCH(H31,Inputs!$A$100:$A$107,0))*(1+INDEX(Inputs!$B$38:$B$44,MATCH(D31,Inputs!$A$38:$A$44,0))*INDEX(Inputs!$D$100:$D$107,MATCH(H31,Inputs!$A$100:$A$107,0))),1))</x:f>
      </x:c>
      <x:c r="J31" s="128" t="str">
        <x:f>IF(D31="Premium","",ROUND((Inputs!$B$72+(B31-Inputs!$B$68)*(Inputs!$B$73-Inputs!$B$72)/(Inputs!$B$69-Inputs!$B$68))*INDEX(Inputs!$D$87:$D$96,MATCH(E31,Inputs!$A$87:$A$96,1))*INDEX(Inputs!$C$100:$C$107,MATCH(H31,Inputs!$A$100:$A$107,0))*(1+INDEX(Inputs!$B$38:$B$44,MATCH(D31,Inputs!$A$38:$A$44,0))*INDEX(Inputs!$E$100:$E$107,MATCH(H31,Inputs!$A$100:$A$107,0))),1))</x:f>
      </x:c>
      <x:c r="K31" s="118" t="str">
        <x:v>12 pearls - full-rainbow armor</x:v>
      </x:c>
    </x:row>
    <x:row r="32" ht="15" hidden="0" customHeight="1">
      <x:c r="A32" s="118" t="str">
        <x:v>Wave 3 - Epic Expansion (L41-55)</x:v>
      </x:c>
      <x:c r="B32" s="118" t="n">
        <x:v>45</x:v>
      </x:c>
      <x:c r="C32" s="118" t="str">
        <x:v>Sailfin Tang</x:v>
      </x:c>
      <x:c r="D32" s="118" t="str">
        <x:v>Epic</x:v>
      </x:c>
      <x:c r="E32" s="126" t="n">
        <x:v>36</x:v>
      </x:c>
      <x:c r="F32" s="118" t="str">
        <x:v>36 h (1.5 d)</x:v>
      </x:c>
      <x:c r="G32" s="118" t="n">
        <x:v>560</x:v>
      </x:c>
      <x:c r="H32" s="118" t="str">
        <x:v>Payout</x:v>
      </x:c>
      <x:c r="I32" s="128" t="n">
        <x:f>IF(D32="Premium","",ROUND((Inputs!$B$70+(B32-Inputs!$B$68)*(Inputs!$B$71-Inputs!$B$70)/(Inputs!$B$69-Inputs!$B$68))*INDEX(Inputs!$C$87:$C$96,MATCH(E32,Inputs!$A$87:$A$96,1))*INDEX(Inputs!$B$100:$B$107,MATCH(H32,Inputs!$A$100:$A$107,0))*(1+INDEX(Inputs!$B$38:$B$44,MATCH(D32,Inputs!$A$38:$A$44,0))*INDEX(Inputs!$D$100:$D$107,MATCH(H32,Inputs!$A$100:$A$107,0))),1))</x:f>
        <x:v>35.4</x:v>
      </x:c>
      <x:c r="J32" s="128" t="n">
        <x:f>IF(D32="Premium","",ROUND((Inputs!$B$72+(B32-Inputs!$B$68)*(Inputs!$B$73-Inputs!$B$72)/(Inputs!$B$69-Inputs!$B$68))*INDEX(Inputs!$D$87:$D$96,MATCH(E32,Inputs!$A$87:$A$96,1))*INDEX(Inputs!$C$100:$C$107,MATCH(H32,Inputs!$A$100:$A$107,0))*(1+INDEX(Inputs!$B$38:$B$44,MATCH(D32,Inputs!$A$38:$A$44,0))*INDEX(Inputs!$E$100:$E$107,MATCH(H32,Inputs!$A$100:$A$107,0))),1))</x:f>
        <x:v>12.6</x:v>
      </x:c>
      <x:c r="K32" s="118" t="str">
        <x:v>Formula preview: target rates before activating live sheet.</x:v>
      </x:c>
    </x:row>
    <x:row r="33" ht="15" hidden="0" customHeight="1">
      <x:c r="A33" s="118" t="str">
        <x:v>Wave 3 - Epic Expansion (L41-55)</x:v>
      </x:c>
      <x:c r="B33" s="118" t="n">
        <x:v>46</x:v>
      </x:c>
      <x:c r="C33" s="118" t="str">
        <x:v>Orchid Dottyback</x:v>
      </x:c>
      <x:c r="D33" s="118" t="str">
        <x:v>Epic</x:v>
      </x:c>
      <x:c r="E33" s="126" t="n">
        <x:v>1</x:v>
      </x:c>
      <x:c r="F33" s="118" t="str">
        <x:v>1 h</x:v>
      </x:c>
      <x:c r="G33" s="118" t="n">
        <x:v>170</x:v>
      </x:c>
      <x:c r="H33" s="118" t="str">
        <x:v>Coin Specialist</x:v>
      </x:c>
      <x:c r="I33" s="128" t="n">
        <x:f>IF(D33="Premium","",ROUND((Inputs!$B$70+(B33-Inputs!$B$68)*(Inputs!$B$71-Inputs!$B$70)/(Inputs!$B$69-Inputs!$B$68))*INDEX(Inputs!$C$87:$C$96,MATCH(E33,Inputs!$A$87:$A$96,1))*INDEX(Inputs!$B$100:$B$107,MATCH(H33,Inputs!$A$100:$A$107,0))*(1+INDEX(Inputs!$B$38:$B$44,MATCH(D33,Inputs!$A$38:$A$44,0))*INDEX(Inputs!$D$100:$D$107,MATCH(H33,Inputs!$A$100:$A$107,0))),1))</x:f>
        <x:v>200</x:v>
      </x:c>
      <x:c r="J33" s="128" t="n">
        <x:f>IF(D33="Premium","",ROUND((Inputs!$B$72+(B33-Inputs!$B$68)*(Inputs!$B$73-Inputs!$B$72)/(Inputs!$B$69-Inputs!$B$68))*INDEX(Inputs!$D$87:$D$96,MATCH(E33,Inputs!$A$87:$A$96,1))*INDEX(Inputs!$C$100:$C$107,MATCH(H33,Inputs!$A$100:$A$107,0))*(1+INDEX(Inputs!$B$38:$B$44,MATCH(D33,Inputs!$A$38:$A$44,0))*INDEX(Inputs!$E$100:$E$107,MATCH(H33,Inputs!$A$100:$A$107,0))),1))</x:f>
        <x:v>54.1</x:v>
      </x:c>
      <x:c r="K33" s="118" t="str">
        <x:v>Fast epic | Formula preview: target rates before activating live sheet.</x:v>
      </x:c>
    </x:row>
    <x:row r="34" ht="15" hidden="0" customHeight="1">
      <x:c r="A34" s="118" t="str">
        <x:v>Wave 3 - Epic Expansion (L41-55)</x:v>
      </x:c>
      <x:c r="B34" s="118" t="n">
        <x:v>47</x:v>
      </x:c>
      <x:c r="C34" s="118" t="str">
        <x:v>Volitan Lionfish</x:v>
      </x:c>
      <x:c r="D34" s="118" t="str">
        <x:v>Epic</x:v>
      </x:c>
      <x:c r="E34" s="126" t="n">
        <x:v>8</x:v>
      </x:c>
      <x:c r="F34" s="118" t="str">
        <x:v>8 h</x:v>
      </x:c>
      <x:c r="G34" s="118" t="n">
        <x:v>300</x:v>
      </x:c>
      <x:c r="H34" s="118" t="str">
        <x:v>Balanced</x:v>
      </x:c>
      <x:c r="I34" s="128" t="n">
        <x:f>IF(D34="Premium","",ROUND((Inputs!$B$70+(B34-Inputs!$B$68)*(Inputs!$B$71-Inputs!$B$70)/(Inputs!$B$69-Inputs!$B$68))*INDEX(Inputs!$C$87:$C$96,MATCH(E34,Inputs!$A$87:$A$96,1))*INDEX(Inputs!$B$100:$B$107,MATCH(H34,Inputs!$A$100:$A$107,0))*(1+INDEX(Inputs!$B$38:$B$44,MATCH(D34,Inputs!$A$38:$A$44,0))*INDEX(Inputs!$D$100:$D$107,MATCH(H34,Inputs!$A$100:$A$107,0))),1))</x:f>
        <x:v>42</x:v>
      </x:c>
      <x:c r="J34" s="128" t="n">
        <x:f>IF(D34="Premium","",ROUND((Inputs!$B$72+(B34-Inputs!$B$68)*(Inputs!$B$73-Inputs!$B$72)/(Inputs!$B$69-Inputs!$B$68))*INDEX(Inputs!$D$87:$D$96,MATCH(E34,Inputs!$A$87:$A$96,1))*INDEX(Inputs!$C$100:$C$107,MATCH(H34,Inputs!$A$100:$A$107,0))*(1+INDEX(Inputs!$B$38:$B$44,MATCH(D34,Inputs!$A$38:$A$44,0))*INDEX(Inputs!$E$100:$E$107,MATCH(H34,Inputs!$A$100:$A$107,0))),1))</x:f>
        <x:v>17.3</x:v>
      </x:c>
      <x:c r="K34" s="118" t="str">
        <x:v>Formula preview: target rates before activating live sheet.</x:v>
      </x:c>
    </x:row>
    <x:row r="35" ht="15" hidden="0" customHeight="1">
      <x:c r="A35" s="118" t="str">
        <x:v>Wave 3 - Epic Expansion (L41-55)</x:v>
      </x:c>
      <x:c r="B35" s="118" t="n">
        <x:v>48</x:v>
      </x:c>
      <x:c r="C35" s="118" t="str">
        <x:v>Flowerhorn Cichlid</x:v>
      </x:c>
      <x:c r="D35" s="118" t="str">
        <x:v>Epic</x:v>
      </x:c>
      <x:c r="E35" s="126" t="n">
        <x:v>20</x:v>
      </x:c>
      <x:c r="F35" s="118" t="str">
        <x:v>20 h</x:v>
      </x:c>
      <x:c r="G35" s="118" t="n">
        <x:v>450</x:v>
      </x:c>
      <x:c r="H35" s="118" t="str">
        <x:v>Balanced</x:v>
      </x:c>
      <x:c r="I35" s="128" t="n">
        <x:f>IF(D35="Premium","",ROUND((Inputs!$B$70+(B35-Inputs!$B$68)*(Inputs!$B$71-Inputs!$B$70)/(Inputs!$B$69-Inputs!$B$68))*INDEX(Inputs!$C$87:$C$96,MATCH(E35,Inputs!$A$87:$A$96,1))*INDEX(Inputs!$B$100:$B$107,MATCH(H35,Inputs!$A$100:$A$107,0))*(1+INDEX(Inputs!$B$38:$B$44,MATCH(D35,Inputs!$A$38:$A$44,0))*INDEX(Inputs!$D$100:$D$107,MATCH(H35,Inputs!$A$100:$A$107,0))),1))</x:f>
        <x:v>30.7</x:v>
      </x:c>
      <x:c r="J35" s="128" t="n">
        <x:f>IF(D35="Premium","",ROUND((Inputs!$B$72+(B35-Inputs!$B$68)*(Inputs!$B$73-Inputs!$B$72)/(Inputs!$B$69-Inputs!$B$68))*INDEX(Inputs!$D$87:$D$96,MATCH(E35,Inputs!$A$87:$A$96,1))*INDEX(Inputs!$C$100:$C$107,MATCH(H35,Inputs!$A$100:$A$107,0))*(1+INDEX(Inputs!$B$38:$B$44,MATCH(D35,Inputs!$A$38:$A$44,0))*INDEX(Inputs!$E$100:$E$107,MATCH(H35,Inputs!$A$100:$A$107,0))),1))</x:f>
        <x:v>16.2</x:v>
      </x:c>
      <x:c r="K35" s="118" t="str">
        <x:v>Formula preview: target rates before activating live sheet.</x:v>
      </x:c>
    </x:row>
    <x:row r="36" ht="15" hidden="0" customHeight="1">
      <x:c r="A36" s="118" t="str">
        <x:v>Wave 3 - Epic Expansion (L41-55)</x:v>
      </x:c>
      <x:c r="B36" s="118" t="n">
        <x:v>50</x:v>
      </x:c>
      <x:c r="C36" s="118" t="str">
        <x:v>Threadfin Butterflyfish</x:v>
      </x:c>
      <x:c r="D36" s="118" t="str">
        <x:v>Epic</x:v>
      </x:c>
      <x:c r="E36" s="126" t="n">
        <x:v>0.5</x:v>
      </x:c>
      <x:c r="F36" s="118" t="str">
        <x:v>30 min</x:v>
      </x:c>
      <x:c r="G36" s="118" t="n">
        <x:v>160</x:v>
      </x:c>
      <x:c r="H36" s="118" t="str">
        <x:v>Coin Specialist</x:v>
      </x:c>
      <x:c r="I36" s="128" t="n">
        <x:f>IF(D36="Premium","",ROUND((Inputs!$B$70+(B36-Inputs!$B$68)*(Inputs!$B$71-Inputs!$B$70)/(Inputs!$B$69-Inputs!$B$68))*INDEX(Inputs!$C$87:$C$96,MATCH(E36,Inputs!$A$87:$A$96,1))*INDEX(Inputs!$B$100:$B$107,MATCH(H36,Inputs!$A$100:$A$107,0))*(1+INDEX(Inputs!$B$38:$B$44,MATCH(D36,Inputs!$A$38:$A$44,0))*INDEX(Inputs!$D$100:$D$107,MATCH(H36,Inputs!$A$100:$A$107,0))),1))</x:f>
        <x:v>210.3</x:v>
      </x:c>
      <x:c r="J36" s="128" t="n">
        <x:f>IF(D36="Premium","",ROUND((Inputs!$B$72+(B36-Inputs!$B$68)*(Inputs!$B$73-Inputs!$B$72)/(Inputs!$B$69-Inputs!$B$68))*INDEX(Inputs!$D$87:$D$96,MATCH(E36,Inputs!$A$87:$A$96,1))*INDEX(Inputs!$C$100:$C$107,MATCH(H36,Inputs!$A$100:$A$107,0))*(1+INDEX(Inputs!$B$38:$B$44,MATCH(D36,Inputs!$A$38:$A$44,0))*INDEX(Inputs!$E$100:$E$107,MATCH(H36,Inputs!$A$100:$A$107,0))),1))</x:f>
        <x:v>56.4</x:v>
      </x:c>
      <x:c r="K36" s="118" t="str">
        <x:v>Fast epic | Formula preview: target rates before activating live sheet.</x:v>
      </x:c>
    </x:row>
    <x:row r="37" ht="15" hidden="0" customHeight="1">
      <x:c r="A37" s="118" t="str">
        <x:v>Wave 3 - Epic Expansion (L41-55)</x:v>
      </x:c>
      <x:c r="B37" s="118" t="n">
        <x:v>51</x:v>
      </x:c>
      <x:c r="C37" s="118" t="str">
        <x:v>Unicorn Tang</x:v>
      </x:c>
      <x:c r="D37" s="118" t="str">
        <x:v>Epic</x:v>
      </x:c>
      <x:c r="E37" s="126" t="n">
        <x:v>4</x:v>
      </x:c>
      <x:c r="F37" s="118" t="str">
        <x:v>4 h</x:v>
      </x:c>
      <x:c r="G37" s="118" t="n">
        <x:v>240</x:v>
      </x:c>
      <x:c r="H37" s="118" t="str">
        <x:v>Balanced</x:v>
      </x:c>
      <x:c r="I37" s="128" t="n">
        <x:f>IF(D37="Premium","",ROUND((Inputs!$B$70+(B37-Inputs!$B$68)*(Inputs!$B$71-Inputs!$B$70)/(Inputs!$B$69-Inputs!$B$68))*INDEX(Inputs!$C$87:$C$96,MATCH(E37,Inputs!$A$87:$A$96,1))*INDEX(Inputs!$B$100:$B$107,MATCH(H37,Inputs!$A$100:$A$107,0))*(1+INDEX(Inputs!$B$38:$B$44,MATCH(D37,Inputs!$A$38:$A$44,0))*INDEX(Inputs!$D$100:$D$107,MATCH(H37,Inputs!$A$100:$A$107,0))),1))</x:f>
        <x:v>51.5</x:v>
      </x:c>
      <x:c r="J37" s="128" t="n">
        <x:f>IF(D37="Premium","",ROUND((Inputs!$B$72+(B37-Inputs!$B$68)*(Inputs!$B$73-Inputs!$B$72)/(Inputs!$B$69-Inputs!$B$68))*INDEX(Inputs!$D$87:$D$96,MATCH(E37,Inputs!$A$87:$A$96,1))*INDEX(Inputs!$C$100:$C$107,MATCH(H37,Inputs!$A$100:$A$107,0))*(1+INDEX(Inputs!$B$38:$B$44,MATCH(D37,Inputs!$A$38:$A$44,0))*INDEX(Inputs!$E$100:$E$107,MATCH(H37,Inputs!$A$100:$A$107,0))),1))</x:f>
        <x:v>20.6</x:v>
      </x:c>
      <x:c r="K37" s="118" t="str">
        <x:v>Formula preview: target rates before activating live sheet.</x:v>
      </x:c>
    </x:row>
    <x:row r="38" ht="15" hidden="0" customHeight="1">
      <x:c r="A38" s="118" t="str">
        <x:v>Wave 3 - Epic Expansion (L41-55)</x:v>
      </x:c>
      <x:c r="B38" s="118" t="n">
        <x:v>52</x:v>
      </x:c>
      <x:c r="C38" s="118" t="str">
        <x:v>Weedy Seadragon</x:v>
      </x:c>
      <x:c r="D38" s="118" t="str">
        <x:v>Epic</x:v>
      </x:c>
      <x:c r="E38" s="126" t="n">
        <x:v>12</x:v>
      </x:c>
      <x:c r="F38" s="118" t="str">
        <x:v>12 h</x:v>
      </x:c>
      <x:c r="G38" s="118" t="n">
        <x:v>390</x:v>
      </x:c>
      <x:c r="H38" s="118" t="str">
        <x:v>Balanced</x:v>
      </x:c>
      <x:c r="I38" s="128" t="n">
        <x:f>IF(D38="Premium","",ROUND((Inputs!$B$70+(B38-Inputs!$B$68)*(Inputs!$B$71-Inputs!$B$70)/(Inputs!$B$69-Inputs!$B$68))*INDEX(Inputs!$C$87:$C$96,MATCH(E38,Inputs!$A$87:$A$96,1))*INDEX(Inputs!$B$100:$B$107,MATCH(H38,Inputs!$A$100:$A$107,0))*(1+INDEX(Inputs!$B$38:$B$44,MATCH(D38,Inputs!$A$38:$A$44,0))*INDEX(Inputs!$D$100:$D$107,MATCH(H38,Inputs!$A$100:$A$107,0))),1))</x:f>
        <x:v>32.3</x:v>
      </x:c>
      <x:c r="J38" s="128" t="n">
        <x:f>IF(D38="Premium","",ROUND((Inputs!$B$72+(B38-Inputs!$B$68)*(Inputs!$B$73-Inputs!$B$72)/(Inputs!$B$69-Inputs!$B$68))*INDEX(Inputs!$D$87:$D$96,MATCH(E38,Inputs!$A$87:$A$96,1))*INDEX(Inputs!$C$100:$C$107,MATCH(H38,Inputs!$A$100:$A$107,0))*(1+INDEX(Inputs!$B$38:$B$44,MATCH(D38,Inputs!$A$38:$A$44,0))*INDEX(Inputs!$E$100:$E$107,MATCH(H38,Inputs!$A$100:$A$107,0))),1))</x:f>
        <x:v>16.9</x:v>
      </x:c>
      <x:c r="K38" s="118" t="str">
        <x:v>Formula preview: target rates before activating live sheet.</x:v>
      </x:c>
    </x:row>
    <x:row r="39" ht="15" hidden="0" customHeight="1">
      <x:c r="A39" s="118" t="str">
        <x:v>Wave 3 - Epic Expansion (L41-55)</x:v>
      </x:c>
      <x:c r="B39" s="118" t="n">
        <x:v>53</x:v>
      </x:c>
      <x:c r="C39" s="118" t="str">
        <x:v>Clown Triggerfish</x:v>
      </x:c>
      <x:c r="D39" s="118" t="str">
        <x:v>Epic</x:v>
      </x:c>
      <x:c r="E39" s="126" t="n">
        <x:v>24</x:v>
      </x:c>
      <x:c r="F39" s="118" t="str">
        <x:v>24 h (1 d)</x:v>
      </x:c>
      <x:c r="G39" s="118" t="n">
        <x:v>530</x:v>
      </x:c>
      <x:c r="H39" s="118" t="str">
        <x:v>Convenience</x:v>
      </x:c>
      <x:c r="I39" s="128" t="n">
        <x:f>IF(D39="Premium","",ROUND((Inputs!$B$70+(B39-Inputs!$B$68)*(Inputs!$B$71-Inputs!$B$70)/(Inputs!$B$69-Inputs!$B$68))*INDEX(Inputs!$C$87:$C$96,MATCH(E39,Inputs!$A$87:$A$96,1))*INDEX(Inputs!$B$100:$B$107,MATCH(H39,Inputs!$A$100:$A$107,0))*(1+INDEX(Inputs!$B$38:$B$44,MATCH(D39,Inputs!$A$38:$A$44,0))*INDEX(Inputs!$D$100:$D$107,MATCH(H39,Inputs!$A$100:$A$107,0))),1))</x:f>
        <x:v>25.8</x:v>
      </x:c>
      <x:c r="J39" s="128" t="n">
        <x:f>IF(D39="Premium","",ROUND((Inputs!$B$72+(B39-Inputs!$B$68)*(Inputs!$B$73-Inputs!$B$72)/(Inputs!$B$69-Inputs!$B$68))*INDEX(Inputs!$D$87:$D$96,MATCH(E39,Inputs!$A$87:$A$96,1))*INDEX(Inputs!$C$100:$C$107,MATCH(H39,Inputs!$A$100:$A$107,0))*(1+INDEX(Inputs!$B$38:$B$44,MATCH(D39,Inputs!$A$38:$A$44,0))*INDEX(Inputs!$E$100:$E$107,MATCH(H39,Inputs!$A$100:$A$107,0))),1))</x:f>
        <x:v>17.6</x:v>
      </x:c>
      <x:c r="K39" s="118" t="str">
        <x:v>Formula preview: target rates before activating live sheet.</x:v>
      </x:c>
    </x:row>
    <x:row r="40" ht="26.399999618530273" hidden="0" customHeight="1">
      <x:c r="A40" s="118" t="str">
        <x:v>Wave 3 - Epic Expansion (L41-55)</x:v>
      </x:c>
      <x:c r="B40" s="118" t="n">
        <x:v>54</x:v>
      </x:c>
      <x:c r="C40" s="118" t="str">
        <x:v>Moon Jellyfish</x:v>
      </x:c>
      <x:c r="D40" s="118" t="str">
        <x:v>Epic</x:v>
      </x:c>
      <x:c r="E40" s="126" t="n">
        <x:v>0.083</x:v>
      </x:c>
      <x:c r="F40" s="118" t="str">
        <x:v>5 min</x:v>
      </x:c>
      <x:c r="G40" s="118" t="n">
        <x:v>130</x:v>
      </x:c>
      <x:c r="H40" s="118" t="str">
        <x:v>Coin Specialist</x:v>
      </x:c>
      <x:c r="I40" s="128" t="n">
        <x:f>IF(D40="Premium","",ROUND((Inputs!$B$70+(B40-Inputs!$B$68)*(Inputs!$B$71-Inputs!$B$70)/(Inputs!$B$69-Inputs!$B$68))*INDEX(Inputs!$C$87:$C$96,MATCH(E40,Inputs!$A$87:$A$96,1))*INDEX(Inputs!$B$100:$B$107,MATCH(H40,Inputs!$A$100:$A$107,0))*(1+INDEX(Inputs!$B$38:$B$44,MATCH(D40,Inputs!$A$38:$A$44,0))*INDEX(Inputs!$D$100:$D$107,MATCH(H40,Inputs!$A$100:$A$107,0))),1))</x:f>
        <x:v>580.2</x:v>
      </x:c>
      <x:c r="J40" s="128" t="n">
        <x:f>IF(D40="Premium","",ROUND((Inputs!$B$72+(B40-Inputs!$B$68)*(Inputs!$B$73-Inputs!$B$72)/(Inputs!$B$69-Inputs!$B$68))*INDEX(Inputs!$D$87:$D$96,MATCH(E40,Inputs!$A$87:$A$96,1))*INDEX(Inputs!$C$100:$C$107,MATCH(H40,Inputs!$A$100:$A$107,0))*(1+INDEX(Inputs!$B$38:$B$44,MATCH(D40,Inputs!$A$38:$A$44,0))*INDEX(Inputs!$E$100:$E$107,MATCH(H40,Inputs!$A$100:$A$107,0))),1))</x:f>
        <x:v>117.6</x:v>
      </x:c>
      <x:c r="K40" s="118" t="str">
        <x:v>Fast epic - exotic invertebrate | Formula preview: target rates before activating live sheet.</x:v>
      </x:c>
    </x:row>
    <x:row r="41" ht="15" hidden="0" customHeight="1">
      <x:c r="A41" s="118" t="str">
        <x:v>Wave 3 - Epic Expansion (L41-55)</x:v>
      </x:c>
      <x:c r="B41" s="118" t="n">
        <x:v>55</x:v>
      </x:c>
      <x:c r="C41" s="118" t="str">
        <x:v>Zebra Moray Eel</x:v>
      </x:c>
      <x:c r="D41" s="118" t="str">
        <x:v>Epic</x:v>
      </x:c>
      <x:c r="E41" s="126" t="n">
        <x:v>6</x:v>
      </x:c>
      <x:c r="F41" s="118" t="str">
        <x:v>6 h</x:v>
      </x:c>
      <x:c r="G41" s="118" t="n">
        <x:v>300</x:v>
      </x:c>
      <x:c r="H41" s="118" t="str">
        <x:v>Balanced</x:v>
      </x:c>
      <x:c r="I41" s="128" t="n">
        <x:f>IF(D41="Premium","",ROUND((Inputs!$B$70+(B41-Inputs!$B$68)*(Inputs!$B$71-Inputs!$B$70)/(Inputs!$B$69-Inputs!$B$68))*INDEX(Inputs!$C$87:$C$96,MATCH(E41,Inputs!$A$87:$A$96,1))*INDEX(Inputs!$B$100:$B$107,MATCH(H41,Inputs!$A$100:$A$107,0))*(1+INDEX(Inputs!$B$38:$B$44,MATCH(D41,Inputs!$A$38:$A$44,0))*INDEX(Inputs!$D$100:$D$107,MATCH(H41,Inputs!$A$100:$A$107,0))),1))</x:f>
        <x:v>51.4</x:v>
      </x:c>
      <x:c r="J41" s="128" t="n">
        <x:f>IF(D41="Premium","",ROUND((Inputs!$B$72+(B41-Inputs!$B$68)*(Inputs!$B$73-Inputs!$B$72)/(Inputs!$B$69-Inputs!$B$68))*INDEX(Inputs!$D$87:$D$96,MATCH(E41,Inputs!$A$87:$A$96,1))*INDEX(Inputs!$C$100:$C$107,MATCH(H41,Inputs!$A$100:$A$107,0))*(1+INDEX(Inputs!$B$38:$B$44,MATCH(D41,Inputs!$A$38:$A$44,0))*INDEX(Inputs!$E$100:$E$107,MATCH(H41,Inputs!$A$100:$A$107,0))),1))</x:f>
        <x:v>20.2</x:v>
      </x:c>
      <x:c r="K41" s="118" t="str">
        <x:v>Formula preview: target rates before activating live sheet.</x:v>
      </x:c>
    </x:row>
    <x:row r="42" ht="15" hidden="0" customHeight="1">
      <x:c r="A42" s="118" t="str">
        <x:v>Wave 4 - Deep Waters (L56-60)</x:v>
      </x:c>
      <x:c r="B42" s="118" t="n">
        <x:v>56</x:v>
      </x:c>
      <x:c r="C42" s="118" t="str">
        <x:v>Dragon Moray</x:v>
      </x:c>
      <x:c r="D42" s="118" t="str">
        <x:v>Epic</x:v>
      </x:c>
      <x:c r="E42" s="126" t="n">
        <x:v>16</x:v>
      </x:c>
      <x:c r="F42" s="118" t="str">
        <x:v>16 h</x:v>
      </x:c>
      <x:c r="G42" s="118" t="n">
        <x:v>460</x:v>
      </x:c>
      <x:c r="H42" s="118" t="str">
        <x:v>Balanced</x:v>
      </x:c>
      <x:c r="I42" s="128" t="n">
        <x:f>IF(D42="Premium","",ROUND((Inputs!$B$70+(B42-Inputs!$B$68)*(Inputs!$B$71-Inputs!$B$70)/(Inputs!$B$69-Inputs!$B$68))*INDEX(Inputs!$C$87:$C$96,MATCH(E42,Inputs!$A$87:$A$96,1))*INDEX(Inputs!$B$100:$B$107,MATCH(H42,Inputs!$A$100:$A$107,0))*(1+INDEX(Inputs!$B$38:$B$44,MATCH(D42,Inputs!$A$38:$A$44,0))*INDEX(Inputs!$D$100:$D$107,MATCH(H42,Inputs!$A$100:$A$107,0))),1))</x:f>
        <x:v>33.8</x:v>
      </x:c>
      <x:c r="J42" s="128" t="n">
        <x:f>IF(D42="Premium","",ROUND((Inputs!$B$72+(B42-Inputs!$B$68)*(Inputs!$B$73-Inputs!$B$72)/(Inputs!$B$69-Inputs!$B$68))*INDEX(Inputs!$D$87:$D$96,MATCH(E42,Inputs!$A$87:$A$96,1))*INDEX(Inputs!$C$100:$C$107,MATCH(H42,Inputs!$A$100:$A$107,0))*(1+INDEX(Inputs!$B$38:$B$44,MATCH(D42,Inputs!$A$38:$A$44,0))*INDEX(Inputs!$E$100:$E$107,MATCH(H42,Inputs!$A$100:$A$107,0))),1))</x:f>
        <x:v>17.6</x:v>
      </x:c>
      <x:c r="K42" s="118" t="str">
        <x:v>Formula preview: target rates before activating live sheet.</x:v>
      </x:c>
    </x:row>
    <x:row r="43" ht="26.399999618530273" hidden="0" customHeight="1">
      <x:c r="A43" s="118" t="str">
        <x:v>Wave 4 - Deep Waters (L56-60)</x:v>
      </x:c>
      <x:c r="B43" s="118" t="n">
        <x:v>57</x:v>
      </x:c>
      <x:c r="C43" s="118" t="str">
        <x:v>Humphead Wrasse</x:v>
      </x:c>
      <x:c r="D43" s="118" t="str">
        <x:v>Epic</x:v>
      </x:c>
      <x:c r="E43" s="126" t="n">
        <x:v>36</x:v>
      </x:c>
      <x:c r="F43" s="118" t="str">
        <x:v>36 h (1.5 d)</x:v>
      </x:c>
      <x:c r="G43" s="118" t="n">
        <x:v>660</x:v>
      </x:c>
      <x:c r="H43" s="118" t="str">
        <x:v>Payout</x:v>
      </x:c>
      <x:c r="I43" s="128" t="n">
        <x:f>IF(D43="Premium","",ROUND((Inputs!$B$70+(B43-Inputs!$B$68)*(Inputs!$B$71-Inputs!$B$70)/(Inputs!$B$69-Inputs!$B$68))*INDEX(Inputs!$C$87:$C$96,MATCH(E43,Inputs!$A$87:$A$96,1))*INDEX(Inputs!$B$100:$B$107,MATCH(H43,Inputs!$A$100:$A$107,0))*(1+INDEX(Inputs!$B$38:$B$44,MATCH(D43,Inputs!$A$38:$A$44,0))*INDEX(Inputs!$D$100:$D$107,MATCH(H43,Inputs!$A$100:$A$107,0))),1))</x:f>
        <x:v>40.9</x:v>
      </x:c>
      <x:c r="J43" s="128" t="n">
        <x:f>IF(D43="Premium","",ROUND((Inputs!$B$72+(B43-Inputs!$B$68)*(Inputs!$B$73-Inputs!$B$72)/(Inputs!$B$69-Inputs!$B$68))*INDEX(Inputs!$D$87:$D$96,MATCH(E43,Inputs!$A$87:$A$96,1))*INDEX(Inputs!$C$100:$C$107,MATCH(H43,Inputs!$A$100:$A$107,0))*(1+INDEX(Inputs!$B$38:$B$44,MATCH(D43,Inputs!$A$38:$A$44,0))*INDEX(Inputs!$E$100:$E$107,MATCH(H43,Inputs!$A$100:$A$107,0))),1))</x:f>
        <x:v>14.3</x:v>
      </x:c>
      <x:c r="K43" s="118" t="str">
        <x:v>Slow-maturing giant | Formula preview: target rates before activating live sheet.</x:v>
      </x:c>
    </x:row>
    <x:row r="44" ht="15" hidden="0" customHeight="1">
      <x:c r="A44" s="118" t="str">
        <x:v>Wave 4 - Deep Waters (L56-60)</x:v>
      </x:c>
      <x:c r="B44" s="118" t="n">
        <x:v>58</x:v>
      </x:c>
      <x:c r="C44" s="118" t="str">
        <x:v>Pearlscale Angelfish</x:v>
      </x:c>
      <x:c r="D44" s="118" t="str">
        <x:v>Epic</x:v>
      </x:c>
      <x:c r="E44" s="126" t="n">
        <x:v>1</x:v>
      </x:c>
      <x:c r="F44" s="118" t="str">
        <x:v>1 h</x:v>
      </x:c>
      <x:c r="G44" s="118" t="n">
        <x:v>220</x:v>
      </x:c>
      <x:c r="H44" s="118" t="str">
        <x:v>Coin Specialist</x:v>
      </x:c>
      <x:c r="I44" s="128" t="n">
        <x:f>IF(D44="Premium","",ROUND((Inputs!$B$70+(B44-Inputs!$B$68)*(Inputs!$B$71-Inputs!$B$70)/(Inputs!$B$69-Inputs!$B$68))*INDEX(Inputs!$C$87:$C$96,MATCH(E44,Inputs!$A$87:$A$96,1))*INDEX(Inputs!$B$100:$B$107,MATCH(H44,Inputs!$A$100:$A$107,0))*(1+INDEX(Inputs!$B$38:$B$44,MATCH(D44,Inputs!$A$38:$A$44,0))*INDEX(Inputs!$D$100:$D$107,MATCH(H44,Inputs!$A$100:$A$107,0))),1))</x:f>
        <x:v>230.7</x:v>
      </x:c>
      <x:c r="J44" s="128" t="n">
        <x:f>IF(D44="Premium","",ROUND((Inputs!$B$72+(B44-Inputs!$B$68)*(Inputs!$B$73-Inputs!$B$72)/(Inputs!$B$69-Inputs!$B$68))*INDEX(Inputs!$D$87:$D$96,MATCH(E44,Inputs!$A$87:$A$96,1))*INDEX(Inputs!$C$100:$C$107,MATCH(H44,Inputs!$A$100:$A$107,0))*(1+INDEX(Inputs!$B$38:$B$44,MATCH(D44,Inputs!$A$38:$A$44,0))*INDEX(Inputs!$E$100:$E$107,MATCH(H44,Inputs!$A$100:$A$107,0))),1))</x:f>
        <x:v>61.2</x:v>
      </x:c>
      <x:c r="K44" s="118" t="str">
        <x:v>Fast epic | Formula preview: target rates before activating live sheet.</x:v>
      </x:c>
    </x:row>
    <x:row r="45" ht="15" hidden="0" customHeight="1">
      <x:c r="A45" s="118" t="str">
        <x:v>Wave 4 - Deep Waters (L56-60)</x:v>
      </x:c>
      <x:c r="B45" s="118" t="n">
        <x:v>59</x:v>
      </x:c>
      <x:c r="C45" s="118" t="str">
        <x:v>Emperor Snapper</x:v>
      </x:c>
      <x:c r="D45" s="118" t="str">
        <x:v>Epic</x:v>
      </x:c>
      <x:c r="E45" s="126" t="n">
        <x:v>8</x:v>
      </x:c>
      <x:c r="F45" s="118" t="str">
        <x:v>8 h</x:v>
      </x:c>
      <x:c r="G45" s="118" t="n">
        <x:v>360</x:v>
      </x:c>
      <x:c r="H45" s="118" t="str">
        <x:v>Balanced</x:v>
      </x:c>
      <x:c r="I45" s="128" t="n">
        <x:f>IF(D45="Premium","",ROUND((Inputs!$B$70+(B45-Inputs!$B$68)*(Inputs!$B$71-Inputs!$B$70)/(Inputs!$B$69-Inputs!$B$68))*INDEX(Inputs!$C$87:$C$96,MATCH(E45,Inputs!$A$87:$A$96,1))*INDEX(Inputs!$B$100:$B$107,MATCH(H45,Inputs!$A$100:$A$107,0))*(1+INDEX(Inputs!$B$38:$B$44,MATCH(D45,Inputs!$A$38:$A$44,0))*INDEX(Inputs!$D$100:$D$107,MATCH(H45,Inputs!$A$100:$A$107,0))),1))</x:f>
        <x:v>48.4</x:v>
      </x:c>
      <x:c r="J45" s="128" t="n">
        <x:f>IF(D45="Premium","",ROUND((Inputs!$B$72+(B45-Inputs!$B$68)*(Inputs!$B$73-Inputs!$B$72)/(Inputs!$B$69-Inputs!$B$68))*INDEX(Inputs!$D$87:$D$96,MATCH(E45,Inputs!$A$87:$A$96,1))*INDEX(Inputs!$C$100:$C$107,MATCH(H45,Inputs!$A$100:$A$107,0))*(1+INDEX(Inputs!$B$38:$B$44,MATCH(D45,Inputs!$A$38:$A$44,0))*INDEX(Inputs!$E$100:$E$107,MATCH(H45,Inputs!$A$100:$A$107,0))),1))</x:f>
        <x:v>19.6</x:v>
      </x:c>
      <x:c r="K45" s="118" t="str">
        <x:v>Formula preview: target rates before activating live sheet.</x:v>
      </x:c>
    </x:row>
    <x:row r="46" ht="15" hidden="0" customHeight="1">
      <x:c r="A46" s="118" t="str">
        <x:v>Wave 4 - Deep Waters (L56-60)</x:v>
      </x:c>
      <x:c r="B46" s="118" t="n">
        <x:v>60</x:v>
      </x:c>
      <x:c r="C46" s="118" t="str">
        <x:v>Giant Grouper</x:v>
      </x:c>
      <x:c r="D46" s="118" t="str">
        <x:v>Epic</x:v>
      </x:c>
      <x:c r="E46" s="126" t="n">
        <x:v>20</x:v>
      </x:c>
      <x:c r="F46" s="118" t="str">
        <x:v>20 h</x:v>
      </x:c>
      <x:c r="G46" s="118" t="n">
        <x:v>540</x:v>
      </x:c>
      <x:c r="H46" s="118" t="str">
        <x:v>Balanced</x:v>
      </x:c>
      <x:c r="I46" s="128" t="n">
        <x:f>IF(D46="Premium","",ROUND((Inputs!$B$70+(B46-Inputs!$B$68)*(Inputs!$B$71-Inputs!$B$70)/(Inputs!$B$69-Inputs!$B$68))*INDEX(Inputs!$C$87:$C$96,MATCH(E46,Inputs!$A$87:$A$96,1))*INDEX(Inputs!$B$100:$B$107,MATCH(H46,Inputs!$A$100:$A$107,0))*(1+INDEX(Inputs!$B$38:$B$44,MATCH(D46,Inputs!$A$38:$A$44,0))*INDEX(Inputs!$D$100:$D$107,MATCH(H46,Inputs!$A$100:$A$107,0))),1))</x:f>
        <x:v>35.3</x:v>
      </x:c>
      <x:c r="J46" s="128" t="n">
        <x:f>IF(D46="Premium","",ROUND((Inputs!$B$72+(B46-Inputs!$B$68)*(Inputs!$B$73-Inputs!$B$72)/(Inputs!$B$69-Inputs!$B$68))*INDEX(Inputs!$D$87:$D$96,MATCH(E46,Inputs!$A$87:$A$96,1))*INDEX(Inputs!$C$100:$C$107,MATCH(H46,Inputs!$A$100:$A$107,0))*(1+INDEX(Inputs!$B$38:$B$44,MATCH(D46,Inputs!$A$38:$A$44,0))*INDEX(Inputs!$E$100:$E$107,MATCH(H46,Inputs!$A$100:$A$107,0))),1))</x:f>
        <x:v>18.3</x:v>
      </x:c>
      <x:c r="K46" s="118" t="str">
        <x:v>Formula preview: target rates before activating live sheet.</x:v>
      </x:c>
    </x:row>
    <x:row r="47" ht="26.399999618530273" hidden="0" customHeight="1">
      <x:c r="A47" s="118" t="str">
        <x:v>Wave 5 - Legendary Tier (L61-70)</x:v>
      </x:c>
      <x:c r="B47" s="118" t="n">
        <x:v>61</x:v>
      </x:c>
      <x:c r="C47" s="118" t="str">
        <x:v>Crystal Seahorse</x:v>
      </x:c>
      <x:c r="D47" s="118" t="str">
        <x:v>Legendary</x:v>
      </x:c>
      <x:c r="E47" s="126" t="n">
        <x:v>48</x:v>
      </x:c>
      <x:c r="F47" s="118" t="str">
        <x:v>48 h (2 d)</x:v>
      </x:c>
      <x:c r="G47" s="118" t="n">
        <x:v>990</x:v>
      </x:c>
      <x:c r="H47" s="118" t="str">
        <x:v>Payout</x:v>
      </x:c>
      <x:c r="I47" s="128" t="n">
        <x:f>IF(D47="Premium","",ROUND((Inputs!$B$70+(B47-Inputs!$B$68)*(Inputs!$B$71-Inputs!$B$70)/(Inputs!$B$69-Inputs!$B$68))*INDEX(Inputs!$C$87:$C$96,MATCH(E47,Inputs!$A$87:$A$96,1))*INDEX(Inputs!$B$100:$B$107,MATCH(H47,Inputs!$A$100:$A$107,0))*(1+INDEX(Inputs!$B$38:$B$44,MATCH(D47,Inputs!$A$38:$A$44,0))*INDEX(Inputs!$D$100:$D$107,MATCH(H47,Inputs!$A$100:$A$107,0))),1))</x:f>
        <x:v>47.1</x:v>
      </x:c>
      <x:c r="J47" s="128" t="n">
        <x:f>IF(D47="Premium","",ROUND((Inputs!$B$72+(B47-Inputs!$B$68)*(Inputs!$B$73-Inputs!$B$72)/(Inputs!$B$69-Inputs!$B$68))*INDEX(Inputs!$D$87:$D$96,MATCH(E47,Inputs!$A$87:$A$96,1))*INDEX(Inputs!$C$100:$C$107,MATCH(H47,Inputs!$A$100:$A$107,0))*(1+INDEX(Inputs!$B$38:$B$44,MATCH(D47,Inputs!$A$38:$A$44,0))*INDEX(Inputs!$E$100:$E$107,MATCH(H47,Inputs!$A$100:$A$107,0))),1))</x:f>
        <x:v>13.7</x:v>
      </x:c>
      <x:c r="K47" s="118" t="str">
        <x:v>Legendary marathon | Formula preview: target rates before activating live sheet.</x:v>
      </x:c>
    </x:row>
    <x:row r="48" ht="26.399999618530273" hidden="0" customHeight="1">
      <x:c r="A48" s="118" t="str">
        <x:v>Wave 5 - Legendary Tier (L61-70)</x:v>
      </x:c>
      <x:c r="B48" s="118" t="n">
        <x:v>62</x:v>
      </x:c>
      <x:c r="C48" s="118" t="str">
        <x:v>Celestial Tang</x:v>
      </x:c>
      <x:c r="D48" s="118" t="str">
        <x:v>Legendary</x:v>
      </x:c>
      <x:c r="E48" s="126" t="n">
        <x:v>0.5</x:v>
      </x:c>
      <x:c r="F48" s="118" t="str">
        <x:v>30 min</x:v>
      </x:c>
      <x:c r="G48" s="118" t="n">
        <x:v>240</x:v>
      </x:c>
      <x:c r="H48" s="118" t="str">
        <x:v>Coin Specialist</x:v>
      </x:c>
      <x:c r="I48" s="128" t="n">
        <x:f>IF(D48="Premium","",ROUND((Inputs!$B$70+(B48-Inputs!$B$68)*(Inputs!$B$71-Inputs!$B$70)/(Inputs!$B$69-Inputs!$B$68))*INDEX(Inputs!$C$87:$C$96,MATCH(E48,Inputs!$A$87:$A$96,1))*INDEX(Inputs!$B$100:$B$107,MATCH(H48,Inputs!$A$100:$A$107,0))*(1+INDEX(Inputs!$B$38:$B$44,MATCH(D48,Inputs!$A$38:$A$44,0))*INDEX(Inputs!$D$100:$D$107,MATCH(H48,Inputs!$A$100:$A$107,0))),1))</x:f>
        <x:v>249.6</x:v>
      </x:c>
      <x:c r="J48" s="128" t="n">
        <x:f>IF(D48="Premium","",ROUND((Inputs!$B$72+(B48-Inputs!$B$68)*(Inputs!$B$73-Inputs!$B$72)/(Inputs!$B$69-Inputs!$B$68))*INDEX(Inputs!$D$87:$D$96,MATCH(E48,Inputs!$A$87:$A$96,1))*INDEX(Inputs!$C$100:$C$107,MATCH(H48,Inputs!$A$100:$A$107,0))*(1+INDEX(Inputs!$B$38:$B$44,MATCH(D48,Inputs!$A$38:$A$44,0))*INDEX(Inputs!$E$100:$E$107,MATCH(H48,Inputs!$A$100:$A$107,0))),1))</x:f>
        <x:v>63.8</x:v>
      </x:c>
      <x:c r="K48" s="118" t="str">
        <x:v>Fast legendary | Formula preview: target rates before activating live sheet.</x:v>
      </x:c>
    </x:row>
    <x:row r="49" ht="15" hidden="0" customHeight="1">
      <x:c r="A49" s="118" t="str">
        <x:v>Wave 5 - Legendary Tier (L61-70)</x:v>
      </x:c>
      <x:c r="B49" s="118" t="n">
        <x:v>63</x:v>
      </x:c>
      <x:c r="C49" s="118" t="str">
        <x:v>Starry Goby</x:v>
      </x:c>
      <x:c r="D49" s="118" t="str">
        <x:v>Legendary</x:v>
      </x:c>
      <x:c r="E49" s="126" t="n">
        <x:v>4</x:v>
      </x:c>
      <x:c r="F49" s="118" t="str">
        <x:v>4 h</x:v>
      </x:c>
      <x:c r="G49" s="118" t="n">
        <x:v>350</x:v>
      </x:c>
      <x:c r="H49" s="118" t="str">
        <x:v>Balanced</x:v>
      </x:c>
      <x:c r="I49" s="128" t="n">
        <x:f>IF(D49="Premium","",ROUND((Inputs!$B$70+(B49-Inputs!$B$68)*(Inputs!$B$71-Inputs!$B$70)/(Inputs!$B$69-Inputs!$B$68))*INDEX(Inputs!$C$87:$C$96,MATCH(E49,Inputs!$A$87:$A$96,1))*INDEX(Inputs!$B$100:$B$107,MATCH(H49,Inputs!$A$100:$A$107,0))*(1+INDEX(Inputs!$B$38:$B$44,MATCH(D49,Inputs!$A$38:$A$44,0))*INDEX(Inputs!$D$100:$D$107,MATCH(H49,Inputs!$A$100:$A$107,0))),1))</x:f>
        <x:v>59.5</x:v>
      </x:c>
      <x:c r="J49" s="128" t="n">
        <x:f>IF(D49="Premium","",ROUND((Inputs!$B$72+(B49-Inputs!$B$68)*(Inputs!$B$73-Inputs!$B$72)/(Inputs!$B$69-Inputs!$B$68))*INDEX(Inputs!$D$87:$D$96,MATCH(E49,Inputs!$A$87:$A$96,1))*INDEX(Inputs!$C$100:$C$107,MATCH(H49,Inputs!$A$100:$A$107,0))*(1+INDEX(Inputs!$B$38:$B$44,MATCH(D49,Inputs!$A$38:$A$44,0))*INDEX(Inputs!$E$100:$E$107,MATCH(H49,Inputs!$A$100:$A$107,0))),1))</x:f>
        <x:v>23.4</x:v>
      </x:c>
      <x:c r="K49" s="118" t="str">
        <x:v>Formula preview: target rates before activating live sheet.</x:v>
      </x:c>
    </x:row>
    <x:row r="50" ht="15" hidden="0" customHeight="1">
      <x:c r="A50" s="118" t="str">
        <x:v>Wave 5 - Legendary Tier (L61-70)</x:v>
      </x:c>
      <x:c r="B50" s="118" t="n">
        <x:v>64</x:v>
      </x:c>
      <x:c r="C50" s="118" t="str">
        <x:v>Opal Ray</x:v>
      </x:c>
      <x:c r="D50" s="118" t="str">
        <x:v>Legendary</x:v>
      </x:c>
      <x:c r="E50" s="126" t="n">
        <x:v>12</x:v>
      </x:c>
      <x:c r="F50" s="118" t="str">
        <x:v>12 h</x:v>
      </x:c>
      <x:c r="G50" s="118" t="n">
        <x:v>570</x:v>
      </x:c>
      <x:c r="H50" s="118" t="str">
        <x:v>Balanced</x:v>
      </x:c>
      <x:c r="I50" s="128" t="n">
        <x:f>IF(D50="Premium","",ROUND((Inputs!$B$70+(B50-Inputs!$B$68)*(Inputs!$B$71-Inputs!$B$70)/(Inputs!$B$69-Inputs!$B$68))*INDEX(Inputs!$C$87:$C$96,MATCH(E50,Inputs!$A$87:$A$96,1))*INDEX(Inputs!$B$100:$B$107,MATCH(H50,Inputs!$A$100:$A$107,0))*(1+INDEX(Inputs!$B$38:$B$44,MATCH(D50,Inputs!$A$38:$A$44,0))*INDEX(Inputs!$D$100:$D$107,MATCH(H50,Inputs!$A$100:$A$107,0))),1))</x:f>
        <x:v>37.2</x:v>
      </x:c>
      <x:c r="J50" s="128" t="n">
        <x:f>IF(D50="Premium","",ROUND((Inputs!$B$72+(B50-Inputs!$B$68)*(Inputs!$B$73-Inputs!$B$72)/(Inputs!$B$69-Inputs!$B$68))*INDEX(Inputs!$D$87:$D$96,MATCH(E50,Inputs!$A$87:$A$96,1))*INDEX(Inputs!$C$100:$C$107,MATCH(H50,Inputs!$A$100:$A$107,0))*(1+INDEX(Inputs!$B$38:$B$44,MATCH(D50,Inputs!$A$38:$A$44,0))*INDEX(Inputs!$E$100:$E$107,MATCH(H50,Inputs!$A$100:$A$107,0))),1))</x:f>
        <x:v>19.2</x:v>
      </x:c>
      <x:c r="K50" s="118" t="str">
        <x:v>Formula preview: target rates before activating live sheet.</x:v>
      </x:c>
    </x:row>
    <x:row r="51" ht="15" hidden="0" customHeight="1">
      <x:c r="A51" s="118" t="str">
        <x:v>Wave 5 - Legendary Tier (L61-70)</x:v>
      </x:c>
      <x:c r="B51" s="118" t="n">
        <x:v>65</x:v>
      </x:c>
      <x:c r="C51" s="118" t="str">
        <x:v>Crown Parrotfish</x:v>
      </x:c>
      <x:c r="D51" s="118" t="str">
        <x:v>Legendary</x:v>
      </x:c>
      <x:c r="E51" s="126" t="n">
        <x:v>24</x:v>
      </x:c>
      <x:c r="F51" s="118" t="str">
        <x:v>24 h (1 d)</x:v>
      </x:c>
      <x:c r="G51" s="118" t="n">
        <x:v>770</x:v>
      </x:c>
      <x:c r="H51" s="118" t="str">
        <x:v>Convenience</x:v>
      </x:c>
      <x:c r="I51" s="128" t="n">
        <x:f>IF(D51="Premium","",ROUND((Inputs!$B$70+(B51-Inputs!$B$68)*(Inputs!$B$71-Inputs!$B$70)/(Inputs!$B$69-Inputs!$B$68))*INDEX(Inputs!$C$87:$C$96,MATCH(E51,Inputs!$A$87:$A$96,1))*INDEX(Inputs!$B$100:$B$107,MATCH(H51,Inputs!$A$100:$A$107,0))*(1+INDEX(Inputs!$B$38:$B$44,MATCH(D51,Inputs!$A$38:$A$44,0))*INDEX(Inputs!$D$100:$D$107,MATCH(H51,Inputs!$A$100:$A$107,0))),1))</x:f>
        <x:v>29.5</x:v>
      </x:c>
      <x:c r="J51" s="128" t="n">
        <x:f>IF(D51="Premium","",ROUND((Inputs!$B$72+(B51-Inputs!$B$68)*(Inputs!$B$73-Inputs!$B$72)/(Inputs!$B$69-Inputs!$B$68))*INDEX(Inputs!$D$87:$D$96,MATCH(E51,Inputs!$A$87:$A$96,1))*INDEX(Inputs!$C$100:$C$107,MATCH(H51,Inputs!$A$100:$A$107,0))*(1+INDEX(Inputs!$B$38:$B$44,MATCH(D51,Inputs!$A$38:$A$44,0))*INDEX(Inputs!$E$100:$E$107,MATCH(H51,Inputs!$A$100:$A$107,0))),1))</x:f>
        <x:v>20.2</x:v>
      </x:c>
      <x:c r="K51" s="118" t="str">
        <x:v>Formula preview: target rates before activating live sheet.</x:v>
      </x:c>
    </x:row>
    <x:row r="52" ht="26.399999618530273" hidden="0" customHeight="1">
      <x:c r="A52" s="118" t="str">
        <x:v>Wave 5 - Legendary Tier (L61-70)</x:v>
      </x:c>
      <x:c r="B52" s="118" t="n">
        <x:v>66</x:v>
      </x:c>
      <x:c r="C52" s="118" t="str">
        <x:v>Lava Lionfish</x:v>
      </x:c>
      <x:c r="D52" s="118" t="str">
        <x:v>Legendary</x:v>
      </x:c>
      <x:c r="E52" s="126" t="n">
        <x:v>0.083</x:v>
      </x:c>
      <x:c r="F52" s="118" t="str">
        <x:v>5 min</x:v>
      </x:c>
      <x:c r="G52" s="118" t="n">
        <x:v>280</x:v>
      </x:c>
      <x:c r="H52" s="118" t="str">
        <x:v>Coin Specialist</x:v>
      </x:c>
      <x:c r="I52" s="128" t="n">
        <x:f>IF(D52="Premium","",ROUND((Inputs!$B$70+(B52-Inputs!$B$68)*(Inputs!$B$71-Inputs!$B$70)/(Inputs!$B$69-Inputs!$B$68))*INDEX(Inputs!$C$87:$C$96,MATCH(E52,Inputs!$A$87:$A$96,1))*INDEX(Inputs!$B$100:$B$107,MATCH(H52,Inputs!$A$100:$A$107,0))*(1+INDEX(Inputs!$B$38:$B$44,MATCH(D52,Inputs!$A$38:$A$44,0))*INDEX(Inputs!$D$100:$D$107,MATCH(H52,Inputs!$A$100:$A$107,0))),1))</x:f>
        <x:v>684.6</x:v>
      </x:c>
      <x:c r="J52" s="128" t="n">
        <x:f>IF(D52="Premium","",ROUND((Inputs!$B$72+(B52-Inputs!$B$68)*(Inputs!$B$73-Inputs!$B$72)/(Inputs!$B$69-Inputs!$B$68))*INDEX(Inputs!$D$87:$D$96,MATCH(E52,Inputs!$A$87:$A$96,1))*INDEX(Inputs!$C$100:$C$107,MATCH(H52,Inputs!$A$100:$A$107,0))*(1+INDEX(Inputs!$B$38:$B$44,MATCH(D52,Inputs!$A$38:$A$44,0))*INDEX(Inputs!$E$100:$E$107,MATCH(H52,Inputs!$A$100:$A$107,0))),1))</x:f>
        <x:v>132.4</x:v>
      </x:c>
      <x:c r="K52" s="118" t="str">
        <x:v>5-min legendary - ultimate grinder fish | Formula preview: target rates before activating live sheet.</x:v>
      </x:c>
    </x:row>
    <x:row r="53" ht="15" hidden="0" customHeight="1">
      <x:c r="A53" s="118" t="str">
        <x:v>Wave 5 - Legendary Tier (L61-70)</x:v>
      </x:c>
      <x:c r="B53" s="118" t="n">
        <x:v>67</x:v>
      </x:c>
      <x:c r="C53" s="118" t="str">
        <x:v>Abyssal Anglerfish</x:v>
      </x:c>
      <x:c r="D53" s="118" t="str">
        <x:v>Legendary</x:v>
      </x:c>
      <x:c r="E53" s="126" t="n">
        <x:v>6</x:v>
      </x:c>
      <x:c r="F53" s="118" t="str">
        <x:v>6 h</x:v>
      </x:c>
      <x:c r="G53" s="118" t="n">
        <x:v>440</x:v>
      </x:c>
      <x:c r="H53" s="118" t="str">
        <x:v>Balanced</x:v>
      </x:c>
      <x:c r="I53" s="128" t="n">
        <x:f>IF(D53="Premium","",ROUND((Inputs!$B$70+(B53-Inputs!$B$68)*(Inputs!$B$71-Inputs!$B$70)/(Inputs!$B$69-Inputs!$B$68))*INDEX(Inputs!$C$87:$C$96,MATCH(E53,Inputs!$A$87:$A$96,1))*INDEX(Inputs!$B$100:$B$107,MATCH(H53,Inputs!$A$100:$A$107,0))*(1+INDEX(Inputs!$B$38:$B$44,MATCH(D53,Inputs!$A$38:$A$44,0))*INDEX(Inputs!$D$100:$D$107,MATCH(H53,Inputs!$A$100:$A$107,0))),1))</x:f>
        <x:v>59.1</x:v>
      </x:c>
      <x:c r="J53" s="128" t="n">
        <x:f>IF(D53="Premium","",ROUND((Inputs!$B$72+(B53-Inputs!$B$68)*(Inputs!$B$73-Inputs!$B$72)/(Inputs!$B$69-Inputs!$B$68))*INDEX(Inputs!$D$87:$D$96,MATCH(E53,Inputs!$A$87:$A$96,1))*INDEX(Inputs!$C$100:$C$107,MATCH(H53,Inputs!$A$100:$A$107,0))*(1+INDEX(Inputs!$B$38:$B$44,MATCH(D53,Inputs!$A$38:$A$44,0))*INDEX(Inputs!$E$100:$E$107,MATCH(H53,Inputs!$A$100:$A$107,0))),1))</x:f>
        <x:v>22.8</x:v>
      </x:c>
      <x:c r="K53" s="118" t="str">
        <x:v>Formula preview: target rates before activating live sheet.</x:v>
      </x:c>
    </x:row>
    <x:row r="54" ht="26.399999618530273" hidden="0" customHeight="1">
      <x:c r="A54" s="118" t="str">
        <x:v>Wave 5 - Legendary Tier (L61-70)</x:v>
      </x:c>
      <x:c r="B54" s="118" t="n">
        <x:v>68</x:v>
      </x:c>
      <x:c r="C54" s="118" t="str">
        <x:v>Barreleye Fish</x:v>
      </x:c>
      <x:c r="D54" s="118" t="str">
        <x:v>Legendary</x:v>
      </x:c>
      <x:c r="E54" s="126" t="n">
        <x:v>16</x:v>
      </x:c>
      <x:c r="F54" s="118" t="str">
        <x:v>16 h</x:v>
      </x:c>
      <x:c r="G54" s="118" t="n">
        <x:v>680</x:v>
      </x:c>
      <x:c r="H54" s="118" t="str">
        <x:v>Collection</x:v>
      </x:c>
      <x:c r="I54" s="128" t="n">
        <x:f>IF(D54="Premium","",ROUND((Inputs!$B$70+(B54-Inputs!$B$68)*(Inputs!$B$71-Inputs!$B$70)/(Inputs!$B$69-Inputs!$B$68))*INDEX(Inputs!$C$87:$C$96,MATCH(E54,Inputs!$A$87:$A$96,1))*INDEX(Inputs!$B$100:$B$107,MATCH(H54,Inputs!$A$100:$A$107,0))*(1+INDEX(Inputs!$B$38:$B$44,MATCH(D54,Inputs!$A$38:$A$44,0))*INDEX(Inputs!$D$100:$D$107,MATCH(H54,Inputs!$A$100:$A$107,0))),1))</x:f>
        <x:v>34.1</x:v>
      </x:c>
      <x:c r="J54" s="128" t="n">
        <x:f>IF(D54="Premium","",ROUND((Inputs!$B$72+(B54-Inputs!$B$68)*(Inputs!$B$73-Inputs!$B$72)/(Inputs!$B$69-Inputs!$B$68))*INDEX(Inputs!$D$87:$D$96,MATCH(E54,Inputs!$A$87:$A$96,1))*INDEX(Inputs!$C$100:$C$107,MATCH(H54,Inputs!$A$100:$A$107,0))*(1+INDEX(Inputs!$B$38:$B$44,MATCH(D54,Inputs!$A$38:$A$44,0))*INDEX(Inputs!$E$100:$E$107,MATCH(H54,Inputs!$A$100:$A$107,0))),1))</x:f>
        <x:v>20.1</x:v>
      </x:c>
      <x:c r="K54" s="118" t="str">
        <x:v>Retired FishVille species | Formula preview: target rates before activating live sheet.</x:v>
      </x:c>
    </x:row>
    <x:row r="55" ht="26.399999618530273" hidden="0" customHeight="1">
      <x:c r="A55" s="118" t="str">
        <x:v>Wave 5 - Legendary Tier (L61-70)</x:v>
      </x:c>
      <x:c r="B55" s="118" t="n">
        <x:v>69</x:v>
      </x:c>
      <x:c r="C55" s="118" t="str">
        <x:v>Mythic Coelacanth</x:v>
      </x:c>
      <x:c r="D55" s="118" t="str">
        <x:v>Legendary</x:v>
      </x:c>
      <x:c r="E55" s="126" t="n">
        <x:v>36</x:v>
      </x:c>
      <x:c r="F55" s="118" t="str">
        <x:v>36 h (1.5 d)</x:v>
      </x:c>
      <x:c r="G55" s="118" t="n">
        <x:v>970</x:v>
      </x:c>
      <x:c r="H55" s="118" t="str">
        <x:v>Payout</x:v>
      </x:c>
      <x:c r="I55" s="128" t="n">
        <x:f>IF(D55="Premium","",ROUND((Inputs!$B$70+(B55-Inputs!$B$68)*(Inputs!$B$71-Inputs!$B$70)/(Inputs!$B$69-Inputs!$B$68))*INDEX(Inputs!$C$87:$C$96,MATCH(E55,Inputs!$A$87:$A$96,1))*INDEX(Inputs!$B$100:$B$107,MATCH(H55,Inputs!$A$100:$A$107,0))*(1+INDEX(Inputs!$B$38:$B$44,MATCH(D55,Inputs!$A$38:$A$44,0))*INDEX(Inputs!$D$100:$D$107,MATCH(H55,Inputs!$A$100:$A$107,0))),1))</x:f>
        <x:v>47.7</x:v>
      </x:c>
      <x:c r="J55" s="128" t="n">
        <x:f>IF(D55="Premium","",ROUND((Inputs!$B$72+(B55-Inputs!$B$68)*(Inputs!$B$73-Inputs!$B$72)/(Inputs!$B$69-Inputs!$B$68))*INDEX(Inputs!$D$87:$D$96,MATCH(E55,Inputs!$A$87:$A$96,1))*INDEX(Inputs!$C$100:$C$107,MATCH(H55,Inputs!$A$100:$A$107,0))*(1+INDEX(Inputs!$B$38:$B$44,MATCH(D55,Inputs!$A$38:$A$44,0))*INDEX(Inputs!$E$100:$E$107,MATCH(H55,Inputs!$A$100:$A$107,0))),1))</x:f>
        <x:v>16.2</x:v>
      </x:c>
      <x:c r="K55" s="118" t="str">
        <x:v>Slowest-maturing fish known | Formula preview: target rates before activating live sheet.</x:v>
      </x:c>
    </x:row>
    <x:row r="56" ht="26.399999618530273" hidden="0" customHeight="1">
      <x:c r="A56" s="118" t="str">
        <x:v>Wave 5 - Legendary Tier (L61-70)</x:v>
      </x:c>
      <x:c r="B56" s="118" t="n">
        <x:v>70</x:v>
      </x:c>
      <x:c r="C56" s="118" t="str">
        <x:v>Poseidon Ray</x:v>
      </x:c>
      <x:c r="D56" s="118" t="str">
        <x:v>Legendary</x:v>
      </x:c>
      <x:c r="E56" s="126" t="n">
        <x:v>48</x:v>
      </x:c>
      <x:c r="F56" s="118" t="str">
        <x:v>48 h (2 d)</x:v>
      </x:c>
      <x:c r="G56" s="118" t="n">
        <x:v>1100</x:v>
      </x:c>
      <x:c r="H56" s="118" t="str">
        <x:v>Payout</x:v>
      </x:c>
      <x:c r="I56" s="128" t="n">
        <x:f>IF(D56="Premium","",ROUND((Inputs!$B$70+(B56-Inputs!$B$68)*(Inputs!$B$71-Inputs!$B$70)/(Inputs!$B$69-Inputs!$B$68))*INDEX(Inputs!$C$87:$C$96,MATCH(E56,Inputs!$A$87:$A$96,1))*INDEX(Inputs!$B$100:$B$107,MATCH(H56,Inputs!$A$100:$A$107,0))*(1+INDEX(Inputs!$B$38:$B$44,MATCH(D56,Inputs!$A$38:$A$44,0))*INDEX(Inputs!$D$100:$D$107,MATCH(H56,Inputs!$A$100:$A$107,0))),1))</x:f>
        <x:v>51.6</x:v>
      </x:c>
      <x:c r="J56" s="128" t="n">
        <x:f>IF(D56="Premium","",ROUND((Inputs!$B$72+(B56-Inputs!$B$68)*(Inputs!$B$73-Inputs!$B$72)/(Inputs!$B$69-Inputs!$B$68))*INDEX(Inputs!$D$87:$D$96,MATCH(E56,Inputs!$A$87:$A$96,1))*INDEX(Inputs!$C$100:$C$107,MATCH(H56,Inputs!$A$100:$A$107,0))*(1+INDEX(Inputs!$B$38:$B$44,MATCH(D56,Inputs!$A$38:$A$44,0))*INDEX(Inputs!$E$100:$E$107,MATCH(H56,Inputs!$A$100:$A$107,0))),1))</x:f>
        <x:v>14.8</x:v>
      </x:c>
      <x:c r="K56" s="118" t="str">
        <x:v>Level-cap capstone | Formula preview: target rates before activating live sheet.</x:v>
      </x:c>
    </x:row>
    <x:row r="57" ht="15" hidden="0" customHeight="1">
      <x:c r="A57" s="118"/>
      <x:c r="B57" s="118"/>
      <x:c r="C57" s="118"/>
      <x:c r="D57" s="118"/>
      <x:c r="E57" s="118"/>
      <x:c r="F57" s="118"/>
      <x:c r="G57" s="118"/>
      <x:c r="H57" s="118"/>
      <x:c r="I57" s="118"/>
      <x:c r="J57" s="118"/>
      <x:c r="K57" s="118"/>
    </x:row>
    <x:row r="58" ht="24" hidden="0" customHeight="1">
      <x:c r="A58" s="133" t="str">
        <x:v>Move a roadmap fish into Coin Fish or Premium Fish to activate full stage sell formulas. Target columns preview post-launch balance before production.</x:v>
      </x:c>
      <x:c r="B58" s="133"/>
      <x:c r="C58" s="133"/>
      <x:c r="D58" s="133"/>
      <x:c r="E58" s="133"/>
      <x:c r="F58" s="133"/>
      <x:c r="G58" s="133"/>
      <x:c r="H58" s="133"/>
      <x:c r="I58" s="133"/>
      <x:c r="J58" s="133"/>
      <x:c r="K58" s="133"/>
    </x:row>
  </x:sheetData>
  <x:mergeCells>
    <x:mergeCell ref="A1:K1"/>
    <x:mergeCell ref="A58:K58"/>
  </x:mergeCells>
  <x:pageMargins left="0.7" right="0.7" top="0.75" bottom="0.75" header="0.3" footer="0.3"/>
</x:worksheet>
</file>

<file path=xl/worksheets/sheet14.xml><?xml version="1.0" encoding="utf-8"?>
<x:worksheet xmlns:x="http://schemas.openxmlformats.org/spreadsheetml/2006/main">
  <x:sheetViews>
    <x:sheetView showGridLines="1" workbookViewId="0"/>
  </x:sheetViews>
  <x:sheetFormatPr defaultColWidth="8.6796875" defaultRowHeight="15"/>
  <x:cols>
    <x:col min="1" max="1" width="6" hidden="0" customWidth="1"/>
    <x:col min="2" max="2" width="30" hidden="0" customWidth="1"/>
    <x:col min="3" max="4" width="52" hidden="0" customWidth="1"/>
  </x:cols>
  <x:sheetData>
    <x:row r="1" ht="17.350000381469727" hidden="0">
      <x:c r="A1" s="4" t="s">
        <x:v>174</x:v>
      </x:c>
    </x:row>
    <x:row r="3" ht="30" hidden="0" customHeight="1">
      <x:c r="A3" s="22" t="s">
        <x:v>175</x:v>
      </x:c>
      <x:c r="B3" s="22" t="s">
        <x:v>176</x:v>
      </x:c>
      <x:c r="C3" s="22" t="s">
        <x:v>177</x:v>
      </x:c>
      <x:c r="D3" s="22" t="s">
        <x:v>178</x:v>
      </x:c>
    </x:row>
    <x:row r="4" ht="23.850000381469727" hidden="0">
      <x:c r="A4" s="13" t="s">
        <x:v>179</x:v>
      </x:c>
      <x:c r="B4" s="13" t="s">
        <x:v>180</x:v>
      </x:c>
      <x:c r="C4" s="13" t="s">
        <x:v>181</x:v>
      </x:c>
      <x:c r="D4" s="26" t="s">
        <x:v>182</x:v>
      </x:c>
    </x:row>
    <x:row r="5" ht="15" hidden="0">
      <x:c r="A5" s="13" t="s">
        <x:v>183</x:v>
      </x:c>
      <x:c r="B5" s="13" t="s">
        <x:v>184</x:v>
      </x:c>
      <x:c r="C5" s="13" t="s">
        <x:v>185</x:v>
      </x:c>
      <x:c r="D5" s="26" t="s">
        <x:v>186</x:v>
      </x:c>
    </x:row>
    <x:row r="6" ht="15" hidden="0">
      <x:c r="A6" s="13" t="s">
        <x:v>187</x:v>
      </x:c>
      <x:c r="B6" s="13" t="s">
        <x:v>188</x:v>
      </x:c>
      <x:c r="C6" s="13" t="s">
        <x:v>189</x:v>
      </x:c>
      <x:c r="D6" s="26" t="s">
        <x:v>190</x:v>
      </x:c>
    </x:row>
    <x:row r="7" ht="15" hidden="0">
      <x:c r="A7" s="13" t="s">
        <x:v>191</x:v>
      </x:c>
      <x:c r="B7" s="13" t="s">
        <x:v>192</x:v>
      </x:c>
      <x:c r="C7" s="13" t="s">
        <x:v>193</x:v>
      </x:c>
      <x:c r="D7" s="26" t="s">
        <x:v>194</x:v>
      </x:c>
    </x:row>
    <x:row r="8" ht="15" hidden="0">
      <x:c r="A8" s="13" t="s">
        <x:v>195</x:v>
      </x:c>
      <x:c r="B8" s="13" t="s">
        <x:v>196</x:v>
      </x:c>
      <x:c r="C8" s="13" t="s">
        <x:v>197</x:v>
      </x:c>
      <x:c r="D8" s="26" t="s">
        <x:v>198</x:v>
      </x:c>
    </x:row>
    <x:row r="9" ht="15" hidden="0">
      <x:c r="A9" s="13" t="s">
        <x:v>199</x:v>
      </x:c>
      <x:c r="B9" s="13" t="s">
        <x:v>200</x:v>
      </x:c>
      <x:c r="C9" s="13" t="s">
        <x:v>201</x:v>
      </x:c>
      <x:c r="D9" s="26" t="s">
        <x:v>202</x:v>
      </x:c>
    </x:row>
    <x:row r="10" ht="15" hidden="0">
      <x:c r="A10" s="13" t="s">
        <x:v>203</x:v>
      </x:c>
      <x:c r="B10" s="13" t="s">
        <x:v>204</x:v>
      </x:c>
      <x:c r="C10" s="13" t="s">
        <x:v>205</x:v>
      </x:c>
      <x:c r="D10" s="26" t="s">
        <x:v>206</x:v>
      </x:c>
    </x:row>
    <x:row r="11" ht="15" hidden="0">
      <x:c r="A11" s="13" t="s">
        <x:v>207</x:v>
      </x:c>
      <x:c r="B11" s="13" t="s">
        <x:v>208</x:v>
      </x:c>
      <x:c r="C11" s="13" t="s">
        <x:v>209</x:v>
      </x:c>
      <x:c r="D11" s="26" t="s">
        <x:v>210</x:v>
      </x:c>
    </x:row>
    <x:row r="12" ht="15" hidden="0">
      <x:c r="A12" s="13" t="s">
        <x:v>211</x:v>
      </x:c>
      <x:c r="B12" s="13" t="s">
        <x:v>212</x:v>
      </x:c>
      <x:c r="C12" s="13" t="s">
        <x:v>213</x:v>
      </x:c>
      <x:c r="D12" s="26" t="s">
        <x:v>214</x:v>
      </x:c>
    </x:row>
    <x:row r="13" ht="15" hidden="0">
      <x:c r="A13" s="13" t="s">
        <x:v>215</x:v>
      </x:c>
      <x:c r="B13" s="13" t="s">
        <x:v>216</x:v>
      </x:c>
      <x:c r="C13" s="13" t="s">
        <x:v>217</x:v>
      </x:c>
      <x:c r="D13" s="26" t="s">
        <x:v>218</x:v>
      </x:c>
    </x:row>
    <x:row r="14" ht="15" hidden="0">
      <x:c r="A14" s="13" t="s">
        <x:v>219</x:v>
      </x:c>
      <x:c r="B14" s="13" t="s">
        <x:v>220</x:v>
      </x:c>
      <x:c r="C14" s="13" t="s">
        <x:v>221</x:v>
      </x:c>
      <x:c r="D14" s="26" t="s">
        <x:v>222</x:v>
      </x:c>
    </x:row>
    <x:row r="15" ht="15" hidden="0">
      <x:c r="A15" s="13" t="s">
        <x:v>223</x:v>
      </x:c>
      <x:c r="B15" s="13" t="s">
        <x:v>224</x:v>
      </x:c>
      <x:c r="C15" s="13" t="s">
        <x:v>225</x:v>
      </x:c>
      <x:c r="D15" s="26" t="s">
        <x:v>226</x:v>
      </x:c>
    </x:row>
    <x:row r="16" ht="15" hidden="0">
      <x:c r="A16" s="13" t="s">
        <x:v>227</x:v>
      </x:c>
      <x:c r="B16" s="13" t="s">
        <x:v>228</x:v>
      </x:c>
      <x:c r="C16" s="13" t="s">
        <x:v>229</x:v>
      </x:c>
      <x:c r="D16" s="26" t="s">
        <x:v>230</x:v>
      </x:c>
    </x:row>
    <x:row r="17" ht="23.850000381469727" hidden="0">
      <x:c r="A17" s="13" t="s">
        <x:v>231</x:v>
      </x:c>
      <x:c r="B17" s="13" t="s">
        <x:v>232</x:v>
      </x:c>
      <x:c r="C17" s="13" t="s">
        <x:v>233</x:v>
      </x:c>
      <x:c r="D17" s="26" t="s">
        <x:v>234</x:v>
      </x:c>
    </x:row>
    <x:row r="18" ht="15" hidden="0">
      <x:c r="A18" s="13" t="s">
        <x:v>235</x:v>
      </x:c>
      <x:c r="B18" s="13" t="s">
        <x:v>236</x:v>
      </x:c>
      <x:c r="C18" s="13" t="s">
        <x:v>237</x:v>
      </x:c>
      <x:c r="D18" s="26" t="s">
        <x:v>238</x:v>
      </x:c>
    </x:row>
    <x:row r="19" ht="23.850000381469727" hidden="0">
      <x:c r="A19" s="13" t="s">
        <x:v>239</x:v>
      </x:c>
      <x:c r="B19" s="13" t="s">
        <x:v>240</x:v>
      </x:c>
      <x:c r="C19" s="13" t="s">
        <x:v>241</x:v>
      </x:c>
      <x:c r="D19" s="26" t="s">
        <x:v>242</x:v>
      </x:c>
    </x:row>
    <x:row r="20" ht="15" hidden="0">
      <x:c r="A20" s="13" t="s">
        <x:v>243</x:v>
      </x:c>
      <x:c r="B20" s="13" t="s">
        <x:v>244</x:v>
      </x:c>
      <x:c r="C20" s="13" t="s">
        <x:v>245</x:v>
      </x:c>
      <x:c r="D20" s="26" t="s">
        <x:v>246</x:v>
      </x:c>
    </x:row>
    <x:row r="22" ht="90" customHeight="1">
      <x:c r="A22" s="118" t="str">
        <x:v>S18</x:v>
      </x:c>
      <x:c r="B22" s="118" t="str">
        <x:v>User-supplied aquarium workbook and catalog brief</x:v>
      </x:c>
      <x:c r="C22" s="118"/>
      <x:c r="D22" s="118" t="str">
        <x:v>Source of Coins/Pearls, existing fish economy, L40 launch cap, L70 roadmap, permanent-cosmetic requirement and required catalog fields. No external verification performed.</x:v>
      </x:c>
    </x:row>
    <x:row r="23" ht="90" customHeight="1">
      <x:c r="A23" s="118" t="str">
        <x:v>S19</x:v>
      </x:c>
      <x:c r="B23" s="118" t="str">
        <x:v>Original proposed plant/decor design catalog</x:v>
      </x:c>
      <x:c r="C23" s="118"/>
      <x:c r="D23" s="118" t="str">
        <x:v>120 item concepts, suggested prices, size-score rules, art briefs and motion specifications are authored design proposals, not real-world facts or market quotations.</x:v>
      </x:c>
    </x:row>
    <x:row r="24" ht="90" customHeight="1">
      <x:c r="A24" s="118" t="str">
        <x:v>S20</x:v>
      </x:c>
      <x:c r="B24" s="118" t="str">
        <x:v>Existing Limited Edition fish sheet</x:v>
      </x:c>
      <x:c r="C24" s="118"/>
      <x:c r="D24" s="118" t="str">
        <x:v>Reference annual event windows; new decor-only events are proposals. Lunar New Year and anniversary require yearly scheduling; source fish windows and gifts remain unchanged.</x:v>
      </x:c>
    </x:row>
  </x:sheetData>
  <x:pageMargins left="0.7" right="0.7" top="0.75" bottom="0.75" header="0.3" footer="0.3"/>
</x:worksheet>
</file>

<file path=xl/worksheets/sheet15.xml><?xml version="1.0" encoding="utf-8"?>
<x:worksheet xmlns:x="http://schemas.openxmlformats.org/spreadsheetml/2006/main">
  <x:sheetFormatPr defaultRowHeight="15"/>
  <x:cols>
    <x:col min="1" max="1" width="8" hidden="0" customWidth="1"/>
    <x:col min="2" max="2" width="42" hidden="0" customWidth="1"/>
    <x:col min="3" max="3" width="12" hidden="0" customWidth="1"/>
    <x:col min="4" max="4" width="14" hidden="0" customWidth="1"/>
    <x:col min="5" max="5" width="16" hidden="0" customWidth="1"/>
    <x:col min="6" max="6" width="16" hidden="0" customWidth="1"/>
    <x:col min="7" max="7" width="15" hidden="0" customWidth="1"/>
    <x:col min="8" max="8" width="15" hidden="0" customWidth="1"/>
    <x:col min="9" max="9" width="15" hidden="0" customWidth="1"/>
    <x:col min="10" max="10" width="16" hidden="0" customWidth="1"/>
    <x:col min="11" max="11" width="17" hidden="0" customWidth="1"/>
    <x:col min="12" max="12" width="14" hidden="0" customWidth="1"/>
  </x:cols>
  <x:sheetData>
    <x:row r="1" ht="22.5" hidden="0" customHeight="1">
      <x:c r="A1" s="132" t="str">
        <x:v>ECONOMY SIMULATION — core-player approximation used for pacing and sink checks</x:v>
      </x:c>
      <x:c r="B1" s="132"/>
      <x:c r="C1" s="132"/>
      <x:c r="D1" s="132"/>
      <x:c r="E1" s="132"/>
      <x:c r="F1" s="132"/>
      <x:c r="G1" s="132"/>
      <x:c r="H1" s="132"/>
      <x:c r="I1" s="132"/>
      <x:c r="J1" s="132"/>
      <x:c r="K1" s="132"/>
      <x:c r="L1" s="132"/>
    </x:row>
    <x:row r="2" ht="15" hidden="0" customHeight="1">
      <x:c r="A2" s="118"/>
      <x:c r="B2" s="118"/>
      <x:c r="C2" s="118"/>
      <x:c r="D2" s="118"/>
      <x:c r="E2" s="118"/>
      <x:c r="F2" s="118"/>
      <x:c r="G2" s="118"/>
      <x:c r="H2" s="118"/>
      <x:c r="I2" s="118"/>
      <x:c r="J2" s="118"/>
      <x:c r="K2" s="118"/>
      <x:c r="L2" s="118"/>
    </x:row>
    <x:row r="3" ht="26.399999618530273" hidden="0" customHeight="1">
      <x:c r="A3" s="88" t="str">
        <x:v>Level</x:v>
      </x:c>
      <x:c r="B3" s="88" t="str">
        <x:v>Unlock Milestone</x:v>
      </x:c>
      <x:c r="C3" s="88" t="str">
        <x:v>Tanks Unlocked</x:v>
      </x:c>
      <x:c r="D3" s="88" t="str">
        <x:v>Core Slots Assumed</x:v>
      </x:c>
      <x:c r="E3" s="88" t="str">
        <x:v>Active Coins/hr Frontier</x:v>
      </x:c>
      <x:c r="F3" s="88" t="str">
        <x:v>Active XP/hr Frontier</x:v>
      </x:c>
      <x:c r="G3" s="88" t="str">
        <x:v>Core Daily Coins</x:v>
      </x:c>
      <x:c r="H3" s="88" t="str">
        <x:v>Core Daily XP</x:v>
      </x:c>
      <x:c r="I3" s="88" t="str">
        <x:v>XP to Next Level</x:v>
      </x:c>
      <x:c r="J3" s="88" t="str">
        <x:v>Est. Core Days to Next</x:v>
      </x:c>
      <x:c r="K3" s="88" t="str">
        <x:v>Cumulative Days to Level</x:v>
      </x:c>
      <x:c r="L3" s="88" t="str">
        <x:v>Pacing Flag</x:v>
      </x:c>
    </x:row>
    <x:row r="4" ht="15" hidden="0" customHeight="1">
      <x:c r="A4" s="118" t="n">
        <x:v>1</x:v>
      </x:c>
      <x:c r="B4" s="118" t="str">
        <x:f>IFERROR(INDEX('XP Curve'!$H$4:$H$73,MATCH(A4,'XP Curve'!$A$4:$A$73,0)),"")</x:f>
        <x:v>Neon Tetra (C); Guppy (C); Platy (C); Molly (C)</x:v>
      </x:c>
      <x:c r="C4" s="118" t="n">
        <x:f>COUNTIF('Tanks &amp; Social'!$B$4:$B$11,"&lt;="&amp;A4)</x:f>
        <x:v>1</x:v>
      </x:c>
      <x:c r="D4" s="118" t="n">
        <x:f>C4*Inputs!$B$8+MAX(0,C4-1)*8+IF(A4&gt;=40,10,IF(A4&gt;=25,5,0))</x:f>
        <x:v>10</x:v>
      </x:c>
      <x:c r="E4" s="121" t="n">
        <x:f>ROUND(Inputs!$B$70+(A4-Inputs!$B$68)*(Inputs!$B$71-Inputs!$B$70)/(Inputs!$B$69-Inputs!$B$68),1)</x:f>
        <x:v>190</x:v>
      </x:c>
      <x:c r="F4" s="121" t="n">
        <x:f>ROUND(Inputs!$B$72+(A4-Inputs!$B$68)*(Inputs!$B$73-Inputs!$B$72)/(Inputs!$B$69-Inputs!$B$68),1)</x:f>
        <x:v>60</x:v>
      </x:c>
      <x:c r="G4" s="127" t="n">
        <x:f>ROUND(E4*D4*24*Inputs!$B$81,0)</x:f>
        <x:v>3648</x:v>
      </x:c>
      <x:c r="H4" s="127" t="n">
        <x:f>ROUND(F4*D4*24*Inputs!$B$82,0)</x:f>
        <x:v>1152</x:v>
      </x:c>
      <x:c r="I4" s="127" t="n">
        <x:f>IF(A4&lt;70,INDEX('XP Curve'!$F$4:$F$73,MATCH(A4+1,'XP Curve'!$A$4:$A$73,0)),0)</x:f>
        <x:v>80</x:v>
      </x:c>
      <x:c r="J4" s="128" t="n">
        <x:f>IF(I4=0,0,ROUND(I4/MAX(1,H4),2))</x:f>
        <x:v>0.07</x:v>
      </x:c>
      <x:c r="K4" s="128" t="n">
        <x:f>0</x:f>
        <x:v>0</x:v>
      </x:c>
      <x:c r="L4" s="118" t="str">
        <x:f>IF(I4=0,"Cap",IF(J4&lt;0.5,"Too fast",IF(J4&gt;14,"Slow","OK")))</x:f>
        <x:v>Too fast</x:v>
      </x:c>
    </x:row>
    <x:row r="5" ht="26.399999618530273" hidden="0" customHeight="1">
      <x:c r="A5" s="118" t="n">
        <x:v>2</x:v>
      </x:c>
      <x:c r="B5" s="118" t="str">
        <x:f>IFERROR(INDEX('XP Curve'!$H$4:$H$73,MATCH(A5,'XP Curve'!$A$4:$A$73,0)),"")</x:f>
        <x:v>Zebra Danio (C); 1 Pearl tutorial grant; Bubble Eye Goldfish [one-time tutorial]</x:v>
      </x:c>
      <x:c r="C5" s="118" t="n">
        <x:f>COUNTIF('Tanks &amp; Social'!$B$4:$B$11,"&lt;="&amp;A5)</x:f>
        <x:v>1</x:v>
      </x:c>
      <x:c r="D5" s="118" t="n">
        <x:f>C5*Inputs!$B$8+MAX(0,C5-1)*8+IF(A5&gt;=40,10,IF(A5&gt;=25,5,0))</x:f>
        <x:v>10</x:v>
      </x:c>
      <x:c r="E5" s="121" t="n">
        <x:f>ROUND(Inputs!$B$70+(A5-Inputs!$B$68)*(Inputs!$B$71-Inputs!$B$70)/(Inputs!$B$69-Inputs!$B$68),1)</x:f>
        <x:v>195.7</x:v>
      </x:c>
      <x:c r="F5" s="121" t="n">
        <x:f>ROUND(Inputs!$B$72+(A5-Inputs!$B$68)*(Inputs!$B$73-Inputs!$B$72)/(Inputs!$B$69-Inputs!$B$68),1)</x:f>
        <x:v>61.3</x:v>
      </x:c>
      <x:c r="G5" s="127" t="n">
        <x:f>ROUND(E5*D5*24*Inputs!$B$81,0)</x:f>
        <x:v>3757</x:v>
      </x:c>
      <x:c r="H5" s="127" t="n">
        <x:f>ROUND(F5*D5*24*Inputs!$B$82,0)</x:f>
        <x:v>1177</x:v>
      </x:c>
      <x:c r="I5" s="127" t="n">
        <x:f>IF(A5&lt;70,INDEX('XP Curve'!$F$4:$F$73,MATCH(A5+1,'XP Curve'!$A$4:$A$73,0)),0)</x:f>
        <x:v>190</x:v>
      </x:c>
      <x:c r="J5" s="128" t="n">
        <x:f>IF(I5=0,0,ROUND(I5/MAX(1,H5),2))</x:f>
        <x:v>0.16</x:v>
      </x:c>
      <x:c r="K5" s="128" t="n">
        <x:f>K4+J4</x:f>
        <x:v>0.07</x:v>
      </x:c>
      <x:c r="L5" s="118" t="str">
        <x:f>IF(I5=0,"Cap",IF(J5&lt;0.5,"Too fast",IF(J5&gt;14,"Slow","OK")))</x:f>
        <x:v>Too fast</x:v>
      </x:c>
    </x:row>
    <x:row r="6" ht="15" hidden="0" customHeight="1">
      <x:c r="A6" s="118" t="n">
        <x:v>3</x:v>
      </x:c>
      <x:c r="B6" s="118" t="str">
        <x:f>IFERROR(INDEX('XP Curve'!$H$4:$H$73,MATCH(A6,'XP Curve'!$A$4:$A$73,0)),"")</x:f>
      </x:c>
      <x:c r="C6" s="118" t="n">
        <x:f>COUNTIF('Tanks &amp; Social'!$B$4:$B$11,"&lt;="&amp;A6)</x:f>
        <x:v>1</x:v>
      </x:c>
      <x:c r="D6" s="118" t="n">
        <x:f>C6*Inputs!$B$8+MAX(0,C6-1)*8+IF(A6&gt;=40,10,IF(A6&gt;=25,5,0))</x:f>
        <x:v>10</x:v>
      </x:c>
      <x:c r="E6" s="121" t="n">
        <x:f>ROUND(Inputs!$B$70+(A6-Inputs!$B$68)*(Inputs!$B$71-Inputs!$B$70)/(Inputs!$B$69-Inputs!$B$68),1)</x:f>
        <x:v>201.4</x:v>
      </x:c>
      <x:c r="F6" s="121" t="n">
        <x:f>ROUND(Inputs!$B$72+(A6-Inputs!$B$68)*(Inputs!$B$73-Inputs!$B$72)/(Inputs!$B$69-Inputs!$B$68),1)</x:f>
        <x:v>62.6</x:v>
      </x:c>
      <x:c r="G6" s="127" t="n">
        <x:f>ROUND(E6*D6*24*Inputs!$B$81,0)</x:f>
        <x:v>3867</x:v>
      </x:c>
      <x:c r="H6" s="127" t="n">
        <x:f>ROUND(F6*D6*24*Inputs!$B$82,0)</x:f>
        <x:v>1202</x:v>
      </x:c>
      <x:c r="I6" s="127" t="n">
        <x:f>IF(A6&lt;70,INDEX('XP Curve'!$F$4:$F$73,MATCH(A6+1,'XP Curve'!$A$4:$A$73,0)),0)</x:f>
        <x:v>320</x:v>
      </x:c>
      <x:c r="J6" s="128" t="n">
        <x:f>IF(I6=0,0,ROUND(I6/MAX(1,H6),2))</x:f>
        <x:v>0.27</x:v>
      </x:c>
      <x:c r="K6" s="128" t="n">
        <x:f>K5+J5</x:f>
        <x:v>0.23</x:v>
      </x:c>
      <x:c r="L6" s="118" t="str">
        <x:f>IF(I6=0,"Cap",IF(J6&lt;0.5,"Too fast",IF(J6&gt;14,"Slow","OK")))</x:f>
        <x:v>Too fast</x:v>
      </x:c>
    </x:row>
    <x:row r="7" ht="15" hidden="0" customHeight="1">
      <x:c r="A7" s="118" t="n">
        <x:v>4</x:v>
      </x:c>
      <x:c r="B7" s="118" t="str">
        <x:f>IFERROR(INDEX('XP Curve'!$H$4:$H$73,MATCH(A7,'XP Curve'!$A$4:$A$73,0)),"")</x:f>
        <x:v>Ember Tetra (C); Medium Tank 1</x:v>
      </x:c>
      <x:c r="C7" s="118" t="n">
        <x:f>COUNTIF('Tanks &amp; Social'!$B$4:$B$11,"&lt;="&amp;A7)</x:f>
        <x:v>1</x:v>
      </x:c>
      <x:c r="D7" s="118" t="n">
        <x:f>C7*Inputs!$B$8+MAX(0,C7-1)*8+IF(A7&gt;=40,10,IF(A7&gt;=25,5,0))</x:f>
        <x:v>10</x:v>
      </x:c>
      <x:c r="E7" s="121" t="n">
        <x:f>ROUND(Inputs!$B$70+(A7-Inputs!$B$68)*(Inputs!$B$71-Inputs!$B$70)/(Inputs!$B$69-Inputs!$B$68),1)</x:f>
        <x:v>207.2</x:v>
      </x:c>
      <x:c r="F7" s="121" t="n">
        <x:f>ROUND(Inputs!$B$72+(A7-Inputs!$B$68)*(Inputs!$B$73-Inputs!$B$72)/(Inputs!$B$69-Inputs!$B$68),1)</x:f>
        <x:v>63.9</x:v>
      </x:c>
      <x:c r="G7" s="127" t="n">
        <x:f>ROUND(E7*D7*24*Inputs!$B$81,0)</x:f>
        <x:v>3978</x:v>
      </x:c>
      <x:c r="H7" s="127" t="n">
        <x:f>ROUND(F7*D7*24*Inputs!$B$82,0)</x:f>
        <x:v>1227</x:v>
      </x:c>
      <x:c r="I7" s="127" t="n">
        <x:f>IF(A7&lt;70,INDEX('XP Curve'!$F$4:$F$73,MATCH(A7+1,'XP Curve'!$A$4:$A$73,0)),0)</x:f>
        <x:v>510</x:v>
      </x:c>
      <x:c r="J7" s="128" t="n">
        <x:f>IF(I7=0,0,ROUND(I7/MAX(1,H7),2))</x:f>
        <x:v>0.42</x:v>
      </x:c>
      <x:c r="K7" s="128" t="n">
        <x:f>K6+J6</x:f>
        <x:v>0.5</x:v>
      </x:c>
      <x:c r="L7" s="118" t="str">
        <x:f>IF(I7=0,"Cap",IF(J7&lt;0.5,"Too fast",IF(J7&gt;14,"Slow","OK")))</x:f>
        <x:v>Too fast</x:v>
      </x:c>
    </x:row>
    <x:row r="8" ht="15" hidden="0" customHeight="1">
      <x:c r="A8" s="118" t="n">
        <x:v>5</x:v>
      </x:c>
      <x:c r="B8" s="118" t="str">
        <x:f>IFERROR(INDEX('XP Curve'!$H$4:$H$73,MATCH(A8,'XP Curve'!$A$4:$A$73,0)),"")</x:f>
        <x:v>Koi [Pearls]</x:v>
      </x:c>
      <x:c r="C8" s="118" t="n">
        <x:f>COUNTIF('Tanks &amp; Social'!$B$4:$B$11,"&lt;="&amp;A8)</x:f>
        <x:v>1</x:v>
      </x:c>
      <x:c r="D8" s="118" t="n">
        <x:f>C8*Inputs!$B$8+MAX(0,C8-1)*8+IF(A8&gt;=40,10,IF(A8&gt;=25,5,0))</x:f>
        <x:v>10</x:v>
      </x:c>
      <x:c r="E8" s="121" t="n">
        <x:f>ROUND(Inputs!$B$70+(A8-Inputs!$B$68)*(Inputs!$B$71-Inputs!$B$70)/(Inputs!$B$69-Inputs!$B$68),1)</x:f>
        <x:v>212.9</x:v>
      </x:c>
      <x:c r="F8" s="121" t="n">
        <x:f>ROUND(Inputs!$B$72+(A8-Inputs!$B$68)*(Inputs!$B$73-Inputs!$B$72)/(Inputs!$B$69-Inputs!$B$68),1)</x:f>
        <x:v>65.2</x:v>
      </x:c>
      <x:c r="G8" s="127" t="n">
        <x:f>ROUND(E8*D8*24*Inputs!$B$81,0)</x:f>
        <x:v>4088</x:v>
      </x:c>
      <x:c r="H8" s="127" t="n">
        <x:f>ROUND(F8*D8*24*Inputs!$B$82,0)</x:f>
        <x:v>1252</x:v>
      </x:c>
      <x:c r="I8" s="127" t="n">
        <x:f>IF(A8&lt;70,INDEX('XP Curve'!$F$4:$F$73,MATCH(A8+1,'XP Curve'!$A$4:$A$73,0)),0)</x:f>
        <x:v>690</x:v>
      </x:c>
      <x:c r="J8" s="128" t="n">
        <x:f>IF(I8=0,0,ROUND(I8/MAX(1,H8),2))</x:f>
        <x:v>0.55</x:v>
      </x:c>
      <x:c r="K8" s="128" t="n">
        <x:f>K7+J7</x:f>
        <x:v>0.9199999999999999</x:v>
      </x:c>
      <x:c r="L8" s="118" t="str">
        <x:f>IF(I8=0,"Cap",IF(J8&lt;0.5,"Too fast",IF(J8&gt;14,"Slow","OK")))</x:f>
        <x:v>OK</x:v>
      </x:c>
    </x:row>
    <x:row r="9" ht="15" hidden="0" customHeight="1">
      <x:c r="A9" s="118" t="n">
        <x:v>6</x:v>
      </x:c>
      <x:c r="B9" s="118" t="str">
        <x:f>IFERROR(INDEX('XP Curve'!$H$4:$H$73,MATCH(A9,'XP Curve'!$A$4:$A$73,0)),"")</x:f>
        <x:v>Harlequin Rasbora (C)</x:v>
      </x:c>
      <x:c r="C9" s="118" t="n">
        <x:f>COUNTIF('Tanks &amp; Social'!$B$4:$B$11,"&lt;="&amp;A9)</x:f>
        <x:v>1</x:v>
      </x:c>
      <x:c r="D9" s="118" t="n">
        <x:f>C9*Inputs!$B$8+MAX(0,C9-1)*8+IF(A9&gt;=40,10,IF(A9&gt;=25,5,0))</x:f>
        <x:v>10</x:v>
      </x:c>
      <x:c r="E9" s="121" t="n">
        <x:f>ROUND(Inputs!$B$70+(A9-Inputs!$B$68)*(Inputs!$B$71-Inputs!$B$70)/(Inputs!$B$69-Inputs!$B$68),1)</x:f>
        <x:v>218.6</x:v>
      </x:c>
      <x:c r="F9" s="121" t="n">
        <x:f>ROUND(Inputs!$B$72+(A9-Inputs!$B$68)*(Inputs!$B$73-Inputs!$B$72)/(Inputs!$B$69-Inputs!$B$68),1)</x:f>
        <x:v>66.5</x:v>
      </x:c>
      <x:c r="G9" s="127" t="n">
        <x:f>ROUND(E9*D9*24*Inputs!$B$81,0)</x:f>
        <x:v>4197</x:v>
      </x:c>
      <x:c r="H9" s="127" t="n">
        <x:f>ROUND(F9*D9*24*Inputs!$B$82,0)</x:f>
        <x:v>1277</x:v>
      </x:c>
      <x:c r="I9" s="127" t="n">
        <x:f>IF(A9&lt;70,INDEX('XP Curve'!$F$4:$F$73,MATCH(A9+1,'XP Curve'!$A$4:$A$73,0)),0)</x:f>
        <x:v>980</x:v>
      </x:c>
      <x:c r="J9" s="128" t="n">
        <x:f>IF(I9=0,0,ROUND(I9/MAX(1,H9),2))</x:f>
        <x:v>0.77</x:v>
      </x:c>
      <x:c r="K9" s="128" t="n">
        <x:f>K8+J8</x:f>
        <x:v>1.47</x:v>
      </x:c>
      <x:c r="L9" s="118" t="str">
        <x:f>IF(I9=0,"Cap",IF(J9&lt;0.5,"Too fast",IF(J9&gt;14,"Slow","OK")))</x:f>
        <x:v>OK</x:v>
      </x:c>
    </x:row>
    <x:row r="10" ht="15" hidden="0" customHeight="1">
      <x:c r="A10" s="118" t="n">
        <x:v>7</x:v>
      </x:c>
      <x:c r="B10" s="118" t="str">
        <x:f>IFERROR(INDEX('XP Curve'!$H$4:$H$73,MATCH(A10,'XP Curve'!$A$4:$A$73,0)),"")</x:f>
        <x:v>Tank 2 unlock</x:v>
      </x:c>
      <x:c r="C10" s="118" t="n">
        <x:f>COUNTIF('Tanks &amp; Social'!$B$4:$B$11,"&lt;="&amp;A10)</x:f>
        <x:v>2</x:v>
      </x:c>
      <x:c r="D10" s="118" t="n">
        <x:f>C10*Inputs!$B$8+MAX(0,C10-1)*8+IF(A10&gt;=40,10,IF(A10&gt;=25,5,0))</x:f>
        <x:v>28</x:v>
      </x:c>
      <x:c r="E10" s="121" t="n">
        <x:f>ROUND(Inputs!$B$70+(A10-Inputs!$B$68)*(Inputs!$B$71-Inputs!$B$70)/(Inputs!$B$69-Inputs!$B$68),1)</x:f>
        <x:v>224.3</x:v>
      </x:c>
      <x:c r="F10" s="121" t="n">
        <x:f>ROUND(Inputs!$B$72+(A10-Inputs!$B$68)*(Inputs!$B$73-Inputs!$B$72)/(Inputs!$B$69-Inputs!$B$68),1)</x:f>
        <x:v>67.8</x:v>
      </x:c>
      <x:c r="G10" s="127" t="n">
        <x:f>ROUND(E10*D10*24*Inputs!$B$81,0)</x:f>
        <x:v>12058</x:v>
      </x:c>
      <x:c r="H10" s="127" t="n">
        <x:f>ROUND(F10*D10*24*Inputs!$B$82,0)</x:f>
        <x:v>3645</x:v>
      </x:c>
      <x:c r="I10" s="127" t="n">
        <x:f>IF(A10&lt;70,INDEX('XP Curve'!$F$4:$F$73,MATCH(A10+1,'XP Curve'!$A$4:$A$73,0)),0)</x:f>
        <x:v>1310</x:v>
      </x:c>
      <x:c r="J10" s="128" t="n">
        <x:f>IF(I10=0,0,ROUND(I10/MAX(1,H10),2))</x:f>
        <x:v>0.36</x:v>
      </x:c>
      <x:c r="K10" s="128" t="n">
        <x:f>K9+J9</x:f>
        <x:v>2.24</x:v>
      </x:c>
      <x:c r="L10" s="118" t="str">
        <x:f>IF(I10=0,"Cap",IF(J10&lt;0.5,"Too fast",IF(J10&gt;14,"Slow","OK")))</x:f>
        <x:v>Too fast</x:v>
      </x:c>
    </x:row>
    <x:row r="11" ht="15" hidden="0" customHeight="1">
      <x:c r="A11" s="118" t="n">
        <x:v>8</x:v>
      </x:c>
      <x:c r="B11" s="118" t="str">
        <x:f>IFERROR(INDEX('XP Curve'!$H$4:$H$73,MATCH(A11,'XP Curve'!$A$4:$A$73,0)),"")</x:f>
        <x:v>Green Chromis (U); Platinum Betta [Pearls]</x:v>
      </x:c>
      <x:c r="C11" s="118" t="n">
        <x:f>COUNTIF('Tanks &amp; Social'!$B$4:$B$11,"&lt;="&amp;A11)</x:f>
        <x:v>2</x:v>
      </x:c>
      <x:c r="D11" s="118" t="n">
        <x:f>C11*Inputs!$B$8+MAX(0,C11-1)*8+IF(A11&gt;=40,10,IF(A11&gt;=25,5,0))</x:f>
        <x:v>28</x:v>
      </x:c>
      <x:c r="E11" s="121" t="n">
        <x:f>ROUND(Inputs!$B$70+(A11-Inputs!$B$68)*(Inputs!$B$71-Inputs!$B$70)/(Inputs!$B$69-Inputs!$B$68),1)</x:f>
        <x:v>230.1</x:v>
      </x:c>
      <x:c r="F11" s="121" t="n">
        <x:f>ROUND(Inputs!$B$72+(A11-Inputs!$B$68)*(Inputs!$B$73-Inputs!$B$72)/(Inputs!$B$69-Inputs!$B$68),1)</x:f>
        <x:v>69.1</x:v>
      </x:c>
      <x:c r="G11" s="127" t="n">
        <x:f>ROUND(E11*D11*24*Inputs!$B$81,0)</x:f>
        <x:v>12370</x:v>
      </x:c>
      <x:c r="H11" s="127" t="n">
        <x:f>ROUND(F11*D11*24*Inputs!$B$82,0)</x:f>
        <x:v>3715</x:v>
      </x:c>
      <x:c r="I11" s="127" t="n">
        <x:f>IF(A11&lt;70,INDEX('XP Curve'!$F$4:$F$73,MATCH(A11+1,'XP Curve'!$A$4:$A$73,0)),0)</x:f>
        <x:v>1730</x:v>
      </x:c>
      <x:c r="J11" s="128" t="n">
        <x:f>IF(I11=0,0,ROUND(I11/MAX(1,H11),2))</x:f>
        <x:v>0.47</x:v>
      </x:c>
      <x:c r="K11" s="128" t="n">
        <x:f>K10+J10</x:f>
        <x:v>2.6</x:v>
      </x:c>
      <x:c r="L11" s="118" t="str">
        <x:f>IF(I11=0,"Cap",IF(J11&lt;0.5,"Too fast",IF(J11&gt;14,"Slow","OK")))</x:f>
        <x:v>Too fast</x:v>
      </x:c>
    </x:row>
    <x:row r="12" ht="15" hidden="0" customHeight="1">
      <x:c r="A12" s="118" t="n">
        <x:v>9</x:v>
      </x:c>
      <x:c r="B12" s="118" t="str">
        <x:f>IFERROR(INDEX('XP Curve'!$H$4:$H$73,MATCH(A12,'XP Curve'!$A$4:$A$73,0)),"")</x:f>
      </x:c>
      <x:c r="C12" s="118" t="n">
        <x:f>COUNTIF('Tanks &amp; Social'!$B$4:$B$11,"&lt;="&amp;A12)</x:f>
        <x:v>2</x:v>
      </x:c>
      <x:c r="D12" s="118" t="n">
        <x:f>C12*Inputs!$B$8+MAX(0,C12-1)*8+IF(A12&gt;=40,10,IF(A12&gt;=25,5,0))</x:f>
        <x:v>28</x:v>
      </x:c>
      <x:c r="E12" s="121" t="n">
        <x:f>ROUND(Inputs!$B$70+(A12-Inputs!$B$68)*(Inputs!$B$71-Inputs!$B$70)/(Inputs!$B$69-Inputs!$B$68),1)</x:f>
        <x:v>235.8</x:v>
      </x:c>
      <x:c r="F12" s="121" t="n">
        <x:f>ROUND(Inputs!$B$72+(A12-Inputs!$B$68)*(Inputs!$B$73-Inputs!$B$72)/(Inputs!$B$69-Inputs!$B$68),1)</x:f>
        <x:v>70.4</x:v>
      </x:c>
      <x:c r="G12" s="127" t="n">
        <x:f>ROUND(E12*D12*24*Inputs!$B$81,0)</x:f>
        <x:v>12677</x:v>
      </x:c>
      <x:c r="H12" s="127" t="n">
        <x:f>ROUND(F12*D12*24*Inputs!$B$82,0)</x:f>
        <x:v>3785</x:v>
      </x:c>
      <x:c r="I12" s="127" t="n">
        <x:f>IF(A12&lt;70,INDEX('XP Curve'!$F$4:$F$73,MATCH(A12+1,'XP Curve'!$A$4:$A$73,0)),0)</x:f>
        <x:v>2220</x:v>
      </x:c>
      <x:c r="J12" s="128" t="n">
        <x:f>IF(I12=0,0,ROUND(I12/MAX(1,H12),2))</x:f>
        <x:v>0.59</x:v>
      </x:c>
      <x:c r="K12" s="128" t="n">
        <x:f>K11+J11</x:f>
        <x:v>3.0700000000000003</x:v>
      </x:c>
      <x:c r="L12" s="118" t="str">
        <x:f>IF(I12=0,"Cap",IF(J12&lt;0.5,"Too fast",IF(J12&gt;14,"Slow","OK")))</x:f>
        <x:v>OK</x:v>
      </x:c>
    </x:row>
    <x:row r="13" ht="15" hidden="0" customHeight="1">
      <x:c r="A13" s="118" t="n">
        <x:v>10</x:v>
      </x:c>
      <x:c r="B13" s="118" t="str">
        <x:f>IFERROR(INDEX('XP Curve'!$H$4:$H$73,MATCH(A13,'XP Curve'!$A$4:$A$73,0)),"")</x:f>
        <x:v>Mandarin Dragonet [Pearls]; Large Tank 1</x:v>
      </x:c>
      <x:c r="C13" s="118" t="n">
        <x:f>COUNTIF('Tanks &amp; Social'!$B$4:$B$11,"&lt;="&amp;A13)</x:f>
        <x:v>2</x:v>
      </x:c>
      <x:c r="D13" s="118" t="n">
        <x:f>C13*Inputs!$B$8+MAX(0,C13-1)*8+IF(A13&gt;=40,10,IF(A13&gt;=25,5,0))</x:f>
        <x:v>28</x:v>
      </x:c>
      <x:c r="E13" s="121" t="n">
        <x:f>ROUND(Inputs!$B$70+(A13-Inputs!$B$68)*(Inputs!$B$71-Inputs!$B$70)/(Inputs!$B$69-Inputs!$B$68),1)</x:f>
        <x:v>241.5</x:v>
      </x:c>
      <x:c r="F13" s="121" t="n">
        <x:f>ROUND(Inputs!$B$72+(A13-Inputs!$B$68)*(Inputs!$B$73-Inputs!$B$72)/(Inputs!$B$69-Inputs!$B$68),1)</x:f>
        <x:v>71.7</x:v>
      </x:c>
      <x:c r="G13" s="127" t="n">
        <x:f>ROUND(E13*D13*24*Inputs!$B$81,0)</x:f>
        <x:v>12983</x:v>
      </x:c>
      <x:c r="H13" s="127" t="n">
        <x:f>ROUND(F13*D13*24*Inputs!$B$82,0)</x:f>
        <x:v>3855</x:v>
      </x:c>
      <x:c r="I13" s="127" t="n">
        <x:f>IF(A13&lt;70,INDEX('XP Curve'!$F$4:$F$73,MATCH(A13+1,'XP Curve'!$A$4:$A$73,0)),0)</x:f>
        <x:v>2890</x:v>
      </x:c>
      <x:c r="J13" s="128" t="n">
        <x:f>IF(I13=0,0,ROUND(I13/MAX(1,H13),2))</x:f>
        <x:v>0.75</x:v>
      </x:c>
      <x:c r="K13" s="128" t="n">
        <x:f>K12+J12</x:f>
        <x:v>3.66</x:v>
      </x:c>
      <x:c r="L13" s="118" t="str">
        <x:f>IF(I13=0,"Cap",IF(J13&lt;0.5,"Too fast",IF(J13&gt;14,"Slow","OK")))</x:f>
        <x:v>OK</x:v>
      </x:c>
    </x:row>
    <x:row r="14" ht="15" hidden="0" customHeight="1">
      <x:c r="A14" s="118" t="n">
        <x:v>11</x:v>
      </x:c>
      <x:c r="B14" s="118" t="str">
        <x:f>IFERROR(INDEX('XP Curve'!$H$4:$H$73,MATCH(A14,'XP Curve'!$A$4:$A$73,0)),"")</x:f>
        <x:v>Pajama Cardinalfish (U)</x:v>
      </x:c>
      <x:c r="C14" s="118" t="n">
        <x:f>COUNTIF('Tanks &amp; Social'!$B$4:$B$11,"&lt;="&amp;A14)</x:f>
        <x:v>2</x:v>
      </x:c>
      <x:c r="D14" s="118" t="n">
        <x:f>C14*Inputs!$B$8+MAX(0,C14-1)*8+IF(A14&gt;=40,10,IF(A14&gt;=25,5,0))</x:f>
        <x:v>28</x:v>
      </x:c>
      <x:c r="E14" s="121" t="n">
        <x:f>ROUND(Inputs!$B$70+(A14-Inputs!$B$68)*(Inputs!$B$71-Inputs!$B$70)/(Inputs!$B$69-Inputs!$B$68),1)</x:f>
        <x:v>247.2</x:v>
      </x:c>
      <x:c r="F14" s="121" t="n">
        <x:f>ROUND(Inputs!$B$72+(A14-Inputs!$B$68)*(Inputs!$B$73-Inputs!$B$72)/(Inputs!$B$69-Inputs!$B$68),1)</x:f>
        <x:v>73</x:v>
      </x:c>
      <x:c r="G14" s="127" t="n">
        <x:f>ROUND(E14*D14*24*Inputs!$B$81,0)</x:f>
        <x:v>13289</x:v>
      </x:c>
      <x:c r="H14" s="127" t="n">
        <x:f>ROUND(F14*D14*24*Inputs!$B$82,0)</x:f>
        <x:v>3924</x:v>
      </x:c>
      <x:c r="I14" s="127" t="n">
        <x:f>IF(A14&lt;70,INDEX('XP Curve'!$F$4:$F$73,MATCH(A14+1,'XP Curve'!$A$4:$A$73,0)),0)</x:f>
        <x:v>3700</x:v>
      </x:c>
      <x:c r="J14" s="128" t="n">
        <x:f>IF(I14=0,0,ROUND(I14/MAX(1,H14),2))</x:f>
        <x:v>0.94</x:v>
      </x:c>
      <x:c r="K14" s="128" t="n">
        <x:f>K13+J13</x:f>
        <x:v>4.41</x:v>
      </x:c>
      <x:c r="L14" s="118" t="str">
        <x:f>IF(I14=0,"Cap",IF(J14&lt;0.5,"Too fast",IF(J14&gt;14,"Slow","OK")))</x:f>
        <x:v>OK</x:v>
      </x:c>
    </x:row>
    <x:row r="15" ht="15" hidden="0" customHeight="1">
      <x:c r="A15" s="118" t="n">
        <x:v>12</x:v>
      </x:c>
      <x:c r="B15" s="118" t="str">
        <x:f>IFERROR(INDEX('XP Curve'!$H$4:$H$73,MATCH(A15,'XP Curve'!$A$4:$A$73,0)),"")</x:f>
        <x:v>Pearl Gourami (C); Axolotl [Pearls]</x:v>
      </x:c>
      <x:c r="C15" s="118" t="n">
        <x:f>COUNTIF('Tanks &amp; Social'!$B$4:$B$11,"&lt;="&amp;A15)</x:f>
        <x:v>2</x:v>
      </x:c>
      <x:c r="D15" s="118" t="n">
        <x:f>C15*Inputs!$B$8+MAX(0,C15-1)*8+IF(A15&gt;=40,10,IF(A15&gt;=25,5,0))</x:f>
        <x:v>28</x:v>
      </x:c>
      <x:c r="E15" s="121" t="n">
        <x:f>ROUND(Inputs!$B$70+(A15-Inputs!$B$68)*(Inputs!$B$71-Inputs!$B$70)/(Inputs!$B$69-Inputs!$B$68),1)</x:f>
        <x:v>253</x:v>
      </x:c>
      <x:c r="F15" s="121" t="n">
        <x:f>ROUND(Inputs!$B$72+(A15-Inputs!$B$68)*(Inputs!$B$73-Inputs!$B$72)/(Inputs!$B$69-Inputs!$B$68),1)</x:f>
        <x:v>74.3</x:v>
      </x:c>
      <x:c r="G15" s="127" t="n">
        <x:f>ROUND(E15*D15*24*Inputs!$B$81,0)</x:f>
        <x:v>13601</x:v>
      </x:c>
      <x:c r="H15" s="127" t="n">
        <x:f>ROUND(F15*D15*24*Inputs!$B$82,0)</x:f>
        <x:v>3994</x:v>
      </x:c>
      <x:c r="I15" s="127" t="n">
        <x:f>IF(A15&lt;70,INDEX('XP Curve'!$F$4:$F$73,MATCH(A15+1,'XP Curve'!$A$4:$A$73,0)),0)</x:f>
        <x:v>4630</x:v>
      </x:c>
      <x:c r="J15" s="128" t="n">
        <x:f>IF(I15=0,0,ROUND(I15/MAX(1,H15),2))</x:f>
        <x:v>1.16</x:v>
      </x:c>
      <x:c r="K15" s="128" t="n">
        <x:f>K14+J14</x:f>
        <x:v>5.35</x:v>
      </x:c>
      <x:c r="L15" s="118" t="str">
        <x:f>IF(I15=0,"Cap",IF(J15&lt;0.5,"Too fast",IF(J15&gt;14,"Slow","OK")))</x:f>
        <x:v>OK</x:v>
      </x:c>
    </x:row>
    <x:row r="16" ht="15" hidden="0" customHeight="1">
      <x:c r="A16" s="118" t="n">
        <x:v>13</x:v>
      </x:c>
      <x:c r="B16" s="118" t="str">
        <x:f>IFERROR(INDEX('XP Curve'!$H$4:$H$73,MATCH(A16,'XP Curve'!$A$4:$A$73,0)),"")</x:f>
        <x:v>Medium Tank 2</x:v>
      </x:c>
      <x:c r="C16" s="118" t="n">
        <x:f>COUNTIF('Tanks &amp; Social'!$B$4:$B$11,"&lt;="&amp;A16)</x:f>
        <x:v>2</x:v>
      </x:c>
      <x:c r="D16" s="118" t="n">
        <x:f>C16*Inputs!$B$8+MAX(0,C16-1)*8+IF(A16&gt;=40,10,IF(A16&gt;=25,5,0))</x:f>
        <x:v>28</x:v>
      </x:c>
      <x:c r="E16" s="121" t="n">
        <x:f>ROUND(Inputs!$B$70+(A16-Inputs!$B$68)*(Inputs!$B$71-Inputs!$B$70)/(Inputs!$B$69-Inputs!$B$68),1)</x:f>
        <x:v>258.7</x:v>
      </x:c>
      <x:c r="F16" s="121" t="n">
        <x:f>ROUND(Inputs!$B$72+(A16-Inputs!$B$68)*(Inputs!$B$73-Inputs!$B$72)/(Inputs!$B$69-Inputs!$B$68),1)</x:f>
        <x:v>75.7</x:v>
      </x:c>
      <x:c r="G16" s="127" t="n">
        <x:f>ROUND(E16*D16*24*Inputs!$B$81,0)</x:f>
        <x:v>13908</x:v>
      </x:c>
      <x:c r="H16" s="127" t="n">
        <x:f>ROUND(F16*D16*24*Inputs!$B$82,0)</x:f>
        <x:v>4070</x:v>
      </x:c>
      <x:c r="I16" s="127" t="n">
        <x:f>IF(A16&lt;70,INDEX('XP Curve'!$F$4:$F$73,MATCH(A16+1,'XP Curve'!$A$4:$A$73,0)),0)</x:f>
        <x:v>5710</x:v>
      </x:c>
      <x:c r="J16" s="128" t="n">
        <x:f>IF(I16=0,0,ROUND(I16/MAX(1,H16),2))</x:f>
        <x:v>1.4</x:v>
      </x:c>
      <x:c r="K16" s="128" t="n">
        <x:f>K15+J15</x:f>
        <x:v>6.51</x:v>
      </x:c>
      <x:c r="L16" s="118" t="str">
        <x:f>IF(I16=0,"Cap",IF(J16&lt;0.5,"Too fast",IF(J16&gt;14,"Slow","OK")))</x:f>
        <x:v>OK</x:v>
      </x:c>
    </x:row>
    <x:row r="17" ht="15" hidden="0" customHeight="1">
      <x:c r="A17" s="118" t="n">
        <x:v>14</x:v>
      </x:c>
      <x:c r="B17" s="118" t="str">
        <x:f>IFERROR(INDEX('XP Curve'!$H$4:$H$73,MATCH(A17,'XP Curve'!$A$4:$A$73,0)),"")</x:f>
        <x:v>Sixline Wrasse (U)</x:v>
      </x:c>
      <x:c r="C17" s="118" t="n">
        <x:f>COUNTIF('Tanks &amp; Social'!$B$4:$B$11,"&lt;="&amp;A17)</x:f>
        <x:v>2</x:v>
      </x:c>
      <x:c r="D17" s="118" t="n">
        <x:f>C17*Inputs!$B$8+MAX(0,C17-1)*8+IF(A17&gt;=40,10,IF(A17&gt;=25,5,0))</x:f>
        <x:v>28</x:v>
      </x:c>
      <x:c r="E17" s="121" t="n">
        <x:f>ROUND(Inputs!$B$70+(A17-Inputs!$B$68)*(Inputs!$B$71-Inputs!$B$70)/(Inputs!$B$69-Inputs!$B$68),1)</x:f>
        <x:v>264.4</x:v>
      </x:c>
      <x:c r="F17" s="121" t="n">
        <x:f>ROUND(Inputs!$B$72+(A17-Inputs!$B$68)*(Inputs!$B$73-Inputs!$B$72)/(Inputs!$B$69-Inputs!$B$68),1)</x:f>
        <x:v>77</x:v>
      </x:c>
      <x:c r="G17" s="127" t="n">
        <x:f>ROUND(E17*D17*24*Inputs!$B$81,0)</x:f>
        <x:v>14214</x:v>
      </x:c>
      <x:c r="H17" s="127" t="n">
        <x:f>ROUND(F17*D17*24*Inputs!$B$82,0)</x:f>
        <x:v>4140</x:v>
      </x:c>
      <x:c r="I17" s="127" t="n">
        <x:f>IF(A17&lt;70,INDEX('XP Curve'!$F$4:$F$73,MATCH(A17+1,'XP Curve'!$A$4:$A$73,0)),0)</x:f>
        <x:v>6950</x:v>
      </x:c>
      <x:c r="J17" s="128" t="n">
        <x:f>IF(I17=0,0,ROUND(I17/MAX(1,H17),2))</x:f>
        <x:v>1.68</x:v>
      </x:c>
      <x:c r="K17" s="128" t="n">
        <x:f>K16+J16</x:f>
        <x:v>7.91</x:v>
      </x:c>
      <x:c r="L17" s="118" t="str">
        <x:f>IF(I17=0,"Cap",IF(J17&lt;0.5,"Too fast",IF(J17&gt;14,"Slow","OK")))</x:f>
        <x:v>OK</x:v>
      </x:c>
    </x:row>
    <x:row r="18" ht="15" hidden="0" customHeight="1">
      <x:c r="A18" s="118" t="n">
        <x:v>15</x:v>
      </x:c>
      <x:c r="B18" s="118" t="str">
        <x:f>IFERROR(INDEX('XP Curve'!$H$4:$H$73,MATCH(A18,'XP Curve'!$A$4:$A$73,0)),"")</x:f>
        <x:v>Shy Hamlet (U)</x:v>
      </x:c>
      <x:c r="C18" s="118" t="n">
        <x:f>COUNTIF('Tanks &amp; Social'!$B$4:$B$11,"&lt;="&amp;A18)</x:f>
        <x:v>2</x:v>
      </x:c>
      <x:c r="D18" s="118" t="n">
        <x:f>C18*Inputs!$B$8+MAX(0,C18-1)*8+IF(A18&gt;=40,10,IF(A18&gt;=25,5,0))</x:f>
        <x:v>28</x:v>
      </x:c>
      <x:c r="E18" s="121" t="n">
        <x:f>ROUND(Inputs!$B$70+(A18-Inputs!$B$68)*(Inputs!$B$71-Inputs!$B$70)/(Inputs!$B$69-Inputs!$B$68),1)</x:f>
        <x:v>270.1</x:v>
      </x:c>
      <x:c r="F18" s="121" t="n">
        <x:f>ROUND(Inputs!$B$72+(A18-Inputs!$B$68)*(Inputs!$B$73-Inputs!$B$72)/(Inputs!$B$69-Inputs!$B$68),1)</x:f>
        <x:v>78.3</x:v>
      </x:c>
      <x:c r="G18" s="127" t="n">
        <x:f>ROUND(E18*D18*24*Inputs!$B$81,0)</x:f>
        <x:v>14521</x:v>
      </x:c>
      <x:c r="H18" s="127" t="n">
        <x:f>ROUND(F18*D18*24*Inputs!$B$82,0)</x:f>
        <x:v>4209</x:v>
      </x:c>
      <x:c r="I18" s="127" t="n">
        <x:f>IF(A18&lt;70,INDEX('XP Curve'!$F$4:$F$73,MATCH(A18+1,'XP Curve'!$A$4:$A$73,0)),0)</x:f>
        <x:v>8340</x:v>
      </x:c>
      <x:c r="J18" s="128" t="n">
        <x:f>IF(I18=0,0,ROUND(I18/MAX(1,H18),2))</x:f>
        <x:v>1.98</x:v>
      </x:c>
      <x:c r="K18" s="128" t="n">
        <x:f>K17+J17</x:f>
        <x:v>9.59</x:v>
      </x:c>
      <x:c r="L18" s="118" t="str">
        <x:f>IF(I18=0,"Cap",IF(J18&lt;0.5,"Too fast",IF(J18&gt;14,"Slow","OK")))</x:f>
        <x:v>OK</x:v>
      </x:c>
    </x:row>
    <x:row r="19" ht="26.399999618530273" hidden="0" customHeight="1">
      <x:c r="A19" s="118" t="n">
        <x:v>16</x:v>
      </x:c>
      <x:c r="B19" s="118" t="str">
        <x:f>IFERROR(INDEX('XP Curve'!$H$4:$H$73,MATCH(A19,'XP Curve'!$A$4:$A$73,0)),"")</x:f>
        <x:v>Hawaiian Hogfish (U); Flashlight Fish [Pearls]; Tank 3 unlock</x:v>
      </x:c>
      <x:c r="C19" s="118" t="n">
        <x:f>COUNTIF('Tanks &amp; Social'!$B$4:$B$11,"&lt;="&amp;A19)</x:f>
        <x:v>3</x:v>
      </x:c>
      <x:c r="D19" s="118" t="n">
        <x:f>C19*Inputs!$B$8+MAX(0,C19-1)*8+IF(A19&gt;=40,10,IF(A19&gt;=25,5,0))</x:f>
        <x:v>46</x:v>
      </x:c>
      <x:c r="E19" s="121" t="n">
        <x:f>ROUND(Inputs!$B$70+(A19-Inputs!$B$68)*(Inputs!$B$71-Inputs!$B$70)/(Inputs!$B$69-Inputs!$B$68),1)</x:f>
        <x:v>275.9</x:v>
      </x:c>
      <x:c r="F19" s="121" t="n">
        <x:f>ROUND(Inputs!$B$72+(A19-Inputs!$B$68)*(Inputs!$B$73-Inputs!$B$72)/(Inputs!$B$69-Inputs!$B$68),1)</x:f>
        <x:v>79.6</x:v>
      </x:c>
      <x:c r="G19" s="127" t="n">
        <x:f>ROUND(E19*D19*24*Inputs!$B$81,0)</x:f>
        <x:v>24367</x:v>
      </x:c>
      <x:c r="H19" s="127" t="n">
        <x:f>ROUND(F19*D19*24*Inputs!$B$82,0)</x:f>
        <x:v>7030</x:v>
      </x:c>
      <x:c r="I19" s="127" t="n">
        <x:f>IF(A19&lt;70,INDEX('XP Curve'!$F$4:$F$73,MATCH(A19+1,'XP Curve'!$A$4:$A$73,0)),0)</x:f>
        <x:v>9910</x:v>
      </x:c>
      <x:c r="J19" s="128" t="n">
        <x:f>IF(I19=0,0,ROUND(I19/MAX(1,H19),2))</x:f>
        <x:v>1.41</x:v>
      </x:c>
      <x:c r="K19" s="128" t="n">
        <x:f>K18+J18</x:f>
        <x:v>11.57</x:v>
      </x:c>
      <x:c r="L19" s="118" t="str">
        <x:f>IF(I19=0,"Cap",IF(J19&lt;0.5,"Too fast",IF(J19&gt;14,"Slow","OK")))</x:f>
        <x:v>OK</x:v>
      </x:c>
    </x:row>
    <x:row r="20" ht="15" hidden="0" customHeight="1">
      <x:c r="A20" s="118" t="n">
        <x:v>17</x:v>
      </x:c>
      <x:c r="B20" s="118" t="str">
        <x:f>IFERROR(INDEX('XP Curve'!$H$4:$H$73,MATCH(A20,'XP Curve'!$A$4:$A$73,0)),"")</x:f>
        <x:v>Scooter Blenny (U)</x:v>
      </x:c>
      <x:c r="C20" s="118" t="n">
        <x:f>COUNTIF('Tanks &amp; Social'!$B$4:$B$11,"&lt;="&amp;A20)</x:f>
        <x:v>3</x:v>
      </x:c>
      <x:c r="D20" s="118" t="n">
        <x:f>C20*Inputs!$B$8+MAX(0,C20-1)*8+IF(A20&gt;=40,10,IF(A20&gt;=25,5,0))</x:f>
        <x:v>46</x:v>
      </x:c>
      <x:c r="E20" s="121" t="n">
        <x:f>ROUND(Inputs!$B$70+(A20-Inputs!$B$68)*(Inputs!$B$71-Inputs!$B$70)/(Inputs!$B$69-Inputs!$B$68),1)</x:f>
        <x:v>281.6</x:v>
      </x:c>
      <x:c r="F20" s="121" t="n">
        <x:f>ROUND(Inputs!$B$72+(A20-Inputs!$B$68)*(Inputs!$B$73-Inputs!$B$72)/(Inputs!$B$69-Inputs!$B$68),1)</x:f>
        <x:v>80.9</x:v>
      </x:c>
      <x:c r="G20" s="127" t="n">
        <x:f>ROUND(E20*D20*24*Inputs!$B$81,0)</x:f>
        <x:v>24871</x:v>
      </x:c>
      <x:c r="H20" s="127" t="n">
        <x:f>ROUND(F20*D20*24*Inputs!$B$82,0)</x:f>
        <x:v>7145</x:v>
      </x:c>
      <x:c r="I20" s="127" t="n">
        <x:f>IF(A20&lt;70,INDEX('XP Curve'!$F$4:$F$73,MATCH(A20+1,'XP Curve'!$A$4:$A$73,0)),0)</x:f>
        <x:v>11650</x:v>
      </x:c>
      <x:c r="J20" s="128" t="n">
        <x:f>IF(I20=0,0,ROUND(I20/MAX(1,H20),2))</x:f>
        <x:v>1.63</x:v>
      </x:c>
      <x:c r="K20" s="128" t="n">
        <x:f>K19+J19</x:f>
        <x:v>12.98</x:v>
      </x:c>
      <x:c r="L20" s="118" t="str">
        <x:f>IF(I20=0,"Cap",IF(J20&lt;0.5,"Too fast",IF(J20&gt;14,"Slow","OK")))</x:f>
        <x:v>OK</x:v>
      </x:c>
    </x:row>
    <x:row r="21" ht="15" hidden="0" customHeight="1">
      <x:c r="A21" s="118" t="n">
        <x:v>18</x:v>
      </x:c>
      <x:c r="B21" s="118" t="str">
        <x:f>IFERROR(INDEX('XP Curve'!$H$4:$H$73,MATCH(A21,'XP Curve'!$A$4:$A$73,0)),"")</x:f>
      </x:c>
      <x:c r="C21" s="118" t="n">
        <x:f>COUNTIF('Tanks &amp; Social'!$B$4:$B$11,"&lt;="&amp;A21)</x:f>
        <x:v>3</x:v>
      </x:c>
      <x:c r="D21" s="118" t="n">
        <x:f>C21*Inputs!$B$8+MAX(0,C21-1)*8+IF(A21&gt;=40,10,IF(A21&gt;=25,5,0))</x:f>
        <x:v>46</x:v>
      </x:c>
      <x:c r="E21" s="121" t="n">
        <x:f>ROUND(Inputs!$B$70+(A21-Inputs!$B$68)*(Inputs!$B$71-Inputs!$B$70)/(Inputs!$B$69-Inputs!$B$68),1)</x:f>
        <x:v>287.3</x:v>
      </x:c>
      <x:c r="F21" s="121" t="n">
        <x:f>ROUND(Inputs!$B$72+(A21-Inputs!$B$68)*(Inputs!$B$73-Inputs!$B$72)/(Inputs!$B$69-Inputs!$B$68),1)</x:f>
        <x:v>82.2</x:v>
      </x:c>
      <x:c r="G21" s="127" t="n">
        <x:f>ROUND(E21*D21*24*Inputs!$B$81,0)</x:f>
        <x:v>25374</x:v>
      </x:c>
      <x:c r="H21" s="127" t="n">
        <x:f>ROUND(F21*D21*24*Inputs!$B$82,0)</x:f>
        <x:v>7260</x:v>
      </x:c>
      <x:c r="I21" s="127" t="n">
        <x:f>IF(A21&lt;70,INDEX('XP Curve'!$F$4:$F$73,MATCH(A21+1,'XP Curve'!$A$4:$A$73,0)),0)</x:f>
        <x:v>13220</x:v>
      </x:c>
      <x:c r="J21" s="128" t="n">
        <x:f>IF(I21=0,0,ROUND(I21/MAX(1,H21),2))</x:f>
        <x:v>1.82</x:v>
      </x:c>
      <x:c r="K21" s="128" t="n">
        <x:f>K20+J20</x:f>
        <x:v>14.61</x:v>
      </x:c>
      <x:c r="L21" s="118" t="str">
        <x:f>IF(I21=0,"Cap",IF(J21&lt;0.5,"Too fast",IF(J21&gt;14,"Slow","OK")))</x:f>
        <x:v>OK</x:v>
      </x:c>
    </x:row>
    <x:row r="22" ht="15" hidden="0" customHeight="1">
      <x:c r="A22" s="118" t="n">
        <x:v>19</x:v>
      </x:c>
      <x:c r="B22" s="118" t="str">
        <x:f>IFERROR(INDEX('XP Curve'!$H$4:$H$73,MATCH(A22,'XP Curve'!$A$4:$A$73,0)),"")</x:f>
        <x:v>Large Tank 2</x:v>
      </x:c>
      <x:c r="C22" s="118" t="n">
        <x:f>COUNTIF('Tanks &amp; Social'!$B$4:$B$11,"&lt;="&amp;A22)</x:f>
        <x:v>3</x:v>
      </x:c>
      <x:c r="D22" s="118" t="n">
        <x:f>C22*Inputs!$B$8+MAX(0,C22-1)*8+IF(A22&gt;=40,10,IF(A22&gt;=25,5,0))</x:f>
        <x:v>46</x:v>
      </x:c>
      <x:c r="E22" s="121" t="n">
        <x:f>ROUND(Inputs!$B$70+(A22-Inputs!$B$68)*(Inputs!$B$71-Inputs!$B$70)/(Inputs!$B$69-Inputs!$B$68),1)</x:f>
        <x:v>293</x:v>
      </x:c>
      <x:c r="F22" s="121" t="n">
        <x:f>ROUND(Inputs!$B$72+(A22-Inputs!$B$68)*(Inputs!$B$73-Inputs!$B$72)/(Inputs!$B$69-Inputs!$B$68),1)</x:f>
        <x:v>83.5</x:v>
      </x:c>
      <x:c r="G22" s="127" t="n">
        <x:f>ROUND(E22*D22*24*Inputs!$B$81,0)</x:f>
        <x:v>25878</x:v>
      </x:c>
      <x:c r="H22" s="127" t="n">
        <x:f>ROUND(F22*D22*24*Inputs!$B$82,0)</x:f>
        <x:v>7375</x:v>
      </x:c>
      <x:c r="I22" s="127" t="n">
        <x:f>IF(A22&lt;70,INDEX('XP Curve'!$F$4:$F$73,MATCH(A22+1,'XP Curve'!$A$4:$A$73,0)),0)</x:f>
        <x:v>14900</x:v>
      </x:c>
      <x:c r="J22" s="128" t="n">
        <x:f>IF(I22=0,0,ROUND(I22/MAX(1,H22),2))</x:f>
        <x:v>2.02</x:v>
      </x:c>
      <x:c r="K22" s="128" t="n">
        <x:f>K21+J21</x:f>
        <x:v>16.43</x:v>
      </x:c>
      <x:c r="L22" s="118" t="str">
        <x:f>IF(I22=0,"Cap",IF(J22&lt;0.5,"Too fast",IF(J22&gt;14,"Slow","OK")))</x:f>
        <x:v>OK</x:v>
      </x:c>
    </x:row>
    <x:row r="23" ht="15" hidden="0" customHeight="1">
      <x:c r="A23" s="118" t="n">
        <x:v>20</x:v>
      </x:c>
      <x:c r="B23" s="118" t="str">
        <x:f>IFERROR(INDEX('XP Curve'!$H$4:$H$73,MATCH(A23,'XP Curve'!$A$4:$A$73,0)),"")</x:f>
        <x:v>Ocellaris Clownfish (U); Golden Arowana [Pearls]</x:v>
      </x:c>
      <x:c r="C23" s="118" t="n">
        <x:f>COUNTIF('Tanks &amp; Social'!$B$4:$B$11,"&lt;="&amp;A23)</x:f>
        <x:v>3</x:v>
      </x:c>
      <x:c r="D23" s="118" t="n">
        <x:f>C23*Inputs!$B$8+MAX(0,C23-1)*8+IF(A23&gt;=40,10,IF(A23&gt;=25,5,0))</x:f>
        <x:v>46</x:v>
      </x:c>
      <x:c r="E23" s="121" t="n">
        <x:f>ROUND(Inputs!$B$70+(A23-Inputs!$B$68)*(Inputs!$B$71-Inputs!$B$70)/(Inputs!$B$69-Inputs!$B$68),1)</x:f>
        <x:v>298.8</x:v>
      </x:c>
      <x:c r="F23" s="121" t="n">
        <x:f>ROUND(Inputs!$B$72+(A23-Inputs!$B$68)*(Inputs!$B$73-Inputs!$B$72)/(Inputs!$B$69-Inputs!$B$68),1)</x:f>
        <x:v>84.8</x:v>
      </x:c>
      <x:c r="G23" s="127" t="n">
        <x:f>ROUND(E23*D23*24*Inputs!$B$81,0)</x:f>
        <x:v>26390</x:v>
      </x:c>
      <x:c r="H23" s="127" t="n">
        <x:f>ROUND(F23*D23*24*Inputs!$B$82,0)</x:f>
        <x:v>7490</x:v>
      </x:c>
      <x:c r="I23" s="127" t="n">
        <x:f>IF(A23&lt;70,INDEX('XP Curve'!$F$4:$F$73,MATCH(A23+1,'XP Curve'!$A$4:$A$73,0)),0)</x:f>
        <x:v>16690</x:v>
      </x:c>
      <x:c r="J23" s="128" t="n">
        <x:f>IF(I23=0,0,ROUND(I23/MAX(1,H23),2))</x:f>
        <x:v>2.23</x:v>
      </x:c>
      <x:c r="K23" s="128" t="n">
        <x:f>K22+J22</x:f>
        <x:v>18.45</x:v>
      </x:c>
      <x:c r="L23" s="118" t="str">
        <x:f>IF(I23=0,"Cap",IF(J23&lt;0.5,"Too fast",IF(J23&gt;14,"Slow","OK")))</x:f>
        <x:v>OK</x:v>
      </x:c>
    </x:row>
    <x:row r="24" ht="15" hidden="0" customHeight="1">
      <x:c r="A24" s="118" t="n">
        <x:v>21</x:v>
      </x:c>
      <x:c r="B24" s="118" t="str">
        <x:f>IFERROR(INDEX('XP Curve'!$H$4:$H$73,MATCH(A24,'XP Curve'!$A$4:$A$73,0)),"")</x:f>
      </x:c>
      <x:c r="C24" s="118" t="n">
        <x:f>COUNTIF('Tanks &amp; Social'!$B$4:$B$11,"&lt;="&amp;A24)</x:f>
        <x:v>3</x:v>
      </x:c>
      <x:c r="D24" s="118" t="n">
        <x:f>C24*Inputs!$B$8+MAX(0,C24-1)*8+IF(A24&gt;=40,10,IF(A24&gt;=25,5,0))</x:f>
        <x:v>46</x:v>
      </x:c>
      <x:c r="E24" s="121" t="n">
        <x:f>ROUND(Inputs!$B$70+(A24-Inputs!$B$68)*(Inputs!$B$71-Inputs!$B$70)/(Inputs!$B$69-Inputs!$B$68),1)</x:f>
        <x:v>304.5</x:v>
      </x:c>
      <x:c r="F24" s="121" t="n">
        <x:f>ROUND(Inputs!$B$72+(A24-Inputs!$B$68)*(Inputs!$B$73-Inputs!$B$72)/(Inputs!$B$69-Inputs!$B$68),1)</x:f>
        <x:v>86.1</x:v>
      </x:c>
      <x:c r="G24" s="127" t="n">
        <x:f>ROUND(E24*D24*24*Inputs!$B$81,0)</x:f>
        <x:v>26893</x:v>
      </x:c>
      <x:c r="H24" s="127" t="n">
        <x:f>ROUND(F24*D24*24*Inputs!$B$82,0)</x:f>
        <x:v>7604</x:v>
      </x:c>
      <x:c r="I24" s="127" t="n">
        <x:f>IF(A24&lt;70,INDEX('XP Curve'!$F$4:$F$73,MATCH(A24+1,'XP Curve'!$A$4:$A$73,0)),0)</x:f>
        <x:v>18580</x:v>
      </x:c>
      <x:c r="J24" s="128" t="n">
        <x:f>IF(I24=0,0,ROUND(I24/MAX(1,H24),2))</x:f>
        <x:v>2.44</x:v>
      </x:c>
      <x:c r="K24" s="128" t="n">
        <x:f>K23+J23</x:f>
        <x:v>20.68</x:v>
      </x:c>
      <x:c r="L24" s="118" t="str">
        <x:f>IF(I24=0,"Cap",IF(J24&lt;0.5,"Too fast",IF(J24&gt;14,"Slow","OK")))</x:f>
        <x:v>OK</x:v>
      </x:c>
    </x:row>
    <x:row r="25" ht="15" hidden="0" customHeight="1">
      <x:c r="A25" s="118" t="n">
        <x:v>22</x:v>
      </x:c>
      <x:c r="B25" s="118" t="str">
        <x:f>IFERROR(INDEX('XP Curve'!$H$4:$H$73,MATCH(A25,'XP Curve'!$A$4:$A$73,0)),"")</x:f>
        <x:v>Yellow Tang (R); Medium Tank 3</x:v>
      </x:c>
      <x:c r="C25" s="118" t="n">
        <x:f>COUNTIF('Tanks &amp; Social'!$B$4:$B$11,"&lt;="&amp;A25)</x:f>
        <x:v>3</x:v>
      </x:c>
      <x:c r="D25" s="118" t="n">
        <x:f>C25*Inputs!$B$8+MAX(0,C25-1)*8+IF(A25&gt;=40,10,IF(A25&gt;=25,5,0))</x:f>
        <x:v>46</x:v>
      </x:c>
      <x:c r="E25" s="121" t="n">
        <x:f>ROUND(Inputs!$B$70+(A25-Inputs!$B$68)*(Inputs!$B$71-Inputs!$B$70)/(Inputs!$B$69-Inputs!$B$68),1)</x:f>
        <x:v>310.2</x:v>
      </x:c>
      <x:c r="F25" s="121" t="n">
        <x:f>ROUND(Inputs!$B$72+(A25-Inputs!$B$68)*(Inputs!$B$73-Inputs!$B$72)/(Inputs!$B$69-Inputs!$B$68),1)</x:f>
        <x:v>87.4</x:v>
      </x:c>
      <x:c r="G25" s="127" t="n">
        <x:f>ROUND(E25*D25*24*Inputs!$B$81,0)</x:f>
        <x:v>27397</x:v>
      </x:c>
      <x:c r="H25" s="127" t="n">
        <x:f>ROUND(F25*D25*24*Inputs!$B$82,0)</x:f>
        <x:v>7719</x:v>
      </x:c>
      <x:c r="I25" s="127" t="n">
        <x:f>IF(A25&lt;70,INDEX('XP Curve'!$F$4:$F$73,MATCH(A25+1,'XP Curve'!$A$4:$A$73,0)),0)</x:f>
        <x:v>20570</x:v>
      </x:c>
      <x:c r="J25" s="128" t="n">
        <x:f>IF(I25=0,0,ROUND(I25/MAX(1,H25),2))</x:f>
        <x:v>2.66</x:v>
      </x:c>
      <x:c r="K25" s="128" t="n">
        <x:f>K24+J24</x:f>
        <x:v>23.12</x:v>
      </x:c>
      <x:c r="L25" s="118" t="str">
        <x:f>IF(I25=0,"Cap",IF(J25&lt;0.5,"Too fast",IF(J25&gt;14,"Slow","OK")))</x:f>
        <x:v>OK</x:v>
      </x:c>
    </x:row>
    <x:row r="26" ht="15" hidden="0" customHeight="1">
      <x:c r="A26" s="118" t="n">
        <x:v>23</x:v>
      </x:c>
      <x:c r="B26" s="118" t="str">
        <x:f>IFERROR(INDEX('XP Curve'!$H$4:$H$73,MATCH(A26,'XP Curve'!$A$4:$A$73,0)),"")</x:f>
      </x:c>
      <x:c r="C26" s="118" t="n">
        <x:f>COUNTIF('Tanks &amp; Social'!$B$4:$B$11,"&lt;="&amp;A26)</x:f>
        <x:v>3</x:v>
      </x:c>
      <x:c r="D26" s="118" t="n">
        <x:f>C26*Inputs!$B$8+MAX(0,C26-1)*8+IF(A26&gt;=40,10,IF(A26&gt;=25,5,0))</x:f>
        <x:v>46</x:v>
      </x:c>
      <x:c r="E26" s="121" t="n">
        <x:f>ROUND(Inputs!$B$70+(A26-Inputs!$B$68)*(Inputs!$B$71-Inputs!$B$70)/(Inputs!$B$69-Inputs!$B$68),1)</x:f>
        <x:v>315.9</x:v>
      </x:c>
      <x:c r="F26" s="121" t="n">
        <x:f>ROUND(Inputs!$B$72+(A26-Inputs!$B$68)*(Inputs!$B$73-Inputs!$B$72)/(Inputs!$B$69-Inputs!$B$68),1)</x:f>
        <x:v>88.7</x:v>
      </x:c>
      <x:c r="G26" s="127" t="n">
        <x:f>ROUND(E26*D26*24*Inputs!$B$81,0)</x:f>
        <x:v>27900</x:v>
      </x:c>
      <x:c r="H26" s="127" t="n">
        <x:f>ROUND(F26*D26*24*Inputs!$B$82,0)</x:f>
        <x:v>7834</x:v>
      </x:c>
      <x:c r="I26" s="127" t="n">
        <x:f>IF(A26&lt;70,INDEX('XP Curve'!$F$4:$F$73,MATCH(A26+1,'XP Curve'!$A$4:$A$73,0)),0)</x:f>
        <x:v>22670</x:v>
      </x:c>
      <x:c r="J26" s="128" t="n">
        <x:f>IF(I26=0,0,ROUND(I26/MAX(1,H26),2))</x:f>
        <x:v>2.89</x:v>
      </x:c>
      <x:c r="K26" s="128" t="n">
        <x:f>K25+J25</x:f>
        <x:v>25.78</x:v>
      </x:c>
      <x:c r="L26" s="118" t="str">
        <x:f>IF(I26=0,"Cap",IF(J26&lt;0.5,"Too fast",IF(J26&gt;14,"Slow","OK")))</x:f>
        <x:v>OK</x:v>
      </x:c>
    </x:row>
    <x:row r="27" ht="15" hidden="0" customHeight="1">
      <x:c r="A27" s="118" t="n">
        <x:v>24</x:v>
      </x:c>
      <x:c r="B27" s="118" t="str">
        <x:f>IFERROR(INDEX('XP Curve'!$H$4:$H$73,MATCH(A27,'XP Curve'!$A$4:$A$73,0)),"")</x:f>
        <x:v>Banggai Cardinalfish (R)</x:v>
      </x:c>
      <x:c r="C27" s="118" t="n">
        <x:f>COUNTIF('Tanks &amp; Social'!$B$4:$B$11,"&lt;="&amp;A27)</x:f>
        <x:v>3</x:v>
      </x:c>
      <x:c r="D27" s="118" t="n">
        <x:f>C27*Inputs!$B$8+MAX(0,C27-1)*8+IF(A27&gt;=40,10,IF(A27&gt;=25,5,0))</x:f>
        <x:v>46</x:v>
      </x:c>
      <x:c r="E27" s="121" t="n">
        <x:f>ROUND(Inputs!$B$70+(A27-Inputs!$B$68)*(Inputs!$B$71-Inputs!$B$70)/(Inputs!$B$69-Inputs!$B$68),1)</x:f>
        <x:v>321.7</x:v>
      </x:c>
      <x:c r="F27" s="121" t="n">
        <x:f>ROUND(Inputs!$B$72+(A27-Inputs!$B$68)*(Inputs!$B$73-Inputs!$B$72)/(Inputs!$B$69-Inputs!$B$68),1)</x:f>
        <x:v>90</x:v>
      </x:c>
      <x:c r="G27" s="127" t="n">
        <x:f>ROUND(E27*D27*24*Inputs!$B$81,0)</x:f>
        <x:v>28413</x:v>
      </x:c>
      <x:c r="H27" s="127" t="n">
        <x:f>ROUND(F27*D27*24*Inputs!$B$82,0)</x:f>
        <x:v>7949</x:v>
      </x:c>
      <x:c r="I27" s="127" t="n">
        <x:f>IF(A27&lt;70,INDEX('XP Curve'!$F$4:$F$73,MATCH(A27+1,'XP Curve'!$A$4:$A$73,0)),0)</x:f>
        <x:v>24880</x:v>
      </x:c>
      <x:c r="J27" s="128" t="n">
        <x:f>IF(I27=0,0,ROUND(I27/MAX(1,H27),2))</x:f>
        <x:v>3.13</x:v>
      </x:c>
      <x:c r="K27" s="128" t="n">
        <x:f>K26+J26</x:f>
        <x:v>28.67</x:v>
      </x:c>
      <x:c r="L27" s="118" t="str">
        <x:f>IF(I27=0,"Cap",IF(J27&lt;0.5,"Too fast",IF(J27&gt;14,"Slow","OK")))</x:f>
        <x:v>OK</x:v>
      </x:c>
    </x:row>
    <x:row r="28" ht="15" hidden="0" customHeight="1">
      <x:c r="A28" s="118" t="n">
        <x:v>25</x:v>
      </x:c>
      <x:c r="B28" s="118" t="str">
        <x:f>IFERROR(INDEX('XP Curve'!$H$4:$H$73,MATCH(A28,'XP Curve'!$A$4:$A$73,0)),"")</x:f>
        <x:v>Peppermint Angelfish [Pearls]; Tank 4 unlock</x:v>
      </x:c>
      <x:c r="C28" s="118" t="n">
        <x:f>COUNTIF('Tanks &amp; Social'!$B$4:$B$11,"&lt;="&amp;A28)</x:f>
        <x:v>4</x:v>
      </x:c>
      <x:c r="D28" s="118" t="n">
        <x:f>C28*Inputs!$B$8+MAX(0,C28-1)*8+IF(A28&gt;=40,10,IF(A28&gt;=25,5,0))</x:f>
        <x:v>69</x:v>
      </x:c>
      <x:c r="E28" s="121" t="n">
        <x:f>ROUND(Inputs!$B$70+(A28-Inputs!$B$68)*(Inputs!$B$71-Inputs!$B$70)/(Inputs!$B$69-Inputs!$B$68),1)</x:f>
        <x:v>327.4</x:v>
      </x:c>
      <x:c r="F28" s="121" t="n">
        <x:f>ROUND(Inputs!$B$72+(A28-Inputs!$B$68)*(Inputs!$B$73-Inputs!$B$72)/(Inputs!$B$69-Inputs!$B$68),1)</x:f>
        <x:v>91.3</x:v>
      </x:c>
      <x:c r="G28" s="127" t="n">
        <x:f>ROUND(E28*D28*24*Inputs!$B$81,0)</x:f>
        <x:v>43374</x:v>
      </x:c>
      <x:c r="H28" s="127" t="n">
        <x:f>ROUND(F28*D28*24*Inputs!$B$82,0)</x:f>
        <x:v>12095</x:v>
      </x:c>
      <x:c r="I28" s="127" t="n">
        <x:f>IF(A28&lt;70,INDEX('XP Curve'!$F$4:$F$73,MATCH(A28+1,'XP Curve'!$A$4:$A$73,0)),0)</x:f>
        <x:v>27190</x:v>
      </x:c>
      <x:c r="J28" s="128" t="n">
        <x:f>IF(I28=0,0,ROUND(I28/MAX(1,H28),2))</x:f>
        <x:v>2.25</x:v>
      </x:c>
      <x:c r="K28" s="128" t="n">
        <x:f>K27+J27</x:f>
        <x:v>31.8</x:v>
      </x:c>
      <x:c r="L28" s="118" t="str">
        <x:f>IF(I28=0,"Cap",IF(J28&lt;0.5,"Too fast",IF(J28&gt;14,"Slow","OK")))</x:f>
        <x:v>OK</x:v>
      </x:c>
    </x:row>
    <x:row r="29" ht="15" hidden="0" customHeight="1">
      <x:c r="A29" s="118" t="n">
        <x:v>26</x:v>
      </x:c>
      <x:c r="B29" s="118" t="str">
        <x:f>IFERROR(INDEX('XP Curve'!$H$4:$H$73,MATCH(A29,'XP Curve'!$A$4:$A$73,0)),"")</x:f>
        <x:v>Coral Beauty (R)</x:v>
      </x:c>
      <x:c r="C29" s="118" t="n">
        <x:f>COUNTIF('Tanks &amp; Social'!$B$4:$B$11,"&lt;="&amp;A29)</x:f>
        <x:v>4</x:v>
      </x:c>
      <x:c r="D29" s="118" t="n">
        <x:f>C29*Inputs!$B$8+MAX(0,C29-1)*8+IF(A29&gt;=40,10,IF(A29&gt;=25,5,0))</x:f>
        <x:v>69</x:v>
      </x:c>
      <x:c r="E29" s="121" t="n">
        <x:f>ROUND(Inputs!$B$70+(A29-Inputs!$B$68)*(Inputs!$B$71-Inputs!$B$70)/(Inputs!$B$69-Inputs!$B$68),1)</x:f>
        <x:v>333.1</x:v>
      </x:c>
      <x:c r="F29" s="121" t="n">
        <x:f>ROUND(Inputs!$B$72+(A29-Inputs!$B$68)*(Inputs!$B$73-Inputs!$B$72)/(Inputs!$B$69-Inputs!$B$68),1)</x:f>
        <x:v>92.6</x:v>
      </x:c>
      <x:c r="G29" s="127" t="n">
        <x:f>ROUND(E29*D29*24*Inputs!$B$81,0)</x:f>
        <x:v>44129</x:v>
      </x:c>
      <x:c r="H29" s="127" t="n">
        <x:f>ROUND(F29*D29*24*Inputs!$B$82,0)</x:f>
        <x:v>12268</x:v>
      </x:c>
      <x:c r="I29" s="127" t="n">
        <x:f>IF(A29&lt;70,INDEX('XP Curve'!$F$4:$F$73,MATCH(A29+1,'XP Curve'!$A$4:$A$73,0)),0)</x:f>
        <x:v>29600</x:v>
      </x:c>
      <x:c r="J29" s="128" t="n">
        <x:f>IF(I29=0,0,ROUND(I29/MAX(1,H29),2))</x:f>
        <x:v>2.41</x:v>
      </x:c>
      <x:c r="K29" s="128" t="n">
        <x:f>K28+J28</x:f>
        <x:v>34.05</x:v>
      </x:c>
      <x:c r="L29" s="118" t="str">
        <x:f>IF(I29=0,"Cap",IF(J29&lt;0.5,"Too fast",IF(J29&gt;14,"Slow","OK")))</x:f>
        <x:v>OK</x:v>
      </x:c>
    </x:row>
    <x:row r="30" ht="15" hidden="0" customHeight="1">
      <x:c r="A30" s="118" t="n">
        <x:v>27</x:v>
      </x:c>
      <x:c r="B30" s="118" t="str">
        <x:f>IFERROR(INDEX('XP Curve'!$H$4:$H$73,MATCH(A30,'XP Curve'!$A$4:$A$73,0)),"")</x:f>
      </x:c>
      <x:c r="C30" s="118" t="n">
        <x:f>COUNTIF('Tanks &amp; Social'!$B$4:$B$11,"&lt;="&amp;A30)</x:f>
        <x:v>4</x:v>
      </x:c>
      <x:c r="D30" s="118" t="n">
        <x:f>C30*Inputs!$B$8+MAX(0,C30-1)*8+IF(A30&gt;=40,10,IF(A30&gt;=25,5,0))</x:f>
        <x:v>69</x:v>
      </x:c>
      <x:c r="E30" s="121" t="n">
        <x:f>ROUND(Inputs!$B$70+(A30-Inputs!$B$68)*(Inputs!$B$71-Inputs!$B$70)/(Inputs!$B$69-Inputs!$B$68),1)</x:f>
        <x:v>338.8</x:v>
      </x:c>
      <x:c r="F30" s="121" t="n">
        <x:f>ROUND(Inputs!$B$72+(A30-Inputs!$B$68)*(Inputs!$B$73-Inputs!$B$72)/(Inputs!$B$69-Inputs!$B$68),1)</x:f>
        <x:v>93.9</x:v>
      </x:c>
      <x:c r="G30" s="127" t="n">
        <x:f>ROUND(E30*D30*24*Inputs!$B$81,0)</x:f>
        <x:v>44884</x:v>
      </x:c>
      <x:c r="H30" s="127" t="n">
        <x:f>ROUND(F30*D30*24*Inputs!$B$82,0)</x:f>
        <x:v>12440</x:v>
      </x:c>
      <x:c r="I30" s="127" t="n">
        <x:f>IF(A30&lt;70,INDEX('XP Curve'!$F$4:$F$73,MATCH(A30+1,'XP Curve'!$A$4:$A$73,0)),0)</x:f>
        <x:v>32120</x:v>
      </x:c>
      <x:c r="J30" s="128" t="n">
        <x:f>IF(I30=0,0,ROUND(I30/MAX(1,H30),2))</x:f>
        <x:v>2.58</x:v>
      </x:c>
      <x:c r="K30" s="128" t="n">
        <x:f>K29+J29</x:f>
        <x:v>36.459999999999994</x:v>
      </x:c>
      <x:c r="L30" s="118" t="str">
        <x:f>IF(I30=0,"Cap",IF(J30&lt;0.5,"Too fast",IF(J30&gt;14,"Slow","OK")))</x:f>
        <x:v>OK</x:v>
      </x:c>
    </x:row>
    <x:row r="31" ht="15" hidden="0" customHeight="1">
      <x:c r="A31" s="118" t="n">
        <x:v>28</x:v>
      </x:c>
      <x:c r="B31" s="118" t="str">
        <x:f>IFERROR(INDEX('XP Curve'!$H$4:$H$73,MATCH(A31,'XP Curve'!$A$4:$A$73,0)),"")</x:f>
        <x:v>Large Tank 3</x:v>
      </x:c>
      <x:c r="C31" s="118" t="n">
        <x:f>COUNTIF('Tanks &amp; Social'!$B$4:$B$11,"&lt;="&amp;A31)</x:f>
        <x:v>4</x:v>
      </x:c>
      <x:c r="D31" s="118" t="n">
        <x:f>C31*Inputs!$B$8+MAX(0,C31-1)*8+IF(A31&gt;=40,10,IF(A31&gt;=25,5,0))</x:f>
        <x:v>69</x:v>
      </x:c>
      <x:c r="E31" s="121" t="n">
        <x:f>ROUND(Inputs!$B$70+(A31-Inputs!$B$68)*(Inputs!$B$71-Inputs!$B$70)/(Inputs!$B$69-Inputs!$B$68),1)</x:f>
        <x:v>344.6</x:v>
      </x:c>
      <x:c r="F31" s="121" t="n">
        <x:f>ROUND(Inputs!$B$72+(A31-Inputs!$B$68)*(Inputs!$B$73-Inputs!$B$72)/(Inputs!$B$69-Inputs!$B$68),1)</x:f>
        <x:v>95.2</x:v>
      </x:c>
      <x:c r="G31" s="127" t="n">
        <x:f>ROUND(E31*D31*24*Inputs!$B$81,0)</x:f>
        <x:v>45653</x:v>
      </x:c>
      <x:c r="H31" s="127" t="n">
        <x:f>ROUND(F31*D31*24*Inputs!$B$82,0)</x:f>
        <x:v>12612</x:v>
      </x:c>
      <x:c r="I31" s="127" t="n">
        <x:f>IF(A31&lt;70,INDEX('XP Curve'!$F$4:$F$73,MATCH(A31+1,'XP Curve'!$A$4:$A$73,0)),0)</x:f>
        <x:v>34750</x:v>
      </x:c>
      <x:c r="J31" s="128" t="n">
        <x:f>IF(I31=0,0,ROUND(I31/MAX(1,H31),2))</x:f>
        <x:v>2.76</x:v>
      </x:c>
      <x:c r="K31" s="128" t="n">
        <x:f>K30+J30</x:f>
        <x:v>39.03999999999999</x:v>
      </x:c>
      <x:c r="L31" s="118" t="str">
        <x:f>IF(I31=0,"Cap",IF(J31&lt;0.5,"Too fast",IF(J31&gt;14,"Slow","OK")))</x:f>
        <x:v>OK</x:v>
      </x:c>
    </x:row>
    <x:row r="32" ht="15" hidden="0" customHeight="1">
      <x:c r="A32" s="118" t="n">
        <x:v>29</x:v>
      </x:c>
      <x:c r="B32" s="118" t="str">
        <x:f>IFERROR(INDEX('XP Curve'!$H$4:$H$73,MATCH(A32,'XP Curve'!$A$4:$A$73,0)),"")</x:f>
        <x:v>Flame Angelfish (R)</x:v>
      </x:c>
      <x:c r="C32" s="118" t="n">
        <x:f>COUNTIF('Tanks &amp; Social'!$B$4:$B$11,"&lt;="&amp;A32)</x:f>
        <x:v>4</x:v>
      </x:c>
      <x:c r="D32" s="118" t="n">
        <x:f>C32*Inputs!$B$8+MAX(0,C32-1)*8+IF(A32&gt;=40,10,IF(A32&gt;=25,5,0))</x:f>
        <x:v>69</x:v>
      </x:c>
      <x:c r="E32" s="121" t="n">
        <x:f>ROUND(Inputs!$B$70+(A32-Inputs!$B$68)*(Inputs!$B$71-Inputs!$B$70)/(Inputs!$B$69-Inputs!$B$68),1)</x:f>
        <x:v>350.3</x:v>
      </x:c>
      <x:c r="F32" s="121" t="n">
        <x:f>ROUND(Inputs!$B$72+(A32-Inputs!$B$68)*(Inputs!$B$73-Inputs!$B$72)/(Inputs!$B$69-Inputs!$B$68),1)</x:f>
        <x:v>96.5</x:v>
      </x:c>
      <x:c r="G32" s="127" t="n">
        <x:f>ROUND(E32*D32*24*Inputs!$B$81,0)</x:f>
        <x:v>46408</x:v>
      </x:c>
      <x:c r="H32" s="127" t="n">
        <x:f>ROUND(F32*D32*24*Inputs!$B$82,0)</x:f>
        <x:v>12784</x:v>
      </x:c>
      <x:c r="I32" s="127" t="n">
        <x:f>IF(A32&lt;70,INDEX('XP Curve'!$F$4:$F$73,MATCH(A32+1,'XP Curve'!$A$4:$A$73,0)),0)</x:f>
        <x:v>37480</x:v>
      </x:c>
      <x:c r="J32" s="128" t="n">
        <x:f>IF(I32=0,0,ROUND(I32/MAX(1,H32),2))</x:f>
        <x:v>2.93</x:v>
      </x:c>
      <x:c r="K32" s="128" t="n">
        <x:f>K31+J31</x:f>
        <x:v>41.79999999999999</x:v>
      </x:c>
      <x:c r="L32" s="118" t="str">
        <x:f>IF(I32=0,"Cap",IF(J32&lt;0.5,"Too fast",IF(J32&gt;14,"Slow","OK")))</x:f>
        <x:v>OK</x:v>
      </x:c>
    </x:row>
    <x:row r="33" ht="15" hidden="0" customHeight="1">
      <x:c r="A33" s="118" t="n">
        <x:v>30</x:v>
      </x:c>
      <x:c r="B33" s="118" t="str">
        <x:f>IFERROR(INDEX('XP Curve'!$H$4:$H$73,MATCH(A33,'XP Curve'!$A$4:$A$73,0)),"")</x:f>
        <x:v>Longhorn Cowfish (R)</x:v>
      </x:c>
      <x:c r="C33" s="118" t="n">
        <x:f>COUNTIF('Tanks &amp; Social'!$B$4:$B$11,"&lt;="&amp;A33)</x:f>
        <x:v>4</x:v>
      </x:c>
      <x:c r="D33" s="118" t="n">
        <x:f>C33*Inputs!$B$8+MAX(0,C33-1)*8+IF(A33&gt;=40,10,IF(A33&gt;=25,5,0))</x:f>
        <x:v>69</x:v>
      </x:c>
      <x:c r="E33" s="121" t="n">
        <x:f>ROUND(Inputs!$B$70+(A33-Inputs!$B$68)*(Inputs!$B$71-Inputs!$B$70)/(Inputs!$B$69-Inputs!$B$68),1)</x:f>
        <x:v>356</x:v>
      </x:c>
      <x:c r="F33" s="121" t="n">
        <x:f>ROUND(Inputs!$B$72+(A33-Inputs!$B$68)*(Inputs!$B$73-Inputs!$B$72)/(Inputs!$B$69-Inputs!$B$68),1)</x:f>
        <x:v>97.8</x:v>
      </x:c>
      <x:c r="G33" s="127" t="n">
        <x:f>ROUND(E33*D33*24*Inputs!$B$81,0)</x:f>
        <x:v>47163</x:v>
      </x:c>
      <x:c r="H33" s="127" t="n">
        <x:f>ROUND(F33*D33*24*Inputs!$B$82,0)</x:f>
        <x:v>12957</x:v>
      </x:c>
      <x:c r="I33" s="127" t="n">
        <x:f>IF(A33&lt;70,INDEX('XP Curve'!$F$4:$F$73,MATCH(A33+1,'XP Curve'!$A$4:$A$73,0)),0)</x:f>
        <x:v>41750</x:v>
      </x:c>
      <x:c r="J33" s="128" t="n">
        <x:f>IF(I33=0,0,ROUND(I33/MAX(1,H33),2))</x:f>
        <x:v>3.22</x:v>
      </x:c>
      <x:c r="K33" s="128" t="n">
        <x:f>K32+J32</x:f>
        <x:v>44.72999999999999</x:v>
      </x:c>
      <x:c r="L33" s="118" t="str">
        <x:f>IF(I33=0,"Cap",IF(J33&lt;0.5,"Too fast",IF(J33&gt;14,"Slow","OK")))</x:f>
        <x:v>OK</x:v>
      </x:c>
    </x:row>
    <x:row r="34" ht="15" hidden="0" customHeight="1">
      <x:c r="A34" s="118" t="n">
        <x:v>31</x:v>
      </x:c>
      <x:c r="B34" s="118" t="str">
        <x:f>IFERROR(INDEX('XP Curve'!$H$4:$H$73,MATCH(A34,'XP Curve'!$A$4:$A$73,0)),"")</x:f>
        <x:v>Medium Tank 4</x:v>
      </x:c>
      <x:c r="C34" s="118" t="n">
        <x:f>COUNTIF('Tanks &amp; Social'!$B$4:$B$11,"&lt;="&amp;A34)</x:f>
        <x:v>4</x:v>
      </x:c>
      <x:c r="D34" s="118" t="n">
        <x:f>C34*Inputs!$B$8+MAX(0,C34-1)*8+IF(A34&gt;=40,10,IF(A34&gt;=25,5,0))</x:f>
        <x:v>69</x:v>
      </x:c>
      <x:c r="E34" s="121" t="n">
        <x:f>ROUND(Inputs!$B$70+(A34-Inputs!$B$68)*(Inputs!$B$71-Inputs!$B$70)/(Inputs!$B$69-Inputs!$B$68),1)</x:f>
        <x:v>361.7</x:v>
      </x:c>
      <x:c r="F34" s="121" t="n">
        <x:f>ROUND(Inputs!$B$72+(A34-Inputs!$B$68)*(Inputs!$B$73-Inputs!$B$72)/(Inputs!$B$69-Inputs!$B$68),1)</x:f>
        <x:v>99.1</x:v>
      </x:c>
      <x:c r="G34" s="127" t="n">
        <x:f>ROUND(E34*D34*24*Inputs!$B$81,0)</x:f>
        <x:v>47918</x:v>
      </x:c>
      <x:c r="H34" s="127" t="n">
        <x:f>ROUND(F34*D34*24*Inputs!$B$82,0)</x:f>
        <x:v>13129</x:v>
      </x:c>
      <x:c r="I34" s="127" t="n">
        <x:f>IF(A34&lt;70,INDEX('XP Curve'!$F$4:$F$73,MATCH(A34+1,'XP Curve'!$A$4:$A$73,0)),0)</x:f>
        <x:v>46340</x:v>
      </x:c>
      <x:c r="J34" s="128" t="n">
        <x:f>IF(I34=0,0,ROUND(I34/MAX(1,H34),2))</x:f>
        <x:v>3.53</x:v>
      </x:c>
      <x:c r="K34" s="128" t="n">
        <x:f>K33+J33</x:f>
        <x:v>47.94999999999999</x:v>
      </x:c>
      <x:c r="L34" s="118" t="str">
        <x:f>IF(I34=0,"Cap",IF(J34&lt;0.5,"Too fast",IF(J34&gt;14,"Slow","OK")))</x:f>
        <x:v>OK</x:v>
      </x:c>
    </x:row>
    <x:row r="35" ht="15" hidden="0" customHeight="1">
      <x:c r="A35" s="118" t="n">
        <x:v>32</x:v>
      </x:c>
      <x:c r="B35" s="118" t="str">
        <x:f>IFERROR(INDEX('XP Curve'!$H$4:$H$73,MATCH(A35,'XP Curve'!$A$4:$A$73,0)),"")</x:f>
        <x:v>Foxface Rabbitfish (R)</x:v>
      </x:c>
      <x:c r="C35" s="118" t="n">
        <x:f>COUNTIF('Tanks &amp; Social'!$B$4:$B$11,"&lt;="&amp;A35)</x:f>
        <x:v>4</x:v>
      </x:c>
      <x:c r="D35" s="118" t="n">
        <x:f>C35*Inputs!$B$8+MAX(0,C35-1)*8+IF(A35&gt;=40,10,IF(A35&gt;=25,5,0))</x:f>
        <x:v>69</x:v>
      </x:c>
      <x:c r="E35" s="121" t="n">
        <x:f>ROUND(Inputs!$B$70+(A35-Inputs!$B$68)*(Inputs!$B$71-Inputs!$B$70)/(Inputs!$B$69-Inputs!$B$68),1)</x:f>
        <x:v>367.5</x:v>
      </x:c>
      <x:c r="F35" s="121" t="n">
        <x:f>ROUND(Inputs!$B$72+(A35-Inputs!$B$68)*(Inputs!$B$73-Inputs!$B$72)/(Inputs!$B$69-Inputs!$B$68),1)</x:f>
        <x:v>100.4</x:v>
      </x:c>
      <x:c r="G35" s="127" t="n">
        <x:f>ROUND(E35*D35*24*Inputs!$B$81,0)</x:f>
        <x:v>48686</x:v>
      </x:c>
      <x:c r="H35" s="127" t="n">
        <x:f>ROUND(F35*D35*24*Inputs!$B$82,0)</x:f>
        <x:v>13301</x:v>
      </x:c>
      <x:c r="I35" s="127" t="n">
        <x:f>IF(A35&lt;70,INDEX('XP Curve'!$F$4:$F$73,MATCH(A35+1,'XP Curve'!$A$4:$A$73,0)),0)</x:f>
        <x:v>51260</x:v>
      </x:c>
      <x:c r="J35" s="128" t="n">
        <x:f>IF(I35=0,0,ROUND(I35/MAX(1,H35),2))</x:f>
        <x:v>3.85</x:v>
      </x:c>
      <x:c r="K35" s="128" t="n">
        <x:f>K34+J34</x:f>
        <x:v>51.47999999999999</x:v>
      </x:c>
      <x:c r="L35" s="118" t="str">
        <x:f>IF(I35=0,"Cap",IF(J35&lt;0.5,"Too fast",IF(J35&gt;14,"Slow","OK")))</x:f>
        <x:v>OK</x:v>
      </x:c>
    </x:row>
    <x:row r="36" ht="15" hidden="0" customHeight="1">
      <x:c r="A36" s="118" t="n">
        <x:v>33</x:v>
      </x:c>
      <x:c r="B36" s="118" t="str">
        <x:f>IFERROR(INDEX('XP Curve'!$H$4:$H$73,MATCH(A36,'XP Curve'!$A$4:$A$73,0)),"")</x:f>
        <x:v>Picasso Triggerfish (R)</x:v>
      </x:c>
      <x:c r="C36" s="118" t="n">
        <x:f>COUNTIF('Tanks &amp; Social'!$B$4:$B$11,"&lt;="&amp;A36)</x:f>
        <x:v>4</x:v>
      </x:c>
      <x:c r="D36" s="118" t="n">
        <x:f>C36*Inputs!$B$8+MAX(0,C36-1)*8+IF(A36&gt;=40,10,IF(A36&gt;=25,5,0))</x:f>
        <x:v>69</x:v>
      </x:c>
      <x:c r="E36" s="121" t="n">
        <x:f>ROUND(Inputs!$B$70+(A36-Inputs!$B$68)*(Inputs!$B$71-Inputs!$B$70)/(Inputs!$B$69-Inputs!$B$68),1)</x:f>
        <x:v>373.2</x:v>
      </x:c>
      <x:c r="F36" s="121" t="n">
        <x:f>ROUND(Inputs!$B$72+(A36-Inputs!$B$68)*(Inputs!$B$73-Inputs!$B$72)/(Inputs!$B$69-Inputs!$B$68),1)</x:f>
        <x:v>101.7</x:v>
      </x:c>
      <x:c r="G36" s="127" t="n">
        <x:f>ROUND(E36*D36*24*Inputs!$B$81,0)</x:f>
        <x:v>49442</x:v>
      </x:c>
      <x:c r="H36" s="127" t="n">
        <x:f>ROUND(F36*D36*24*Inputs!$B$82,0)</x:f>
        <x:v>13473</x:v>
      </x:c>
      <x:c r="I36" s="127" t="n">
        <x:f>IF(A36&lt;70,INDEX('XP Curve'!$F$4:$F$73,MATCH(A36+1,'XP Curve'!$A$4:$A$73,0)),0)</x:f>
        <x:v>56510</x:v>
      </x:c>
      <x:c r="J36" s="128" t="n">
        <x:f>IF(I36=0,0,ROUND(I36/MAX(1,H36),2))</x:f>
        <x:v>4.19</x:v>
      </x:c>
      <x:c r="K36" s="128" t="n">
        <x:f>K35+J35</x:f>
        <x:v>55.32999999999999</x:v>
      </x:c>
      <x:c r="L36" s="118" t="str">
        <x:f>IF(I36=0,"Cap",IF(J36&lt;0.5,"Too fast",IF(J36&gt;14,"Slow","OK")))</x:f>
        <x:v>OK</x:v>
      </x:c>
    </x:row>
    <x:row r="37" ht="15" hidden="0" customHeight="1">
      <x:c r="A37" s="118" t="n">
        <x:v>34</x:v>
      </x:c>
      <x:c r="B37" s="118" t="str">
        <x:f>IFERROR(INDEX('XP Curve'!$H$4:$H$73,MATCH(A37,'XP Curve'!$A$4:$A$73,0)),"")</x:f>
        <x:v>Tank 5 unlock</x:v>
      </x:c>
      <x:c r="C37" s="118" t="n">
        <x:f>COUNTIF('Tanks &amp; Social'!$B$4:$B$11,"&lt;="&amp;A37)</x:f>
        <x:v>5</x:v>
      </x:c>
      <x:c r="D37" s="118" t="n">
        <x:f>C37*Inputs!$B$8+MAX(0,C37-1)*8+IF(A37&gt;=40,10,IF(A37&gt;=25,5,0))</x:f>
        <x:v>87</x:v>
      </x:c>
      <x:c r="E37" s="121" t="n">
        <x:f>ROUND(Inputs!$B$70+(A37-Inputs!$B$68)*(Inputs!$B$71-Inputs!$B$70)/(Inputs!$B$69-Inputs!$B$68),1)</x:f>
        <x:v>378.9</x:v>
      </x:c>
      <x:c r="F37" s="121" t="n">
        <x:f>ROUND(Inputs!$B$72+(A37-Inputs!$B$68)*(Inputs!$B$73-Inputs!$B$72)/(Inputs!$B$69-Inputs!$B$68),1)</x:f>
        <x:v>103</x:v>
      </x:c>
      <x:c r="G37" s="127" t="n">
        <x:f>ROUND(E37*D37*24*Inputs!$B$81,0)</x:f>
        <x:v>63291</x:v>
      </x:c>
      <x:c r="H37" s="127" t="n">
        <x:f>ROUND(F37*D37*24*Inputs!$B$82,0)</x:f>
        <x:v>17205</x:v>
      </x:c>
      <x:c r="I37" s="127" t="n">
        <x:f>IF(A37&lt;70,INDEX('XP Curve'!$F$4:$F$73,MATCH(A37+1,'XP Curve'!$A$4:$A$73,0)),0)</x:f>
        <x:v>62110</x:v>
      </x:c>
      <x:c r="J37" s="128" t="n">
        <x:f>IF(I37=0,0,ROUND(I37/MAX(1,H37),2))</x:f>
        <x:v>3.61</x:v>
      </x:c>
      <x:c r="K37" s="128" t="n">
        <x:f>K36+J36</x:f>
        <x:v>59.51999999999999</x:v>
      </x:c>
      <x:c r="L37" s="118" t="str">
        <x:f>IF(I37=0,"Cap",IF(J37&lt;0.5,"Too fast",IF(J37&gt;14,"Slow","OK")))</x:f>
        <x:v>OK</x:v>
      </x:c>
    </x:row>
    <x:row r="38" ht="15" hidden="0" customHeight="1">
      <x:c r="A38" s="118" t="n">
        <x:v>35</x:v>
      </x:c>
      <x:c r="B38" s="118" t="str">
        <x:f>IFERROR(INDEX('XP Curve'!$H$4:$H$73,MATCH(A38,'XP Curve'!$A$4:$A$73,0)),"")</x:f>
        <x:v>Discus (R); Black Diamond Stingray [Pearls]</x:v>
      </x:c>
      <x:c r="C38" s="118" t="n">
        <x:f>COUNTIF('Tanks &amp; Social'!$B$4:$B$11,"&lt;="&amp;A38)</x:f>
        <x:v>5</x:v>
      </x:c>
      <x:c r="D38" s="118" t="n">
        <x:f>C38*Inputs!$B$8+MAX(0,C38-1)*8+IF(A38&gt;=40,10,IF(A38&gt;=25,5,0))</x:f>
        <x:v>87</x:v>
      </x:c>
      <x:c r="E38" s="121" t="n">
        <x:f>ROUND(Inputs!$B$70+(A38-Inputs!$B$68)*(Inputs!$B$71-Inputs!$B$70)/(Inputs!$B$69-Inputs!$B$68),1)</x:f>
        <x:v>384.6</x:v>
      </x:c>
      <x:c r="F38" s="121" t="n">
        <x:f>ROUND(Inputs!$B$72+(A38-Inputs!$B$68)*(Inputs!$B$73-Inputs!$B$72)/(Inputs!$B$69-Inputs!$B$68),1)</x:f>
        <x:v>104.3</x:v>
      </x:c>
      <x:c r="G38" s="127" t="n">
        <x:f>ROUND(E38*D38*24*Inputs!$B$81,0)</x:f>
        <x:v>64244</x:v>
      </x:c>
      <x:c r="H38" s="127" t="n">
        <x:f>ROUND(F38*D38*24*Inputs!$B$82,0)</x:f>
        <x:v>17422</x:v>
      </x:c>
      <x:c r="I38" s="127" t="n">
        <x:f>IF(A38&lt;70,INDEX('XP Curve'!$F$4:$F$73,MATCH(A38+1,'XP Curve'!$A$4:$A$73,0)),0)</x:f>
        <x:v>68080</x:v>
      </x:c>
      <x:c r="J38" s="128" t="n">
        <x:f>IF(I38=0,0,ROUND(I38/MAX(1,H38),2))</x:f>
        <x:v>3.91</x:v>
      </x:c>
      <x:c r="K38" s="128" t="n">
        <x:f>K37+J37</x:f>
        <x:v>63.12999999999999</x:v>
      </x:c>
      <x:c r="L38" s="118" t="str">
        <x:f>IF(I38=0,"Cap",IF(J38&lt;0.5,"Too fast",IF(J38&gt;14,"Slow","OK")))</x:f>
        <x:v>OK</x:v>
      </x:c>
    </x:row>
    <x:row r="39" ht="15" hidden="0" customHeight="1">
      <x:c r="A39" s="118" t="n">
        <x:v>36</x:v>
      </x:c>
      <x:c r="B39" s="118" t="str">
        <x:f>IFERROR(INDEX('XP Curve'!$H$4:$H$73,MATCH(A39,'XP Curve'!$A$4:$A$73,0)),"")</x:f>
        <x:v>Moorish Idol (E)</x:v>
      </x:c>
      <x:c r="C39" s="118" t="n">
        <x:f>COUNTIF('Tanks &amp; Social'!$B$4:$B$11,"&lt;="&amp;A39)</x:f>
        <x:v>5</x:v>
      </x:c>
      <x:c r="D39" s="118" t="n">
        <x:f>C39*Inputs!$B$8+MAX(0,C39-1)*8+IF(A39&gt;=40,10,IF(A39&gt;=25,5,0))</x:f>
        <x:v>87</x:v>
      </x:c>
      <x:c r="E39" s="121" t="n">
        <x:f>ROUND(Inputs!$B$70+(A39-Inputs!$B$68)*(Inputs!$B$71-Inputs!$B$70)/(Inputs!$B$69-Inputs!$B$68),1)</x:f>
        <x:v>390.4</x:v>
      </x:c>
      <x:c r="F39" s="121" t="n">
        <x:f>ROUND(Inputs!$B$72+(A39-Inputs!$B$68)*(Inputs!$B$73-Inputs!$B$72)/(Inputs!$B$69-Inputs!$B$68),1)</x:f>
        <x:v>105.7</x:v>
      </x:c>
      <x:c r="G39" s="127" t="n">
        <x:f>ROUND(E39*D39*24*Inputs!$B$81,0)</x:f>
        <x:v>65212</x:v>
      </x:c>
      <x:c r="H39" s="127" t="n">
        <x:f>ROUND(F39*D39*24*Inputs!$B$82,0)</x:f>
        <x:v>17656</x:v>
      </x:c>
      <x:c r="I39" s="127" t="n">
        <x:f>IF(A39&lt;70,INDEX('XP Curve'!$F$4:$F$73,MATCH(A39+1,'XP Curve'!$A$4:$A$73,0)),0)</x:f>
        <x:v>72280</x:v>
      </x:c>
      <x:c r="J39" s="128" t="n">
        <x:f>IF(I39=0,0,ROUND(I39/MAX(1,H39),2))</x:f>
        <x:v>4.09</x:v>
      </x:c>
      <x:c r="K39" s="128" t="n">
        <x:f>K38+J38</x:f>
        <x:v>67.03999999999999</x:v>
      </x:c>
      <x:c r="L39" s="118" t="str">
        <x:f>IF(I39=0,"Cap",IF(J39&lt;0.5,"Too fast",IF(J39&gt;14,"Slow","OK")))</x:f>
        <x:v>OK</x:v>
      </x:c>
    </x:row>
    <x:row r="40" ht="15" hidden="0" customHeight="1">
      <x:c r="A40" s="118" t="n">
        <x:v>37</x:v>
      </x:c>
      <x:c r="B40" s="118" t="str">
        <x:f>IFERROR(INDEX('XP Curve'!$H$4:$H$73,MATCH(A40,'XP Curve'!$A$4:$A$73,0)),"")</x:f>
        <x:v>Large Tank 4</x:v>
      </x:c>
      <x:c r="C40" s="118" t="n">
        <x:f>COUNTIF('Tanks &amp; Social'!$B$4:$B$11,"&lt;="&amp;A40)</x:f>
        <x:v>5</x:v>
      </x:c>
      <x:c r="D40" s="118" t="n">
        <x:f>C40*Inputs!$B$8+MAX(0,C40-1)*8+IF(A40&gt;=40,10,IF(A40&gt;=25,5,0))</x:f>
        <x:v>87</x:v>
      </x:c>
      <x:c r="E40" s="121" t="n">
        <x:f>ROUND(Inputs!$B$70+(A40-Inputs!$B$68)*(Inputs!$B$71-Inputs!$B$70)/(Inputs!$B$69-Inputs!$B$68),1)</x:f>
        <x:v>396.1</x:v>
      </x:c>
      <x:c r="F40" s="121" t="n">
        <x:f>ROUND(Inputs!$B$72+(A40-Inputs!$B$68)*(Inputs!$B$73-Inputs!$B$72)/(Inputs!$B$69-Inputs!$B$68),1)</x:f>
        <x:v>107</x:v>
      </x:c>
      <x:c r="G40" s="127" t="n">
        <x:f>ROUND(E40*D40*24*Inputs!$B$81,0)</x:f>
        <x:v>66165</x:v>
      </x:c>
      <x:c r="H40" s="127" t="n">
        <x:f>ROUND(F40*D40*24*Inputs!$B$82,0)</x:f>
        <x:v>17873</x:v>
      </x:c>
      <x:c r="I40" s="127" t="n">
        <x:f>IF(A40&lt;70,INDEX('XP Curve'!$F$4:$F$73,MATCH(A40+1,'XP Curve'!$A$4:$A$73,0)),0)</x:f>
        <x:v>76620</x:v>
      </x:c>
      <x:c r="J40" s="128" t="n">
        <x:f>IF(I40=0,0,ROUND(I40/MAX(1,H40),2))</x:f>
        <x:v>4.29</x:v>
      </x:c>
      <x:c r="K40" s="128" t="n">
        <x:f>K39+J39</x:f>
        <x:v>71.13</x:v>
      </x:c>
      <x:c r="L40" s="118" t="str">
        <x:f>IF(I40=0,"Cap",IF(J40&lt;0.5,"Too fast",IF(J40&gt;14,"Slow","OK")))</x:f>
        <x:v>OK</x:v>
      </x:c>
    </x:row>
    <x:row r="41" ht="15" hidden="0" customHeight="1">
      <x:c r="A41" s="118" t="n">
        <x:v>38</x:v>
      </x:c>
      <x:c r="B41" s="118" t="str">
        <x:f>IFERROR(INDEX('XP Curve'!$H$4:$H$73,MATCH(A41,'XP Curve'!$A$4:$A$73,0)),"")</x:f>
        <x:v>Blueline Triggerfish (R)</x:v>
      </x:c>
      <x:c r="C41" s="118" t="n">
        <x:f>COUNTIF('Tanks &amp; Social'!$B$4:$B$11,"&lt;="&amp;A41)</x:f>
        <x:v>5</x:v>
      </x:c>
      <x:c r="D41" s="118" t="n">
        <x:f>C41*Inputs!$B$8+MAX(0,C41-1)*8+IF(A41&gt;=40,10,IF(A41&gt;=25,5,0))</x:f>
        <x:v>87</x:v>
      </x:c>
      <x:c r="E41" s="121" t="n">
        <x:f>ROUND(Inputs!$B$70+(A41-Inputs!$B$68)*(Inputs!$B$71-Inputs!$B$70)/(Inputs!$B$69-Inputs!$B$68),1)</x:f>
        <x:v>401.8</x:v>
      </x:c>
      <x:c r="F41" s="121" t="n">
        <x:f>ROUND(Inputs!$B$72+(A41-Inputs!$B$68)*(Inputs!$B$73-Inputs!$B$72)/(Inputs!$B$69-Inputs!$B$68),1)</x:f>
        <x:v>108.3</x:v>
      </x:c>
      <x:c r="G41" s="127" t="n">
        <x:f>ROUND(E41*D41*24*Inputs!$B$81,0)</x:f>
        <x:v>67117</x:v>
      </x:c>
      <x:c r="H41" s="127" t="n">
        <x:f>ROUND(F41*D41*24*Inputs!$B$82,0)</x:f>
        <x:v>18090</x:v>
      </x:c>
      <x:c r="I41" s="127" t="n">
        <x:f>IF(A41&lt;70,INDEX('XP Curve'!$F$4:$F$73,MATCH(A41+1,'XP Curve'!$A$4:$A$73,0)),0)</x:f>
        <x:v>81080</x:v>
      </x:c>
      <x:c r="J41" s="128" t="n">
        <x:f>IF(I41=0,0,ROUND(I41/MAX(1,H41),2))</x:f>
        <x:v>4.48</x:v>
      </x:c>
      <x:c r="K41" s="128" t="n">
        <x:f>K40+J40</x:f>
        <x:v>75.42</x:v>
      </x:c>
      <x:c r="L41" s="118" t="str">
        <x:f>IF(I41=0,"Cap",IF(J41&lt;0.5,"Too fast",IF(J41&gt;14,"Slow","OK")))</x:f>
        <x:v>OK</x:v>
      </x:c>
    </x:row>
    <x:row r="42" ht="15" hidden="0" customHeight="1">
      <x:c r="A42" s="118" t="n">
        <x:v>39</x:v>
      </x:c>
      <x:c r="B42" s="118" t="str">
        <x:f>IFERROR(INDEX('XP Curve'!$H$4:$H$73,MATCH(A42,'XP Curve'!$A$4:$A$73,0)),"")</x:f>
      </x:c>
      <x:c r="C42" s="118" t="n">
        <x:f>COUNTIF('Tanks &amp; Social'!$B$4:$B$11,"&lt;="&amp;A42)</x:f>
        <x:v>5</x:v>
      </x:c>
      <x:c r="D42" s="118" t="n">
        <x:f>C42*Inputs!$B$8+MAX(0,C42-1)*8+IF(A42&gt;=40,10,IF(A42&gt;=25,5,0))</x:f>
        <x:v>87</x:v>
      </x:c>
      <x:c r="E42" s="121" t="n">
        <x:f>ROUND(Inputs!$B$70+(A42-Inputs!$B$68)*(Inputs!$B$71-Inputs!$B$70)/(Inputs!$B$69-Inputs!$B$68),1)</x:f>
        <x:v>407.5</x:v>
      </x:c>
      <x:c r="F42" s="121" t="n">
        <x:f>ROUND(Inputs!$B$72+(A42-Inputs!$B$68)*(Inputs!$B$73-Inputs!$B$72)/(Inputs!$B$69-Inputs!$B$68),1)</x:f>
        <x:v>109.6</x:v>
      </x:c>
      <x:c r="G42" s="127" t="n">
        <x:f>ROUND(E42*D42*24*Inputs!$B$81,0)</x:f>
        <x:v>68069</x:v>
      </x:c>
      <x:c r="H42" s="127" t="n">
        <x:f>ROUND(F42*D42*24*Inputs!$B$82,0)</x:f>
        <x:v>18308</x:v>
      </x:c>
      <x:c r="I42" s="127" t="n">
        <x:f>IF(A42&lt;70,INDEX('XP Curve'!$F$4:$F$73,MATCH(A42+1,'XP Curve'!$A$4:$A$73,0)),0)</x:f>
        <x:v>85670</x:v>
      </x:c>
      <x:c r="J42" s="128" t="n">
        <x:f>IF(I42=0,0,ROUND(I42/MAX(1,H42),2))</x:f>
        <x:v>4.68</x:v>
      </x:c>
      <x:c r="K42" s="128" t="n">
        <x:f>K41+J41</x:f>
        <x:v>79.9</x:v>
      </x:c>
      <x:c r="L42" s="118" t="str">
        <x:f>IF(I42=0,"Cap",IF(J42&lt;0.5,"Too fast",IF(J42&gt;14,"Slow","OK")))</x:f>
        <x:v>OK</x:v>
      </x:c>
    </x:row>
    <x:row r="43" ht="39.599998474121094" hidden="0" customHeight="1">
      <x:c r="A43" s="118" t="n">
        <x:v>40</x:v>
      </x:c>
      <x:c r="B43" s="118" t="str">
        <x:f>IFERROR(INDEX('XP Curve'!$H$4:$H$73,MATCH(A43,'XP Curve'!$A$4:$A$73,0)),"")</x:f>
        <x:v>Queen Angelfish (E); Platinum Arowana [Pearls]; Medium Tank 5  &lt;&lt; LAUNCH LEVEL CAP, capstone pacing</x:v>
      </x:c>
      <x:c r="C43" s="118" t="n">
        <x:f>COUNTIF('Tanks &amp; Social'!$B$4:$B$11,"&lt;="&amp;A43)</x:f>
        <x:v>5</x:v>
      </x:c>
      <x:c r="D43" s="118" t="n">
        <x:f>C43*Inputs!$B$8+MAX(0,C43-1)*8+IF(A43&gt;=40,10,IF(A43&gt;=25,5,0))</x:f>
        <x:v>92</x:v>
      </x:c>
      <x:c r="E43" s="121" t="n">
        <x:f>ROUND(Inputs!$B$70+(A43-Inputs!$B$68)*(Inputs!$B$71-Inputs!$B$70)/(Inputs!$B$69-Inputs!$B$68),1)</x:f>
        <x:v>413.3</x:v>
      </x:c>
      <x:c r="F43" s="121" t="n">
        <x:f>ROUND(Inputs!$B$72+(A43-Inputs!$B$68)*(Inputs!$B$73-Inputs!$B$72)/(Inputs!$B$69-Inputs!$B$68),1)</x:f>
        <x:v>110.9</x:v>
      </x:c>
      <x:c r="G43" s="127" t="n">
        <x:f>ROUND(E43*D43*24*Inputs!$B$81,0)</x:f>
        <x:v>73005</x:v>
      </x:c>
      <x:c r="H43" s="127" t="n">
        <x:f>ROUND(F43*D43*24*Inputs!$B$82,0)</x:f>
        <x:v>19589</x:v>
      </x:c>
      <x:c r="I43" s="127" t="n">
        <x:f>IF(A43&lt;70,INDEX('XP Curve'!$F$4:$F$73,MATCH(A43+1,'XP Curve'!$A$4:$A$73,0)),0)</x:f>
        <x:v>90390</x:v>
      </x:c>
      <x:c r="J43" s="128" t="n">
        <x:f>IF(I43=0,0,ROUND(I43/MAX(1,H43),2))</x:f>
        <x:v>4.61</x:v>
      </x:c>
      <x:c r="K43" s="128" t="n">
        <x:f>K42+J42</x:f>
        <x:v>84.58000000000001</x:v>
      </x:c>
      <x:c r="L43" s="118" t="str">
        <x:f>IF(I43=0,"Cap",IF(J43&lt;0.5,"Too fast",IF(J43&gt;14,"Slow","OK")))</x:f>
        <x:v>OK</x:v>
      </x:c>
    </x:row>
    <x:row r="44" ht="15" hidden="0" customHeight="1">
      <x:c r="A44" s="118" t="n">
        <x:v>41</x:v>
      </x:c>
      <x:c r="B44" s="118" t="str">
        <x:f>IFERROR(INDEX('XP Curve'!$H$4:$H$73,MATCH(A44,'XP Curve'!$A$4:$A$73,0)),"")</x:f>
        <x:v>Post-launch: roadmap wave content</x:v>
      </x:c>
      <x:c r="C44" s="118" t="n">
        <x:f>COUNTIF('Tanks &amp; Social'!$B$4:$B$11,"&lt;="&amp;A44)</x:f>
        <x:v>5</x:v>
      </x:c>
      <x:c r="D44" s="118" t="n">
        <x:f>C44*Inputs!$B$8+MAX(0,C44-1)*8+IF(A44&gt;=40,10,IF(A44&gt;=25,5,0))</x:f>
        <x:v>92</x:v>
      </x:c>
      <x:c r="E44" s="121" t="n">
        <x:f>ROUND(Inputs!$B$70+(A44-Inputs!$B$68)*(Inputs!$B$71-Inputs!$B$70)/(Inputs!$B$69-Inputs!$B$68),1)</x:f>
        <x:v>419</x:v>
      </x:c>
      <x:c r="F44" s="121" t="n">
        <x:f>ROUND(Inputs!$B$72+(A44-Inputs!$B$68)*(Inputs!$B$73-Inputs!$B$72)/(Inputs!$B$69-Inputs!$B$68),1)</x:f>
        <x:v>112.2</x:v>
      </x:c>
      <x:c r="G44" s="127" t="n">
        <x:f>ROUND(E44*D44*24*Inputs!$B$81,0)</x:f>
        <x:v>74012</x:v>
      </x:c>
      <x:c r="H44" s="127" t="n">
        <x:f>ROUND(F44*D44*24*Inputs!$B$82,0)</x:f>
        <x:v>19819</x:v>
      </x:c>
      <x:c r="I44" s="127" t="n">
        <x:f>IF(A44&lt;70,INDEX('XP Curve'!$F$4:$F$73,MATCH(A44+1,'XP Curve'!$A$4:$A$73,0)),0)</x:f>
        <x:v>95230</x:v>
      </x:c>
      <x:c r="J44" s="128" t="n">
        <x:f>IF(I44=0,0,ROUND(I44/MAX(1,H44),2))</x:f>
        <x:v>4.8</x:v>
      </x:c>
      <x:c r="K44" s="128" t="n">
        <x:f>K43+J43</x:f>
        <x:v>89.19000000000001</x:v>
      </x:c>
      <x:c r="L44" s="118" t="str">
        <x:f>IF(I44=0,"Cap",IF(J44&lt;0.5,"Too fast",IF(J44&gt;14,"Slow","OK")))</x:f>
        <x:v>OK</x:v>
      </x:c>
    </x:row>
    <x:row r="45" ht="15" hidden="0" customHeight="1">
      <x:c r="A45" s="118" t="n">
        <x:v>42</x:v>
      </x:c>
      <x:c r="B45" s="118" t="str">
        <x:f>IFERROR(INDEX('XP Curve'!$H$4:$H$73,MATCH(A45,'XP Curve'!$A$4:$A$73,0)),"")</x:f>
        <x:v>Post-launch: roadmap wave content</x:v>
      </x:c>
      <x:c r="C45" s="118" t="n">
        <x:f>COUNTIF('Tanks &amp; Social'!$B$4:$B$11,"&lt;="&amp;A45)</x:f>
        <x:v>5</x:v>
      </x:c>
      <x:c r="D45" s="118" t="n">
        <x:f>C45*Inputs!$B$8+MAX(0,C45-1)*8+IF(A45&gt;=40,10,IF(A45&gt;=25,5,0))</x:f>
        <x:v>92</x:v>
      </x:c>
      <x:c r="E45" s="121" t="n">
        <x:f>ROUND(Inputs!$B$70+(A45-Inputs!$B$68)*(Inputs!$B$71-Inputs!$B$70)/(Inputs!$B$69-Inputs!$B$68),1)</x:f>
        <x:v>424.7</x:v>
      </x:c>
      <x:c r="F45" s="121" t="n">
        <x:f>ROUND(Inputs!$B$72+(A45-Inputs!$B$68)*(Inputs!$B$73-Inputs!$B$72)/(Inputs!$B$69-Inputs!$B$68),1)</x:f>
        <x:v>113.5</x:v>
      </x:c>
      <x:c r="G45" s="127" t="n">
        <x:f>ROUND(E45*D45*24*Inputs!$B$81,0)</x:f>
        <x:v>75019</x:v>
      </x:c>
      <x:c r="H45" s="127" t="n">
        <x:f>ROUND(F45*D45*24*Inputs!$B$82,0)</x:f>
        <x:v>20049</x:v>
      </x:c>
      <x:c r="I45" s="127" t="n">
        <x:f>IF(A45&lt;70,INDEX('XP Curve'!$F$4:$F$73,MATCH(A45+1,'XP Curve'!$A$4:$A$73,0)),0)</x:f>
        <x:v>100210</x:v>
      </x:c>
      <x:c r="J45" s="128" t="n">
        <x:f>IF(I45=0,0,ROUND(I45/MAX(1,H45),2))</x:f>
        <x:v>5</x:v>
      </x:c>
      <x:c r="K45" s="128" t="n">
        <x:f>K44+J44</x:f>
        <x:v>93.99000000000001</x:v>
      </x:c>
      <x:c r="L45" s="118" t="str">
        <x:f>IF(I45=0,"Cap",IF(J45&lt;0.5,"Too fast",IF(J45&gt;14,"Slow","OK")))</x:f>
        <x:v>OK</x:v>
      </x:c>
    </x:row>
    <x:row r="46" ht="15" hidden="0" customHeight="1">
      <x:c r="A46" s="118" t="n">
        <x:v>43</x:v>
      </x:c>
      <x:c r="B46" s="118" t="str">
        <x:f>IFERROR(INDEX('XP Curve'!$H$4:$H$73,MATCH(A46,'XP Curve'!$A$4:$A$73,0)),"")</x:f>
        <x:v>Post-launch: Tank 6 unlock</x:v>
      </x:c>
      <x:c r="C46" s="118" t="n">
        <x:f>COUNTIF('Tanks &amp; Social'!$B$4:$B$11,"&lt;="&amp;A46)</x:f>
        <x:v>6</x:v>
      </x:c>
      <x:c r="D46" s="118" t="n">
        <x:f>C46*Inputs!$B$8+MAX(0,C46-1)*8+IF(A46&gt;=40,10,IF(A46&gt;=25,5,0))</x:f>
        <x:v>110</x:v>
      </x:c>
      <x:c r="E46" s="121" t="n">
        <x:f>ROUND(Inputs!$B$70+(A46-Inputs!$B$68)*(Inputs!$B$71-Inputs!$B$70)/(Inputs!$B$69-Inputs!$B$68),1)</x:f>
        <x:v>430.4</x:v>
      </x:c>
      <x:c r="F46" s="121" t="n">
        <x:f>ROUND(Inputs!$B$72+(A46-Inputs!$B$68)*(Inputs!$B$73-Inputs!$B$72)/(Inputs!$B$69-Inputs!$B$68),1)</x:f>
        <x:v>114.8</x:v>
      </x:c>
      <x:c r="G46" s="127" t="n">
        <x:f>ROUND(E46*D46*24*Inputs!$B$81,0)</x:f>
        <x:v>90900</x:v>
      </x:c>
      <x:c r="H46" s="127" t="n">
        <x:f>ROUND(F46*D46*24*Inputs!$B$82,0)</x:f>
        <x:v>24246</x:v>
      </x:c>
      <x:c r="I46" s="127" t="n">
        <x:f>IF(A46&lt;70,INDEX('XP Curve'!$F$4:$F$73,MATCH(A46+1,'XP Curve'!$A$4:$A$73,0)),0)</x:f>
        <x:v>105310</x:v>
      </x:c>
      <x:c r="J46" s="128" t="n">
        <x:f>IF(I46=0,0,ROUND(I46/MAX(1,H46),2))</x:f>
        <x:v>4.34</x:v>
      </x:c>
      <x:c r="K46" s="128" t="n">
        <x:f>K45+J45</x:f>
        <x:v>98.99000000000001</x:v>
      </x:c>
      <x:c r="L46" s="118" t="str">
        <x:f>IF(I46=0,"Cap",IF(J46&lt;0.5,"Too fast",IF(J46&gt;14,"Slow","OK")))</x:f>
        <x:v>OK</x:v>
      </x:c>
    </x:row>
    <x:row r="47" ht="15" hidden="0" customHeight="1">
      <x:c r="A47" s="118" t="n">
        <x:v>44</x:v>
      </x:c>
      <x:c r="B47" s="118" t="str">
        <x:f>IFERROR(INDEX('XP Curve'!$H$4:$H$73,MATCH(A47,'XP Curve'!$A$4:$A$73,0)),"")</x:f>
        <x:v>Post-launch: roadmap wave content</x:v>
      </x:c>
      <x:c r="C47" s="118" t="n">
        <x:f>COUNTIF('Tanks &amp; Social'!$B$4:$B$11,"&lt;="&amp;A47)</x:f>
        <x:v>6</x:v>
      </x:c>
      <x:c r="D47" s="118" t="n">
        <x:f>C47*Inputs!$B$8+MAX(0,C47-1)*8+IF(A47&gt;=40,10,IF(A47&gt;=25,5,0))</x:f>
        <x:v>110</x:v>
      </x:c>
      <x:c r="E47" s="121" t="n">
        <x:f>ROUND(Inputs!$B$70+(A47-Inputs!$B$68)*(Inputs!$B$71-Inputs!$B$70)/(Inputs!$B$69-Inputs!$B$68),1)</x:f>
        <x:v>436.2</x:v>
      </x:c>
      <x:c r="F47" s="121" t="n">
        <x:f>ROUND(Inputs!$B$72+(A47-Inputs!$B$68)*(Inputs!$B$73-Inputs!$B$72)/(Inputs!$B$69-Inputs!$B$68),1)</x:f>
        <x:v>116.1</x:v>
      </x:c>
      <x:c r="G47" s="127" t="n">
        <x:f>ROUND(E47*D47*24*Inputs!$B$81,0)</x:f>
        <x:v>92125</x:v>
      </x:c>
      <x:c r="H47" s="127" t="n">
        <x:f>ROUND(F47*D47*24*Inputs!$B$82,0)</x:f>
        <x:v>24520</x:v>
      </x:c>
      <x:c r="I47" s="127" t="n">
        <x:f>IF(A47&lt;70,INDEX('XP Curve'!$F$4:$F$73,MATCH(A47+1,'XP Curve'!$A$4:$A$73,0)),0)</x:f>
        <x:v>110530</x:v>
      </x:c>
      <x:c r="J47" s="128" t="n">
        <x:f>IF(I47=0,0,ROUND(I47/MAX(1,H47),2))</x:f>
        <x:v>4.51</x:v>
      </x:c>
      <x:c r="K47" s="128" t="n">
        <x:f>K46+J46</x:f>
        <x:v>103.33000000000001</x:v>
      </x:c>
      <x:c r="L47" s="118" t="str">
        <x:f>IF(I47=0,"Cap",IF(J47&lt;0.5,"Too fast",IF(J47&gt;14,"Slow","OK")))</x:f>
        <x:v>OK</x:v>
      </x:c>
    </x:row>
    <x:row r="48" ht="15" hidden="0" customHeight="1">
      <x:c r="A48" s="118" t="n">
        <x:v>45</x:v>
      </x:c>
      <x:c r="B48" s="118" t="str">
        <x:f>IFERROR(INDEX('XP Curve'!$H$4:$H$73,MATCH(A48,'XP Curve'!$A$4:$A$73,0)),"")</x:f>
        <x:v>Post-launch: roadmap wave content</x:v>
      </x:c>
      <x:c r="C48" s="118" t="n">
        <x:f>COUNTIF('Tanks &amp; Social'!$B$4:$B$11,"&lt;="&amp;A48)</x:f>
        <x:v>6</x:v>
      </x:c>
      <x:c r="D48" s="118" t="n">
        <x:f>C48*Inputs!$B$8+MAX(0,C48-1)*8+IF(A48&gt;=40,10,IF(A48&gt;=25,5,0))</x:f>
        <x:v>110</x:v>
      </x:c>
      <x:c r="E48" s="121" t="n">
        <x:f>ROUND(Inputs!$B$70+(A48-Inputs!$B$68)*(Inputs!$B$71-Inputs!$B$70)/(Inputs!$B$69-Inputs!$B$68),1)</x:f>
        <x:v>441.9</x:v>
      </x:c>
      <x:c r="F48" s="121" t="n">
        <x:f>ROUND(Inputs!$B$72+(A48-Inputs!$B$68)*(Inputs!$B$73-Inputs!$B$72)/(Inputs!$B$69-Inputs!$B$68),1)</x:f>
        <x:v>117.4</x:v>
      </x:c>
      <x:c r="G48" s="127" t="n">
        <x:f>ROUND(E48*D48*24*Inputs!$B$81,0)</x:f>
        <x:v>93329</x:v>
      </x:c>
      <x:c r="H48" s="127" t="n">
        <x:f>ROUND(F48*D48*24*Inputs!$B$82,0)</x:f>
        <x:v>24795</x:v>
      </x:c>
      <x:c r="I48" s="127" t="n">
        <x:f>IF(A48&lt;70,INDEX('XP Curve'!$F$4:$F$73,MATCH(A48+1,'XP Curve'!$A$4:$A$73,0)),0)</x:f>
        <x:v>115890</x:v>
      </x:c>
      <x:c r="J48" s="128" t="n">
        <x:f>IF(I48=0,0,ROUND(I48/MAX(1,H48),2))</x:f>
        <x:v>4.67</x:v>
      </x:c>
      <x:c r="K48" s="128" t="n">
        <x:f>K47+J47</x:f>
        <x:v>107.84000000000002</x:v>
      </x:c>
      <x:c r="L48" s="118" t="str">
        <x:f>IF(I48=0,"Cap",IF(J48&lt;0.5,"Too fast",IF(J48&gt;14,"Slow","OK")))</x:f>
        <x:v>OK</x:v>
      </x:c>
    </x:row>
    <x:row r="49" ht="15" hidden="0" customHeight="1">
      <x:c r="A49" s="118" t="n">
        <x:v>46</x:v>
      </x:c>
      <x:c r="B49" s="118" t="str">
        <x:f>IFERROR(INDEX('XP Curve'!$H$4:$H$73,MATCH(A49,'XP Curve'!$A$4:$A$73,0)),"")</x:f>
        <x:v>Post-launch: Large Tank 5</x:v>
      </x:c>
      <x:c r="C49" s="118" t="n">
        <x:f>COUNTIF('Tanks &amp; Social'!$B$4:$B$11,"&lt;="&amp;A49)</x:f>
        <x:v>6</x:v>
      </x:c>
      <x:c r="D49" s="118" t="n">
        <x:f>C49*Inputs!$B$8+MAX(0,C49-1)*8+IF(A49&gt;=40,10,IF(A49&gt;=25,5,0))</x:f>
        <x:v>110</x:v>
      </x:c>
      <x:c r="E49" s="121" t="n">
        <x:f>ROUND(Inputs!$B$70+(A49-Inputs!$B$68)*(Inputs!$B$71-Inputs!$B$70)/(Inputs!$B$69-Inputs!$B$68),1)</x:f>
        <x:v>447.6</x:v>
      </x:c>
      <x:c r="F49" s="121" t="n">
        <x:f>ROUND(Inputs!$B$72+(A49-Inputs!$B$68)*(Inputs!$B$73-Inputs!$B$72)/(Inputs!$B$69-Inputs!$B$68),1)</x:f>
        <x:v>118.7</x:v>
      </x:c>
      <x:c r="G49" s="127" t="n">
        <x:f>ROUND(E49*D49*24*Inputs!$B$81,0)</x:f>
        <x:v>94533</x:v>
      </x:c>
      <x:c r="H49" s="127" t="n">
        <x:f>ROUND(F49*D49*24*Inputs!$B$82,0)</x:f>
        <x:v>25069</x:v>
      </x:c>
      <x:c r="I49" s="127" t="n">
        <x:f>IF(A49&lt;70,INDEX('XP Curve'!$F$4:$F$73,MATCH(A49+1,'XP Curve'!$A$4:$A$73,0)),0)</x:f>
        <x:v>121370</x:v>
      </x:c>
      <x:c r="J49" s="128" t="n">
        <x:f>IF(I49=0,0,ROUND(I49/MAX(1,H49),2))</x:f>
        <x:v>4.84</x:v>
      </x:c>
      <x:c r="K49" s="128" t="n">
        <x:f>K48+J48</x:f>
        <x:v>112.51000000000002</x:v>
      </x:c>
      <x:c r="L49" s="118" t="str">
        <x:f>IF(I49=0,"Cap",IF(J49&lt;0.5,"Too fast",IF(J49&gt;14,"Slow","OK")))</x:f>
        <x:v>OK</x:v>
      </x:c>
    </x:row>
    <x:row r="50" ht="15" hidden="0" customHeight="1">
      <x:c r="A50" s="118" t="n">
        <x:v>47</x:v>
      </x:c>
      <x:c r="B50" s="118" t="str">
        <x:f>IFERROR(INDEX('XP Curve'!$H$4:$H$73,MATCH(A50,'XP Curve'!$A$4:$A$73,0)),"")</x:f>
        <x:v>Post-launch: roadmap wave content</x:v>
      </x:c>
      <x:c r="C50" s="118" t="n">
        <x:f>COUNTIF('Tanks &amp; Social'!$B$4:$B$11,"&lt;="&amp;A50)</x:f>
        <x:v>6</x:v>
      </x:c>
      <x:c r="D50" s="118" t="n">
        <x:f>C50*Inputs!$B$8+MAX(0,C50-1)*8+IF(A50&gt;=40,10,IF(A50&gt;=25,5,0))</x:f>
        <x:v>110</x:v>
      </x:c>
      <x:c r="E50" s="121" t="n">
        <x:f>ROUND(Inputs!$B$70+(A50-Inputs!$B$68)*(Inputs!$B$71-Inputs!$B$70)/(Inputs!$B$69-Inputs!$B$68),1)</x:f>
        <x:v>453.3</x:v>
      </x:c>
      <x:c r="F50" s="121" t="n">
        <x:f>ROUND(Inputs!$B$72+(A50-Inputs!$B$68)*(Inputs!$B$73-Inputs!$B$72)/(Inputs!$B$69-Inputs!$B$68),1)</x:f>
        <x:v>120</x:v>
      </x:c>
      <x:c r="G50" s="127" t="n">
        <x:f>ROUND(E50*D50*24*Inputs!$B$81,0)</x:f>
        <x:v>95737</x:v>
      </x:c>
      <x:c r="H50" s="127" t="n">
        <x:f>ROUND(F50*D50*24*Inputs!$B$82,0)</x:f>
        <x:v>25344</x:v>
      </x:c>
      <x:c r="I50" s="127" t="n">
        <x:f>IF(A50&lt;70,INDEX('XP Curve'!$F$4:$F$73,MATCH(A50+1,'XP Curve'!$A$4:$A$73,0)),0)</x:f>
        <x:v>126980</x:v>
      </x:c>
      <x:c r="J50" s="128" t="n">
        <x:f>IF(I50=0,0,ROUND(I50/MAX(1,H50),2))</x:f>
        <x:v>5.01</x:v>
      </x:c>
      <x:c r="K50" s="128" t="n">
        <x:f>K49+J49</x:f>
        <x:v>117.35000000000002</x:v>
      </x:c>
      <x:c r="L50" s="118" t="str">
        <x:f>IF(I50=0,"Cap",IF(J50&lt;0.5,"Too fast",IF(J50&gt;14,"Slow","OK")))</x:f>
        <x:v>OK</x:v>
      </x:c>
    </x:row>
    <x:row r="51" ht="15" hidden="0" customHeight="1">
      <x:c r="A51" s="118" t="n">
        <x:v>48</x:v>
      </x:c>
      <x:c r="B51" s="118" t="str">
        <x:f>IFERROR(INDEX('XP Curve'!$H$4:$H$73,MATCH(A51,'XP Curve'!$A$4:$A$73,0)),"")</x:f>
        <x:v>Post-launch: roadmap wave content</x:v>
      </x:c>
      <x:c r="C51" s="118" t="n">
        <x:f>COUNTIF('Tanks &amp; Social'!$B$4:$B$11,"&lt;="&amp;A51)</x:f>
        <x:v>6</x:v>
      </x:c>
      <x:c r="D51" s="118" t="n">
        <x:f>C51*Inputs!$B$8+MAX(0,C51-1)*8+IF(A51&gt;=40,10,IF(A51&gt;=25,5,0))</x:f>
        <x:v>110</x:v>
      </x:c>
      <x:c r="E51" s="121" t="n">
        <x:f>ROUND(Inputs!$B$70+(A51-Inputs!$B$68)*(Inputs!$B$71-Inputs!$B$70)/(Inputs!$B$69-Inputs!$B$68),1)</x:f>
        <x:v>459.1</x:v>
      </x:c>
      <x:c r="F51" s="121" t="n">
        <x:f>ROUND(Inputs!$B$72+(A51-Inputs!$B$68)*(Inputs!$B$73-Inputs!$B$72)/(Inputs!$B$69-Inputs!$B$68),1)</x:f>
        <x:v>121.3</x:v>
      </x:c>
      <x:c r="G51" s="127" t="n">
        <x:f>ROUND(E51*D51*24*Inputs!$B$81,0)</x:f>
        <x:v>96962</x:v>
      </x:c>
      <x:c r="H51" s="127" t="n">
        <x:f>ROUND(F51*D51*24*Inputs!$B$82,0)</x:f>
        <x:v>25619</x:v>
      </x:c>
      <x:c r="I51" s="127" t="n">
        <x:f>IF(A51&lt;70,INDEX('XP Curve'!$F$4:$F$73,MATCH(A51+1,'XP Curve'!$A$4:$A$73,0)),0)</x:f>
        <x:v>132720</x:v>
      </x:c>
      <x:c r="J51" s="128" t="n">
        <x:f>IF(I51=0,0,ROUND(I51/MAX(1,H51),2))</x:f>
        <x:v>5.18</x:v>
      </x:c>
      <x:c r="K51" s="128" t="n">
        <x:f>K50+J50</x:f>
        <x:v>122.36000000000003</x:v>
      </x:c>
      <x:c r="L51" s="118" t="str">
        <x:f>IF(I51=0,"Cap",IF(J51&lt;0.5,"Too fast",IF(J51&gt;14,"Slow","OK")))</x:f>
        <x:v>OK</x:v>
      </x:c>
    </x:row>
    <x:row r="52" ht="15" hidden="0" customHeight="1">
      <x:c r="A52" s="118" t="n">
        <x:v>49</x:v>
      </x:c>
      <x:c r="B52" s="118" t="str">
        <x:f>IFERROR(INDEX('XP Curve'!$H$4:$H$73,MATCH(A52,'XP Curve'!$A$4:$A$73,0)),"")</x:f>
        <x:v>Post-launch: Medium Tank 6</x:v>
      </x:c>
      <x:c r="C52" s="118" t="n">
        <x:f>COUNTIF('Tanks &amp; Social'!$B$4:$B$11,"&lt;="&amp;A52)</x:f>
        <x:v>6</x:v>
      </x:c>
      <x:c r="D52" s="118" t="n">
        <x:f>C52*Inputs!$B$8+MAX(0,C52-1)*8+IF(A52&gt;=40,10,IF(A52&gt;=25,5,0))</x:f>
        <x:v>110</x:v>
      </x:c>
      <x:c r="E52" s="121" t="n">
        <x:f>ROUND(Inputs!$B$70+(A52-Inputs!$B$68)*(Inputs!$B$71-Inputs!$B$70)/(Inputs!$B$69-Inputs!$B$68),1)</x:f>
        <x:v>464.8</x:v>
      </x:c>
      <x:c r="F52" s="121" t="n">
        <x:f>ROUND(Inputs!$B$72+(A52-Inputs!$B$68)*(Inputs!$B$73-Inputs!$B$72)/(Inputs!$B$69-Inputs!$B$68),1)</x:f>
        <x:v>122.6</x:v>
      </x:c>
      <x:c r="G52" s="127" t="n">
        <x:f>ROUND(E52*D52*24*Inputs!$B$81,0)</x:f>
        <x:v>98166</x:v>
      </x:c>
      <x:c r="H52" s="127" t="n">
        <x:f>ROUND(F52*D52*24*Inputs!$B$82,0)</x:f>
        <x:v>25893</x:v>
      </x:c>
      <x:c r="I52" s="127" t="n">
        <x:f>IF(A52&lt;70,INDEX('XP Curve'!$F$4:$F$73,MATCH(A52+1,'XP Curve'!$A$4:$A$73,0)),0)</x:f>
        <x:v>138580</x:v>
      </x:c>
      <x:c r="J52" s="128" t="n">
        <x:f>IF(I52=0,0,ROUND(I52/MAX(1,H52),2))</x:f>
        <x:v>5.35</x:v>
      </x:c>
      <x:c r="K52" s="128" t="n">
        <x:f>K51+J51</x:f>
        <x:v>127.54000000000002</x:v>
      </x:c>
      <x:c r="L52" s="118" t="str">
        <x:f>IF(I52=0,"Cap",IF(J52&lt;0.5,"Too fast",IF(J52&gt;14,"Slow","OK")))</x:f>
        <x:v>OK</x:v>
      </x:c>
    </x:row>
    <x:row r="53" ht="15" hidden="0" customHeight="1">
      <x:c r="A53" s="118" t="n">
        <x:v>50</x:v>
      </x:c>
      <x:c r="B53" s="118" t="str">
        <x:f>IFERROR(INDEX('XP Curve'!$H$4:$H$73,MATCH(A53,'XP Curve'!$A$4:$A$73,0)),"")</x:f>
        <x:v>Post-launch: roadmap wave content</x:v>
      </x:c>
      <x:c r="C53" s="118" t="n">
        <x:f>COUNTIF('Tanks &amp; Social'!$B$4:$B$11,"&lt;="&amp;A53)</x:f>
        <x:v>6</x:v>
      </x:c>
      <x:c r="D53" s="118" t="n">
        <x:f>C53*Inputs!$B$8+MAX(0,C53-1)*8+IF(A53&gt;=40,10,IF(A53&gt;=25,5,0))</x:f>
        <x:v>110</x:v>
      </x:c>
      <x:c r="E53" s="121" t="n">
        <x:f>ROUND(Inputs!$B$70+(A53-Inputs!$B$68)*(Inputs!$B$71-Inputs!$B$70)/(Inputs!$B$69-Inputs!$B$68),1)</x:f>
        <x:v>470.5</x:v>
      </x:c>
      <x:c r="F53" s="121" t="n">
        <x:f>ROUND(Inputs!$B$72+(A53-Inputs!$B$68)*(Inputs!$B$73-Inputs!$B$72)/(Inputs!$B$69-Inputs!$B$68),1)</x:f>
        <x:v>123.9</x:v>
      </x:c>
      <x:c r="G53" s="127" t="n">
        <x:f>ROUND(E53*D53*24*Inputs!$B$81,0)</x:f>
        <x:v>99370</x:v>
      </x:c>
      <x:c r="H53" s="127" t="n">
        <x:f>ROUND(F53*D53*24*Inputs!$B$82,0)</x:f>
        <x:v>26168</x:v>
      </x:c>
      <x:c r="I53" s="127" t="n">
        <x:f>IF(A53&lt;70,INDEX('XP Curve'!$F$4:$F$73,MATCH(A53+1,'XP Curve'!$A$4:$A$73,0)),0)</x:f>
        <x:v>144580</x:v>
      </x:c>
      <x:c r="J53" s="128" t="n">
        <x:f>IF(I53=0,0,ROUND(I53/MAX(1,H53),2))</x:f>
        <x:v>5.53</x:v>
      </x:c>
      <x:c r="K53" s="128" t="n">
        <x:f>K52+J52</x:f>
        <x:v>132.89000000000001</x:v>
      </x:c>
      <x:c r="L53" s="118" t="str">
        <x:f>IF(I53=0,"Cap",IF(J53&lt;0.5,"Too fast",IF(J53&gt;14,"Slow","OK")))</x:f>
        <x:v>OK</x:v>
      </x:c>
    </x:row>
    <x:row r="54" ht="15" hidden="0" customHeight="1">
      <x:c r="A54" s="118" t="n">
        <x:v>51</x:v>
      </x:c>
      <x:c r="B54" s="118" t="str">
        <x:f>IFERROR(INDEX('XP Curve'!$H$4:$H$73,MATCH(A54,'XP Curve'!$A$4:$A$73,0)),"")</x:f>
        <x:v>Post-launch: roadmap wave content</x:v>
      </x:c>
      <x:c r="C54" s="118" t="n">
        <x:f>COUNTIF('Tanks &amp; Social'!$B$4:$B$11,"&lt;="&amp;A54)</x:f>
        <x:v>6</x:v>
      </x:c>
      <x:c r="D54" s="118" t="n">
        <x:f>C54*Inputs!$B$8+MAX(0,C54-1)*8+IF(A54&gt;=40,10,IF(A54&gt;=25,5,0))</x:f>
        <x:v>110</x:v>
      </x:c>
      <x:c r="E54" s="121" t="n">
        <x:f>ROUND(Inputs!$B$70+(A54-Inputs!$B$68)*(Inputs!$B$71-Inputs!$B$70)/(Inputs!$B$69-Inputs!$B$68),1)</x:f>
        <x:v>476.2</x:v>
      </x:c>
      <x:c r="F54" s="121" t="n">
        <x:f>ROUND(Inputs!$B$72+(A54-Inputs!$B$68)*(Inputs!$B$73-Inputs!$B$72)/(Inputs!$B$69-Inputs!$B$68),1)</x:f>
        <x:v>125.2</x:v>
      </x:c>
      <x:c r="G54" s="127" t="n">
        <x:f>ROUND(E54*D54*24*Inputs!$B$81,0)</x:f>
        <x:v>100573</x:v>
      </x:c>
      <x:c r="H54" s="127" t="n">
        <x:f>ROUND(F54*D54*24*Inputs!$B$82,0)</x:f>
        <x:v>26442</x:v>
      </x:c>
      <x:c r="I54" s="127" t="n">
        <x:f>IF(A54&lt;70,INDEX('XP Curve'!$F$4:$F$73,MATCH(A54+1,'XP Curve'!$A$4:$A$73,0)),0)</x:f>
        <x:v>150700</x:v>
      </x:c>
      <x:c r="J54" s="128" t="n">
        <x:f>IF(I54=0,0,ROUND(I54/MAX(1,H54),2))</x:f>
        <x:v>5.7</x:v>
      </x:c>
      <x:c r="K54" s="128" t="n">
        <x:f>K53+J53</x:f>
        <x:v>138.42000000000002</x:v>
      </x:c>
      <x:c r="L54" s="118" t="str">
        <x:f>IF(I54=0,"Cap",IF(J54&lt;0.5,"Too fast",IF(J54&gt;14,"Slow","OK")))</x:f>
        <x:v>OK</x:v>
      </x:c>
    </x:row>
    <x:row r="55" ht="15" hidden="0" customHeight="1">
      <x:c r="A55" s="118" t="n">
        <x:v>52</x:v>
      </x:c>
      <x:c r="B55" s="118" t="str">
        <x:f>IFERROR(INDEX('XP Curve'!$H$4:$H$73,MATCH(A55,'XP Curve'!$A$4:$A$73,0)),"")</x:f>
        <x:v>Post-launch: Tank 7 unlock</x:v>
      </x:c>
      <x:c r="C55" s="118" t="n">
        <x:f>COUNTIF('Tanks &amp; Social'!$B$4:$B$11,"&lt;="&amp;A55)</x:f>
        <x:v>7</x:v>
      </x:c>
      <x:c r="D55" s="118" t="n">
        <x:f>C55*Inputs!$B$8+MAX(0,C55-1)*8+IF(A55&gt;=40,10,IF(A55&gt;=25,5,0))</x:f>
        <x:v>128</x:v>
      </x:c>
      <x:c r="E55" s="121" t="n">
        <x:f>ROUND(Inputs!$B$70+(A55-Inputs!$B$68)*(Inputs!$B$71-Inputs!$B$70)/(Inputs!$B$69-Inputs!$B$68),1)</x:f>
        <x:v>482</x:v>
      </x:c>
      <x:c r="F55" s="121" t="n">
        <x:f>ROUND(Inputs!$B$72+(A55-Inputs!$B$68)*(Inputs!$B$73-Inputs!$B$72)/(Inputs!$B$69-Inputs!$B$68),1)</x:f>
        <x:v>126.5</x:v>
      </x:c>
      <x:c r="G55" s="127" t="n">
        <x:f>ROUND(E55*D55*24*Inputs!$B$81,0)</x:f>
        <x:v>118456</x:v>
      </x:c>
      <x:c r="H55" s="127" t="n">
        <x:f>ROUND(F55*D55*24*Inputs!$B$82,0)</x:f>
        <x:v>31089</x:v>
      </x:c>
      <x:c r="I55" s="127" t="n">
        <x:f>IF(A55&lt;70,INDEX('XP Curve'!$F$4:$F$73,MATCH(A55+1,'XP Curve'!$A$4:$A$73,0)),0)</x:f>
        <x:v>156940</x:v>
      </x:c>
      <x:c r="J55" s="128" t="n">
        <x:f>IF(I55=0,0,ROUND(I55/MAX(1,H55),2))</x:f>
        <x:v>5.05</x:v>
      </x:c>
      <x:c r="K55" s="128" t="n">
        <x:f>K54+J54</x:f>
        <x:v>144.12</x:v>
      </x:c>
      <x:c r="L55" s="118" t="str">
        <x:f>IF(I55=0,"Cap",IF(J55&lt;0.5,"Too fast",IF(J55&gt;14,"Slow","OK")))</x:f>
        <x:v>OK</x:v>
      </x:c>
    </x:row>
    <x:row r="56" ht="15" hidden="0" customHeight="1">
      <x:c r="A56" s="118" t="n">
        <x:v>53</x:v>
      </x:c>
      <x:c r="B56" s="118" t="str">
        <x:f>IFERROR(INDEX('XP Curve'!$H$4:$H$73,MATCH(A56,'XP Curve'!$A$4:$A$73,0)),"")</x:f>
        <x:v>Post-launch: roadmap wave content</x:v>
      </x:c>
      <x:c r="C56" s="118" t="n">
        <x:f>COUNTIF('Tanks &amp; Social'!$B$4:$B$11,"&lt;="&amp;A56)</x:f>
        <x:v>7</x:v>
      </x:c>
      <x:c r="D56" s="118" t="n">
        <x:f>C56*Inputs!$B$8+MAX(0,C56-1)*8+IF(A56&gt;=40,10,IF(A56&gt;=25,5,0))</x:f>
        <x:v>128</x:v>
      </x:c>
      <x:c r="E56" s="121" t="n">
        <x:f>ROUND(Inputs!$B$70+(A56-Inputs!$B$68)*(Inputs!$B$71-Inputs!$B$70)/(Inputs!$B$69-Inputs!$B$68),1)</x:f>
        <x:v>487.7</x:v>
      </x:c>
      <x:c r="F56" s="121" t="n">
        <x:f>ROUND(Inputs!$B$72+(A56-Inputs!$B$68)*(Inputs!$B$73-Inputs!$B$72)/(Inputs!$B$69-Inputs!$B$68),1)</x:f>
        <x:v>127.8</x:v>
      </x:c>
      <x:c r="G56" s="127" t="n">
        <x:f>ROUND(E56*D56*24*Inputs!$B$81,0)</x:f>
        <x:v>119857</x:v>
      </x:c>
      <x:c r="H56" s="127" t="n">
        <x:f>ROUND(F56*D56*24*Inputs!$B$82,0)</x:f>
        <x:v>31408</x:v>
      </x:c>
      <x:c r="I56" s="127" t="n">
        <x:f>IF(A56&lt;70,INDEX('XP Curve'!$F$4:$F$73,MATCH(A56+1,'XP Curve'!$A$4:$A$73,0)),0)</x:f>
        <x:v>163320</x:v>
      </x:c>
      <x:c r="J56" s="128" t="n">
        <x:f>IF(I56=0,0,ROUND(I56/MAX(1,H56),2))</x:f>
        <x:v>5.2</x:v>
      </x:c>
      <x:c r="K56" s="128" t="n">
        <x:f>K55+J55</x:f>
        <x:v>149.17000000000002</x:v>
      </x:c>
      <x:c r="L56" s="118" t="str">
        <x:f>IF(I56=0,"Cap",IF(J56&lt;0.5,"Too fast",IF(J56&gt;14,"Slow","OK")))</x:f>
        <x:v>OK</x:v>
      </x:c>
    </x:row>
    <x:row r="57" ht="15" hidden="0" customHeight="1">
      <x:c r="A57" s="118" t="n">
        <x:v>54</x:v>
      </x:c>
      <x:c r="B57" s="118" t="str">
        <x:f>IFERROR(INDEX('XP Curve'!$H$4:$H$73,MATCH(A57,'XP Curve'!$A$4:$A$73,0)),"")</x:f>
        <x:v>Post-launch: roadmap wave content</x:v>
      </x:c>
      <x:c r="C57" s="118" t="n">
        <x:f>COUNTIF('Tanks &amp; Social'!$B$4:$B$11,"&lt;="&amp;A57)</x:f>
        <x:v>7</x:v>
      </x:c>
      <x:c r="D57" s="118" t="n">
        <x:f>C57*Inputs!$B$8+MAX(0,C57-1)*8+IF(A57&gt;=40,10,IF(A57&gt;=25,5,0))</x:f>
        <x:v>128</x:v>
      </x:c>
      <x:c r="E57" s="121" t="n">
        <x:f>ROUND(Inputs!$B$70+(A57-Inputs!$B$68)*(Inputs!$B$71-Inputs!$B$70)/(Inputs!$B$69-Inputs!$B$68),1)</x:f>
        <x:v>493.4</x:v>
      </x:c>
      <x:c r="F57" s="121" t="n">
        <x:f>ROUND(Inputs!$B$72+(A57-Inputs!$B$68)*(Inputs!$B$73-Inputs!$B$72)/(Inputs!$B$69-Inputs!$B$68),1)</x:f>
        <x:v>129.1</x:v>
      </x:c>
      <x:c r="G57" s="127" t="n">
        <x:f>ROUND(E57*D57*24*Inputs!$B$81,0)</x:f>
        <x:v>121258</x:v>
      </x:c>
      <x:c r="H57" s="127" t="n">
        <x:f>ROUND(F57*D57*24*Inputs!$B$82,0)</x:f>
        <x:v>31728</x:v>
      </x:c>
      <x:c r="I57" s="127" t="n">
        <x:f>IF(A57&lt;70,INDEX('XP Curve'!$F$4:$F$73,MATCH(A57+1,'XP Curve'!$A$4:$A$73,0)),0)</x:f>
        <x:v>169820</x:v>
      </x:c>
      <x:c r="J57" s="128" t="n">
        <x:f>IF(I57=0,0,ROUND(I57/MAX(1,H57),2))</x:f>
        <x:v>5.35</x:v>
      </x:c>
      <x:c r="K57" s="128" t="n">
        <x:f>K56+J56</x:f>
        <x:v>154.37</x:v>
      </x:c>
      <x:c r="L57" s="118" t="str">
        <x:f>IF(I57=0,"Cap",IF(J57&lt;0.5,"Too fast",IF(J57&gt;14,"Slow","OK")))</x:f>
        <x:v>OK</x:v>
      </x:c>
    </x:row>
    <x:row r="58" ht="15" hidden="0" customHeight="1">
      <x:c r="A58" s="118" t="n">
        <x:v>55</x:v>
      </x:c>
      <x:c r="B58" s="118" t="str">
        <x:f>IFERROR(INDEX('XP Curve'!$H$4:$H$73,MATCH(A58,'XP Curve'!$A$4:$A$73,0)),"")</x:f>
        <x:v>Post-launch: Large Tank 6</x:v>
      </x:c>
      <x:c r="C58" s="118" t="n">
        <x:f>COUNTIF('Tanks &amp; Social'!$B$4:$B$11,"&lt;="&amp;A58)</x:f>
        <x:v>7</x:v>
      </x:c>
      <x:c r="D58" s="118" t="n">
        <x:f>C58*Inputs!$B$8+MAX(0,C58-1)*8+IF(A58&gt;=40,10,IF(A58&gt;=25,5,0))</x:f>
        <x:v>128</x:v>
      </x:c>
      <x:c r="E58" s="121" t="n">
        <x:f>ROUND(Inputs!$B$70+(A58-Inputs!$B$68)*(Inputs!$B$71-Inputs!$B$70)/(Inputs!$B$69-Inputs!$B$68),1)</x:f>
        <x:v>499.1</x:v>
      </x:c>
      <x:c r="F58" s="121" t="n">
        <x:f>ROUND(Inputs!$B$72+(A58-Inputs!$B$68)*(Inputs!$B$73-Inputs!$B$72)/(Inputs!$B$69-Inputs!$B$68),1)</x:f>
        <x:v>130.4</x:v>
      </x:c>
      <x:c r="G58" s="127" t="n">
        <x:f>ROUND(E58*D58*24*Inputs!$B$81,0)</x:f>
        <x:v>122659</x:v>
      </x:c>
      <x:c r="H58" s="127" t="n">
        <x:f>ROUND(F58*D58*24*Inputs!$B$82,0)</x:f>
        <x:v>32047</x:v>
      </x:c>
      <x:c r="I58" s="127" t="n">
        <x:f>IF(A58&lt;70,INDEX('XP Curve'!$F$4:$F$73,MATCH(A58+1,'XP Curve'!$A$4:$A$73,0)),0)</x:f>
        <x:v>176450</x:v>
      </x:c>
      <x:c r="J58" s="128" t="n">
        <x:f>IF(I58=0,0,ROUND(I58/MAX(1,H58),2))</x:f>
        <x:v>5.51</x:v>
      </x:c>
      <x:c r="K58" s="128" t="n">
        <x:f>K57+J57</x:f>
        <x:v>159.72</x:v>
      </x:c>
      <x:c r="L58" s="118" t="str">
        <x:f>IF(I58=0,"Cap",IF(J58&lt;0.5,"Too fast",IF(J58&gt;14,"Slow","OK")))</x:f>
        <x:v>OK</x:v>
      </x:c>
    </x:row>
    <x:row r="59" ht="15" hidden="0" customHeight="1">
      <x:c r="A59" s="118" t="n">
        <x:v>56</x:v>
      </x:c>
      <x:c r="B59" s="118" t="str">
        <x:f>IFERROR(INDEX('XP Curve'!$H$4:$H$73,MATCH(A59,'XP Curve'!$A$4:$A$73,0)),"")</x:f>
        <x:v>Post-launch: roadmap wave content</x:v>
      </x:c>
      <x:c r="C59" s="118" t="n">
        <x:f>COUNTIF('Tanks &amp; Social'!$B$4:$B$11,"&lt;="&amp;A59)</x:f>
        <x:v>7</x:v>
      </x:c>
      <x:c r="D59" s="118" t="n">
        <x:f>C59*Inputs!$B$8+MAX(0,C59-1)*8+IF(A59&gt;=40,10,IF(A59&gt;=25,5,0))</x:f>
        <x:v>128</x:v>
      </x:c>
      <x:c r="E59" s="121" t="n">
        <x:f>ROUND(Inputs!$B$70+(A59-Inputs!$B$68)*(Inputs!$B$71-Inputs!$B$70)/(Inputs!$B$69-Inputs!$B$68),1)</x:f>
        <x:v>504.9</x:v>
      </x:c>
      <x:c r="F59" s="121" t="n">
        <x:f>ROUND(Inputs!$B$72+(A59-Inputs!$B$68)*(Inputs!$B$73-Inputs!$B$72)/(Inputs!$B$69-Inputs!$B$68),1)</x:f>
        <x:v>131.7</x:v>
      </x:c>
      <x:c r="G59" s="127" t="n">
        <x:f>ROUND(E59*D59*24*Inputs!$B$81,0)</x:f>
        <x:v>124084</x:v>
      </x:c>
      <x:c r="H59" s="127" t="n">
        <x:f>ROUND(F59*D59*24*Inputs!$B$82,0)</x:f>
        <x:v>32367</x:v>
      </x:c>
      <x:c r="I59" s="127" t="n">
        <x:f>IF(A59&lt;70,INDEX('XP Curve'!$F$4:$F$73,MATCH(A59+1,'XP Curve'!$A$4:$A$73,0)),0)</x:f>
        <x:v>183210</x:v>
      </x:c>
      <x:c r="J59" s="128" t="n">
        <x:f>IF(I59=0,0,ROUND(I59/MAX(1,H59),2))</x:f>
        <x:v>5.66</x:v>
      </x:c>
      <x:c r="K59" s="128" t="n">
        <x:f>K58+J58</x:f>
        <x:v>165.23</x:v>
      </x:c>
      <x:c r="L59" s="118" t="str">
        <x:f>IF(I59=0,"Cap",IF(J59&lt;0.5,"Too fast",IF(J59&gt;14,"Slow","OK")))</x:f>
        <x:v>OK</x:v>
      </x:c>
    </x:row>
    <x:row r="60" ht="15" hidden="0" customHeight="1">
      <x:c r="A60" s="118" t="n">
        <x:v>57</x:v>
      </x:c>
      <x:c r="B60" s="118" t="str">
        <x:f>IFERROR(INDEX('XP Curve'!$H$4:$H$73,MATCH(A60,'XP Curve'!$A$4:$A$73,0)),"")</x:f>
        <x:v>Post-launch: roadmap wave content</x:v>
      </x:c>
      <x:c r="C60" s="118" t="n">
        <x:f>COUNTIF('Tanks &amp; Social'!$B$4:$B$11,"&lt;="&amp;A60)</x:f>
        <x:v>7</x:v>
      </x:c>
      <x:c r="D60" s="118" t="n">
        <x:f>C60*Inputs!$B$8+MAX(0,C60-1)*8+IF(A60&gt;=40,10,IF(A60&gt;=25,5,0))</x:f>
        <x:v>128</x:v>
      </x:c>
      <x:c r="E60" s="121" t="n">
        <x:f>ROUND(Inputs!$B$70+(A60-Inputs!$B$68)*(Inputs!$B$71-Inputs!$B$70)/(Inputs!$B$69-Inputs!$B$68),1)</x:f>
        <x:v>510.6</x:v>
      </x:c>
      <x:c r="F60" s="121" t="n">
        <x:f>ROUND(Inputs!$B$72+(A60-Inputs!$B$68)*(Inputs!$B$73-Inputs!$B$72)/(Inputs!$B$69-Inputs!$B$68),1)</x:f>
        <x:v>133</x:v>
      </x:c>
      <x:c r="G60" s="127" t="n">
        <x:f>ROUND(E60*D60*24*Inputs!$B$81,0)</x:f>
        <x:v>125485</x:v>
      </x:c>
      <x:c r="H60" s="127" t="n">
        <x:f>ROUND(F60*D60*24*Inputs!$B$82,0)</x:f>
        <x:v>32686</x:v>
      </x:c>
      <x:c r="I60" s="127" t="n">
        <x:f>IF(A60&lt;70,INDEX('XP Curve'!$F$4:$F$73,MATCH(A60+1,'XP Curve'!$A$4:$A$73,0)),0)</x:f>
        <x:v>190090</x:v>
      </x:c>
      <x:c r="J60" s="128" t="n">
        <x:f>IF(I60=0,0,ROUND(I60/MAX(1,H60),2))</x:f>
        <x:v>5.82</x:v>
      </x:c>
      <x:c r="K60" s="128" t="n">
        <x:f>K59+J59</x:f>
        <x:v>170.89</x:v>
      </x:c>
      <x:c r="L60" s="118" t="str">
        <x:f>IF(I60=0,"Cap",IF(J60&lt;0.5,"Too fast",IF(J60&gt;14,"Slow","OK")))</x:f>
        <x:v>OK</x:v>
      </x:c>
    </x:row>
    <x:row r="61" ht="15" hidden="0" customHeight="1">
      <x:c r="A61" s="118" t="n">
        <x:v>58</x:v>
      </x:c>
      <x:c r="B61" s="118" t="str">
        <x:f>IFERROR(INDEX('XP Curve'!$H$4:$H$73,MATCH(A61,'XP Curve'!$A$4:$A$73,0)),"")</x:f>
        <x:v>Post-launch: Medium Tank 7</x:v>
      </x:c>
      <x:c r="C61" s="118" t="n">
        <x:f>COUNTIF('Tanks &amp; Social'!$B$4:$B$11,"&lt;="&amp;A61)</x:f>
        <x:v>7</x:v>
      </x:c>
      <x:c r="D61" s="118" t="n">
        <x:f>C61*Inputs!$B$8+MAX(0,C61-1)*8+IF(A61&gt;=40,10,IF(A61&gt;=25,5,0))</x:f>
        <x:v>128</x:v>
      </x:c>
      <x:c r="E61" s="121" t="n">
        <x:f>ROUND(Inputs!$B$70+(A61-Inputs!$B$68)*(Inputs!$B$71-Inputs!$B$70)/(Inputs!$B$69-Inputs!$B$68),1)</x:f>
        <x:v>516.3</x:v>
      </x:c>
      <x:c r="F61" s="121" t="n">
        <x:f>ROUND(Inputs!$B$72+(A61-Inputs!$B$68)*(Inputs!$B$73-Inputs!$B$72)/(Inputs!$B$69-Inputs!$B$68),1)</x:f>
        <x:v>134.3</x:v>
      </x:c>
      <x:c r="G61" s="127" t="n">
        <x:f>ROUND(E61*D61*24*Inputs!$B$81,0)</x:f>
        <x:v>126886</x:v>
      </x:c>
      <x:c r="H61" s="127" t="n">
        <x:f>ROUND(F61*D61*24*Inputs!$B$82,0)</x:f>
        <x:v>33006</x:v>
      </x:c>
      <x:c r="I61" s="127" t="n">
        <x:f>IF(A61&lt;70,INDEX('XP Curve'!$F$4:$F$73,MATCH(A61+1,'XP Curve'!$A$4:$A$73,0)),0)</x:f>
        <x:v>197110</x:v>
      </x:c>
      <x:c r="J61" s="128" t="n">
        <x:f>IF(I61=0,0,ROUND(I61/MAX(1,H61),2))</x:f>
        <x:v>5.97</x:v>
      </x:c>
      <x:c r="K61" s="128" t="n">
        <x:f>K60+J60</x:f>
        <x:v>176.70999999999998</x:v>
      </x:c>
      <x:c r="L61" s="118" t="str">
        <x:f>IF(I61=0,"Cap",IF(J61&lt;0.5,"Too fast",IF(J61&gt;14,"Slow","OK")))</x:f>
        <x:v>OK</x:v>
      </x:c>
    </x:row>
    <x:row r="62" ht="15" hidden="0" customHeight="1">
      <x:c r="A62" s="118" t="n">
        <x:v>59</x:v>
      </x:c>
      <x:c r="B62" s="118" t="str">
        <x:f>IFERROR(INDEX('XP Curve'!$H$4:$H$73,MATCH(A62,'XP Curve'!$A$4:$A$73,0)),"")</x:f>
        <x:v>Post-launch: roadmap wave content</x:v>
      </x:c>
      <x:c r="C62" s="118" t="n">
        <x:f>COUNTIF('Tanks &amp; Social'!$B$4:$B$11,"&lt;="&amp;A62)</x:f>
        <x:v>7</x:v>
      </x:c>
      <x:c r="D62" s="118" t="n">
        <x:f>C62*Inputs!$B$8+MAX(0,C62-1)*8+IF(A62&gt;=40,10,IF(A62&gt;=25,5,0))</x:f>
        <x:v>128</x:v>
      </x:c>
      <x:c r="E62" s="121" t="n">
        <x:f>ROUND(Inputs!$B$70+(A62-Inputs!$B$68)*(Inputs!$B$71-Inputs!$B$70)/(Inputs!$B$69-Inputs!$B$68),1)</x:f>
        <x:v>522</x:v>
      </x:c>
      <x:c r="F62" s="121" t="n">
        <x:f>ROUND(Inputs!$B$72+(A62-Inputs!$B$68)*(Inputs!$B$73-Inputs!$B$72)/(Inputs!$B$69-Inputs!$B$68),1)</x:f>
        <x:v>135.7</x:v>
      </x:c>
      <x:c r="G62" s="127" t="n">
        <x:f>ROUND(E62*D62*24*Inputs!$B$81,0)</x:f>
        <x:v>128287</x:v>
      </x:c>
      <x:c r="H62" s="127" t="n">
        <x:f>ROUND(F62*D62*24*Inputs!$B$82,0)</x:f>
        <x:v>33350</x:v>
      </x:c>
      <x:c r="I62" s="127" t="n">
        <x:f>IF(A62&lt;70,INDEX('XP Curve'!$F$4:$F$73,MATCH(A62+1,'XP Curve'!$A$4:$A$73,0)),0)</x:f>
        <x:v>204250</x:v>
      </x:c>
      <x:c r="J62" s="128" t="n">
        <x:f>IF(I62=0,0,ROUND(I62/MAX(1,H62),2))</x:f>
        <x:v>6.12</x:v>
      </x:c>
      <x:c r="K62" s="128" t="n">
        <x:f>K61+J61</x:f>
        <x:v>182.67999999999998</x:v>
      </x:c>
      <x:c r="L62" s="118" t="str">
        <x:f>IF(I62=0,"Cap",IF(J62&lt;0.5,"Too fast",IF(J62&gt;14,"Slow","OK")))</x:f>
        <x:v>OK</x:v>
      </x:c>
    </x:row>
    <x:row r="63" ht="15" hidden="0" customHeight="1">
      <x:c r="A63" s="118" t="n">
        <x:v>60</x:v>
      </x:c>
      <x:c r="B63" s="118" t="str">
        <x:f>IFERROR(INDEX('XP Curve'!$H$4:$H$73,MATCH(A63,'XP Curve'!$A$4:$A$73,0)),"")</x:f>
        <x:v>Post-launch: roadmap wave content</x:v>
      </x:c>
      <x:c r="C63" s="118" t="n">
        <x:f>COUNTIF('Tanks &amp; Social'!$B$4:$B$11,"&lt;="&amp;A63)</x:f>
        <x:v>7</x:v>
      </x:c>
      <x:c r="D63" s="118" t="n">
        <x:f>C63*Inputs!$B$8+MAX(0,C63-1)*8+IF(A63&gt;=40,10,IF(A63&gt;=25,5,0))</x:f>
        <x:v>128</x:v>
      </x:c>
      <x:c r="E63" s="121" t="n">
        <x:f>ROUND(Inputs!$B$70+(A63-Inputs!$B$68)*(Inputs!$B$71-Inputs!$B$70)/(Inputs!$B$69-Inputs!$B$68),1)</x:f>
        <x:v>527.8</x:v>
      </x:c>
      <x:c r="F63" s="121" t="n">
        <x:f>ROUND(Inputs!$B$72+(A63-Inputs!$B$68)*(Inputs!$B$73-Inputs!$B$72)/(Inputs!$B$69-Inputs!$B$68),1)</x:f>
        <x:v>137</x:v>
      </x:c>
      <x:c r="G63" s="127" t="n">
        <x:f>ROUND(E63*D63*24*Inputs!$B$81,0)</x:f>
        <x:v>129712</x:v>
      </x:c>
      <x:c r="H63" s="127" t="n">
        <x:f>ROUND(F63*D63*24*Inputs!$B$82,0)</x:f>
        <x:v>33669</x:v>
      </x:c>
      <x:c r="I63" s="127" t="n">
        <x:f>IF(A63&lt;70,INDEX('XP Curve'!$F$4:$F$73,MATCH(A63+1,'XP Curve'!$A$4:$A$73,0)),0)</x:f>
        <x:v>211510</x:v>
      </x:c>
      <x:c r="J63" s="128" t="n">
        <x:f>IF(I63=0,0,ROUND(I63/MAX(1,H63),2))</x:f>
        <x:v>6.28</x:v>
      </x:c>
      <x:c r="K63" s="128" t="n">
        <x:f>K62+J62</x:f>
        <x:v>188.79999999999998</x:v>
      </x:c>
      <x:c r="L63" s="118" t="str">
        <x:f>IF(I63=0,"Cap",IF(J63&lt;0.5,"Too fast",IF(J63&gt;14,"Slow","OK")))</x:f>
        <x:v>OK</x:v>
      </x:c>
    </x:row>
    <x:row r="64" ht="15" hidden="0" customHeight="1">
      <x:c r="A64" s="118" t="n">
        <x:v>61</x:v>
      </x:c>
      <x:c r="B64" s="118" t="str">
        <x:f>IFERROR(INDEX('XP Curve'!$H$4:$H$73,MATCH(A64,'XP Curve'!$A$4:$A$73,0)),"")</x:f>
        <x:v>Post-launch: Tank 8 unlock</x:v>
      </x:c>
      <x:c r="C64" s="118" t="n">
        <x:f>COUNTIF('Tanks &amp; Social'!$B$4:$B$11,"&lt;="&amp;A64)</x:f>
        <x:v>8</x:v>
      </x:c>
      <x:c r="D64" s="118" t="n">
        <x:f>C64*Inputs!$B$8+MAX(0,C64-1)*8+IF(A64&gt;=40,10,IF(A64&gt;=25,5,0))</x:f>
        <x:v>146</x:v>
      </x:c>
      <x:c r="E64" s="121" t="n">
        <x:f>ROUND(Inputs!$B$70+(A64-Inputs!$B$68)*(Inputs!$B$71-Inputs!$B$70)/(Inputs!$B$69-Inputs!$B$68),1)</x:f>
        <x:v>533.5</x:v>
      </x:c>
      <x:c r="F64" s="121" t="n">
        <x:f>ROUND(Inputs!$B$72+(A64-Inputs!$B$68)*(Inputs!$B$73-Inputs!$B$72)/(Inputs!$B$69-Inputs!$B$68),1)</x:f>
        <x:v>138.3</x:v>
      </x:c>
      <x:c r="G64" s="127" t="n">
        <x:f>ROUND(E64*D64*24*Inputs!$B$81,0)</x:f>
        <x:v>149551</x:v>
      </x:c>
      <x:c r="H64" s="127" t="n">
        <x:f>ROUND(F64*D64*24*Inputs!$B$82,0)</x:f>
        <x:v>38768</x:v>
      </x:c>
      <x:c r="I64" s="127" t="n">
        <x:f>IF(A64&lt;70,INDEX('XP Curve'!$F$4:$F$73,MATCH(A64+1,'XP Curve'!$A$4:$A$73,0)),0)</x:f>
        <x:v>218910</x:v>
      </x:c>
      <x:c r="J64" s="128" t="n">
        <x:f>IF(I64=0,0,ROUND(I64/MAX(1,H64),2))</x:f>
        <x:v>5.65</x:v>
      </x:c>
      <x:c r="K64" s="128" t="n">
        <x:f>K63+J63</x:f>
        <x:v>195.07999999999998</x:v>
      </x:c>
      <x:c r="L64" s="118" t="str">
        <x:f>IF(I64=0,"Cap",IF(J64&lt;0.5,"Too fast",IF(J64&gt;14,"Slow","OK")))</x:f>
        <x:v>OK</x:v>
      </x:c>
    </x:row>
    <x:row r="65" ht="15" hidden="0" customHeight="1">
      <x:c r="A65" s="118" t="n">
        <x:v>62</x:v>
      </x:c>
      <x:c r="B65" s="118" t="str">
        <x:f>IFERROR(INDEX('XP Curve'!$H$4:$H$73,MATCH(A65,'XP Curve'!$A$4:$A$73,0)),"")</x:f>
        <x:v>Post-launch: roadmap wave content</x:v>
      </x:c>
      <x:c r="C65" s="118" t="n">
        <x:f>COUNTIF('Tanks &amp; Social'!$B$4:$B$11,"&lt;="&amp;A65)</x:f>
        <x:v>8</x:v>
      </x:c>
      <x:c r="D65" s="118" t="n">
        <x:f>C65*Inputs!$B$8+MAX(0,C65-1)*8+IF(A65&gt;=40,10,IF(A65&gt;=25,5,0))</x:f>
        <x:v>146</x:v>
      </x:c>
      <x:c r="E65" s="121" t="n">
        <x:f>ROUND(Inputs!$B$70+(A65-Inputs!$B$68)*(Inputs!$B$71-Inputs!$B$70)/(Inputs!$B$69-Inputs!$B$68),1)</x:f>
        <x:v>539.2</x:v>
      </x:c>
      <x:c r="F65" s="121" t="n">
        <x:f>ROUND(Inputs!$B$72+(A65-Inputs!$B$68)*(Inputs!$B$73-Inputs!$B$72)/(Inputs!$B$69-Inputs!$B$68),1)</x:f>
        <x:v>139.6</x:v>
      </x:c>
      <x:c r="G65" s="127" t="n">
        <x:f>ROUND(E65*D65*24*Inputs!$B$81,0)</x:f>
        <x:v>151149</x:v>
      </x:c>
      <x:c r="H65" s="127" t="n">
        <x:f>ROUND(F65*D65*24*Inputs!$B$82,0)</x:f>
        <x:v>39133</x:v>
      </x:c>
      <x:c r="I65" s="127" t="n">
        <x:f>IF(A65&lt;70,INDEX('XP Curve'!$F$4:$F$73,MATCH(A65+1,'XP Curve'!$A$4:$A$73,0)),0)</x:f>
        <x:v>226430</x:v>
      </x:c>
      <x:c r="J65" s="128" t="n">
        <x:f>IF(I65=0,0,ROUND(I65/MAX(1,H65),2))</x:f>
        <x:v>5.79</x:v>
      </x:c>
      <x:c r="K65" s="128" t="n">
        <x:f>K64+J64</x:f>
        <x:v>200.73</x:v>
      </x:c>
      <x:c r="L65" s="118" t="str">
        <x:f>IF(I65=0,"Cap",IF(J65&lt;0.5,"Too fast",IF(J65&gt;14,"Slow","OK")))</x:f>
        <x:v>OK</x:v>
      </x:c>
    </x:row>
    <x:row r="66" ht="15" hidden="0" customHeight="1">
      <x:c r="A66" s="118" t="n">
        <x:v>63</x:v>
      </x:c>
      <x:c r="B66" s="118" t="str">
        <x:f>IFERROR(INDEX('XP Curve'!$H$4:$H$73,MATCH(A66,'XP Curve'!$A$4:$A$73,0)),"")</x:f>
        <x:v>Post-launch: roadmap wave content</x:v>
      </x:c>
      <x:c r="C66" s="118" t="n">
        <x:f>COUNTIF('Tanks &amp; Social'!$B$4:$B$11,"&lt;="&amp;A66)</x:f>
        <x:v>8</x:v>
      </x:c>
      <x:c r="D66" s="118" t="n">
        <x:f>C66*Inputs!$B$8+MAX(0,C66-1)*8+IF(A66&gt;=40,10,IF(A66&gt;=25,5,0))</x:f>
        <x:v>146</x:v>
      </x:c>
      <x:c r="E66" s="121" t="n">
        <x:f>ROUND(Inputs!$B$70+(A66-Inputs!$B$68)*(Inputs!$B$71-Inputs!$B$70)/(Inputs!$B$69-Inputs!$B$68),1)</x:f>
        <x:v>544.9</x:v>
      </x:c>
      <x:c r="F66" s="121" t="n">
        <x:f>ROUND(Inputs!$B$72+(A66-Inputs!$B$68)*(Inputs!$B$73-Inputs!$B$72)/(Inputs!$B$69-Inputs!$B$68),1)</x:f>
        <x:v>140.9</x:v>
      </x:c>
      <x:c r="G66" s="127" t="n">
        <x:f>ROUND(E66*D66*24*Inputs!$B$81,0)</x:f>
        <x:v>152746</x:v>
      </x:c>
      <x:c r="H66" s="127" t="n">
        <x:f>ROUND(F66*D66*24*Inputs!$B$82,0)</x:f>
        <x:v>39497</x:v>
      </x:c>
      <x:c r="I66" s="127" t="n">
        <x:f>IF(A66&lt;70,INDEX('XP Curve'!$F$4:$F$73,MATCH(A66+1,'XP Curve'!$A$4:$A$73,0)),0)</x:f>
        <x:v>234080</x:v>
      </x:c>
      <x:c r="J66" s="128" t="n">
        <x:f>IF(I66=0,0,ROUND(I66/MAX(1,H66),2))</x:f>
        <x:v>5.93</x:v>
      </x:c>
      <x:c r="K66" s="128" t="n">
        <x:f>K65+J65</x:f>
        <x:v>206.51999999999998</x:v>
      </x:c>
      <x:c r="L66" s="118" t="str">
        <x:f>IF(I66=0,"Cap",IF(J66&lt;0.5,"Too fast",IF(J66&gt;14,"Slow","OK")))</x:f>
        <x:v>OK</x:v>
      </x:c>
    </x:row>
    <x:row r="67" ht="15" hidden="0" customHeight="1">
      <x:c r="A67" s="118" t="n">
        <x:v>64</x:v>
      </x:c>
      <x:c r="B67" s="118" t="str">
        <x:f>IFERROR(INDEX('XP Curve'!$H$4:$H$73,MATCH(A67,'XP Curve'!$A$4:$A$73,0)),"")</x:f>
        <x:v>Post-launch: Large Tank 7</x:v>
      </x:c>
      <x:c r="C67" s="118" t="n">
        <x:f>COUNTIF('Tanks &amp; Social'!$B$4:$B$11,"&lt;="&amp;A67)</x:f>
        <x:v>8</x:v>
      </x:c>
      <x:c r="D67" s="118" t="n">
        <x:f>C67*Inputs!$B$8+MAX(0,C67-1)*8+IF(A67&gt;=40,10,IF(A67&gt;=25,5,0))</x:f>
        <x:v>146</x:v>
      </x:c>
      <x:c r="E67" s="121" t="n">
        <x:f>ROUND(Inputs!$B$70+(A67-Inputs!$B$68)*(Inputs!$B$71-Inputs!$B$70)/(Inputs!$B$69-Inputs!$B$68),1)</x:f>
        <x:v>550.7</x:v>
      </x:c>
      <x:c r="F67" s="121" t="n">
        <x:f>ROUND(Inputs!$B$72+(A67-Inputs!$B$68)*(Inputs!$B$73-Inputs!$B$72)/(Inputs!$B$69-Inputs!$B$68),1)</x:f>
        <x:v>142.2</x:v>
      </x:c>
      <x:c r="G67" s="127" t="n">
        <x:f>ROUND(E67*D67*24*Inputs!$B$81,0)</x:f>
        <x:v>154372</x:v>
      </x:c>
      <x:c r="H67" s="127" t="n">
        <x:f>ROUND(F67*D67*24*Inputs!$B$82,0)</x:f>
        <x:v>39862</x:v>
      </x:c>
      <x:c r="I67" s="127" t="n">
        <x:f>IF(A67&lt;70,INDEX('XP Curve'!$F$4:$F$73,MATCH(A67+1,'XP Curve'!$A$4:$A$73,0)),0)</x:f>
        <x:v>241860</x:v>
      </x:c>
      <x:c r="J67" s="128" t="n">
        <x:f>IF(I67=0,0,ROUND(I67/MAX(1,H67),2))</x:f>
        <x:v>6.07</x:v>
      </x:c>
      <x:c r="K67" s="128" t="n">
        <x:f>K66+J66</x:f>
        <x:v>212.45</x:v>
      </x:c>
      <x:c r="L67" s="118" t="str">
        <x:f>IF(I67=0,"Cap",IF(J67&lt;0.5,"Too fast",IF(J67&gt;14,"Slow","OK")))</x:f>
        <x:v>OK</x:v>
      </x:c>
    </x:row>
    <x:row r="68" ht="15" hidden="0" customHeight="1">
      <x:c r="A68" s="118" t="n">
        <x:v>65</x:v>
      </x:c>
      <x:c r="B68" s="118" t="str">
        <x:f>IFERROR(INDEX('XP Curve'!$H$4:$H$73,MATCH(A68,'XP Curve'!$A$4:$A$73,0)),"")</x:f>
        <x:v>Post-launch: roadmap wave content</x:v>
      </x:c>
      <x:c r="C68" s="118" t="n">
        <x:f>COUNTIF('Tanks &amp; Social'!$B$4:$B$11,"&lt;="&amp;A68)</x:f>
        <x:v>8</x:v>
      </x:c>
      <x:c r="D68" s="118" t="n">
        <x:f>C68*Inputs!$B$8+MAX(0,C68-1)*8+IF(A68&gt;=40,10,IF(A68&gt;=25,5,0))</x:f>
        <x:v>146</x:v>
      </x:c>
      <x:c r="E68" s="121" t="n">
        <x:f>ROUND(Inputs!$B$70+(A68-Inputs!$B$68)*(Inputs!$B$71-Inputs!$B$70)/(Inputs!$B$69-Inputs!$B$68),1)</x:f>
        <x:v>556.4</x:v>
      </x:c>
      <x:c r="F68" s="121" t="n">
        <x:f>ROUND(Inputs!$B$72+(A68-Inputs!$B$68)*(Inputs!$B$73-Inputs!$B$72)/(Inputs!$B$69-Inputs!$B$68),1)</x:f>
        <x:v>143.5</x:v>
      </x:c>
      <x:c r="G68" s="127" t="n">
        <x:f>ROUND(E68*D68*24*Inputs!$B$81,0)</x:f>
        <x:v>155970</x:v>
      </x:c>
      <x:c r="H68" s="127" t="n">
        <x:f>ROUND(F68*D68*24*Inputs!$B$82,0)</x:f>
        <x:v>40226</x:v>
      </x:c>
      <x:c r="I68" s="127" t="n">
        <x:f>IF(A68&lt;70,INDEX('XP Curve'!$F$4:$F$73,MATCH(A68+1,'XP Curve'!$A$4:$A$73,0)),0)</x:f>
        <x:v>249760</x:v>
      </x:c>
      <x:c r="J68" s="128" t="n">
        <x:f>IF(I68=0,0,ROUND(I68/MAX(1,H68),2))</x:f>
        <x:v>6.21</x:v>
      </x:c>
      <x:c r="K68" s="128" t="n">
        <x:f>K67+J67</x:f>
        <x:v>218.51999999999998</x:v>
      </x:c>
      <x:c r="L68" s="118" t="str">
        <x:f>IF(I68=0,"Cap",IF(J68&lt;0.5,"Too fast",IF(J68&gt;14,"Slow","OK")))</x:f>
        <x:v>OK</x:v>
      </x:c>
    </x:row>
    <x:row r="69" ht="15" hidden="0" customHeight="1">
      <x:c r="A69" s="118" t="n">
        <x:v>66</x:v>
      </x:c>
      <x:c r="B69" s="118" t="str">
        <x:f>IFERROR(INDEX('XP Curve'!$H$4:$H$73,MATCH(A69,'XP Curve'!$A$4:$A$73,0)),"")</x:f>
        <x:v>Post-launch: roadmap wave content</x:v>
      </x:c>
      <x:c r="C69" s="118" t="n">
        <x:f>COUNTIF('Tanks &amp; Social'!$B$4:$B$11,"&lt;="&amp;A69)</x:f>
        <x:v>8</x:v>
      </x:c>
      <x:c r="D69" s="118" t="n">
        <x:f>C69*Inputs!$B$8+MAX(0,C69-1)*8+IF(A69&gt;=40,10,IF(A69&gt;=25,5,0))</x:f>
        <x:v>146</x:v>
      </x:c>
      <x:c r="E69" s="121" t="n">
        <x:f>ROUND(Inputs!$B$70+(A69-Inputs!$B$68)*(Inputs!$B$71-Inputs!$B$70)/(Inputs!$B$69-Inputs!$B$68),1)</x:f>
        <x:v>562.1</x:v>
      </x:c>
      <x:c r="F69" s="121" t="n">
        <x:f>ROUND(Inputs!$B$72+(A69-Inputs!$B$68)*(Inputs!$B$73-Inputs!$B$72)/(Inputs!$B$69-Inputs!$B$68),1)</x:f>
        <x:v>144.8</x:v>
      </x:c>
      <x:c r="G69" s="127" t="n">
        <x:f>ROUND(E69*D69*24*Inputs!$B$81,0)</x:f>
        <x:v>157568</x:v>
      </x:c>
      <x:c r="H69" s="127" t="n">
        <x:f>ROUND(F69*D69*24*Inputs!$B$82,0)</x:f>
        <x:v>40590</x:v>
      </x:c>
      <x:c r="I69" s="127" t="n">
        <x:f>IF(A69&lt;70,INDEX('XP Curve'!$F$4:$F$73,MATCH(A69+1,'XP Curve'!$A$4:$A$73,0)),0)</x:f>
        <x:v>257800</x:v>
      </x:c>
      <x:c r="J69" s="128" t="n">
        <x:f>IF(I69=0,0,ROUND(I69/MAX(1,H69),2))</x:f>
        <x:v>6.35</x:v>
      </x:c>
      <x:c r="K69" s="128" t="n">
        <x:f>K68+J68</x:f>
        <x:v>224.73</x:v>
      </x:c>
      <x:c r="L69" s="118" t="str">
        <x:f>IF(I69=0,"Cap",IF(J69&lt;0.5,"Too fast",IF(J69&gt;14,"Slow","OK")))</x:f>
        <x:v>OK</x:v>
      </x:c>
    </x:row>
    <x:row r="70" ht="15" hidden="0" customHeight="1">
      <x:c r="A70" s="118" t="n">
        <x:v>67</x:v>
      </x:c>
      <x:c r="B70" s="118" t="str">
        <x:f>IFERROR(INDEX('XP Curve'!$H$4:$H$73,MATCH(A70,'XP Curve'!$A$4:$A$73,0)),"")</x:f>
        <x:v>Post-launch: Medium Tank 8</x:v>
      </x:c>
      <x:c r="C70" s="118" t="n">
        <x:f>COUNTIF('Tanks &amp; Social'!$B$4:$B$11,"&lt;="&amp;A70)</x:f>
        <x:v>8</x:v>
      </x:c>
      <x:c r="D70" s="118" t="n">
        <x:f>C70*Inputs!$B$8+MAX(0,C70-1)*8+IF(A70&gt;=40,10,IF(A70&gt;=25,5,0))</x:f>
        <x:v>146</x:v>
      </x:c>
      <x:c r="E70" s="121" t="n">
        <x:f>ROUND(Inputs!$B$70+(A70-Inputs!$B$68)*(Inputs!$B$71-Inputs!$B$70)/(Inputs!$B$69-Inputs!$B$68),1)</x:f>
        <x:v>567.8</x:v>
      </x:c>
      <x:c r="F70" s="121" t="n">
        <x:f>ROUND(Inputs!$B$72+(A70-Inputs!$B$68)*(Inputs!$B$73-Inputs!$B$72)/(Inputs!$B$69-Inputs!$B$68),1)</x:f>
        <x:v>146.1</x:v>
      </x:c>
      <x:c r="G70" s="127" t="n">
        <x:f>ROUND(E70*D70*24*Inputs!$B$81,0)</x:f>
        <x:v>159166</x:v>
      </x:c>
      <x:c r="H70" s="127" t="n">
        <x:f>ROUND(F70*D70*24*Inputs!$B$82,0)</x:f>
        <x:v>40955</x:v>
      </x:c>
      <x:c r="I70" s="127" t="n">
        <x:f>IF(A70&lt;70,INDEX('XP Curve'!$F$4:$F$73,MATCH(A70+1,'XP Curve'!$A$4:$A$73,0)),0)</x:f>
        <x:v>265960</x:v>
      </x:c>
      <x:c r="J70" s="128" t="n">
        <x:f>IF(I70=0,0,ROUND(I70/MAX(1,H70),2))</x:f>
        <x:v>6.49</x:v>
      </x:c>
      <x:c r="K70" s="128" t="n">
        <x:f>K69+J69</x:f>
        <x:v>231.07999999999998</x:v>
      </x:c>
      <x:c r="L70" s="118" t="str">
        <x:f>IF(I70=0,"Cap",IF(J70&lt;0.5,"Too fast",IF(J70&gt;14,"Slow","OK")))</x:f>
        <x:v>OK</x:v>
      </x:c>
    </x:row>
    <x:row r="71" ht="15" hidden="0" customHeight="1">
      <x:c r="A71" s="118" t="n">
        <x:v>68</x:v>
      </x:c>
      <x:c r="B71" s="118" t="str">
        <x:f>IFERROR(INDEX('XP Curve'!$H$4:$H$73,MATCH(A71,'XP Curve'!$A$4:$A$73,0)),"")</x:f>
        <x:v>Post-launch: roadmap wave content</x:v>
      </x:c>
      <x:c r="C71" s="118" t="n">
        <x:f>COUNTIF('Tanks &amp; Social'!$B$4:$B$11,"&lt;="&amp;A71)</x:f>
        <x:v>8</x:v>
      </x:c>
      <x:c r="D71" s="118" t="n">
        <x:f>C71*Inputs!$B$8+MAX(0,C71-1)*8+IF(A71&gt;=40,10,IF(A71&gt;=25,5,0))</x:f>
        <x:v>146</x:v>
      </x:c>
      <x:c r="E71" s="121" t="n">
        <x:f>ROUND(Inputs!$B$70+(A71-Inputs!$B$68)*(Inputs!$B$71-Inputs!$B$70)/(Inputs!$B$69-Inputs!$B$68),1)</x:f>
        <x:v>573.6</x:v>
      </x:c>
      <x:c r="F71" s="121" t="n">
        <x:f>ROUND(Inputs!$B$72+(A71-Inputs!$B$68)*(Inputs!$B$73-Inputs!$B$72)/(Inputs!$B$69-Inputs!$B$68),1)</x:f>
        <x:v>147.4</x:v>
      </x:c>
      <x:c r="G71" s="127" t="n">
        <x:f>ROUND(E71*D71*24*Inputs!$B$81,0)</x:f>
        <x:v>160792</x:v>
      </x:c>
      <x:c r="H71" s="127" t="n">
        <x:f>ROUND(F71*D71*24*Inputs!$B$82,0)</x:f>
        <x:v>41319</x:v>
      </x:c>
      <x:c r="I71" s="127" t="n">
        <x:f>IF(A71&lt;70,INDEX('XP Curve'!$F$4:$F$73,MATCH(A71+1,'XP Curve'!$A$4:$A$73,0)),0)</x:f>
        <x:v>274240</x:v>
      </x:c>
      <x:c r="J71" s="128" t="n">
        <x:f>IF(I71=0,0,ROUND(I71/MAX(1,H71),2))</x:f>
        <x:v>6.64</x:v>
      </x:c>
      <x:c r="K71" s="128" t="n">
        <x:f>K70+J70</x:f>
        <x:v>237.57</x:v>
      </x:c>
      <x:c r="L71" s="118" t="str">
        <x:f>IF(I71=0,"Cap",IF(J71&lt;0.5,"Too fast",IF(J71&gt;14,"Slow","OK")))</x:f>
        <x:v>OK</x:v>
      </x:c>
    </x:row>
    <x:row r="72" ht="15" hidden="0" customHeight="1">
      <x:c r="A72" s="118" t="n">
        <x:v>69</x:v>
      </x:c>
      <x:c r="B72" s="118" t="str">
        <x:f>IFERROR(INDEX('XP Curve'!$H$4:$H$73,MATCH(A72,'XP Curve'!$A$4:$A$73,0)),"")</x:f>
        <x:v>Post-launch: roadmap wave content</x:v>
      </x:c>
      <x:c r="C72" s="118" t="n">
        <x:f>COUNTIF('Tanks &amp; Social'!$B$4:$B$11,"&lt;="&amp;A72)</x:f>
        <x:v>8</x:v>
      </x:c>
      <x:c r="D72" s="118" t="n">
        <x:f>C72*Inputs!$B$8+MAX(0,C72-1)*8+IF(A72&gt;=40,10,IF(A72&gt;=25,5,0))</x:f>
        <x:v>146</x:v>
      </x:c>
      <x:c r="E72" s="121" t="n">
        <x:f>ROUND(Inputs!$B$70+(A72-Inputs!$B$68)*(Inputs!$B$71-Inputs!$B$70)/(Inputs!$B$69-Inputs!$B$68),1)</x:f>
        <x:v>579.3</x:v>
      </x:c>
      <x:c r="F72" s="121" t="n">
        <x:f>ROUND(Inputs!$B$72+(A72-Inputs!$B$68)*(Inputs!$B$73-Inputs!$B$72)/(Inputs!$B$69-Inputs!$B$68),1)</x:f>
        <x:v>148.7</x:v>
      </x:c>
      <x:c r="G72" s="127" t="n">
        <x:f>ROUND(E72*D72*24*Inputs!$B$81,0)</x:f>
        <x:v>162389</x:v>
      </x:c>
      <x:c r="H72" s="127" t="n">
        <x:f>ROUND(F72*D72*24*Inputs!$B$82,0)</x:f>
        <x:v>41684</x:v>
      </x:c>
      <x:c r="I72" s="127" t="n">
        <x:f>IF(A72&lt;70,INDEX('XP Curve'!$F$4:$F$73,MATCH(A72+1,'XP Curve'!$A$4:$A$73,0)),0)</x:f>
        <x:v>282660</x:v>
      </x:c>
      <x:c r="J72" s="128" t="n">
        <x:f>IF(I72=0,0,ROUND(I72/MAX(1,H72),2))</x:f>
        <x:v>6.78</x:v>
      </x:c>
      <x:c r="K72" s="128" t="n">
        <x:f>K71+J71</x:f>
        <x:v>244.20999999999998</x:v>
      </x:c>
      <x:c r="L72" s="118" t="str">
        <x:f>IF(I72=0,"Cap",IF(J72&lt;0.5,"Too fast",IF(J72&gt;14,"Slow","OK")))</x:f>
        <x:v>OK</x:v>
      </x:c>
    </x:row>
    <x:row r="73" ht="15" hidden="0" customHeight="1">
      <x:c r="A73" s="118" t="n">
        <x:v>70</x:v>
      </x:c>
      <x:c r="B73" s="118" t="str">
        <x:f>IFERROR(INDEX('XP Curve'!$H$4:$H$73,MATCH(A73,'XP Curve'!$A$4:$A$73,0)),"")</x:f>
        <x:v>Post-launch: Large Tank 8</x:v>
      </x:c>
      <x:c r="C73" s="118" t="n">
        <x:f>COUNTIF('Tanks &amp; Social'!$B$4:$B$11,"&lt;="&amp;A73)</x:f>
        <x:v>8</x:v>
      </x:c>
      <x:c r="D73" s="118" t="n">
        <x:f>C73*Inputs!$B$8+MAX(0,C73-1)*8+IF(A73&gt;=40,10,IF(A73&gt;=25,5,0))</x:f>
        <x:v>146</x:v>
      </x:c>
      <x:c r="E73" s="121" t="n">
        <x:f>ROUND(Inputs!$B$70+(A73-Inputs!$B$68)*(Inputs!$B$71-Inputs!$B$70)/(Inputs!$B$69-Inputs!$B$68),1)</x:f>
        <x:v>585</x:v>
      </x:c>
      <x:c r="F73" s="121" t="n">
        <x:f>ROUND(Inputs!$B$72+(A73-Inputs!$B$68)*(Inputs!$B$73-Inputs!$B$72)/(Inputs!$B$69-Inputs!$B$68),1)</x:f>
        <x:v>150</x:v>
      </x:c>
      <x:c r="G73" s="127" t="n">
        <x:f>ROUND(E73*D73*24*Inputs!$B$81,0)</x:f>
        <x:v>163987</x:v>
      </x:c>
      <x:c r="H73" s="127" t="n">
        <x:f>ROUND(F73*D73*24*Inputs!$B$82,0)</x:f>
        <x:v>42048</x:v>
      </x:c>
      <x:c r="I73" s="127" t="n">
        <x:f>IF(A73&lt;70,INDEX('XP Curve'!$F$4:$F$73,MATCH(A73+1,'XP Curve'!$A$4:$A$73,0)),0)</x:f>
        <x:v>0</x:v>
      </x:c>
      <x:c r="J73" s="128" t="n">
        <x:f>IF(I73=0,0,ROUND(I73/MAX(1,H73),2))</x:f>
        <x:v>0</x:v>
      </x:c>
      <x:c r="K73" s="128" t="n">
        <x:f>K72+J72</x:f>
        <x:v>250.98999999999998</x:v>
      </x:c>
      <x:c r="L73" s="118" t="str">
        <x:f>IF(I73=0,"Cap",IF(J73&lt;0.5,"Too fast",IF(J73&gt;14,"Slow","OK")))</x:f>
        <x:v>Cap</x:v>
      </x:c>
    </x:row>
  </x:sheetData>
  <x:mergeCells>
    <x:mergeCell ref="A1:L1"/>
  </x:mergeCells>
  <x:pageMargins left="0.7" right="0.7" top="0.75" bottom="0.75" header="0.3" footer="0.3"/>
</x:worksheet>
</file>

<file path=xl/worksheets/sheet16.xml><?xml version="1.0" encoding="utf-8"?>
<x:worksheet xmlns:x="http://schemas.openxmlformats.org/spreadsheetml/2006/main">
  <x:sheetFormatPr defaultRowHeight="15"/>
  <x:cols>
    <x:col min="1" max="1" width="8" hidden="0" customWidth="1"/>
    <x:col min="2" max="2" width="16"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6" hidden="0" customWidth="1"/>
    <x:col min="10" max="10" width="16" hidden="0" customWidth="1"/>
  </x:cols>
  <x:sheetData>
    <x:row r="1" ht="22.5" hidden="0" customHeight="1">
      <x:c r="A1" s="132" t="str">
        <x:v>QUEST SCALING — keeps dailies useful without replacing fish economy</x:v>
      </x:c>
      <x:c r="B1" s="132"/>
      <x:c r="C1" s="132"/>
      <x:c r="D1" s="132"/>
      <x:c r="E1" s="132"/>
      <x:c r="F1" s="132"/>
      <x:c r="G1" s="132"/>
      <x:c r="H1" s="132"/>
      <x:c r="I1" s="132"/>
      <x:c r="J1" s="132"/>
    </x:row>
    <x:row r="2" ht="15" hidden="0" customHeight="1">
      <x:c r="A2" s="118"/>
      <x:c r="B2" s="118"/>
      <x:c r="C2" s="118"/>
      <x:c r="D2" s="118"/>
      <x:c r="E2" s="118"/>
      <x:c r="F2" s="118"/>
      <x:c r="G2" s="118"/>
      <x:c r="H2" s="118"/>
      <x:c r="I2" s="118"/>
      <x:c r="J2" s="118"/>
    </x:row>
    <x:row r="3" ht="26.399999618530273" hidden="0" customHeight="1">
      <x:c r="A3" s="88" t="str">
        <x:v>Level</x:v>
      </x:c>
      <x:c r="B3" s="88" t="str">
        <x:v>Next-Level XP Delta</x:v>
      </x:c>
      <x:c r="C3" s="88" t="str">
        <x:v>Daily XP Pool</x:v>
      </x:c>
      <x:c r="D3" s="88" t="str">
        <x:v>Feed Caretaker XP</x:v>
      </x:c>
      <x:c r="E3" s="88" t="str">
        <x:v>Junior Seller XP</x:v>
      </x:c>
      <x:c r="F3" s="88" t="str">
        <x:v>Adult Harvest XP</x:v>
      </x:c>
      <x:c r="G3" s="88" t="str">
        <x:v>Tank Stylist XP</x:v>
      </x:c>
      <x:c r="H3" s="88" t="str">
        <x:v>Weekly XP</x:v>
      </x:c>
      <x:c r="I3" s="88" t="str">
        <x:v>Est. Daily Coin Pool</x:v>
      </x:c>
      <x:c r="J3" s="88" t="str">
        <x:v>Quest Balance Flag</x:v>
      </x:c>
    </x:row>
    <x:row r="4" ht="15" hidden="0" customHeight="1">
      <x:c r="A4" s="118" t="n">
        <x:v>2</x:v>
      </x:c>
      <x:c r="B4" s="127" t="n">
        <x:f>IF(A4&lt;70,INDEX('XP Curve'!$F$4:$F$73,MATCH(A4+1,'XP Curve'!$A$4:$A$73,0)),0)</x:f>
        <x:v>190</x:v>
      </x:c>
      <x:c r="C4" s="127" t="n">
        <x:f>ROUND(B4*Inputs!$B$78,0)</x:f>
        <x:v>19</x:v>
      </x:c>
      <x:c r="D4" s="127" t="n">
        <x:f>ROUND(C4*0.25,0)</x:f>
        <x:v>5</x:v>
      </x:c>
      <x:c r="E4" s="127" t="n">
        <x:f>ROUND(C4*0.28,0)</x:f>
        <x:v>5</x:v>
      </x:c>
      <x:c r="F4" s="127" t="n">
        <x:f>ROUND(C4*0.32,0)</x:f>
        <x:v>6</x:v>
      </x:c>
      <x:c r="G4" s="127" t="n">
        <x:f>MAX(0,C4-D4-E4-F4)</x:f>
        <x:v>3</x:v>
      </x:c>
      <x:c r="H4" s="127" t="n">
        <x:f>ROUND(B4*Inputs!$B$79,0)</x:f>
        <x:v>86</x:v>
      </x:c>
      <x:c r="I4" s="127" t="n">
        <x:f>ROUND(INDEX('Economy Simulation'!$G$4:$G$73,MATCH(A4,'Economy Simulation'!$A$4:$A$73,0))*Inputs!$B$80,0)</x:f>
        <x:v>263</x:v>
      </x:c>
      <x:c r="J4" s="118" t="str">
        <x:f>IF(B4=0,"Cap",IF(C4/B4&gt;0.12,"Too high",IF(C4/B4&lt;0.08,"Too low","OK")))</x:f>
        <x:v>OK</x:v>
      </x:c>
    </x:row>
    <x:row r="5" ht="15" hidden="0" customHeight="1">
      <x:c r="A5" s="118" t="n">
        <x:v>3</x:v>
      </x:c>
      <x:c r="B5" s="127" t="n">
        <x:f>IF(A5&lt;70,INDEX('XP Curve'!$F$4:$F$73,MATCH(A5+1,'XP Curve'!$A$4:$A$73,0)),0)</x:f>
        <x:v>320</x:v>
      </x:c>
      <x:c r="C5" s="127" t="n">
        <x:f>ROUND(B5*Inputs!$B$78,0)</x:f>
        <x:v>32</x:v>
      </x:c>
      <x:c r="D5" s="127" t="n">
        <x:f>ROUND(C5*0.25,0)</x:f>
        <x:v>8</x:v>
      </x:c>
      <x:c r="E5" s="127" t="n">
        <x:f>ROUND(C5*0.28,0)</x:f>
        <x:v>9</x:v>
      </x:c>
      <x:c r="F5" s="127" t="n">
        <x:f>ROUND(C5*0.32,0)</x:f>
        <x:v>10</x:v>
      </x:c>
      <x:c r="G5" s="127" t="n">
        <x:f>MAX(0,C5-D5-E5-F5)</x:f>
        <x:v>5</x:v>
      </x:c>
      <x:c r="H5" s="127" t="n">
        <x:f>ROUND(B5*Inputs!$B$79,0)</x:f>
        <x:v>144</x:v>
      </x:c>
      <x:c r="I5" s="127" t="n">
        <x:f>ROUND(INDEX('Economy Simulation'!$G$4:$G$73,MATCH(A5,'Economy Simulation'!$A$4:$A$73,0))*Inputs!$B$80,0)</x:f>
        <x:v>271</x:v>
      </x:c>
      <x:c r="J5" s="118" t="str">
        <x:f>IF(B5=0,"Cap",IF(C5/B5&gt;0.12,"Too high",IF(C5/B5&lt;0.08,"Too low","OK")))</x:f>
        <x:v>OK</x:v>
      </x:c>
    </x:row>
    <x:row r="6" ht="15" hidden="0" customHeight="1">
      <x:c r="A6" s="118" t="n">
        <x:v>4</x:v>
      </x:c>
      <x:c r="B6" s="127" t="n">
        <x:f>IF(A6&lt;70,INDEX('XP Curve'!$F$4:$F$73,MATCH(A6+1,'XP Curve'!$A$4:$A$73,0)),0)</x:f>
        <x:v>510</x:v>
      </x:c>
      <x:c r="C6" s="127" t="n">
        <x:f>ROUND(B6*Inputs!$B$78,0)</x:f>
        <x:v>51</x:v>
      </x:c>
      <x:c r="D6" s="127" t="n">
        <x:f>ROUND(C6*0.25,0)</x:f>
        <x:v>13</x:v>
      </x:c>
      <x:c r="E6" s="127" t="n">
        <x:f>ROUND(C6*0.28,0)</x:f>
        <x:v>14</x:v>
      </x:c>
      <x:c r="F6" s="127" t="n">
        <x:f>ROUND(C6*0.32,0)</x:f>
        <x:v>16</x:v>
      </x:c>
      <x:c r="G6" s="127" t="n">
        <x:f>MAX(0,C6-D6-E6-F6)</x:f>
        <x:v>8</x:v>
      </x:c>
      <x:c r="H6" s="127" t="n">
        <x:f>ROUND(B6*Inputs!$B$79,0)</x:f>
        <x:v>230</x:v>
      </x:c>
      <x:c r="I6" s="127" t="n">
        <x:f>ROUND(INDEX('Economy Simulation'!$G$4:$G$73,MATCH(A6,'Economy Simulation'!$A$4:$A$73,0))*Inputs!$B$80,0)</x:f>
        <x:v>278</x:v>
      </x:c>
      <x:c r="J6" s="118" t="str">
        <x:f>IF(B6=0,"Cap",IF(C6/B6&gt;0.12,"Too high",IF(C6/B6&lt;0.08,"Too low","OK")))</x:f>
        <x:v>OK</x:v>
      </x:c>
    </x:row>
    <x:row r="7" ht="15" hidden="0" customHeight="1">
      <x:c r="A7" s="118" t="n">
        <x:v>5</x:v>
      </x:c>
      <x:c r="B7" s="127" t="n">
        <x:f>IF(A7&lt;70,INDEX('XP Curve'!$F$4:$F$73,MATCH(A7+1,'XP Curve'!$A$4:$A$73,0)),0)</x:f>
        <x:v>690</x:v>
      </x:c>
      <x:c r="C7" s="127" t="n">
        <x:f>ROUND(B7*Inputs!$B$78,0)</x:f>
        <x:v>69</x:v>
      </x:c>
      <x:c r="D7" s="127" t="n">
        <x:f>ROUND(C7*0.25,0)</x:f>
        <x:v>17</x:v>
      </x:c>
      <x:c r="E7" s="127" t="n">
        <x:f>ROUND(C7*0.28,0)</x:f>
        <x:v>19</x:v>
      </x:c>
      <x:c r="F7" s="127" t="n">
        <x:f>ROUND(C7*0.32,0)</x:f>
        <x:v>22</x:v>
      </x:c>
      <x:c r="G7" s="127" t="n">
        <x:f>MAX(0,C7-D7-E7-F7)</x:f>
        <x:v>11</x:v>
      </x:c>
      <x:c r="H7" s="127" t="n">
        <x:f>ROUND(B7*Inputs!$B$79,0)</x:f>
        <x:v>311</x:v>
      </x:c>
      <x:c r="I7" s="127" t="n">
        <x:f>ROUND(INDEX('Economy Simulation'!$G$4:$G$73,MATCH(A7,'Economy Simulation'!$A$4:$A$73,0))*Inputs!$B$80,0)</x:f>
        <x:v>286</x:v>
      </x:c>
      <x:c r="J7" s="118" t="str">
        <x:f>IF(B7=0,"Cap",IF(C7/B7&gt;0.12,"Too high",IF(C7/B7&lt;0.08,"Too low","OK")))</x:f>
        <x:v>OK</x:v>
      </x:c>
    </x:row>
    <x:row r="8" ht="15" hidden="0" customHeight="1">
      <x:c r="A8" s="118" t="n">
        <x:v>6</x:v>
      </x:c>
      <x:c r="B8" s="127" t="n">
        <x:f>IF(A8&lt;70,INDEX('XP Curve'!$F$4:$F$73,MATCH(A8+1,'XP Curve'!$A$4:$A$73,0)),0)</x:f>
        <x:v>980</x:v>
      </x:c>
      <x:c r="C8" s="127" t="n">
        <x:f>ROUND(B8*Inputs!$B$78,0)</x:f>
        <x:v>98</x:v>
      </x:c>
      <x:c r="D8" s="127" t="n">
        <x:f>ROUND(C8*0.25,0)</x:f>
        <x:v>25</x:v>
      </x:c>
      <x:c r="E8" s="127" t="n">
        <x:f>ROUND(C8*0.28,0)</x:f>
        <x:v>27</x:v>
      </x:c>
      <x:c r="F8" s="127" t="n">
        <x:f>ROUND(C8*0.32,0)</x:f>
        <x:v>31</x:v>
      </x:c>
      <x:c r="G8" s="127" t="n">
        <x:f>MAX(0,C8-D8-E8-F8)</x:f>
        <x:v>15</x:v>
      </x:c>
      <x:c r="H8" s="127" t="n">
        <x:f>ROUND(B8*Inputs!$B$79,0)</x:f>
        <x:v>441</x:v>
      </x:c>
      <x:c r="I8" s="127" t="n">
        <x:f>ROUND(INDEX('Economy Simulation'!$G$4:$G$73,MATCH(A8,'Economy Simulation'!$A$4:$A$73,0))*Inputs!$B$80,0)</x:f>
        <x:v>294</x:v>
      </x:c>
      <x:c r="J8" s="118" t="str">
        <x:f>IF(B8=0,"Cap",IF(C8/B8&gt;0.12,"Too high",IF(C8/B8&lt;0.08,"Too low","OK")))</x:f>
        <x:v>OK</x:v>
      </x:c>
    </x:row>
    <x:row r="9" ht="15" hidden="0" customHeight="1">
      <x:c r="A9" s="118" t="n">
        <x:v>7</x:v>
      </x:c>
      <x:c r="B9" s="127" t="n">
        <x:f>IF(A9&lt;70,INDEX('XP Curve'!$F$4:$F$73,MATCH(A9+1,'XP Curve'!$A$4:$A$73,0)),0)</x:f>
        <x:v>1310</x:v>
      </x:c>
      <x:c r="C9" s="127" t="n">
        <x:f>ROUND(B9*Inputs!$B$78,0)</x:f>
        <x:v>131</x:v>
      </x:c>
      <x:c r="D9" s="127" t="n">
        <x:f>ROUND(C9*0.25,0)</x:f>
        <x:v>33</x:v>
      </x:c>
      <x:c r="E9" s="127" t="n">
        <x:f>ROUND(C9*0.28,0)</x:f>
        <x:v>37</x:v>
      </x:c>
      <x:c r="F9" s="127" t="n">
        <x:f>ROUND(C9*0.32,0)</x:f>
        <x:v>42</x:v>
      </x:c>
      <x:c r="G9" s="127" t="n">
        <x:f>MAX(0,C9-D9-E9-F9)</x:f>
        <x:v>19</x:v>
      </x:c>
      <x:c r="H9" s="127" t="n">
        <x:f>ROUND(B9*Inputs!$B$79,0)</x:f>
        <x:v>590</x:v>
      </x:c>
      <x:c r="I9" s="127" t="n">
        <x:f>ROUND(INDEX('Economy Simulation'!$G$4:$G$73,MATCH(A9,'Economy Simulation'!$A$4:$A$73,0))*Inputs!$B$80,0)</x:f>
        <x:v>844</x:v>
      </x:c>
      <x:c r="J9" s="118" t="str">
        <x:f>IF(B9=0,"Cap",IF(C9/B9&gt;0.12,"Too high",IF(C9/B9&lt;0.08,"Too low","OK")))</x:f>
        <x:v>OK</x:v>
      </x:c>
    </x:row>
    <x:row r="10" ht="15" hidden="0" customHeight="1">
      <x:c r="A10" s="118" t="n">
        <x:v>8</x:v>
      </x:c>
      <x:c r="B10" s="127" t="n">
        <x:f>IF(A10&lt;70,INDEX('XP Curve'!$F$4:$F$73,MATCH(A10+1,'XP Curve'!$A$4:$A$73,0)),0)</x:f>
        <x:v>1730</x:v>
      </x:c>
      <x:c r="C10" s="127" t="n">
        <x:f>ROUND(B10*Inputs!$B$78,0)</x:f>
        <x:v>173</x:v>
      </x:c>
      <x:c r="D10" s="127" t="n">
        <x:f>ROUND(C10*0.25,0)</x:f>
        <x:v>43</x:v>
      </x:c>
      <x:c r="E10" s="127" t="n">
        <x:f>ROUND(C10*0.28,0)</x:f>
        <x:v>48</x:v>
      </x:c>
      <x:c r="F10" s="127" t="n">
        <x:f>ROUND(C10*0.32,0)</x:f>
        <x:v>55</x:v>
      </x:c>
      <x:c r="G10" s="127" t="n">
        <x:f>MAX(0,C10-D10-E10-F10)</x:f>
        <x:v>27</x:v>
      </x:c>
      <x:c r="H10" s="127" t="n">
        <x:f>ROUND(B10*Inputs!$B$79,0)</x:f>
        <x:v>779</x:v>
      </x:c>
      <x:c r="I10" s="127" t="n">
        <x:f>ROUND(INDEX('Economy Simulation'!$G$4:$G$73,MATCH(A10,'Economy Simulation'!$A$4:$A$73,0))*Inputs!$B$80,0)</x:f>
        <x:v>866</x:v>
      </x:c>
      <x:c r="J10" s="118" t="str">
        <x:f>IF(B10=0,"Cap",IF(C10/B10&gt;0.12,"Too high",IF(C10/B10&lt;0.08,"Too low","OK")))</x:f>
        <x:v>OK</x:v>
      </x:c>
    </x:row>
    <x:row r="11" ht="15" hidden="0" customHeight="1">
      <x:c r="A11" s="118" t="n">
        <x:v>9</x:v>
      </x:c>
      <x:c r="B11" s="127" t="n">
        <x:f>IF(A11&lt;70,INDEX('XP Curve'!$F$4:$F$73,MATCH(A11+1,'XP Curve'!$A$4:$A$73,0)),0)</x:f>
        <x:v>2220</x:v>
      </x:c>
      <x:c r="C11" s="127" t="n">
        <x:f>ROUND(B11*Inputs!$B$78,0)</x:f>
        <x:v>222</x:v>
      </x:c>
      <x:c r="D11" s="127" t="n">
        <x:f>ROUND(C11*0.25,0)</x:f>
        <x:v>56</x:v>
      </x:c>
      <x:c r="E11" s="127" t="n">
        <x:f>ROUND(C11*0.28,0)</x:f>
        <x:v>62</x:v>
      </x:c>
      <x:c r="F11" s="127" t="n">
        <x:f>ROUND(C11*0.32,0)</x:f>
        <x:v>71</x:v>
      </x:c>
      <x:c r="G11" s="127" t="n">
        <x:f>MAX(0,C11-D11-E11-F11)</x:f>
        <x:v>33</x:v>
      </x:c>
      <x:c r="H11" s="127" t="n">
        <x:f>ROUND(B11*Inputs!$B$79,0)</x:f>
        <x:v>999</x:v>
      </x:c>
      <x:c r="I11" s="127" t="n">
        <x:f>ROUND(INDEX('Economy Simulation'!$G$4:$G$73,MATCH(A11,'Economy Simulation'!$A$4:$A$73,0))*Inputs!$B$80,0)</x:f>
        <x:v>887</x:v>
      </x:c>
      <x:c r="J11" s="118" t="str">
        <x:f>IF(B11=0,"Cap",IF(C11/B11&gt;0.12,"Too high",IF(C11/B11&lt;0.08,"Too low","OK")))</x:f>
        <x:v>OK</x:v>
      </x:c>
    </x:row>
    <x:row r="12" ht="15" hidden="0" customHeight="1">
      <x:c r="A12" s="118" t="n">
        <x:v>10</x:v>
      </x:c>
      <x:c r="B12" s="127" t="n">
        <x:f>IF(A12&lt;70,INDEX('XP Curve'!$F$4:$F$73,MATCH(A12+1,'XP Curve'!$A$4:$A$73,0)),0)</x:f>
        <x:v>2890</x:v>
      </x:c>
      <x:c r="C12" s="127" t="n">
        <x:f>ROUND(B12*Inputs!$B$78,0)</x:f>
        <x:v>289</x:v>
      </x:c>
      <x:c r="D12" s="127" t="n">
        <x:f>ROUND(C12*0.25,0)</x:f>
        <x:v>72</x:v>
      </x:c>
      <x:c r="E12" s="127" t="n">
        <x:f>ROUND(C12*0.28,0)</x:f>
        <x:v>81</x:v>
      </x:c>
      <x:c r="F12" s="127" t="n">
        <x:f>ROUND(C12*0.32,0)</x:f>
        <x:v>92</x:v>
      </x:c>
      <x:c r="G12" s="127" t="n">
        <x:f>MAX(0,C12-D12-E12-F12)</x:f>
        <x:v>44</x:v>
      </x:c>
      <x:c r="H12" s="127" t="n">
        <x:f>ROUND(B12*Inputs!$B$79,0)</x:f>
        <x:v>1301</x:v>
      </x:c>
      <x:c r="I12" s="127" t="n">
        <x:f>ROUND(INDEX('Economy Simulation'!$G$4:$G$73,MATCH(A12,'Economy Simulation'!$A$4:$A$73,0))*Inputs!$B$80,0)</x:f>
        <x:v>909</x:v>
      </x:c>
      <x:c r="J12" s="118" t="str">
        <x:f>IF(B12=0,"Cap",IF(C12/B12&gt;0.12,"Too high",IF(C12/B12&lt;0.08,"Too low","OK")))</x:f>
        <x:v>OK</x:v>
      </x:c>
    </x:row>
    <x:row r="13" ht="15" hidden="0" customHeight="1">
      <x:c r="A13" s="118" t="n">
        <x:v>11</x:v>
      </x:c>
      <x:c r="B13" s="127" t="n">
        <x:f>IF(A13&lt;70,INDEX('XP Curve'!$F$4:$F$73,MATCH(A13+1,'XP Curve'!$A$4:$A$73,0)),0)</x:f>
        <x:v>3700</x:v>
      </x:c>
      <x:c r="C13" s="127" t="n">
        <x:f>ROUND(B13*Inputs!$B$78,0)</x:f>
        <x:v>370</x:v>
      </x:c>
      <x:c r="D13" s="127" t="n">
        <x:f>ROUND(C13*0.25,0)</x:f>
        <x:v>93</x:v>
      </x:c>
      <x:c r="E13" s="127" t="n">
        <x:f>ROUND(C13*0.28,0)</x:f>
        <x:v>104</x:v>
      </x:c>
      <x:c r="F13" s="127" t="n">
        <x:f>ROUND(C13*0.32,0)</x:f>
        <x:v>118</x:v>
      </x:c>
      <x:c r="G13" s="127" t="n">
        <x:f>MAX(0,C13-D13-E13-F13)</x:f>
        <x:v>55</x:v>
      </x:c>
      <x:c r="H13" s="127" t="n">
        <x:f>ROUND(B13*Inputs!$B$79,0)</x:f>
        <x:v>1665</x:v>
      </x:c>
      <x:c r="I13" s="127" t="n">
        <x:f>ROUND(INDEX('Economy Simulation'!$G$4:$G$73,MATCH(A13,'Economy Simulation'!$A$4:$A$73,0))*Inputs!$B$80,0)</x:f>
        <x:v>930</x:v>
      </x:c>
      <x:c r="J13" s="118" t="str">
        <x:f>IF(B13=0,"Cap",IF(C13/B13&gt;0.12,"Too high",IF(C13/B13&lt;0.08,"Too low","OK")))</x:f>
        <x:v>OK</x:v>
      </x:c>
    </x:row>
    <x:row r="14" ht="15" hidden="0" customHeight="1">
      <x:c r="A14" s="118" t="n">
        <x:v>12</x:v>
      </x:c>
      <x:c r="B14" s="127" t="n">
        <x:f>IF(A14&lt;70,INDEX('XP Curve'!$F$4:$F$73,MATCH(A14+1,'XP Curve'!$A$4:$A$73,0)),0)</x:f>
        <x:v>4630</x:v>
      </x:c>
      <x:c r="C14" s="127" t="n">
        <x:f>ROUND(B14*Inputs!$B$78,0)</x:f>
        <x:v>463</x:v>
      </x:c>
      <x:c r="D14" s="127" t="n">
        <x:f>ROUND(C14*0.25,0)</x:f>
        <x:v>116</x:v>
      </x:c>
      <x:c r="E14" s="127" t="n">
        <x:f>ROUND(C14*0.28,0)</x:f>
        <x:v>130</x:v>
      </x:c>
      <x:c r="F14" s="127" t="n">
        <x:f>ROUND(C14*0.32,0)</x:f>
        <x:v>148</x:v>
      </x:c>
      <x:c r="G14" s="127" t="n">
        <x:f>MAX(0,C14-D14-E14-F14)</x:f>
        <x:v>69</x:v>
      </x:c>
      <x:c r="H14" s="127" t="n">
        <x:f>ROUND(B14*Inputs!$B$79,0)</x:f>
        <x:v>2084</x:v>
      </x:c>
      <x:c r="I14" s="127" t="n">
        <x:f>ROUND(INDEX('Economy Simulation'!$G$4:$G$73,MATCH(A14,'Economy Simulation'!$A$4:$A$73,0))*Inputs!$B$80,0)</x:f>
        <x:v>952</x:v>
      </x:c>
      <x:c r="J14" s="118" t="str">
        <x:f>IF(B14=0,"Cap",IF(C14/B14&gt;0.12,"Too high",IF(C14/B14&lt;0.08,"Too low","OK")))</x:f>
        <x:v>OK</x:v>
      </x:c>
    </x:row>
    <x:row r="15" ht="15" hidden="0" customHeight="1">
      <x:c r="A15" s="118" t="n">
        <x:v>13</x:v>
      </x:c>
      <x:c r="B15" s="127" t="n">
        <x:f>IF(A15&lt;70,INDEX('XP Curve'!$F$4:$F$73,MATCH(A15+1,'XP Curve'!$A$4:$A$73,0)),0)</x:f>
        <x:v>5710</x:v>
      </x:c>
      <x:c r="C15" s="127" t="n">
        <x:f>ROUND(B15*Inputs!$B$78,0)</x:f>
        <x:v>571</x:v>
      </x:c>
      <x:c r="D15" s="127" t="n">
        <x:f>ROUND(C15*0.25,0)</x:f>
        <x:v>143</x:v>
      </x:c>
      <x:c r="E15" s="127" t="n">
        <x:f>ROUND(C15*0.28,0)</x:f>
        <x:v>160</x:v>
      </x:c>
      <x:c r="F15" s="127" t="n">
        <x:f>ROUND(C15*0.32,0)</x:f>
        <x:v>183</x:v>
      </x:c>
      <x:c r="G15" s="127" t="n">
        <x:f>MAX(0,C15-D15-E15-F15)</x:f>
        <x:v>85</x:v>
      </x:c>
      <x:c r="H15" s="127" t="n">
        <x:f>ROUND(B15*Inputs!$B$79,0)</x:f>
        <x:v>2570</x:v>
      </x:c>
      <x:c r="I15" s="127" t="n">
        <x:f>ROUND(INDEX('Economy Simulation'!$G$4:$G$73,MATCH(A15,'Economy Simulation'!$A$4:$A$73,0))*Inputs!$B$80,0)</x:f>
        <x:v>974</x:v>
      </x:c>
      <x:c r="J15" s="118" t="str">
        <x:f>IF(B15=0,"Cap",IF(C15/B15&gt;0.12,"Too high",IF(C15/B15&lt;0.08,"Too low","OK")))</x:f>
        <x:v>OK</x:v>
      </x:c>
    </x:row>
    <x:row r="16" ht="15" hidden="0" customHeight="1">
      <x:c r="A16" s="118" t="n">
        <x:v>14</x:v>
      </x:c>
      <x:c r="B16" s="127" t="n">
        <x:f>IF(A16&lt;70,INDEX('XP Curve'!$F$4:$F$73,MATCH(A16+1,'XP Curve'!$A$4:$A$73,0)),0)</x:f>
        <x:v>6950</x:v>
      </x:c>
      <x:c r="C16" s="127" t="n">
        <x:f>ROUND(B16*Inputs!$B$78,0)</x:f>
        <x:v>695</x:v>
      </x:c>
      <x:c r="D16" s="127" t="n">
        <x:f>ROUND(C16*0.25,0)</x:f>
        <x:v>174</x:v>
      </x:c>
      <x:c r="E16" s="127" t="n">
        <x:f>ROUND(C16*0.28,0)</x:f>
        <x:v>195</x:v>
      </x:c>
      <x:c r="F16" s="127" t="n">
        <x:f>ROUND(C16*0.32,0)</x:f>
        <x:v>222</x:v>
      </x:c>
      <x:c r="G16" s="127" t="n">
        <x:f>MAX(0,C16-D16-E16-F16)</x:f>
        <x:v>104</x:v>
      </x:c>
      <x:c r="H16" s="127" t="n">
        <x:f>ROUND(B16*Inputs!$B$79,0)</x:f>
        <x:v>3128</x:v>
      </x:c>
      <x:c r="I16" s="127" t="n">
        <x:f>ROUND(INDEX('Economy Simulation'!$G$4:$G$73,MATCH(A16,'Economy Simulation'!$A$4:$A$73,0))*Inputs!$B$80,0)</x:f>
        <x:v>995</x:v>
      </x:c>
      <x:c r="J16" s="118" t="str">
        <x:f>IF(B16=0,"Cap",IF(C16/B16&gt;0.12,"Too high",IF(C16/B16&lt;0.08,"Too low","OK")))</x:f>
        <x:v>OK</x:v>
      </x:c>
    </x:row>
    <x:row r="17" ht="15" hidden="0" customHeight="1">
      <x:c r="A17" s="118" t="n">
        <x:v>15</x:v>
      </x:c>
      <x:c r="B17" s="127" t="n">
        <x:f>IF(A17&lt;70,INDEX('XP Curve'!$F$4:$F$73,MATCH(A17+1,'XP Curve'!$A$4:$A$73,0)),0)</x:f>
        <x:v>8340</x:v>
      </x:c>
      <x:c r="C17" s="127" t="n">
        <x:f>ROUND(B17*Inputs!$B$78,0)</x:f>
        <x:v>834</x:v>
      </x:c>
      <x:c r="D17" s="127" t="n">
        <x:f>ROUND(C17*0.25,0)</x:f>
        <x:v>209</x:v>
      </x:c>
      <x:c r="E17" s="127" t="n">
        <x:f>ROUND(C17*0.28,0)</x:f>
        <x:v>234</x:v>
      </x:c>
      <x:c r="F17" s="127" t="n">
        <x:f>ROUND(C17*0.32,0)</x:f>
        <x:v>267</x:v>
      </x:c>
      <x:c r="G17" s="127" t="n">
        <x:f>MAX(0,C17-D17-E17-F17)</x:f>
        <x:v>124</x:v>
      </x:c>
      <x:c r="H17" s="127" t="n">
        <x:f>ROUND(B17*Inputs!$B$79,0)</x:f>
        <x:v>3753</x:v>
      </x:c>
      <x:c r="I17" s="127" t="n">
        <x:f>ROUND(INDEX('Economy Simulation'!$G$4:$G$73,MATCH(A17,'Economy Simulation'!$A$4:$A$73,0))*Inputs!$B$80,0)</x:f>
        <x:v>1016</x:v>
      </x:c>
      <x:c r="J17" s="118" t="str">
        <x:f>IF(B17=0,"Cap",IF(C17/B17&gt;0.12,"Too high",IF(C17/B17&lt;0.08,"Too low","OK")))</x:f>
        <x:v>OK</x:v>
      </x:c>
    </x:row>
    <x:row r="18" ht="15" hidden="0" customHeight="1">
      <x:c r="A18" s="118" t="n">
        <x:v>16</x:v>
      </x:c>
      <x:c r="B18" s="127" t="n">
        <x:f>IF(A18&lt;70,INDEX('XP Curve'!$F$4:$F$73,MATCH(A18+1,'XP Curve'!$A$4:$A$73,0)),0)</x:f>
        <x:v>9910</x:v>
      </x:c>
      <x:c r="C18" s="127" t="n">
        <x:f>ROUND(B18*Inputs!$B$78,0)</x:f>
        <x:v>991</x:v>
      </x:c>
      <x:c r="D18" s="127" t="n">
        <x:f>ROUND(C18*0.25,0)</x:f>
        <x:v>248</x:v>
      </x:c>
      <x:c r="E18" s="127" t="n">
        <x:f>ROUND(C18*0.28,0)</x:f>
        <x:v>277</x:v>
      </x:c>
      <x:c r="F18" s="127" t="n">
        <x:f>ROUND(C18*0.32,0)</x:f>
        <x:v>317</x:v>
      </x:c>
      <x:c r="G18" s="127" t="n">
        <x:f>MAX(0,C18-D18-E18-F18)</x:f>
        <x:v>149</x:v>
      </x:c>
      <x:c r="H18" s="127" t="n">
        <x:f>ROUND(B18*Inputs!$B$79,0)</x:f>
        <x:v>4460</x:v>
      </x:c>
      <x:c r="I18" s="127" t="n">
        <x:f>ROUND(INDEX('Economy Simulation'!$G$4:$G$73,MATCH(A18,'Economy Simulation'!$A$4:$A$73,0))*Inputs!$B$80,0)</x:f>
        <x:v>1706</x:v>
      </x:c>
      <x:c r="J18" s="118" t="str">
        <x:f>IF(B18=0,"Cap",IF(C18/B18&gt;0.12,"Too high",IF(C18/B18&lt;0.08,"Too low","OK")))</x:f>
        <x:v>OK</x:v>
      </x:c>
    </x:row>
    <x:row r="19" ht="15" hidden="0" customHeight="1">
      <x:c r="A19" s="118" t="n">
        <x:v>17</x:v>
      </x:c>
      <x:c r="B19" s="127" t="n">
        <x:f>IF(A19&lt;70,INDEX('XP Curve'!$F$4:$F$73,MATCH(A19+1,'XP Curve'!$A$4:$A$73,0)),0)</x:f>
        <x:v>11650</x:v>
      </x:c>
      <x:c r="C19" s="127" t="n">
        <x:f>ROUND(B19*Inputs!$B$78,0)</x:f>
        <x:v>1165</x:v>
      </x:c>
      <x:c r="D19" s="127" t="n">
        <x:f>ROUND(C19*0.25,0)</x:f>
        <x:v>291</x:v>
      </x:c>
      <x:c r="E19" s="127" t="n">
        <x:f>ROUND(C19*0.28,0)</x:f>
        <x:v>326</x:v>
      </x:c>
      <x:c r="F19" s="127" t="n">
        <x:f>ROUND(C19*0.32,0)</x:f>
        <x:v>373</x:v>
      </x:c>
      <x:c r="G19" s="127" t="n">
        <x:f>MAX(0,C19-D19-E19-F19)</x:f>
        <x:v>175</x:v>
      </x:c>
      <x:c r="H19" s="127" t="n">
        <x:f>ROUND(B19*Inputs!$B$79,0)</x:f>
        <x:v>5243</x:v>
      </x:c>
      <x:c r="I19" s="127" t="n">
        <x:f>ROUND(INDEX('Economy Simulation'!$G$4:$G$73,MATCH(A19,'Economy Simulation'!$A$4:$A$73,0))*Inputs!$B$80,0)</x:f>
        <x:v>1741</x:v>
      </x:c>
      <x:c r="J19" s="118" t="str">
        <x:f>IF(B19=0,"Cap",IF(C19/B19&gt;0.12,"Too high",IF(C19/B19&lt;0.08,"Too low","OK")))</x:f>
        <x:v>OK</x:v>
      </x:c>
    </x:row>
    <x:row r="20" ht="15" hidden="0" customHeight="1">
      <x:c r="A20" s="118" t="n">
        <x:v>18</x:v>
      </x:c>
      <x:c r="B20" s="127" t="n">
        <x:f>IF(A20&lt;70,INDEX('XP Curve'!$F$4:$F$73,MATCH(A20+1,'XP Curve'!$A$4:$A$73,0)),0)</x:f>
        <x:v>13220</x:v>
      </x:c>
      <x:c r="C20" s="127" t="n">
        <x:f>ROUND(B20*Inputs!$B$78,0)</x:f>
        <x:v>1322</x:v>
      </x:c>
      <x:c r="D20" s="127" t="n">
        <x:f>ROUND(C20*0.25,0)</x:f>
        <x:v>331</x:v>
      </x:c>
      <x:c r="E20" s="127" t="n">
        <x:f>ROUND(C20*0.28,0)</x:f>
        <x:v>370</x:v>
      </x:c>
      <x:c r="F20" s="127" t="n">
        <x:f>ROUND(C20*0.32,0)</x:f>
        <x:v>423</x:v>
      </x:c>
      <x:c r="G20" s="127" t="n">
        <x:f>MAX(0,C20-D20-E20-F20)</x:f>
        <x:v>198</x:v>
      </x:c>
      <x:c r="H20" s="127" t="n">
        <x:f>ROUND(B20*Inputs!$B$79,0)</x:f>
        <x:v>5949</x:v>
      </x:c>
      <x:c r="I20" s="127" t="n">
        <x:f>ROUND(INDEX('Economy Simulation'!$G$4:$G$73,MATCH(A20,'Economy Simulation'!$A$4:$A$73,0))*Inputs!$B$80,0)</x:f>
        <x:v>1776</x:v>
      </x:c>
      <x:c r="J20" s="118" t="str">
        <x:f>IF(B20=0,"Cap",IF(C20/B20&gt;0.12,"Too high",IF(C20/B20&lt;0.08,"Too low","OK")))</x:f>
        <x:v>OK</x:v>
      </x:c>
    </x:row>
    <x:row r="21" ht="15" hidden="0" customHeight="1">
      <x:c r="A21" s="118" t="n">
        <x:v>19</x:v>
      </x:c>
      <x:c r="B21" s="127" t="n">
        <x:f>IF(A21&lt;70,INDEX('XP Curve'!$F$4:$F$73,MATCH(A21+1,'XP Curve'!$A$4:$A$73,0)),0)</x:f>
        <x:v>14900</x:v>
      </x:c>
      <x:c r="C21" s="127" t="n">
        <x:f>ROUND(B21*Inputs!$B$78,0)</x:f>
        <x:v>1490</x:v>
      </x:c>
      <x:c r="D21" s="127" t="n">
        <x:f>ROUND(C21*0.25,0)</x:f>
        <x:v>373</x:v>
      </x:c>
      <x:c r="E21" s="127" t="n">
        <x:f>ROUND(C21*0.28,0)</x:f>
        <x:v>417</x:v>
      </x:c>
      <x:c r="F21" s="127" t="n">
        <x:f>ROUND(C21*0.32,0)</x:f>
        <x:v>477</x:v>
      </x:c>
      <x:c r="G21" s="127" t="n">
        <x:f>MAX(0,C21-D21-E21-F21)</x:f>
        <x:v>223</x:v>
      </x:c>
      <x:c r="H21" s="127" t="n">
        <x:f>ROUND(B21*Inputs!$B$79,0)</x:f>
        <x:v>6705</x:v>
      </x:c>
      <x:c r="I21" s="127" t="n">
        <x:f>ROUND(INDEX('Economy Simulation'!$G$4:$G$73,MATCH(A21,'Economy Simulation'!$A$4:$A$73,0))*Inputs!$B$80,0)</x:f>
        <x:v>1811</x:v>
      </x:c>
      <x:c r="J21" s="118" t="str">
        <x:f>IF(B21=0,"Cap",IF(C21/B21&gt;0.12,"Too high",IF(C21/B21&lt;0.08,"Too low","OK")))</x:f>
        <x:v>OK</x:v>
      </x:c>
    </x:row>
    <x:row r="22" ht="15" hidden="0" customHeight="1">
      <x:c r="A22" s="118" t="n">
        <x:v>20</x:v>
      </x:c>
      <x:c r="B22" s="127" t="n">
        <x:f>IF(A22&lt;70,INDEX('XP Curve'!$F$4:$F$73,MATCH(A22+1,'XP Curve'!$A$4:$A$73,0)),0)</x:f>
        <x:v>16690</x:v>
      </x:c>
      <x:c r="C22" s="127" t="n">
        <x:f>ROUND(B22*Inputs!$B$78,0)</x:f>
        <x:v>1669</x:v>
      </x:c>
      <x:c r="D22" s="127" t="n">
        <x:f>ROUND(C22*0.25,0)</x:f>
        <x:v>417</x:v>
      </x:c>
      <x:c r="E22" s="127" t="n">
        <x:f>ROUND(C22*0.28,0)</x:f>
        <x:v>467</x:v>
      </x:c>
      <x:c r="F22" s="127" t="n">
        <x:f>ROUND(C22*0.32,0)</x:f>
        <x:v>534</x:v>
      </x:c>
      <x:c r="G22" s="127" t="n">
        <x:f>MAX(0,C22-D22-E22-F22)</x:f>
        <x:v>251</x:v>
      </x:c>
      <x:c r="H22" s="127" t="n">
        <x:f>ROUND(B22*Inputs!$B$79,0)</x:f>
        <x:v>7511</x:v>
      </x:c>
      <x:c r="I22" s="127" t="n">
        <x:f>ROUND(INDEX('Economy Simulation'!$G$4:$G$73,MATCH(A22,'Economy Simulation'!$A$4:$A$73,0))*Inputs!$B$80,0)</x:f>
        <x:v>1847</x:v>
      </x:c>
      <x:c r="J22" s="118" t="str">
        <x:f>IF(B22=0,"Cap",IF(C22/B22&gt;0.12,"Too high",IF(C22/B22&lt;0.08,"Too low","OK")))</x:f>
        <x:v>OK</x:v>
      </x:c>
    </x:row>
    <x:row r="23" ht="15" hidden="0" customHeight="1">
      <x:c r="A23" s="118" t="n">
        <x:v>21</x:v>
      </x:c>
      <x:c r="B23" s="127" t="n">
        <x:f>IF(A23&lt;70,INDEX('XP Curve'!$F$4:$F$73,MATCH(A23+1,'XP Curve'!$A$4:$A$73,0)),0)</x:f>
        <x:v>18580</x:v>
      </x:c>
      <x:c r="C23" s="127" t="n">
        <x:f>ROUND(B23*Inputs!$B$78,0)</x:f>
        <x:v>1858</x:v>
      </x:c>
      <x:c r="D23" s="127" t="n">
        <x:f>ROUND(C23*0.25,0)</x:f>
        <x:v>465</x:v>
      </x:c>
      <x:c r="E23" s="127" t="n">
        <x:f>ROUND(C23*0.28,0)</x:f>
        <x:v>520</x:v>
      </x:c>
      <x:c r="F23" s="127" t="n">
        <x:f>ROUND(C23*0.32,0)</x:f>
        <x:v>595</x:v>
      </x:c>
      <x:c r="G23" s="127" t="n">
        <x:f>MAX(0,C23-D23-E23-F23)</x:f>
        <x:v>278</x:v>
      </x:c>
      <x:c r="H23" s="127" t="n">
        <x:f>ROUND(B23*Inputs!$B$79,0)</x:f>
        <x:v>8361</x:v>
      </x:c>
      <x:c r="I23" s="127" t="n">
        <x:f>ROUND(INDEX('Economy Simulation'!$G$4:$G$73,MATCH(A23,'Economy Simulation'!$A$4:$A$73,0))*Inputs!$B$80,0)</x:f>
        <x:v>1883</x:v>
      </x:c>
      <x:c r="J23" s="118" t="str">
        <x:f>IF(B23=0,"Cap",IF(C23/B23&gt;0.12,"Too high",IF(C23/B23&lt;0.08,"Too low","OK")))</x:f>
        <x:v>OK</x:v>
      </x:c>
    </x:row>
    <x:row r="24" ht="15" hidden="0" customHeight="1">
      <x:c r="A24" s="118" t="n">
        <x:v>22</x:v>
      </x:c>
      <x:c r="B24" s="127" t="n">
        <x:f>IF(A24&lt;70,INDEX('XP Curve'!$F$4:$F$73,MATCH(A24+1,'XP Curve'!$A$4:$A$73,0)),0)</x:f>
        <x:v>20570</x:v>
      </x:c>
      <x:c r="C24" s="127" t="n">
        <x:f>ROUND(B24*Inputs!$B$78,0)</x:f>
        <x:v>2057</x:v>
      </x:c>
      <x:c r="D24" s="127" t="n">
        <x:f>ROUND(C24*0.25,0)</x:f>
        <x:v>514</x:v>
      </x:c>
      <x:c r="E24" s="127" t="n">
        <x:f>ROUND(C24*0.28,0)</x:f>
        <x:v>576</x:v>
      </x:c>
      <x:c r="F24" s="127" t="n">
        <x:f>ROUND(C24*0.32,0)</x:f>
        <x:v>658</x:v>
      </x:c>
      <x:c r="G24" s="127" t="n">
        <x:f>MAX(0,C24-D24-E24-F24)</x:f>
        <x:v>309</x:v>
      </x:c>
      <x:c r="H24" s="127" t="n">
        <x:f>ROUND(B24*Inputs!$B$79,0)</x:f>
        <x:v>9257</x:v>
      </x:c>
      <x:c r="I24" s="127" t="n">
        <x:f>ROUND(INDEX('Economy Simulation'!$G$4:$G$73,MATCH(A24,'Economy Simulation'!$A$4:$A$73,0))*Inputs!$B$80,0)</x:f>
        <x:v>1918</x:v>
      </x:c>
      <x:c r="J24" s="118" t="str">
        <x:f>IF(B24=0,"Cap",IF(C24/B24&gt;0.12,"Too high",IF(C24/B24&lt;0.08,"Too low","OK")))</x:f>
        <x:v>OK</x:v>
      </x:c>
    </x:row>
    <x:row r="25" ht="15" hidden="0" customHeight="1">
      <x:c r="A25" s="118" t="n">
        <x:v>23</x:v>
      </x:c>
      <x:c r="B25" s="127" t="n">
        <x:f>IF(A25&lt;70,INDEX('XP Curve'!$F$4:$F$73,MATCH(A25+1,'XP Curve'!$A$4:$A$73,0)),0)</x:f>
        <x:v>22670</x:v>
      </x:c>
      <x:c r="C25" s="127" t="n">
        <x:f>ROUND(B25*Inputs!$B$78,0)</x:f>
        <x:v>2267</x:v>
      </x:c>
      <x:c r="D25" s="127" t="n">
        <x:f>ROUND(C25*0.25,0)</x:f>
        <x:v>567</x:v>
      </x:c>
      <x:c r="E25" s="127" t="n">
        <x:f>ROUND(C25*0.28,0)</x:f>
        <x:v>635</x:v>
      </x:c>
      <x:c r="F25" s="127" t="n">
        <x:f>ROUND(C25*0.32,0)</x:f>
        <x:v>725</x:v>
      </x:c>
      <x:c r="G25" s="127" t="n">
        <x:f>MAX(0,C25-D25-E25-F25)</x:f>
        <x:v>340</x:v>
      </x:c>
      <x:c r="H25" s="127" t="n">
        <x:f>ROUND(B25*Inputs!$B$79,0)</x:f>
        <x:v>10202</x:v>
      </x:c>
      <x:c r="I25" s="127" t="n">
        <x:f>ROUND(INDEX('Economy Simulation'!$G$4:$G$73,MATCH(A25,'Economy Simulation'!$A$4:$A$73,0))*Inputs!$B$80,0)</x:f>
        <x:v>1953</x:v>
      </x:c>
      <x:c r="J25" s="118" t="str">
        <x:f>IF(B25=0,"Cap",IF(C25/B25&gt;0.12,"Too high",IF(C25/B25&lt;0.08,"Too low","OK")))</x:f>
        <x:v>OK</x:v>
      </x:c>
    </x:row>
    <x:row r="26" ht="15" hidden="0" customHeight="1">
      <x:c r="A26" s="118" t="n">
        <x:v>24</x:v>
      </x:c>
      <x:c r="B26" s="127" t="n">
        <x:f>IF(A26&lt;70,INDEX('XP Curve'!$F$4:$F$73,MATCH(A26+1,'XP Curve'!$A$4:$A$73,0)),0)</x:f>
        <x:v>24880</x:v>
      </x:c>
      <x:c r="C26" s="127" t="n">
        <x:f>ROUND(B26*Inputs!$B$78,0)</x:f>
        <x:v>2488</x:v>
      </x:c>
      <x:c r="D26" s="127" t="n">
        <x:f>ROUND(C26*0.25,0)</x:f>
        <x:v>622</x:v>
      </x:c>
      <x:c r="E26" s="127" t="n">
        <x:f>ROUND(C26*0.28,0)</x:f>
        <x:v>697</x:v>
      </x:c>
      <x:c r="F26" s="127" t="n">
        <x:f>ROUND(C26*0.32,0)</x:f>
        <x:v>796</x:v>
      </x:c>
      <x:c r="G26" s="127" t="n">
        <x:f>MAX(0,C26-D26-E26-F26)</x:f>
        <x:v>373</x:v>
      </x:c>
      <x:c r="H26" s="127" t="n">
        <x:f>ROUND(B26*Inputs!$B$79,0)</x:f>
        <x:v>11196</x:v>
      </x:c>
      <x:c r="I26" s="127" t="n">
        <x:f>ROUND(INDEX('Economy Simulation'!$G$4:$G$73,MATCH(A26,'Economy Simulation'!$A$4:$A$73,0))*Inputs!$B$80,0)</x:f>
        <x:v>1989</x:v>
      </x:c>
      <x:c r="J26" s="118" t="str">
        <x:f>IF(B26=0,"Cap",IF(C26/B26&gt;0.12,"Too high",IF(C26/B26&lt;0.08,"Too low","OK")))</x:f>
        <x:v>OK</x:v>
      </x:c>
    </x:row>
    <x:row r="27" ht="15" hidden="0" customHeight="1">
      <x:c r="A27" s="118" t="n">
        <x:v>25</x:v>
      </x:c>
      <x:c r="B27" s="127" t="n">
        <x:f>IF(A27&lt;70,INDEX('XP Curve'!$F$4:$F$73,MATCH(A27+1,'XP Curve'!$A$4:$A$73,0)),0)</x:f>
        <x:v>27190</x:v>
      </x:c>
      <x:c r="C27" s="127" t="n">
        <x:f>ROUND(B27*Inputs!$B$78,0)</x:f>
        <x:v>2719</x:v>
      </x:c>
      <x:c r="D27" s="127" t="n">
        <x:f>ROUND(C27*0.25,0)</x:f>
        <x:v>680</x:v>
      </x:c>
      <x:c r="E27" s="127" t="n">
        <x:f>ROUND(C27*0.28,0)</x:f>
        <x:v>761</x:v>
      </x:c>
      <x:c r="F27" s="127" t="n">
        <x:f>ROUND(C27*0.32,0)</x:f>
        <x:v>870</x:v>
      </x:c>
      <x:c r="G27" s="127" t="n">
        <x:f>MAX(0,C27-D27-E27-F27)</x:f>
        <x:v>408</x:v>
      </x:c>
      <x:c r="H27" s="127" t="n">
        <x:f>ROUND(B27*Inputs!$B$79,0)</x:f>
        <x:v>12236</x:v>
      </x:c>
      <x:c r="I27" s="127" t="n">
        <x:f>ROUND(INDEX('Economy Simulation'!$G$4:$G$73,MATCH(A27,'Economy Simulation'!$A$4:$A$73,0))*Inputs!$B$80,0)</x:f>
        <x:v>3036</x:v>
      </x:c>
      <x:c r="J27" s="118" t="str">
        <x:f>IF(B27=0,"Cap",IF(C27/B27&gt;0.12,"Too high",IF(C27/B27&lt;0.08,"Too low","OK")))</x:f>
        <x:v>OK</x:v>
      </x:c>
    </x:row>
    <x:row r="28" ht="15" hidden="0" customHeight="1">
      <x:c r="A28" s="118" t="n">
        <x:v>26</x:v>
      </x:c>
      <x:c r="B28" s="127" t="n">
        <x:f>IF(A28&lt;70,INDEX('XP Curve'!$F$4:$F$73,MATCH(A28+1,'XP Curve'!$A$4:$A$73,0)),0)</x:f>
        <x:v>29600</x:v>
      </x:c>
      <x:c r="C28" s="127" t="n">
        <x:f>ROUND(B28*Inputs!$B$78,0)</x:f>
        <x:v>2960</x:v>
      </x:c>
      <x:c r="D28" s="127" t="n">
        <x:f>ROUND(C28*0.25,0)</x:f>
        <x:v>740</x:v>
      </x:c>
      <x:c r="E28" s="127" t="n">
        <x:f>ROUND(C28*0.28,0)</x:f>
        <x:v>829</x:v>
      </x:c>
      <x:c r="F28" s="127" t="n">
        <x:f>ROUND(C28*0.32,0)</x:f>
        <x:v>947</x:v>
      </x:c>
      <x:c r="G28" s="127" t="n">
        <x:f>MAX(0,C28-D28-E28-F28)</x:f>
        <x:v>444</x:v>
      </x:c>
      <x:c r="H28" s="127" t="n">
        <x:f>ROUND(B28*Inputs!$B$79,0)</x:f>
        <x:v>13320</x:v>
      </x:c>
      <x:c r="I28" s="127" t="n">
        <x:f>ROUND(INDEX('Economy Simulation'!$G$4:$G$73,MATCH(A28,'Economy Simulation'!$A$4:$A$73,0))*Inputs!$B$80,0)</x:f>
        <x:v>3089</x:v>
      </x:c>
      <x:c r="J28" s="118" t="str">
        <x:f>IF(B28=0,"Cap",IF(C28/B28&gt;0.12,"Too high",IF(C28/B28&lt;0.08,"Too low","OK")))</x:f>
        <x:v>OK</x:v>
      </x:c>
    </x:row>
    <x:row r="29" ht="15" hidden="0" customHeight="1">
      <x:c r="A29" s="118" t="n">
        <x:v>27</x:v>
      </x:c>
      <x:c r="B29" s="127" t="n">
        <x:f>IF(A29&lt;70,INDEX('XP Curve'!$F$4:$F$73,MATCH(A29+1,'XP Curve'!$A$4:$A$73,0)),0)</x:f>
        <x:v>32120</x:v>
      </x:c>
      <x:c r="C29" s="127" t="n">
        <x:f>ROUND(B29*Inputs!$B$78,0)</x:f>
        <x:v>3212</x:v>
      </x:c>
      <x:c r="D29" s="127" t="n">
        <x:f>ROUND(C29*0.25,0)</x:f>
        <x:v>803</x:v>
      </x:c>
      <x:c r="E29" s="127" t="n">
        <x:f>ROUND(C29*0.28,0)</x:f>
        <x:v>899</x:v>
      </x:c>
      <x:c r="F29" s="127" t="n">
        <x:f>ROUND(C29*0.32,0)</x:f>
        <x:v>1028</x:v>
      </x:c>
      <x:c r="G29" s="127" t="n">
        <x:f>MAX(0,C29-D29-E29-F29)</x:f>
        <x:v>482</x:v>
      </x:c>
      <x:c r="H29" s="127" t="n">
        <x:f>ROUND(B29*Inputs!$B$79,0)</x:f>
        <x:v>14454</x:v>
      </x:c>
      <x:c r="I29" s="127" t="n">
        <x:f>ROUND(INDEX('Economy Simulation'!$G$4:$G$73,MATCH(A29,'Economy Simulation'!$A$4:$A$73,0))*Inputs!$B$80,0)</x:f>
        <x:v>3142</x:v>
      </x:c>
      <x:c r="J29" s="118" t="str">
        <x:f>IF(B29=0,"Cap",IF(C29/B29&gt;0.12,"Too high",IF(C29/B29&lt;0.08,"Too low","OK")))</x:f>
        <x:v>OK</x:v>
      </x:c>
    </x:row>
    <x:row r="30" ht="15" hidden="0" customHeight="1">
      <x:c r="A30" s="118" t="n">
        <x:v>28</x:v>
      </x:c>
      <x:c r="B30" s="127" t="n">
        <x:f>IF(A30&lt;70,INDEX('XP Curve'!$F$4:$F$73,MATCH(A30+1,'XP Curve'!$A$4:$A$73,0)),0)</x:f>
        <x:v>34750</x:v>
      </x:c>
      <x:c r="C30" s="127" t="n">
        <x:f>ROUND(B30*Inputs!$B$78,0)</x:f>
        <x:v>3475</x:v>
      </x:c>
      <x:c r="D30" s="127" t="n">
        <x:f>ROUND(C30*0.25,0)</x:f>
        <x:v>869</x:v>
      </x:c>
      <x:c r="E30" s="127" t="n">
        <x:f>ROUND(C30*0.28,0)</x:f>
        <x:v>973</x:v>
      </x:c>
      <x:c r="F30" s="127" t="n">
        <x:f>ROUND(C30*0.32,0)</x:f>
        <x:v>1112</x:v>
      </x:c>
      <x:c r="G30" s="127" t="n">
        <x:f>MAX(0,C30-D30-E30-F30)</x:f>
        <x:v>521</x:v>
      </x:c>
      <x:c r="H30" s="127" t="n">
        <x:f>ROUND(B30*Inputs!$B$79,0)</x:f>
        <x:v>15638</x:v>
      </x:c>
      <x:c r="I30" s="127" t="n">
        <x:f>ROUND(INDEX('Economy Simulation'!$G$4:$G$73,MATCH(A30,'Economy Simulation'!$A$4:$A$73,0))*Inputs!$B$80,0)</x:f>
        <x:v>3196</x:v>
      </x:c>
      <x:c r="J30" s="118" t="str">
        <x:f>IF(B30=0,"Cap",IF(C30/B30&gt;0.12,"Too high",IF(C30/B30&lt;0.08,"Too low","OK")))</x:f>
        <x:v>OK</x:v>
      </x:c>
    </x:row>
    <x:row r="31" ht="15" hidden="0" customHeight="1">
      <x:c r="A31" s="118" t="n">
        <x:v>29</x:v>
      </x:c>
      <x:c r="B31" s="127" t="n">
        <x:f>IF(A31&lt;70,INDEX('XP Curve'!$F$4:$F$73,MATCH(A31+1,'XP Curve'!$A$4:$A$73,0)),0)</x:f>
        <x:v>37480</x:v>
      </x:c>
      <x:c r="C31" s="127" t="n">
        <x:f>ROUND(B31*Inputs!$B$78,0)</x:f>
        <x:v>3748</x:v>
      </x:c>
      <x:c r="D31" s="127" t="n">
        <x:f>ROUND(C31*0.25,0)</x:f>
        <x:v>937</x:v>
      </x:c>
      <x:c r="E31" s="127" t="n">
        <x:f>ROUND(C31*0.28,0)</x:f>
        <x:v>1049</x:v>
      </x:c>
      <x:c r="F31" s="127" t="n">
        <x:f>ROUND(C31*0.32,0)</x:f>
        <x:v>1199</x:v>
      </x:c>
      <x:c r="G31" s="127" t="n">
        <x:f>MAX(0,C31-D31-E31-F31)</x:f>
        <x:v>563</x:v>
      </x:c>
      <x:c r="H31" s="127" t="n">
        <x:f>ROUND(B31*Inputs!$B$79,0)</x:f>
        <x:v>16866</x:v>
      </x:c>
      <x:c r="I31" s="127" t="n">
        <x:f>ROUND(INDEX('Economy Simulation'!$G$4:$G$73,MATCH(A31,'Economy Simulation'!$A$4:$A$73,0))*Inputs!$B$80,0)</x:f>
        <x:v>3249</x:v>
      </x:c>
      <x:c r="J31" s="118" t="str">
        <x:f>IF(B31=0,"Cap",IF(C31/B31&gt;0.12,"Too high",IF(C31/B31&lt;0.08,"Too low","OK")))</x:f>
        <x:v>OK</x:v>
      </x:c>
    </x:row>
    <x:row r="32" ht="15" hidden="0" customHeight="1">
      <x:c r="A32" s="118" t="n">
        <x:v>30</x:v>
      </x:c>
      <x:c r="B32" s="127" t="n">
        <x:f>IF(A32&lt;70,INDEX('XP Curve'!$F$4:$F$73,MATCH(A32+1,'XP Curve'!$A$4:$A$73,0)),0)</x:f>
        <x:v>41750</x:v>
      </x:c>
      <x:c r="C32" s="127" t="n">
        <x:f>ROUND(B32*Inputs!$B$78,0)</x:f>
        <x:v>4175</x:v>
      </x:c>
      <x:c r="D32" s="127" t="n">
        <x:f>ROUND(C32*0.25,0)</x:f>
        <x:v>1044</x:v>
      </x:c>
      <x:c r="E32" s="127" t="n">
        <x:f>ROUND(C32*0.28,0)</x:f>
        <x:v>1169</x:v>
      </x:c>
      <x:c r="F32" s="127" t="n">
        <x:f>ROUND(C32*0.32,0)</x:f>
        <x:v>1336</x:v>
      </x:c>
      <x:c r="G32" s="127" t="n">
        <x:f>MAX(0,C32-D32-E32-F32)</x:f>
        <x:v>626</x:v>
      </x:c>
      <x:c r="H32" s="127" t="n">
        <x:f>ROUND(B32*Inputs!$B$79,0)</x:f>
        <x:v>18788</x:v>
      </x:c>
      <x:c r="I32" s="127" t="n">
        <x:f>ROUND(INDEX('Economy Simulation'!$G$4:$G$73,MATCH(A32,'Economy Simulation'!$A$4:$A$73,0))*Inputs!$B$80,0)</x:f>
        <x:v>3301</x:v>
      </x:c>
      <x:c r="J32" s="118" t="str">
        <x:f>IF(B32=0,"Cap",IF(C32/B32&gt;0.12,"Too high",IF(C32/B32&lt;0.08,"Too low","OK")))</x:f>
        <x:v>OK</x:v>
      </x:c>
    </x:row>
    <x:row r="33" ht="15" hidden="0" customHeight="1">
      <x:c r="A33" s="118" t="n">
        <x:v>31</x:v>
      </x:c>
      <x:c r="B33" s="127" t="n">
        <x:f>IF(A33&lt;70,INDEX('XP Curve'!$F$4:$F$73,MATCH(A33+1,'XP Curve'!$A$4:$A$73,0)),0)</x:f>
        <x:v>46340</x:v>
      </x:c>
      <x:c r="C33" s="127" t="n">
        <x:f>ROUND(B33*Inputs!$B$78,0)</x:f>
        <x:v>4634</x:v>
      </x:c>
      <x:c r="D33" s="127" t="n">
        <x:f>ROUND(C33*0.25,0)</x:f>
        <x:v>1159</x:v>
      </x:c>
      <x:c r="E33" s="127" t="n">
        <x:f>ROUND(C33*0.28,0)</x:f>
        <x:v>1298</x:v>
      </x:c>
      <x:c r="F33" s="127" t="n">
        <x:f>ROUND(C33*0.32,0)</x:f>
        <x:v>1483</x:v>
      </x:c>
      <x:c r="G33" s="127" t="n">
        <x:f>MAX(0,C33-D33-E33-F33)</x:f>
        <x:v>694</x:v>
      </x:c>
      <x:c r="H33" s="127" t="n">
        <x:f>ROUND(B33*Inputs!$B$79,0)</x:f>
        <x:v>20853</x:v>
      </x:c>
      <x:c r="I33" s="127" t="n">
        <x:f>ROUND(INDEX('Economy Simulation'!$G$4:$G$73,MATCH(A33,'Economy Simulation'!$A$4:$A$73,0))*Inputs!$B$80,0)</x:f>
        <x:v>3354</x:v>
      </x:c>
      <x:c r="J33" s="118" t="str">
        <x:f>IF(B33=0,"Cap",IF(C33/B33&gt;0.12,"Too high",IF(C33/B33&lt;0.08,"Too low","OK")))</x:f>
        <x:v>OK</x:v>
      </x:c>
    </x:row>
    <x:row r="34" ht="15" hidden="0" customHeight="1">
      <x:c r="A34" s="118" t="n">
        <x:v>32</x:v>
      </x:c>
      <x:c r="B34" s="127" t="n">
        <x:f>IF(A34&lt;70,INDEX('XP Curve'!$F$4:$F$73,MATCH(A34+1,'XP Curve'!$A$4:$A$73,0)),0)</x:f>
        <x:v>51260</x:v>
      </x:c>
      <x:c r="C34" s="127" t="n">
        <x:f>ROUND(B34*Inputs!$B$78,0)</x:f>
        <x:v>5126</x:v>
      </x:c>
      <x:c r="D34" s="127" t="n">
        <x:f>ROUND(C34*0.25,0)</x:f>
        <x:v>1282</x:v>
      </x:c>
      <x:c r="E34" s="127" t="n">
        <x:f>ROUND(C34*0.28,0)</x:f>
        <x:v>1435</x:v>
      </x:c>
      <x:c r="F34" s="127" t="n">
        <x:f>ROUND(C34*0.32,0)</x:f>
        <x:v>1640</x:v>
      </x:c>
      <x:c r="G34" s="127" t="n">
        <x:f>MAX(0,C34-D34-E34-F34)</x:f>
        <x:v>769</x:v>
      </x:c>
      <x:c r="H34" s="127" t="n">
        <x:f>ROUND(B34*Inputs!$B$79,0)</x:f>
        <x:v>23067</x:v>
      </x:c>
      <x:c r="I34" s="127" t="n">
        <x:f>ROUND(INDEX('Economy Simulation'!$G$4:$G$73,MATCH(A34,'Economy Simulation'!$A$4:$A$73,0))*Inputs!$B$80,0)</x:f>
        <x:v>3408</x:v>
      </x:c>
      <x:c r="J34" s="118" t="str">
        <x:f>IF(B34=0,"Cap",IF(C34/B34&gt;0.12,"Too high",IF(C34/B34&lt;0.08,"Too low","OK")))</x:f>
        <x:v>OK</x:v>
      </x:c>
    </x:row>
    <x:row r="35" ht="15" hidden="0" customHeight="1">
      <x:c r="A35" s="118" t="n">
        <x:v>33</x:v>
      </x:c>
      <x:c r="B35" s="127" t="n">
        <x:f>IF(A35&lt;70,INDEX('XP Curve'!$F$4:$F$73,MATCH(A35+1,'XP Curve'!$A$4:$A$73,0)),0)</x:f>
        <x:v>56510</x:v>
      </x:c>
      <x:c r="C35" s="127" t="n">
        <x:f>ROUND(B35*Inputs!$B$78,0)</x:f>
        <x:v>5651</x:v>
      </x:c>
      <x:c r="D35" s="127" t="n">
        <x:f>ROUND(C35*0.25,0)</x:f>
        <x:v>1413</x:v>
      </x:c>
      <x:c r="E35" s="127" t="n">
        <x:f>ROUND(C35*0.28,0)</x:f>
        <x:v>1582</x:v>
      </x:c>
      <x:c r="F35" s="127" t="n">
        <x:f>ROUND(C35*0.32,0)</x:f>
        <x:v>1808</x:v>
      </x:c>
      <x:c r="G35" s="127" t="n">
        <x:f>MAX(0,C35-D35-E35-F35)</x:f>
        <x:v>848</x:v>
      </x:c>
      <x:c r="H35" s="127" t="n">
        <x:f>ROUND(B35*Inputs!$B$79,0)</x:f>
        <x:v>25430</x:v>
      </x:c>
      <x:c r="I35" s="127" t="n">
        <x:f>ROUND(INDEX('Economy Simulation'!$G$4:$G$73,MATCH(A35,'Economy Simulation'!$A$4:$A$73,0))*Inputs!$B$80,0)</x:f>
        <x:v>3461</x:v>
      </x:c>
      <x:c r="J35" s="118" t="str">
        <x:f>IF(B35=0,"Cap",IF(C35/B35&gt;0.12,"Too high",IF(C35/B35&lt;0.08,"Too low","OK")))</x:f>
        <x:v>OK</x:v>
      </x:c>
    </x:row>
    <x:row r="36" ht="15" hidden="0" customHeight="1">
      <x:c r="A36" s="118" t="n">
        <x:v>34</x:v>
      </x:c>
      <x:c r="B36" s="127" t="n">
        <x:f>IF(A36&lt;70,INDEX('XP Curve'!$F$4:$F$73,MATCH(A36+1,'XP Curve'!$A$4:$A$73,0)),0)</x:f>
        <x:v>62110</x:v>
      </x:c>
      <x:c r="C36" s="127" t="n">
        <x:f>ROUND(B36*Inputs!$B$78,0)</x:f>
        <x:v>6211</x:v>
      </x:c>
      <x:c r="D36" s="127" t="n">
        <x:f>ROUND(C36*0.25,0)</x:f>
        <x:v>1553</x:v>
      </x:c>
      <x:c r="E36" s="127" t="n">
        <x:f>ROUND(C36*0.28,0)</x:f>
        <x:v>1739</x:v>
      </x:c>
      <x:c r="F36" s="127" t="n">
        <x:f>ROUND(C36*0.32,0)</x:f>
        <x:v>1988</x:v>
      </x:c>
      <x:c r="G36" s="127" t="n">
        <x:f>MAX(0,C36-D36-E36-F36)</x:f>
        <x:v>931</x:v>
      </x:c>
      <x:c r="H36" s="127" t="n">
        <x:f>ROUND(B36*Inputs!$B$79,0)</x:f>
        <x:v>27950</x:v>
      </x:c>
      <x:c r="I36" s="127" t="n">
        <x:f>ROUND(INDEX('Economy Simulation'!$G$4:$G$73,MATCH(A36,'Economy Simulation'!$A$4:$A$73,0))*Inputs!$B$80,0)</x:f>
        <x:v>4430</x:v>
      </x:c>
      <x:c r="J36" s="118" t="str">
        <x:f>IF(B36=0,"Cap",IF(C36/B36&gt;0.12,"Too high",IF(C36/B36&lt;0.08,"Too low","OK")))</x:f>
        <x:v>OK</x:v>
      </x:c>
    </x:row>
    <x:row r="37" ht="15" hidden="0" customHeight="1">
      <x:c r="A37" s="118" t="n">
        <x:v>35</x:v>
      </x:c>
      <x:c r="B37" s="127" t="n">
        <x:f>IF(A37&lt;70,INDEX('XP Curve'!$F$4:$F$73,MATCH(A37+1,'XP Curve'!$A$4:$A$73,0)),0)</x:f>
        <x:v>68080</x:v>
      </x:c>
      <x:c r="C37" s="127" t="n">
        <x:f>ROUND(B37*Inputs!$B$78,0)</x:f>
        <x:v>6808</x:v>
      </x:c>
      <x:c r="D37" s="127" t="n">
        <x:f>ROUND(C37*0.25,0)</x:f>
        <x:v>1702</x:v>
      </x:c>
      <x:c r="E37" s="127" t="n">
        <x:f>ROUND(C37*0.28,0)</x:f>
        <x:v>1906</x:v>
      </x:c>
      <x:c r="F37" s="127" t="n">
        <x:f>ROUND(C37*0.32,0)</x:f>
        <x:v>2179</x:v>
      </x:c>
      <x:c r="G37" s="127" t="n">
        <x:f>MAX(0,C37-D37-E37-F37)</x:f>
        <x:v>1021</x:v>
      </x:c>
      <x:c r="H37" s="127" t="n">
        <x:f>ROUND(B37*Inputs!$B$79,0)</x:f>
        <x:v>30636</x:v>
      </x:c>
      <x:c r="I37" s="127" t="n">
        <x:f>ROUND(INDEX('Economy Simulation'!$G$4:$G$73,MATCH(A37,'Economy Simulation'!$A$4:$A$73,0))*Inputs!$B$80,0)</x:f>
        <x:v>4497</x:v>
      </x:c>
      <x:c r="J37" s="118" t="str">
        <x:f>IF(B37=0,"Cap",IF(C37/B37&gt;0.12,"Too high",IF(C37/B37&lt;0.08,"Too low","OK")))</x:f>
        <x:v>OK</x:v>
      </x:c>
    </x:row>
    <x:row r="38" ht="15" hidden="0" customHeight="1">
      <x:c r="A38" s="118" t="n">
        <x:v>36</x:v>
      </x:c>
      <x:c r="B38" s="127" t="n">
        <x:f>IF(A38&lt;70,INDEX('XP Curve'!$F$4:$F$73,MATCH(A38+1,'XP Curve'!$A$4:$A$73,0)),0)</x:f>
        <x:v>72280</x:v>
      </x:c>
      <x:c r="C38" s="127" t="n">
        <x:f>ROUND(B38*Inputs!$B$78,0)</x:f>
        <x:v>7228</x:v>
      </x:c>
      <x:c r="D38" s="127" t="n">
        <x:f>ROUND(C38*0.25,0)</x:f>
        <x:v>1807</x:v>
      </x:c>
      <x:c r="E38" s="127" t="n">
        <x:f>ROUND(C38*0.28,0)</x:f>
        <x:v>2024</x:v>
      </x:c>
      <x:c r="F38" s="127" t="n">
        <x:f>ROUND(C38*0.32,0)</x:f>
        <x:v>2313</x:v>
      </x:c>
      <x:c r="G38" s="127" t="n">
        <x:f>MAX(0,C38-D38-E38-F38)</x:f>
        <x:v>1084</x:v>
      </x:c>
      <x:c r="H38" s="127" t="n">
        <x:f>ROUND(B38*Inputs!$B$79,0)</x:f>
        <x:v>32526</x:v>
      </x:c>
      <x:c r="I38" s="127" t="n">
        <x:f>ROUND(INDEX('Economy Simulation'!$G$4:$G$73,MATCH(A38,'Economy Simulation'!$A$4:$A$73,0))*Inputs!$B$80,0)</x:f>
        <x:v>4565</x:v>
      </x:c>
      <x:c r="J38" s="118" t="str">
        <x:f>IF(B38=0,"Cap",IF(C38/B38&gt;0.12,"Too high",IF(C38/B38&lt;0.08,"Too low","OK")))</x:f>
        <x:v>OK</x:v>
      </x:c>
    </x:row>
    <x:row r="39" ht="15" hidden="0" customHeight="1">
      <x:c r="A39" s="118" t="n">
        <x:v>37</x:v>
      </x:c>
      <x:c r="B39" s="127" t="n">
        <x:f>IF(A39&lt;70,INDEX('XP Curve'!$F$4:$F$73,MATCH(A39+1,'XP Curve'!$A$4:$A$73,0)),0)</x:f>
        <x:v>76620</x:v>
      </x:c>
      <x:c r="C39" s="127" t="n">
        <x:f>ROUND(B39*Inputs!$B$78,0)</x:f>
        <x:v>7662</x:v>
      </x:c>
      <x:c r="D39" s="127" t="n">
        <x:f>ROUND(C39*0.25,0)</x:f>
        <x:v>1916</x:v>
      </x:c>
      <x:c r="E39" s="127" t="n">
        <x:f>ROUND(C39*0.28,0)</x:f>
        <x:v>2145</x:v>
      </x:c>
      <x:c r="F39" s="127" t="n">
        <x:f>ROUND(C39*0.32,0)</x:f>
        <x:v>2452</x:v>
      </x:c>
      <x:c r="G39" s="127" t="n">
        <x:f>MAX(0,C39-D39-E39-F39)</x:f>
        <x:v>1149</x:v>
      </x:c>
      <x:c r="H39" s="127" t="n">
        <x:f>ROUND(B39*Inputs!$B$79,0)</x:f>
        <x:v>34479</x:v>
      </x:c>
      <x:c r="I39" s="127" t="n">
        <x:f>ROUND(INDEX('Economy Simulation'!$G$4:$G$73,MATCH(A39,'Economy Simulation'!$A$4:$A$73,0))*Inputs!$B$80,0)</x:f>
        <x:v>4632</x:v>
      </x:c>
      <x:c r="J39" s="118" t="str">
        <x:f>IF(B39=0,"Cap",IF(C39/B39&gt;0.12,"Too high",IF(C39/B39&lt;0.08,"Too low","OK")))</x:f>
        <x:v>OK</x:v>
      </x:c>
    </x:row>
    <x:row r="40" ht="15" hidden="0" customHeight="1">
      <x:c r="A40" s="118" t="n">
        <x:v>38</x:v>
      </x:c>
      <x:c r="B40" s="127" t="n">
        <x:f>IF(A40&lt;70,INDEX('XP Curve'!$F$4:$F$73,MATCH(A40+1,'XP Curve'!$A$4:$A$73,0)),0)</x:f>
        <x:v>81080</x:v>
      </x:c>
      <x:c r="C40" s="127" t="n">
        <x:f>ROUND(B40*Inputs!$B$78,0)</x:f>
        <x:v>8108</x:v>
      </x:c>
      <x:c r="D40" s="127" t="n">
        <x:f>ROUND(C40*0.25,0)</x:f>
        <x:v>2027</x:v>
      </x:c>
      <x:c r="E40" s="127" t="n">
        <x:f>ROUND(C40*0.28,0)</x:f>
        <x:v>2270</x:v>
      </x:c>
      <x:c r="F40" s="127" t="n">
        <x:f>ROUND(C40*0.32,0)</x:f>
        <x:v>2595</x:v>
      </x:c>
      <x:c r="G40" s="127" t="n">
        <x:f>MAX(0,C40-D40-E40-F40)</x:f>
        <x:v>1216</x:v>
      </x:c>
      <x:c r="H40" s="127" t="n">
        <x:f>ROUND(B40*Inputs!$B$79,0)</x:f>
        <x:v>36486</x:v>
      </x:c>
      <x:c r="I40" s="127" t="n">
        <x:f>ROUND(INDEX('Economy Simulation'!$G$4:$G$73,MATCH(A40,'Economy Simulation'!$A$4:$A$73,0))*Inputs!$B$80,0)</x:f>
        <x:v>4698</x:v>
      </x:c>
      <x:c r="J40" s="118" t="str">
        <x:f>IF(B40=0,"Cap",IF(C40/B40&gt;0.12,"Too high",IF(C40/B40&lt;0.08,"Too low","OK")))</x:f>
        <x:v>OK</x:v>
      </x:c>
    </x:row>
    <x:row r="41" ht="15" hidden="0" customHeight="1">
      <x:c r="A41" s="118" t="n">
        <x:v>39</x:v>
      </x:c>
      <x:c r="B41" s="127" t="n">
        <x:f>IF(A41&lt;70,INDEX('XP Curve'!$F$4:$F$73,MATCH(A41+1,'XP Curve'!$A$4:$A$73,0)),0)</x:f>
        <x:v>85670</x:v>
      </x:c>
      <x:c r="C41" s="127" t="n">
        <x:f>ROUND(B41*Inputs!$B$78,0)</x:f>
        <x:v>8567</x:v>
      </x:c>
      <x:c r="D41" s="127" t="n">
        <x:f>ROUND(C41*0.25,0)</x:f>
        <x:v>2142</x:v>
      </x:c>
      <x:c r="E41" s="127" t="n">
        <x:f>ROUND(C41*0.28,0)</x:f>
        <x:v>2399</x:v>
      </x:c>
      <x:c r="F41" s="127" t="n">
        <x:f>ROUND(C41*0.32,0)</x:f>
        <x:v>2741</x:v>
      </x:c>
      <x:c r="G41" s="127" t="n">
        <x:f>MAX(0,C41-D41-E41-F41)</x:f>
        <x:v>1285</x:v>
      </x:c>
      <x:c r="H41" s="127" t="n">
        <x:f>ROUND(B41*Inputs!$B$79,0)</x:f>
        <x:v>38552</x:v>
      </x:c>
      <x:c r="I41" s="127" t="n">
        <x:f>ROUND(INDEX('Economy Simulation'!$G$4:$G$73,MATCH(A41,'Economy Simulation'!$A$4:$A$73,0))*Inputs!$B$80,0)</x:f>
        <x:v>4765</x:v>
      </x:c>
      <x:c r="J41" s="118" t="str">
        <x:f>IF(B41=0,"Cap",IF(C41/B41&gt;0.12,"Too high",IF(C41/B41&lt;0.08,"Too low","OK")))</x:f>
        <x:v>OK</x:v>
      </x:c>
    </x:row>
    <x:row r="42" ht="15" hidden="0" customHeight="1">
      <x:c r="A42" s="118" t="n">
        <x:v>40</x:v>
      </x:c>
      <x:c r="B42" s="127" t="n">
        <x:f>IF(A42&lt;70,INDEX('XP Curve'!$F$4:$F$73,MATCH(A42+1,'XP Curve'!$A$4:$A$73,0)),0)</x:f>
        <x:v>90390</x:v>
      </x:c>
      <x:c r="C42" s="127" t="n">
        <x:f>ROUND(B42*Inputs!$B$78,0)</x:f>
        <x:v>9039</x:v>
      </x:c>
      <x:c r="D42" s="127" t="n">
        <x:f>ROUND(C42*0.25,0)</x:f>
        <x:v>2260</x:v>
      </x:c>
      <x:c r="E42" s="127" t="n">
        <x:f>ROUND(C42*0.28,0)</x:f>
        <x:v>2531</x:v>
      </x:c>
      <x:c r="F42" s="127" t="n">
        <x:f>ROUND(C42*0.32,0)</x:f>
        <x:v>2892</x:v>
      </x:c>
      <x:c r="G42" s="127" t="n">
        <x:f>MAX(0,C42-D42-E42-F42)</x:f>
        <x:v>1356</x:v>
      </x:c>
      <x:c r="H42" s="127" t="n">
        <x:f>ROUND(B42*Inputs!$B$79,0)</x:f>
        <x:v>40676</x:v>
      </x:c>
      <x:c r="I42" s="127" t="n">
        <x:f>ROUND(INDEX('Economy Simulation'!$G$4:$G$73,MATCH(A42,'Economy Simulation'!$A$4:$A$73,0))*Inputs!$B$80,0)</x:f>
        <x:v>5110</x:v>
      </x:c>
      <x:c r="J42" s="118" t="str">
        <x:f>IF(B42=0,"Cap",IF(C42/B42&gt;0.12,"Too high",IF(C42/B42&lt;0.08,"Too low","OK")))</x:f>
        <x:v>OK</x:v>
      </x:c>
    </x:row>
    <x:row r="43" ht="15" hidden="0" customHeight="1">
      <x:c r="A43" s="118" t="n">
        <x:v>41</x:v>
      </x:c>
      <x:c r="B43" s="127" t="n">
        <x:f>IF(A43&lt;70,INDEX('XP Curve'!$F$4:$F$73,MATCH(A43+1,'XP Curve'!$A$4:$A$73,0)),0)</x:f>
        <x:v>95230</x:v>
      </x:c>
      <x:c r="C43" s="127" t="n">
        <x:f>ROUND(B43*Inputs!$B$78,0)</x:f>
        <x:v>9523</x:v>
      </x:c>
      <x:c r="D43" s="127" t="n">
        <x:f>ROUND(C43*0.25,0)</x:f>
        <x:v>2381</x:v>
      </x:c>
      <x:c r="E43" s="127" t="n">
        <x:f>ROUND(C43*0.28,0)</x:f>
        <x:v>2666</x:v>
      </x:c>
      <x:c r="F43" s="127" t="n">
        <x:f>ROUND(C43*0.32,0)</x:f>
        <x:v>3047</x:v>
      </x:c>
      <x:c r="G43" s="127" t="n">
        <x:f>MAX(0,C43-D43-E43-F43)</x:f>
        <x:v>1429</x:v>
      </x:c>
      <x:c r="H43" s="127" t="n">
        <x:f>ROUND(B43*Inputs!$B$79,0)</x:f>
        <x:v>42854</x:v>
      </x:c>
      <x:c r="I43" s="127" t="n">
        <x:f>ROUND(INDEX('Economy Simulation'!$G$4:$G$73,MATCH(A43,'Economy Simulation'!$A$4:$A$73,0))*Inputs!$B$80,0)</x:f>
        <x:v>5181</x:v>
      </x:c>
      <x:c r="J43" s="118" t="str">
        <x:f>IF(B43=0,"Cap",IF(C43/B43&gt;0.12,"Too high",IF(C43/B43&lt;0.08,"Too low","OK")))</x:f>
        <x:v>OK</x:v>
      </x:c>
    </x:row>
    <x:row r="44" ht="15" hidden="0" customHeight="1">
      <x:c r="A44" s="118" t="n">
        <x:v>42</x:v>
      </x:c>
      <x:c r="B44" s="127" t="n">
        <x:f>IF(A44&lt;70,INDEX('XP Curve'!$F$4:$F$73,MATCH(A44+1,'XP Curve'!$A$4:$A$73,0)),0)</x:f>
        <x:v>100210</x:v>
      </x:c>
      <x:c r="C44" s="127" t="n">
        <x:f>ROUND(B44*Inputs!$B$78,0)</x:f>
        <x:v>10021</x:v>
      </x:c>
      <x:c r="D44" s="127" t="n">
        <x:f>ROUND(C44*0.25,0)</x:f>
        <x:v>2505</x:v>
      </x:c>
      <x:c r="E44" s="127" t="n">
        <x:f>ROUND(C44*0.28,0)</x:f>
        <x:v>2806</x:v>
      </x:c>
      <x:c r="F44" s="127" t="n">
        <x:f>ROUND(C44*0.32,0)</x:f>
        <x:v>3207</x:v>
      </x:c>
      <x:c r="G44" s="127" t="n">
        <x:f>MAX(0,C44-D44-E44-F44)</x:f>
        <x:v>1503</x:v>
      </x:c>
      <x:c r="H44" s="127" t="n">
        <x:f>ROUND(B44*Inputs!$B$79,0)</x:f>
        <x:v>45095</x:v>
      </x:c>
      <x:c r="I44" s="127" t="n">
        <x:f>ROUND(INDEX('Economy Simulation'!$G$4:$G$73,MATCH(A44,'Economy Simulation'!$A$4:$A$73,0))*Inputs!$B$80,0)</x:f>
        <x:v>5251</x:v>
      </x:c>
      <x:c r="J44" s="118" t="str">
        <x:f>IF(B44=0,"Cap",IF(C44/B44&gt;0.12,"Too high",IF(C44/B44&lt;0.08,"Too low","OK")))</x:f>
        <x:v>OK</x:v>
      </x:c>
    </x:row>
    <x:row r="45" ht="15" hidden="0" customHeight="1">
      <x:c r="A45" s="118" t="n">
        <x:v>43</x:v>
      </x:c>
      <x:c r="B45" s="127" t="n">
        <x:f>IF(A45&lt;70,INDEX('XP Curve'!$F$4:$F$73,MATCH(A45+1,'XP Curve'!$A$4:$A$73,0)),0)</x:f>
        <x:v>105310</x:v>
      </x:c>
      <x:c r="C45" s="127" t="n">
        <x:f>ROUND(B45*Inputs!$B$78,0)</x:f>
        <x:v>10531</x:v>
      </x:c>
      <x:c r="D45" s="127" t="n">
        <x:f>ROUND(C45*0.25,0)</x:f>
        <x:v>2633</x:v>
      </x:c>
      <x:c r="E45" s="127" t="n">
        <x:f>ROUND(C45*0.28,0)</x:f>
        <x:v>2949</x:v>
      </x:c>
      <x:c r="F45" s="127" t="n">
        <x:f>ROUND(C45*0.32,0)</x:f>
        <x:v>3370</x:v>
      </x:c>
      <x:c r="G45" s="127" t="n">
        <x:f>MAX(0,C45-D45-E45-F45)</x:f>
        <x:v>1579</x:v>
      </x:c>
      <x:c r="H45" s="127" t="n">
        <x:f>ROUND(B45*Inputs!$B$79,0)</x:f>
        <x:v>47390</x:v>
      </x:c>
      <x:c r="I45" s="127" t="n">
        <x:f>ROUND(INDEX('Economy Simulation'!$G$4:$G$73,MATCH(A45,'Economy Simulation'!$A$4:$A$73,0))*Inputs!$B$80,0)</x:f>
        <x:v>6363</x:v>
      </x:c>
      <x:c r="J45" s="118" t="str">
        <x:f>IF(B45=0,"Cap",IF(C45/B45&gt;0.12,"Too high",IF(C45/B45&lt;0.08,"Too low","OK")))</x:f>
        <x:v>OK</x:v>
      </x:c>
    </x:row>
    <x:row r="46" ht="15" hidden="0" customHeight="1">
      <x:c r="A46" s="118" t="n">
        <x:v>44</x:v>
      </x:c>
      <x:c r="B46" s="127" t="n">
        <x:f>IF(A46&lt;70,INDEX('XP Curve'!$F$4:$F$73,MATCH(A46+1,'XP Curve'!$A$4:$A$73,0)),0)</x:f>
        <x:v>110530</x:v>
      </x:c>
      <x:c r="C46" s="127" t="n">
        <x:f>ROUND(B46*Inputs!$B$78,0)</x:f>
        <x:v>11053</x:v>
      </x:c>
      <x:c r="D46" s="127" t="n">
        <x:f>ROUND(C46*0.25,0)</x:f>
        <x:v>2763</x:v>
      </x:c>
      <x:c r="E46" s="127" t="n">
        <x:f>ROUND(C46*0.28,0)</x:f>
        <x:v>3095</x:v>
      </x:c>
      <x:c r="F46" s="127" t="n">
        <x:f>ROUND(C46*0.32,0)</x:f>
        <x:v>3537</x:v>
      </x:c>
      <x:c r="G46" s="127" t="n">
        <x:f>MAX(0,C46-D46-E46-F46)</x:f>
        <x:v>1658</x:v>
      </x:c>
      <x:c r="H46" s="127" t="n">
        <x:f>ROUND(B46*Inputs!$B$79,0)</x:f>
        <x:v>49739</x:v>
      </x:c>
      <x:c r="I46" s="127" t="n">
        <x:f>ROUND(INDEX('Economy Simulation'!$G$4:$G$73,MATCH(A46,'Economy Simulation'!$A$4:$A$73,0))*Inputs!$B$80,0)</x:f>
        <x:v>6449</x:v>
      </x:c>
      <x:c r="J46" s="118" t="str">
        <x:f>IF(B46=0,"Cap",IF(C46/B46&gt;0.12,"Too high",IF(C46/B46&lt;0.08,"Too low","OK")))</x:f>
        <x:v>OK</x:v>
      </x:c>
    </x:row>
    <x:row r="47" ht="15" hidden="0" customHeight="1">
      <x:c r="A47" s="118" t="n">
        <x:v>45</x:v>
      </x:c>
      <x:c r="B47" s="127" t="n">
        <x:f>IF(A47&lt;70,INDEX('XP Curve'!$F$4:$F$73,MATCH(A47+1,'XP Curve'!$A$4:$A$73,0)),0)</x:f>
        <x:v>115890</x:v>
      </x:c>
      <x:c r="C47" s="127" t="n">
        <x:f>ROUND(B47*Inputs!$B$78,0)</x:f>
        <x:v>11589</x:v>
      </x:c>
      <x:c r="D47" s="127" t="n">
        <x:f>ROUND(C47*0.25,0)</x:f>
        <x:v>2897</x:v>
      </x:c>
      <x:c r="E47" s="127" t="n">
        <x:f>ROUND(C47*0.28,0)</x:f>
        <x:v>3245</x:v>
      </x:c>
      <x:c r="F47" s="127" t="n">
        <x:f>ROUND(C47*0.32,0)</x:f>
        <x:v>3708</x:v>
      </x:c>
      <x:c r="G47" s="127" t="n">
        <x:f>MAX(0,C47-D47-E47-F47)</x:f>
        <x:v>1739</x:v>
      </x:c>
      <x:c r="H47" s="127" t="n">
        <x:f>ROUND(B47*Inputs!$B$79,0)</x:f>
        <x:v>52151</x:v>
      </x:c>
      <x:c r="I47" s="127" t="n">
        <x:f>ROUND(INDEX('Economy Simulation'!$G$4:$G$73,MATCH(A47,'Economy Simulation'!$A$4:$A$73,0))*Inputs!$B$80,0)</x:f>
        <x:v>6533</x:v>
      </x:c>
      <x:c r="J47" s="118" t="str">
        <x:f>IF(B47=0,"Cap",IF(C47/B47&gt;0.12,"Too high",IF(C47/B47&lt;0.08,"Too low","OK")))</x:f>
        <x:v>OK</x:v>
      </x:c>
    </x:row>
    <x:row r="48" ht="15" hidden="0" customHeight="1">
      <x:c r="A48" s="118" t="n">
        <x:v>46</x:v>
      </x:c>
      <x:c r="B48" s="127" t="n">
        <x:f>IF(A48&lt;70,INDEX('XP Curve'!$F$4:$F$73,MATCH(A48+1,'XP Curve'!$A$4:$A$73,0)),0)</x:f>
        <x:v>121370</x:v>
      </x:c>
      <x:c r="C48" s="127" t="n">
        <x:f>ROUND(B48*Inputs!$B$78,0)</x:f>
        <x:v>12137</x:v>
      </x:c>
      <x:c r="D48" s="127" t="n">
        <x:f>ROUND(C48*0.25,0)</x:f>
        <x:v>3034</x:v>
      </x:c>
      <x:c r="E48" s="127" t="n">
        <x:f>ROUND(C48*0.28,0)</x:f>
        <x:v>3398</x:v>
      </x:c>
      <x:c r="F48" s="127" t="n">
        <x:f>ROUND(C48*0.32,0)</x:f>
        <x:v>3884</x:v>
      </x:c>
      <x:c r="G48" s="127" t="n">
        <x:f>MAX(0,C48-D48-E48-F48)</x:f>
        <x:v>1821</x:v>
      </x:c>
      <x:c r="H48" s="127" t="n">
        <x:f>ROUND(B48*Inputs!$B$79,0)</x:f>
        <x:v>54617</x:v>
      </x:c>
      <x:c r="I48" s="127" t="n">
        <x:f>ROUND(INDEX('Economy Simulation'!$G$4:$G$73,MATCH(A48,'Economy Simulation'!$A$4:$A$73,0))*Inputs!$B$80,0)</x:f>
        <x:v>6617</x:v>
      </x:c>
      <x:c r="J48" s="118" t="str">
        <x:f>IF(B48=0,"Cap",IF(C48/B48&gt;0.12,"Too high",IF(C48/B48&lt;0.08,"Too low","OK")))</x:f>
        <x:v>OK</x:v>
      </x:c>
    </x:row>
    <x:row r="49" ht="15" hidden="0" customHeight="1">
      <x:c r="A49" s="118" t="n">
        <x:v>47</x:v>
      </x:c>
      <x:c r="B49" s="127" t="n">
        <x:f>IF(A49&lt;70,INDEX('XP Curve'!$F$4:$F$73,MATCH(A49+1,'XP Curve'!$A$4:$A$73,0)),0)</x:f>
        <x:v>126980</x:v>
      </x:c>
      <x:c r="C49" s="127" t="n">
        <x:f>ROUND(B49*Inputs!$B$78,0)</x:f>
        <x:v>12698</x:v>
      </x:c>
      <x:c r="D49" s="127" t="n">
        <x:f>ROUND(C49*0.25,0)</x:f>
        <x:v>3175</x:v>
      </x:c>
      <x:c r="E49" s="127" t="n">
        <x:f>ROUND(C49*0.28,0)</x:f>
        <x:v>3555</x:v>
      </x:c>
      <x:c r="F49" s="127" t="n">
        <x:f>ROUND(C49*0.32,0)</x:f>
        <x:v>4063</x:v>
      </x:c>
      <x:c r="G49" s="127" t="n">
        <x:f>MAX(0,C49-D49-E49-F49)</x:f>
        <x:v>1905</x:v>
      </x:c>
      <x:c r="H49" s="127" t="n">
        <x:f>ROUND(B49*Inputs!$B$79,0)</x:f>
        <x:v>57141</x:v>
      </x:c>
      <x:c r="I49" s="127" t="n">
        <x:f>ROUND(INDEX('Economy Simulation'!$G$4:$G$73,MATCH(A49,'Economy Simulation'!$A$4:$A$73,0))*Inputs!$B$80,0)</x:f>
        <x:v>6702</x:v>
      </x:c>
      <x:c r="J49" s="118" t="str">
        <x:f>IF(B49=0,"Cap",IF(C49/B49&gt;0.12,"Too high",IF(C49/B49&lt;0.08,"Too low","OK")))</x:f>
        <x:v>OK</x:v>
      </x:c>
    </x:row>
    <x:row r="50" ht="15" hidden="0" customHeight="1">
      <x:c r="A50" s="118" t="n">
        <x:v>48</x:v>
      </x:c>
      <x:c r="B50" s="127" t="n">
        <x:f>IF(A50&lt;70,INDEX('XP Curve'!$F$4:$F$73,MATCH(A50+1,'XP Curve'!$A$4:$A$73,0)),0)</x:f>
        <x:v>132720</x:v>
      </x:c>
      <x:c r="C50" s="127" t="n">
        <x:f>ROUND(B50*Inputs!$B$78,0)</x:f>
        <x:v>13272</x:v>
      </x:c>
      <x:c r="D50" s="127" t="n">
        <x:f>ROUND(C50*0.25,0)</x:f>
        <x:v>3318</x:v>
      </x:c>
      <x:c r="E50" s="127" t="n">
        <x:f>ROUND(C50*0.28,0)</x:f>
        <x:v>3716</x:v>
      </x:c>
      <x:c r="F50" s="127" t="n">
        <x:f>ROUND(C50*0.32,0)</x:f>
        <x:v>4247</x:v>
      </x:c>
      <x:c r="G50" s="127" t="n">
        <x:f>MAX(0,C50-D50-E50-F50)</x:f>
        <x:v>1991</x:v>
      </x:c>
      <x:c r="H50" s="127" t="n">
        <x:f>ROUND(B50*Inputs!$B$79,0)</x:f>
        <x:v>59724</x:v>
      </x:c>
      <x:c r="I50" s="127" t="n">
        <x:f>ROUND(INDEX('Economy Simulation'!$G$4:$G$73,MATCH(A50,'Economy Simulation'!$A$4:$A$73,0))*Inputs!$B$80,0)</x:f>
        <x:v>6787</x:v>
      </x:c>
      <x:c r="J50" s="118" t="str">
        <x:f>IF(B50=0,"Cap",IF(C50/B50&gt;0.12,"Too high",IF(C50/B50&lt;0.08,"Too low","OK")))</x:f>
        <x:v>OK</x:v>
      </x:c>
    </x:row>
    <x:row r="51" ht="15" hidden="0" customHeight="1">
      <x:c r="A51" s="118" t="n">
        <x:v>49</x:v>
      </x:c>
      <x:c r="B51" s="127" t="n">
        <x:f>IF(A51&lt;70,INDEX('XP Curve'!$F$4:$F$73,MATCH(A51+1,'XP Curve'!$A$4:$A$73,0)),0)</x:f>
        <x:v>138580</x:v>
      </x:c>
      <x:c r="C51" s="127" t="n">
        <x:f>ROUND(B51*Inputs!$B$78,0)</x:f>
        <x:v>13858</x:v>
      </x:c>
      <x:c r="D51" s="127" t="n">
        <x:f>ROUND(C51*0.25,0)</x:f>
        <x:v>3465</x:v>
      </x:c>
      <x:c r="E51" s="127" t="n">
        <x:f>ROUND(C51*0.28,0)</x:f>
        <x:v>3880</x:v>
      </x:c>
      <x:c r="F51" s="127" t="n">
        <x:f>ROUND(C51*0.32,0)</x:f>
        <x:v>4435</x:v>
      </x:c>
      <x:c r="G51" s="127" t="n">
        <x:f>MAX(0,C51-D51-E51-F51)</x:f>
        <x:v>2078</x:v>
      </x:c>
      <x:c r="H51" s="127" t="n">
        <x:f>ROUND(B51*Inputs!$B$79,0)</x:f>
        <x:v>62361</x:v>
      </x:c>
      <x:c r="I51" s="127" t="n">
        <x:f>ROUND(INDEX('Economy Simulation'!$G$4:$G$73,MATCH(A51,'Economy Simulation'!$A$4:$A$73,0))*Inputs!$B$80,0)</x:f>
        <x:v>6872</x:v>
      </x:c>
      <x:c r="J51" s="118" t="str">
        <x:f>IF(B51=0,"Cap",IF(C51/B51&gt;0.12,"Too high",IF(C51/B51&lt;0.08,"Too low","OK")))</x:f>
        <x:v>OK</x:v>
      </x:c>
    </x:row>
    <x:row r="52" ht="15" hidden="0" customHeight="1">
      <x:c r="A52" s="118" t="n">
        <x:v>50</x:v>
      </x:c>
      <x:c r="B52" s="127" t="n">
        <x:f>IF(A52&lt;70,INDEX('XP Curve'!$F$4:$F$73,MATCH(A52+1,'XP Curve'!$A$4:$A$73,0)),0)</x:f>
        <x:v>144580</x:v>
      </x:c>
      <x:c r="C52" s="127" t="n">
        <x:f>ROUND(B52*Inputs!$B$78,0)</x:f>
        <x:v>14458</x:v>
      </x:c>
      <x:c r="D52" s="127" t="n">
        <x:f>ROUND(C52*0.25,0)</x:f>
        <x:v>3615</x:v>
      </x:c>
      <x:c r="E52" s="127" t="n">
        <x:f>ROUND(C52*0.28,0)</x:f>
        <x:v>4048</x:v>
      </x:c>
      <x:c r="F52" s="127" t="n">
        <x:f>ROUND(C52*0.32,0)</x:f>
        <x:v>4627</x:v>
      </x:c>
      <x:c r="G52" s="127" t="n">
        <x:f>MAX(0,C52-D52-E52-F52)</x:f>
        <x:v>2168</x:v>
      </x:c>
      <x:c r="H52" s="127" t="n">
        <x:f>ROUND(B52*Inputs!$B$79,0)</x:f>
        <x:v>65061</x:v>
      </x:c>
      <x:c r="I52" s="127" t="n">
        <x:f>ROUND(INDEX('Economy Simulation'!$G$4:$G$73,MATCH(A52,'Economy Simulation'!$A$4:$A$73,0))*Inputs!$B$80,0)</x:f>
        <x:v>6956</x:v>
      </x:c>
      <x:c r="J52" s="118" t="str">
        <x:f>IF(B52=0,"Cap",IF(C52/B52&gt;0.12,"Too high",IF(C52/B52&lt;0.08,"Too low","OK")))</x:f>
        <x:v>OK</x:v>
      </x:c>
    </x:row>
    <x:row r="53" ht="15" hidden="0" customHeight="1">
      <x:c r="A53" s="118" t="n">
        <x:v>51</x:v>
      </x:c>
      <x:c r="B53" s="127" t="n">
        <x:f>IF(A53&lt;70,INDEX('XP Curve'!$F$4:$F$73,MATCH(A53+1,'XP Curve'!$A$4:$A$73,0)),0)</x:f>
        <x:v>150700</x:v>
      </x:c>
      <x:c r="C53" s="127" t="n">
        <x:f>ROUND(B53*Inputs!$B$78,0)</x:f>
        <x:v>15070</x:v>
      </x:c>
      <x:c r="D53" s="127" t="n">
        <x:f>ROUND(C53*0.25,0)</x:f>
        <x:v>3768</x:v>
      </x:c>
      <x:c r="E53" s="127" t="n">
        <x:f>ROUND(C53*0.28,0)</x:f>
        <x:v>4220</x:v>
      </x:c>
      <x:c r="F53" s="127" t="n">
        <x:f>ROUND(C53*0.32,0)</x:f>
        <x:v>4822</x:v>
      </x:c>
      <x:c r="G53" s="127" t="n">
        <x:f>MAX(0,C53-D53-E53-F53)</x:f>
        <x:v>2260</x:v>
      </x:c>
      <x:c r="H53" s="127" t="n">
        <x:f>ROUND(B53*Inputs!$B$79,0)</x:f>
        <x:v>67815</x:v>
      </x:c>
      <x:c r="I53" s="127" t="n">
        <x:f>ROUND(INDEX('Economy Simulation'!$G$4:$G$73,MATCH(A53,'Economy Simulation'!$A$4:$A$73,0))*Inputs!$B$80,0)</x:f>
        <x:v>7040</x:v>
      </x:c>
      <x:c r="J53" s="118" t="str">
        <x:f>IF(B53=0,"Cap",IF(C53/B53&gt;0.12,"Too high",IF(C53/B53&lt;0.08,"Too low","OK")))</x:f>
        <x:v>OK</x:v>
      </x:c>
    </x:row>
    <x:row r="54" ht="15" hidden="0" customHeight="1">
      <x:c r="A54" s="118" t="n">
        <x:v>52</x:v>
      </x:c>
      <x:c r="B54" s="127" t="n">
        <x:f>IF(A54&lt;70,INDEX('XP Curve'!$F$4:$F$73,MATCH(A54+1,'XP Curve'!$A$4:$A$73,0)),0)</x:f>
        <x:v>156940</x:v>
      </x:c>
      <x:c r="C54" s="127" t="n">
        <x:f>ROUND(B54*Inputs!$B$78,0)</x:f>
        <x:v>15694</x:v>
      </x:c>
      <x:c r="D54" s="127" t="n">
        <x:f>ROUND(C54*0.25,0)</x:f>
        <x:v>3924</x:v>
      </x:c>
      <x:c r="E54" s="127" t="n">
        <x:f>ROUND(C54*0.28,0)</x:f>
        <x:v>4394</x:v>
      </x:c>
      <x:c r="F54" s="127" t="n">
        <x:f>ROUND(C54*0.32,0)</x:f>
        <x:v>5022</x:v>
      </x:c>
      <x:c r="G54" s="127" t="n">
        <x:f>MAX(0,C54-D54-E54-F54)</x:f>
        <x:v>2354</x:v>
      </x:c>
      <x:c r="H54" s="127" t="n">
        <x:f>ROUND(B54*Inputs!$B$79,0)</x:f>
        <x:v>70623</x:v>
      </x:c>
      <x:c r="I54" s="127" t="n">
        <x:f>ROUND(INDEX('Economy Simulation'!$G$4:$G$73,MATCH(A54,'Economy Simulation'!$A$4:$A$73,0))*Inputs!$B$80,0)</x:f>
        <x:v>8292</x:v>
      </x:c>
      <x:c r="J54" s="118" t="str">
        <x:f>IF(B54=0,"Cap",IF(C54/B54&gt;0.12,"Too high",IF(C54/B54&lt;0.08,"Too low","OK")))</x:f>
        <x:v>OK</x:v>
      </x:c>
    </x:row>
    <x:row r="55" ht="15" hidden="0" customHeight="1">
      <x:c r="A55" s="118" t="n">
        <x:v>53</x:v>
      </x:c>
      <x:c r="B55" s="127" t="n">
        <x:f>IF(A55&lt;70,INDEX('XP Curve'!$F$4:$F$73,MATCH(A55+1,'XP Curve'!$A$4:$A$73,0)),0)</x:f>
        <x:v>163320</x:v>
      </x:c>
      <x:c r="C55" s="127" t="n">
        <x:f>ROUND(B55*Inputs!$B$78,0)</x:f>
        <x:v>16332</x:v>
      </x:c>
      <x:c r="D55" s="127" t="n">
        <x:f>ROUND(C55*0.25,0)</x:f>
        <x:v>4083</x:v>
      </x:c>
      <x:c r="E55" s="127" t="n">
        <x:f>ROUND(C55*0.28,0)</x:f>
        <x:v>4573</x:v>
      </x:c>
      <x:c r="F55" s="127" t="n">
        <x:f>ROUND(C55*0.32,0)</x:f>
        <x:v>5226</x:v>
      </x:c>
      <x:c r="G55" s="127" t="n">
        <x:f>MAX(0,C55-D55-E55-F55)</x:f>
        <x:v>2450</x:v>
      </x:c>
      <x:c r="H55" s="127" t="n">
        <x:f>ROUND(B55*Inputs!$B$79,0)</x:f>
        <x:v>73494</x:v>
      </x:c>
      <x:c r="I55" s="127" t="n">
        <x:f>ROUND(INDEX('Economy Simulation'!$G$4:$G$73,MATCH(A55,'Economy Simulation'!$A$4:$A$73,0))*Inputs!$B$80,0)</x:f>
        <x:v>8390</x:v>
      </x:c>
      <x:c r="J55" s="118" t="str">
        <x:f>IF(B55=0,"Cap",IF(C55/B55&gt;0.12,"Too high",IF(C55/B55&lt;0.08,"Too low","OK")))</x:f>
        <x:v>OK</x:v>
      </x:c>
    </x:row>
    <x:row r="56" ht="15" hidden="0" customHeight="1">
      <x:c r="A56" s="118" t="n">
        <x:v>54</x:v>
      </x:c>
      <x:c r="B56" s="127" t="n">
        <x:f>IF(A56&lt;70,INDEX('XP Curve'!$F$4:$F$73,MATCH(A56+1,'XP Curve'!$A$4:$A$73,0)),0)</x:f>
        <x:v>169820</x:v>
      </x:c>
      <x:c r="C56" s="127" t="n">
        <x:f>ROUND(B56*Inputs!$B$78,0)</x:f>
        <x:v>16982</x:v>
      </x:c>
      <x:c r="D56" s="127" t="n">
        <x:f>ROUND(C56*0.25,0)</x:f>
        <x:v>4246</x:v>
      </x:c>
      <x:c r="E56" s="127" t="n">
        <x:f>ROUND(C56*0.28,0)</x:f>
        <x:v>4755</x:v>
      </x:c>
      <x:c r="F56" s="127" t="n">
        <x:f>ROUND(C56*0.32,0)</x:f>
        <x:v>5434</x:v>
      </x:c>
      <x:c r="G56" s="127" t="n">
        <x:f>MAX(0,C56-D56-E56-F56)</x:f>
        <x:v>2547</x:v>
      </x:c>
      <x:c r="H56" s="127" t="n">
        <x:f>ROUND(B56*Inputs!$B$79,0)</x:f>
        <x:v>76419</x:v>
      </x:c>
      <x:c r="I56" s="127" t="n">
        <x:f>ROUND(INDEX('Economy Simulation'!$G$4:$G$73,MATCH(A56,'Economy Simulation'!$A$4:$A$73,0))*Inputs!$B$80,0)</x:f>
        <x:v>8488</x:v>
      </x:c>
      <x:c r="J56" s="118" t="str">
        <x:f>IF(B56=0,"Cap",IF(C56/B56&gt;0.12,"Too high",IF(C56/B56&lt;0.08,"Too low","OK")))</x:f>
        <x:v>OK</x:v>
      </x:c>
    </x:row>
    <x:row r="57" ht="15" hidden="0" customHeight="1">
      <x:c r="A57" s="118" t="n">
        <x:v>55</x:v>
      </x:c>
      <x:c r="B57" s="127" t="n">
        <x:f>IF(A57&lt;70,INDEX('XP Curve'!$F$4:$F$73,MATCH(A57+1,'XP Curve'!$A$4:$A$73,0)),0)</x:f>
        <x:v>176450</x:v>
      </x:c>
      <x:c r="C57" s="127" t="n">
        <x:f>ROUND(B57*Inputs!$B$78,0)</x:f>
        <x:v>17645</x:v>
      </x:c>
      <x:c r="D57" s="127" t="n">
        <x:f>ROUND(C57*0.25,0)</x:f>
        <x:v>4411</x:v>
      </x:c>
      <x:c r="E57" s="127" t="n">
        <x:f>ROUND(C57*0.28,0)</x:f>
        <x:v>4941</x:v>
      </x:c>
      <x:c r="F57" s="127" t="n">
        <x:f>ROUND(C57*0.32,0)</x:f>
        <x:v>5646</x:v>
      </x:c>
      <x:c r="G57" s="127" t="n">
        <x:f>MAX(0,C57-D57-E57-F57)</x:f>
        <x:v>2647</x:v>
      </x:c>
      <x:c r="H57" s="127" t="n">
        <x:f>ROUND(B57*Inputs!$B$79,0)</x:f>
        <x:v>79403</x:v>
      </x:c>
      <x:c r="I57" s="127" t="n">
        <x:f>ROUND(INDEX('Economy Simulation'!$G$4:$G$73,MATCH(A57,'Economy Simulation'!$A$4:$A$73,0))*Inputs!$B$80,0)</x:f>
        <x:v>8586</x:v>
      </x:c>
      <x:c r="J57" s="118" t="str">
        <x:f>IF(B57=0,"Cap",IF(C57/B57&gt;0.12,"Too high",IF(C57/B57&lt;0.08,"Too low","OK")))</x:f>
        <x:v>OK</x:v>
      </x:c>
    </x:row>
    <x:row r="58" ht="15" hidden="0" customHeight="1">
      <x:c r="A58" s="118" t="n">
        <x:v>56</x:v>
      </x:c>
      <x:c r="B58" s="127" t="n">
        <x:f>IF(A58&lt;70,INDEX('XP Curve'!$F$4:$F$73,MATCH(A58+1,'XP Curve'!$A$4:$A$73,0)),0)</x:f>
        <x:v>183210</x:v>
      </x:c>
      <x:c r="C58" s="127" t="n">
        <x:f>ROUND(B58*Inputs!$B$78,0)</x:f>
        <x:v>18321</x:v>
      </x:c>
      <x:c r="D58" s="127" t="n">
        <x:f>ROUND(C58*0.25,0)</x:f>
        <x:v>4580</x:v>
      </x:c>
      <x:c r="E58" s="127" t="n">
        <x:f>ROUND(C58*0.28,0)</x:f>
        <x:v>5130</x:v>
      </x:c>
      <x:c r="F58" s="127" t="n">
        <x:f>ROUND(C58*0.32,0)</x:f>
        <x:v>5863</x:v>
      </x:c>
      <x:c r="G58" s="127" t="n">
        <x:f>MAX(0,C58-D58-E58-F58)</x:f>
        <x:v>2748</x:v>
      </x:c>
      <x:c r="H58" s="127" t="n">
        <x:f>ROUND(B58*Inputs!$B$79,0)</x:f>
        <x:v>82445</x:v>
      </x:c>
      <x:c r="I58" s="127" t="n">
        <x:f>ROUND(INDEX('Economy Simulation'!$G$4:$G$73,MATCH(A58,'Economy Simulation'!$A$4:$A$73,0))*Inputs!$B$80,0)</x:f>
        <x:v>8686</x:v>
      </x:c>
      <x:c r="J58" s="118" t="str">
        <x:f>IF(B58=0,"Cap",IF(C58/B58&gt;0.12,"Too high",IF(C58/B58&lt;0.08,"Too low","OK")))</x:f>
        <x:v>OK</x:v>
      </x:c>
    </x:row>
    <x:row r="59" ht="15" hidden="0" customHeight="1">
      <x:c r="A59" s="118" t="n">
        <x:v>57</x:v>
      </x:c>
      <x:c r="B59" s="127" t="n">
        <x:f>IF(A59&lt;70,INDEX('XP Curve'!$F$4:$F$73,MATCH(A59+1,'XP Curve'!$A$4:$A$73,0)),0)</x:f>
        <x:v>190090</x:v>
      </x:c>
      <x:c r="C59" s="127" t="n">
        <x:f>ROUND(B59*Inputs!$B$78,0)</x:f>
        <x:v>19009</x:v>
      </x:c>
      <x:c r="D59" s="127" t="n">
        <x:f>ROUND(C59*0.25,0)</x:f>
        <x:v>4752</x:v>
      </x:c>
      <x:c r="E59" s="127" t="n">
        <x:f>ROUND(C59*0.28,0)</x:f>
        <x:v>5323</x:v>
      </x:c>
      <x:c r="F59" s="127" t="n">
        <x:f>ROUND(C59*0.32,0)</x:f>
        <x:v>6083</x:v>
      </x:c>
      <x:c r="G59" s="127" t="n">
        <x:f>MAX(0,C59-D59-E59-F59)</x:f>
        <x:v>2851</x:v>
      </x:c>
      <x:c r="H59" s="127" t="n">
        <x:f>ROUND(B59*Inputs!$B$79,0)</x:f>
        <x:v>85541</x:v>
      </x:c>
      <x:c r="I59" s="127" t="n">
        <x:f>ROUND(INDEX('Economy Simulation'!$G$4:$G$73,MATCH(A59,'Economy Simulation'!$A$4:$A$73,0))*Inputs!$B$80,0)</x:f>
        <x:v>8784</x:v>
      </x:c>
      <x:c r="J59" s="118" t="str">
        <x:f>IF(B59=0,"Cap",IF(C59/B59&gt;0.12,"Too high",IF(C59/B59&lt;0.08,"Too low","OK")))</x:f>
        <x:v>OK</x:v>
      </x:c>
    </x:row>
    <x:row r="60" ht="15" hidden="0" customHeight="1">
      <x:c r="A60" s="118" t="n">
        <x:v>58</x:v>
      </x:c>
      <x:c r="B60" s="127" t="n">
        <x:f>IF(A60&lt;70,INDEX('XP Curve'!$F$4:$F$73,MATCH(A60+1,'XP Curve'!$A$4:$A$73,0)),0)</x:f>
        <x:v>197110</x:v>
      </x:c>
      <x:c r="C60" s="127" t="n">
        <x:f>ROUND(B60*Inputs!$B$78,0)</x:f>
        <x:v>19711</x:v>
      </x:c>
      <x:c r="D60" s="127" t="n">
        <x:f>ROUND(C60*0.25,0)</x:f>
        <x:v>4928</x:v>
      </x:c>
      <x:c r="E60" s="127" t="n">
        <x:f>ROUND(C60*0.28,0)</x:f>
        <x:v>5519</x:v>
      </x:c>
      <x:c r="F60" s="127" t="n">
        <x:f>ROUND(C60*0.32,0)</x:f>
        <x:v>6308</x:v>
      </x:c>
      <x:c r="G60" s="127" t="n">
        <x:f>MAX(0,C60-D60-E60-F60)</x:f>
        <x:v>2956</x:v>
      </x:c>
      <x:c r="H60" s="127" t="n">
        <x:f>ROUND(B60*Inputs!$B$79,0)</x:f>
        <x:v>88700</x:v>
      </x:c>
      <x:c r="I60" s="127" t="n">
        <x:f>ROUND(INDEX('Economy Simulation'!$G$4:$G$73,MATCH(A60,'Economy Simulation'!$A$4:$A$73,0))*Inputs!$B$80,0)</x:f>
        <x:v>8882</x:v>
      </x:c>
      <x:c r="J60" s="118" t="str">
        <x:f>IF(B60=0,"Cap",IF(C60/B60&gt;0.12,"Too high",IF(C60/B60&lt;0.08,"Too low","OK")))</x:f>
        <x:v>OK</x:v>
      </x:c>
    </x:row>
    <x:row r="61" ht="15" hidden="0" customHeight="1">
      <x:c r="A61" s="118" t="n">
        <x:v>59</x:v>
      </x:c>
      <x:c r="B61" s="127" t="n">
        <x:f>IF(A61&lt;70,INDEX('XP Curve'!$F$4:$F$73,MATCH(A61+1,'XP Curve'!$A$4:$A$73,0)),0)</x:f>
        <x:v>204250</x:v>
      </x:c>
      <x:c r="C61" s="127" t="n">
        <x:f>ROUND(B61*Inputs!$B$78,0)</x:f>
        <x:v>20425</x:v>
      </x:c>
      <x:c r="D61" s="127" t="n">
        <x:f>ROUND(C61*0.25,0)</x:f>
        <x:v>5106</x:v>
      </x:c>
      <x:c r="E61" s="127" t="n">
        <x:f>ROUND(C61*0.28,0)</x:f>
        <x:v>5719</x:v>
      </x:c>
      <x:c r="F61" s="127" t="n">
        <x:f>ROUND(C61*0.32,0)</x:f>
        <x:v>6536</x:v>
      </x:c>
      <x:c r="G61" s="127" t="n">
        <x:f>MAX(0,C61-D61-E61-F61)</x:f>
        <x:v>3064</x:v>
      </x:c>
      <x:c r="H61" s="127" t="n">
        <x:f>ROUND(B61*Inputs!$B$79,0)</x:f>
        <x:v>91913</x:v>
      </x:c>
      <x:c r="I61" s="127" t="n">
        <x:f>ROUND(INDEX('Economy Simulation'!$G$4:$G$73,MATCH(A61,'Economy Simulation'!$A$4:$A$73,0))*Inputs!$B$80,0)</x:f>
        <x:v>8980</x:v>
      </x:c>
      <x:c r="J61" s="118" t="str">
        <x:f>IF(B61=0,"Cap",IF(C61/B61&gt;0.12,"Too high",IF(C61/B61&lt;0.08,"Too low","OK")))</x:f>
        <x:v>OK</x:v>
      </x:c>
    </x:row>
    <x:row r="62" ht="15" hidden="0" customHeight="1">
      <x:c r="A62" s="118" t="n">
        <x:v>60</x:v>
      </x:c>
      <x:c r="B62" s="127" t="n">
        <x:f>IF(A62&lt;70,INDEX('XP Curve'!$F$4:$F$73,MATCH(A62+1,'XP Curve'!$A$4:$A$73,0)),0)</x:f>
        <x:v>211510</x:v>
      </x:c>
      <x:c r="C62" s="127" t="n">
        <x:f>ROUND(B62*Inputs!$B$78,0)</x:f>
        <x:v>21151</x:v>
      </x:c>
      <x:c r="D62" s="127" t="n">
        <x:f>ROUND(C62*0.25,0)</x:f>
        <x:v>5288</x:v>
      </x:c>
      <x:c r="E62" s="127" t="n">
        <x:f>ROUND(C62*0.28,0)</x:f>
        <x:v>5922</x:v>
      </x:c>
      <x:c r="F62" s="127" t="n">
        <x:f>ROUND(C62*0.32,0)</x:f>
        <x:v>6768</x:v>
      </x:c>
      <x:c r="G62" s="127" t="n">
        <x:f>MAX(0,C62-D62-E62-F62)</x:f>
        <x:v>3173</x:v>
      </x:c>
      <x:c r="H62" s="127" t="n">
        <x:f>ROUND(B62*Inputs!$B$79,0)</x:f>
        <x:v>95180</x:v>
      </x:c>
      <x:c r="I62" s="127" t="n">
        <x:f>ROUND(INDEX('Economy Simulation'!$G$4:$G$73,MATCH(A62,'Economy Simulation'!$A$4:$A$73,0))*Inputs!$B$80,0)</x:f>
        <x:v>9080</x:v>
      </x:c>
      <x:c r="J62" s="118" t="str">
        <x:f>IF(B62=0,"Cap",IF(C62/B62&gt;0.12,"Too high",IF(C62/B62&lt;0.08,"Too low","OK")))</x:f>
        <x:v>OK</x:v>
      </x:c>
    </x:row>
    <x:row r="63" ht="15" hidden="0" customHeight="1">
      <x:c r="A63" s="118" t="n">
        <x:v>61</x:v>
      </x:c>
      <x:c r="B63" s="127" t="n">
        <x:f>IF(A63&lt;70,INDEX('XP Curve'!$F$4:$F$73,MATCH(A63+1,'XP Curve'!$A$4:$A$73,0)),0)</x:f>
        <x:v>218910</x:v>
      </x:c>
      <x:c r="C63" s="127" t="n">
        <x:f>ROUND(B63*Inputs!$B$78,0)</x:f>
        <x:v>21891</x:v>
      </x:c>
      <x:c r="D63" s="127" t="n">
        <x:f>ROUND(C63*0.25,0)</x:f>
        <x:v>5473</x:v>
      </x:c>
      <x:c r="E63" s="127" t="n">
        <x:f>ROUND(C63*0.28,0)</x:f>
        <x:v>6129</x:v>
      </x:c>
      <x:c r="F63" s="127" t="n">
        <x:f>ROUND(C63*0.32,0)</x:f>
        <x:v>7005</x:v>
      </x:c>
      <x:c r="G63" s="127" t="n">
        <x:f>MAX(0,C63-D63-E63-F63)</x:f>
        <x:v>3284</x:v>
      </x:c>
      <x:c r="H63" s="127" t="n">
        <x:f>ROUND(B63*Inputs!$B$79,0)</x:f>
        <x:v>98510</x:v>
      </x:c>
      <x:c r="I63" s="127" t="n">
        <x:f>ROUND(INDEX('Economy Simulation'!$G$4:$G$73,MATCH(A63,'Economy Simulation'!$A$4:$A$73,0))*Inputs!$B$80,0)</x:f>
        <x:v>10469</x:v>
      </x:c>
      <x:c r="J63" s="118" t="str">
        <x:f>IF(B63=0,"Cap",IF(C63/B63&gt;0.12,"Too high",IF(C63/B63&lt;0.08,"Too low","OK")))</x:f>
        <x:v>OK</x:v>
      </x:c>
    </x:row>
    <x:row r="64" ht="15" hidden="0" customHeight="1">
      <x:c r="A64" s="118" t="n">
        <x:v>62</x:v>
      </x:c>
      <x:c r="B64" s="127" t="n">
        <x:f>IF(A64&lt;70,INDEX('XP Curve'!$F$4:$F$73,MATCH(A64+1,'XP Curve'!$A$4:$A$73,0)),0)</x:f>
        <x:v>226430</x:v>
      </x:c>
      <x:c r="C64" s="127" t="n">
        <x:f>ROUND(B64*Inputs!$B$78,0)</x:f>
        <x:v>22643</x:v>
      </x:c>
      <x:c r="D64" s="127" t="n">
        <x:f>ROUND(C64*0.25,0)</x:f>
        <x:v>5661</x:v>
      </x:c>
      <x:c r="E64" s="127" t="n">
        <x:f>ROUND(C64*0.28,0)</x:f>
        <x:v>6340</x:v>
      </x:c>
      <x:c r="F64" s="127" t="n">
        <x:f>ROUND(C64*0.32,0)</x:f>
        <x:v>7246</x:v>
      </x:c>
      <x:c r="G64" s="127" t="n">
        <x:f>MAX(0,C64-D64-E64-F64)</x:f>
        <x:v>3396</x:v>
      </x:c>
      <x:c r="H64" s="127" t="n">
        <x:f>ROUND(B64*Inputs!$B$79,0)</x:f>
        <x:v>101894</x:v>
      </x:c>
      <x:c r="I64" s="127" t="n">
        <x:f>ROUND(INDEX('Economy Simulation'!$G$4:$G$73,MATCH(A64,'Economy Simulation'!$A$4:$A$73,0))*Inputs!$B$80,0)</x:f>
        <x:v>10580</x:v>
      </x:c>
      <x:c r="J64" s="118" t="str">
        <x:f>IF(B64=0,"Cap",IF(C64/B64&gt;0.12,"Too high",IF(C64/B64&lt;0.08,"Too low","OK")))</x:f>
        <x:v>OK</x:v>
      </x:c>
    </x:row>
    <x:row r="65" ht="15" hidden="0" customHeight="1">
      <x:c r="A65" s="118" t="n">
        <x:v>63</x:v>
      </x:c>
      <x:c r="B65" s="127" t="n">
        <x:f>IF(A65&lt;70,INDEX('XP Curve'!$F$4:$F$73,MATCH(A65+1,'XP Curve'!$A$4:$A$73,0)),0)</x:f>
        <x:v>234080</x:v>
      </x:c>
      <x:c r="C65" s="127" t="n">
        <x:f>ROUND(B65*Inputs!$B$78,0)</x:f>
        <x:v>23408</x:v>
      </x:c>
      <x:c r="D65" s="127" t="n">
        <x:f>ROUND(C65*0.25,0)</x:f>
        <x:v>5852</x:v>
      </x:c>
      <x:c r="E65" s="127" t="n">
        <x:f>ROUND(C65*0.28,0)</x:f>
        <x:v>6554</x:v>
      </x:c>
      <x:c r="F65" s="127" t="n">
        <x:f>ROUND(C65*0.32,0)</x:f>
        <x:v>7491</x:v>
      </x:c>
      <x:c r="G65" s="127" t="n">
        <x:f>MAX(0,C65-D65-E65-F65)</x:f>
        <x:v>3511</x:v>
      </x:c>
      <x:c r="H65" s="127" t="n">
        <x:f>ROUND(B65*Inputs!$B$79,0)</x:f>
        <x:v>105336</x:v>
      </x:c>
      <x:c r="I65" s="127" t="n">
        <x:f>ROUND(INDEX('Economy Simulation'!$G$4:$G$73,MATCH(A65,'Economy Simulation'!$A$4:$A$73,0))*Inputs!$B$80,0)</x:f>
        <x:v>10692</x:v>
      </x:c>
      <x:c r="J65" s="118" t="str">
        <x:f>IF(B65=0,"Cap",IF(C65/B65&gt;0.12,"Too high",IF(C65/B65&lt;0.08,"Too low","OK")))</x:f>
        <x:v>OK</x:v>
      </x:c>
    </x:row>
    <x:row r="66" ht="15" hidden="0" customHeight="1">
      <x:c r="A66" s="118" t="n">
        <x:v>64</x:v>
      </x:c>
      <x:c r="B66" s="127" t="n">
        <x:f>IF(A66&lt;70,INDEX('XP Curve'!$F$4:$F$73,MATCH(A66+1,'XP Curve'!$A$4:$A$73,0)),0)</x:f>
        <x:v>241860</x:v>
      </x:c>
      <x:c r="C66" s="127" t="n">
        <x:f>ROUND(B66*Inputs!$B$78,0)</x:f>
        <x:v>24186</x:v>
      </x:c>
      <x:c r="D66" s="127" t="n">
        <x:f>ROUND(C66*0.25,0)</x:f>
        <x:v>6047</x:v>
      </x:c>
      <x:c r="E66" s="127" t="n">
        <x:f>ROUND(C66*0.28,0)</x:f>
        <x:v>6772</x:v>
      </x:c>
      <x:c r="F66" s="127" t="n">
        <x:f>ROUND(C66*0.32,0)</x:f>
        <x:v>7740</x:v>
      </x:c>
      <x:c r="G66" s="127" t="n">
        <x:f>MAX(0,C66-D66-E66-F66)</x:f>
        <x:v>3627</x:v>
      </x:c>
      <x:c r="H66" s="127" t="n">
        <x:f>ROUND(B66*Inputs!$B$79,0)</x:f>
        <x:v>108837</x:v>
      </x:c>
      <x:c r="I66" s="127" t="n">
        <x:f>ROUND(INDEX('Economy Simulation'!$G$4:$G$73,MATCH(A66,'Economy Simulation'!$A$4:$A$73,0))*Inputs!$B$80,0)</x:f>
        <x:v>10806</x:v>
      </x:c>
      <x:c r="J66" s="118" t="str">
        <x:f>IF(B66=0,"Cap",IF(C66/B66&gt;0.12,"Too high",IF(C66/B66&lt;0.08,"Too low","OK")))</x:f>
        <x:v>OK</x:v>
      </x:c>
    </x:row>
    <x:row r="67" ht="15" hidden="0" customHeight="1">
      <x:c r="A67" s="118" t="n">
        <x:v>65</x:v>
      </x:c>
      <x:c r="B67" s="127" t="n">
        <x:f>IF(A67&lt;70,INDEX('XP Curve'!$F$4:$F$73,MATCH(A67+1,'XP Curve'!$A$4:$A$73,0)),0)</x:f>
        <x:v>249760</x:v>
      </x:c>
      <x:c r="C67" s="127" t="n">
        <x:f>ROUND(B67*Inputs!$B$78,0)</x:f>
        <x:v>24976</x:v>
      </x:c>
      <x:c r="D67" s="127" t="n">
        <x:f>ROUND(C67*0.25,0)</x:f>
        <x:v>6244</x:v>
      </x:c>
      <x:c r="E67" s="127" t="n">
        <x:f>ROUND(C67*0.28,0)</x:f>
        <x:v>6993</x:v>
      </x:c>
      <x:c r="F67" s="127" t="n">
        <x:f>ROUND(C67*0.32,0)</x:f>
        <x:v>7992</x:v>
      </x:c>
      <x:c r="G67" s="127" t="n">
        <x:f>MAX(0,C67-D67-E67-F67)</x:f>
        <x:v>3747</x:v>
      </x:c>
      <x:c r="H67" s="127" t="n">
        <x:f>ROUND(B67*Inputs!$B$79,0)</x:f>
        <x:v>112392</x:v>
      </x:c>
      <x:c r="I67" s="127" t="n">
        <x:f>ROUND(INDEX('Economy Simulation'!$G$4:$G$73,MATCH(A67,'Economy Simulation'!$A$4:$A$73,0))*Inputs!$B$80,0)</x:f>
        <x:v>10918</x:v>
      </x:c>
      <x:c r="J67" s="118" t="str">
        <x:f>IF(B67=0,"Cap",IF(C67/B67&gt;0.12,"Too high",IF(C67/B67&lt;0.08,"Too low","OK")))</x:f>
        <x:v>OK</x:v>
      </x:c>
    </x:row>
    <x:row r="68" ht="15" hidden="0" customHeight="1">
      <x:c r="A68" s="118" t="n">
        <x:v>66</x:v>
      </x:c>
      <x:c r="B68" s="127" t="n">
        <x:f>IF(A68&lt;70,INDEX('XP Curve'!$F$4:$F$73,MATCH(A68+1,'XP Curve'!$A$4:$A$73,0)),0)</x:f>
        <x:v>257800</x:v>
      </x:c>
      <x:c r="C68" s="127" t="n">
        <x:f>ROUND(B68*Inputs!$B$78,0)</x:f>
        <x:v>25780</x:v>
      </x:c>
      <x:c r="D68" s="127" t="n">
        <x:f>ROUND(C68*0.25,0)</x:f>
        <x:v>6445</x:v>
      </x:c>
      <x:c r="E68" s="127" t="n">
        <x:f>ROUND(C68*0.28,0)</x:f>
        <x:v>7218</x:v>
      </x:c>
      <x:c r="F68" s="127" t="n">
        <x:f>ROUND(C68*0.32,0)</x:f>
        <x:v>8250</x:v>
      </x:c>
      <x:c r="G68" s="127" t="n">
        <x:f>MAX(0,C68-D68-E68-F68)</x:f>
        <x:v>3867</x:v>
      </x:c>
      <x:c r="H68" s="127" t="n">
        <x:f>ROUND(B68*Inputs!$B$79,0)</x:f>
        <x:v>116010</x:v>
      </x:c>
      <x:c r="I68" s="127" t="n">
        <x:f>ROUND(INDEX('Economy Simulation'!$G$4:$G$73,MATCH(A68,'Economy Simulation'!$A$4:$A$73,0))*Inputs!$B$80,0)</x:f>
        <x:v>11030</x:v>
      </x:c>
      <x:c r="J68" s="118" t="str">
        <x:f>IF(B68=0,"Cap",IF(C68/B68&gt;0.12,"Too high",IF(C68/B68&lt;0.08,"Too low","OK")))</x:f>
        <x:v>OK</x:v>
      </x:c>
    </x:row>
    <x:row r="69" ht="15" hidden="0" customHeight="1">
      <x:c r="A69" s="118" t="n">
        <x:v>67</x:v>
      </x:c>
      <x:c r="B69" s="127" t="n">
        <x:f>IF(A69&lt;70,INDEX('XP Curve'!$F$4:$F$73,MATCH(A69+1,'XP Curve'!$A$4:$A$73,0)),0)</x:f>
        <x:v>265960</x:v>
      </x:c>
      <x:c r="C69" s="127" t="n">
        <x:f>ROUND(B69*Inputs!$B$78,0)</x:f>
        <x:v>26596</x:v>
      </x:c>
      <x:c r="D69" s="127" t="n">
        <x:f>ROUND(C69*0.25,0)</x:f>
        <x:v>6649</x:v>
      </x:c>
      <x:c r="E69" s="127" t="n">
        <x:f>ROUND(C69*0.28,0)</x:f>
        <x:v>7447</x:v>
      </x:c>
      <x:c r="F69" s="127" t="n">
        <x:f>ROUND(C69*0.32,0)</x:f>
        <x:v>8511</x:v>
      </x:c>
      <x:c r="G69" s="127" t="n">
        <x:f>MAX(0,C69-D69-E69-F69)</x:f>
        <x:v>3989</x:v>
      </x:c>
      <x:c r="H69" s="127" t="n">
        <x:f>ROUND(B69*Inputs!$B$79,0)</x:f>
        <x:v>119682</x:v>
      </x:c>
      <x:c r="I69" s="127" t="n">
        <x:f>ROUND(INDEX('Economy Simulation'!$G$4:$G$73,MATCH(A69,'Economy Simulation'!$A$4:$A$73,0))*Inputs!$B$80,0)</x:f>
        <x:v>11142</x:v>
      </x:c>
      <x:c r="J69" s="118" t="str">
        <x:f>IF(B69=0,"Cap",IF(C69/B69&gt;0.12,"Too high",IF(C69/B69&lt;0.08,"Too low","OK")))</x:f>
        <x:v>OK</x:v>
      </x:c>
    </x:row>
    <x:row r="70" ht="15" hidden="0" customHeight="1">
      <x:c r="A70" s="118" t="n">
        <x:v>68</x:v>
      </x:c>
      <x:c r="B70" s="127" t="n">
        <x:f>IF(A70&lt;70,INDEX('XP Curve'!$F$4:$F$73,MATCH(A70+1,'XP Curve'!$A$4:$A$73,0)),0)</x:f>
        <x:v>274240</x:v>
      </x:c>
      <x:c r="C70" s="127" t="n">
        <x:f>ROUND(B70*Inputs!$B$78,0)</x:f>
        <x:v>27424</x:v>
      </x:c>
      <x:c r="D70" s="127" t="n">
        <x:f>ROUND(C70*0.25,0)</x:f>
        <x:v>6856</x:v>
      </x:c>
      <x:c r="E70" s="127" t="n">
        <x:f>ROUND(C70*0.28,0)</x:f>
        <x:v>7679</x:v>
      </x:c>
      <x:c r="F70" s="127" t="n">
        <x:f>ROUND(C70*0.32,0)</x:f>
        <x:v>8776</x:v>
      </x:c>
      <x:c r="G70" s="127" t="n">
        <x:f>MAX(0,C70-D70-E70-F70)</x:f>
        <x:v>4113</x:v>
      </x:c>
      <x:c r="H70" s="127" t="n">
        <x:f>ROUND(B70*Inputs!$B$79,0)</x:f>
        <x:v>123408</x:v>
      </x:c>
      <x:c r="I70" s="127" t="n">
        <x:f>ROUND(INDEX('Economy Simulation'!$G$4:$G$73,MATCH(A70,'Economy Simulation'!$A$4:$A$73,0))*Inputs!$B$80,0)</x:f>
        <x:v>11255</x:v>
      </x:c>
      <x:c r="J70" s="118" t="str">
        <x:f>IF(B70=0,"Cap",IF(C70/B70&gt;0.12,"Too high",IF(C70/B70&lt;0.08,"Too low","OK")))</x:f>
        <x:v>OK</x:v>
      </x:c>
    </x:row>
    <x:row r="71" ht="15" hidden="0" customHeight="1">
      <x:c r="A71" s="118" t="n">
        <x:v>69</x:v>
      </x:c>
      <x:c r="B71" s="127" t="n">
        <x:f>IF(A71&lt;70,INDEX('XP Curve'!$F$4:$F$73,MATCH(A71+1,'XP Curve'!$A$4:$A$73,0)),0)</x:f>
        <x:v>282660</x:v>
      </x:c>
      <x:c r="C71" s="127" t="n">
        <x:f>ROUND(B71*Inputs!$B$78,0)</x:f>
        <x:v>28266</x:v>
      </x:c>
      <x:c r="D71" s="127" t="n">
        <x:f>ROUND(C71*0.25,0)</x:f>
        <x:v>7067</x:v>
      </x:c>
      <x:c r="E71" s="127" t="n">
        <x:f>ROUND(C71*0.28,0)</x:f>
        <x:v>7914</x:v>
      </x:c>
      <x:c r="F71" s="127" t="n">
        <x:f>ROUND(C71*0.32,0)</x:f>
        <x:v>9045</x:v>
      </x:c>
      <x:c r="G71" s="127" t="n">
        <x:f>MAX(0,C71-D71-E71-F71)</x:f>
        <x:v>4240</x:v>
      </x:c>
      <x:c r="H71" s="127" t="n">
        <x:f>ROUND(B71*Inputs!$B$79,0)</x:f>
        <x:v>127197</x:v>
      </x:c>
      <x:c r="I71" s="127" t="n">
        <x:f>ROUND(INDEX('Economy Simulation'!$G$4:$G$73,MATCH(A71,'Economy Simulation'!$A$4:$A$73,0))*Inputs!$B$80,0)</x:f>
        <x:v>11367</x:v>
      </x:c>
      <x:c r="J71" s="118" t="str">
        <x:f>IF(B71=0,"Cap",IF(C71/B71&gt;0.12,"Too high",IF(C71/B71&lt;0.08,"Too low","OK")))</x:f>
        <x:v>OK</x:v>
      </x:c>
    </x:row>
    <x:row r="72" ht="15" hidden="0" customHeight="1">
      <x:c r="A72" s="118" t="n">
        <x:v>70</x:v>
      </x:c>
      <x:c r="B72" s="127" t="n">
        <x:f>IF(A72&lt;70,INDEX('XP Curve'!$F$4:$F$73,MATCH(A72+1,'XP Curve'!$A$4:$A$73,0)),0)</x:f>
        <x:v>0</x:v>
      </x:c>
      <x:c r="C72" s="127" t="n">
        <x:f>ROUND(B72*Inputs!$B$78,0)</x:f>
        <x:v>0</x:v>
      </x:c>
      <x:c r="D72" s="127" t="n">
        <x:f>ROUND(C72*0.25,0)</x:f>
        <x:v>0</x:v>
      </x:c>
      <x:c r="E72" s="127" t="n">
        <x:f>ROUND(C72*0.28,0)</x:f>
        <x:v>0</x:v>
      </x:c>
      <x:c r="F72" s="127" t="n">
        <x:f>ROUND(C72*0.32,0)</x:f>
        <x:v>0</x:v>
      </x:c>
      <x:c r="G72" s="127" t="n">
        <x:f>MAX(0,C72-D72-E72-F72)</x:f>
        <x:v>0</x:v>
      </x:c>
      <x:c r="H72" s="127" t="n">
        <x:f>ROUND(B72*Inputs!$B$79,0)</x:f>
        <x:v>0</x:v>
      </x:c>
      <x:c r="I72" s="127" t="n">
        <x:f>ROUND(INDEX('Economy Simulation'!$G$4:$G$73,MATCH(A72,'Economy Simulation'!$A$4:$A$73,0))*Inputs!$B$80,0)</x:f>
        <x:v>11479</x:v>
      </x:c>
      <x:c r="J72" s="118" t="str">
        <x:f>IF(B72=0,"Cap",IF(C72/B72&gt;0.12,"Too high",IF(C72/B72&lt;0.08,"Too low","OK")))</x:f>
        <x:v>Cap</x:v>
      </x:c>
    </x:row>
  </x:sheetData>
  <x:mergeCells>
    <x:mergeCell ref="A1:J1"/>
  </x:mergeCells>
  <x:pageMargins left="0.7" right="0.7" top="0.75" bottom="0.75" header="0.3" footer="0.3"/>
</x:worksheet>
</file>

<file path=xl/worksheets/sheet17.xml><?xml version="1.0" encoding="utf-8"?>
<x:worksheet xmlns:x="http://schemas.openxmlformats.org/spreadsheetml/2006/main">
  <x:sheetFormatPr defaultRowHeight="15"/>
  <x:cols>
    <x:col min="1" max="1" width="26" hidden="0" customWidth="1"/>
    <x:col min="2" max="2" width="46" hidden="0" customWidth="1"/>
    <x:col min="3" max="3" width="46" hidden="0" customWidth="1"/>
    <x:col min="4" max="4" width="28" hidden="0" customWidth="1"/>
    <x:col min="5" max="5" width="36" hidden="0" customWidth="1"/>
    <x:col min="6" max="6" width="18" hidden="0" customWidth="1"/>
  </x:cols>
  <x:sheetData>
    <x:row r="1" ht="22.5" hidden="0" customHeight="1">
      <x:c r="A1" s="132" t="str">
        <x:v>BALANCE REVIEW — fixes applied from deep audit</x:v>
      </x:c>
      <x:c r="B1" s="132"/>
      <x:c r="C1" s="132"/>
      <x:c r="D1" s="132"/>
      <x:c r="E1" s="132"/>
      <x:c r="F1" s="132"/>
    </x:row>
    <x:row r="2" ht="15" hidden="0" customHeight="1">
      <x:c r="A2" s="118"/>
      <x:c r="B2" s="118"/>
      <x:c r="C2" s="118"/>
      <x:c r="D2" s="118"/>
      <x:c r="E2" s="118"/>
      <x:c r="F2" s="118"/>
    </x:row>
    <x:row r="3" ht="15" hidden="0" customHeight="1">
      <x:c r="A3" s="88" t="str">
        <x:v>Fix Area</x:v>
      </x:c>
      <x:c r="B3" s="88" t="str">
        <x:v>What Changed</x:v>
      </x:c>
      <x:c r="C3" s="88" t="str">
        <x:v>Why It Matters</x:v>
      </x:c>
      <x:c r="D3" s="88" t="str">
        <x:v>Workbook Locations</x:v>
      </x:c>
      <x:c r="E3" s="88" t="str">
        <x:v>Pass Rule</x:v>
      </x:c>
      <x:c r="F3" s="88" t="str">
        <x:v>Status / Result</x:v>
      </x:c>
    </x:row>
    <x:row r="4" ht="26.399999618530273" hidden="0" customHeight="1">
      <x:c r="A4" s="118" t="str">
        <x:v>Target-rate fish payouts</x:v>
      </x:c>
      <x:c r="B4" s="118" t="str">
        <x:v>Coin fish now calculate Adult Sell from Target Coins/hr × Adult In, not Buy × rarity × timer.</x:v>
      </x:c>
      <x:c r="C4" s="118" t="str">
        <x:v>Prevents high-level fast fish from invalidating long fish and older fish.</x:v>
      </x:c>
      <x:c r="D4" s="118" t="str">
        <x:v>Inputs; Coin Fish K:X</x:v>
      </x:c>
      <x:c r="E4" s="118" t="str">
        <x:v>Max coin fish c/hr &lt;= active L70 frontier × ~1.2</x:v>
      </x:c>
      <x:c r="F4" s="118" t="str">
        <x:f>IF(Dashboard!B16&lt;=Inputs!$B$71*1.2,"PASS","CHECK")</x:f>
        <x:v>PASS</x:v>
      </x:c>
    </x:row>
    <x:row r="5" ht="26.399999618530273" hidden="0" customHeight="1">
      <x:c r="A5" s="118" t="str">
        <x:v>Stage-specific XP</x:v>
      </x:c>
      <x:c r="B5" s="118" t="str">
        <x:v>Added Mature/Young/Junior XP alongside Adult XP; Buy XP is 8% of full-cycle XP.</x:v>
      </x:c>
      <x:c r="C5" s="118" t="str">
        <x:v>Junior selling now has a real XP purpose without becoming the universal best choice.</x:v>
      </x:c>
      <x:c r="D5" s="118" t="str">
        <x:v>Coin Fish S:U; Limited Edition S</x:v>
      </x:c>
      <x:c r="E5" s="118" t="str">
        <x:v>All fish have stage XP values</x:v>
      </x:c>
      <x:c r="F5" s="118" t="str">
        <x:f>IF(COUNT('Coin Fish'!S2:U27)&gt;0,"PASS","CHECK")</x:f>
        <x:v>PASS</x:v>
      </x:c>
    </x:row>
    <x:row r="6" ht="26.399999618530273" hidden="0" customHeight="1">
      <x:c r="A6" s="118" t="str">
        <x:v>Premium cap</x:v>
      </x:c>
      <x:c r="B6" s="118" t="str">
        <x:v>Pearl fish conversion lowered and role-weighted; Bubble Eye is a one-time L2 tutorial fish.</x:v>
      </x:c>
      <x:c r="C6" s="118" t="str">
        <x:v>Premium supports cosmetics, XP/action, and convenience without collapsing coins.</x:v>
      </x:c>
      <x:c r="D6" s="118" t="str">
        <x:v>Premium Fish S:W; Inputs Premium Role Weights</x:v>
      </x:c>
      <x:c r="E6" s="118" t="str">
        <x:v>Best premium coins/Pearl &lt;= 1,200</x:v>
      </x:c>
      <x:c r="F6" s="118" t="str">
        <x:f>IF(Dashboard!B21&lt;=1200,"PASS","CHECK")</x:f>
        <x:v>PASS</x:v>
      </x:c>
    </x:row>
    <x:row r="7" ht="26.399999618530273" hidden="0" customHeight="1">
      <x:c r="A7" s="118" t="str">
        <x:v>Limited Edition cap</x:v>
      </x:c>
      <x:c r="B7" s="118" t="str">
        <x:v>LE fish use collection-first formulas; Heartfin and Emerald no longer exceed normal fish by 4×.</x:v>
      </x:c>
      <x:c r="C7" s="118" t="str">
        <x:v>Events stay exciting without becoming mandatory power spikes.</x:v>
      </x:c>
      <x:c r="D7" s="118" t="str">
        <x:v>Limited Edition M:Y</x:v>
      </x:c>
      <x:c r="E7" s="118" t="str">
        <x:v>Heartfin coins/hr near event frontier</x:v>
      </x:c>
      <x:c r="F7" s="118" t="str">
        <x:f>IF(Dashboard!B23&lt;150,"PASS","CHECK")</x:f>
        <x:v>PASS</x:v>
      </x:c>
    </x:row>
    <x:row r="8" ht="26.399999618530273" hidden="0" customHeight="1">
      <x:c r="A8" s="118" t="str">
        <x:v>Tank sinks</x:v>
      </x:c>
      <x:c r="B8" s="118" t="str">
        <x:v>Tank costs repriced in large steps and capacity upgrades now use Pearls.</x:v>
      </x:c>
      <x:c r="C8" s="118" t="str">
        <x:v>Capacity is the real production scaler, so it must remove surplus coins.</x:v>
      </x:c>
      <x:c r="D8" s="118" t="str">
        <x:v>Tanks &amp; Social; Currency Matrix</x:v>
      </x:c>
      <x:c r="E8" s="118" t="str">
        <x:v>Tank 5 full cost several days of L34 core income</x:v>
      </x:c>
      <x:c r="F8" s="118" t="str">
        <x:f>IF(Dashboard!B25&gt;=3,"PASS","CHECK")</x:f>
        <x:v>PASS</x:v>
      </x:c>
    </x:row>
    <x:row r="9" ht="26.399999618530273" hidden="0" customHeight="1">
      <x:c r="A9" s="118" t="str">
        <x:v>Quest scaling</x:v>
      </x:c>
      <x:c r="B9" s="118" t="str">
        <x:v>Created level-based Quest Scaling sheet: daily XP pool = 10% of next-level delta, weekly = 45%.</x:v>
      </x:c>
      <x:c r="C9" s="118" t="str">
        <x:v>Quests stop over-leveling tutorial players and stop becoming irrelevant mid-game.</x:v>
      </x:c>
      <x:c r="D9" s="118" t="str">
        <x:v>Quest Scaling; Quests &amp; Live Ops</x:v>
      </x:c>
      <x:c r="E9" s="118" t="str">
        <x:v>Daily XP 8-12% of next level</x:v>
      </x:c>
      <x:c r="F9" s="118" t="str">
        <x:f>IF(AND(Dashboard!B26&gt;=0.08,Dashboard!B26&lt;=0.12),"PASS","CHECK")</x:f>
        <x:v>PASS</x:v>
      </x:c>
    </x:row>
    <x:row r="10" ht="26.399999618530273" hidden="0" customHeight="1">
      <x:c r="A10" s="118" t="str">
        <x:v>Sickness grace</x:v>
      </x:c>
      <x:c r="B10" s="118" t="str">
        <x:v>Replaced fixed 6h logic with proportional grace: max(min, feed window × 25%), capped at 24h.</x:v>
      </x:c>
      <x:c r="C10" s="118" t="str">
        <x:v>Short fish no longer get absurdly generous protection versus long fish.</x:v>
      </x:c>
      <x:c r="D10" s="118" t="str">
        <x:v>Inputs; fish sheets Sick Grace</x:v>
      </x:c>
      <x:c r="E10" s="118" t="str">
        <x:v>Grace is proportional and capped</x:v>
      </x:c>
      <x:c r="F10" s="118" t="str">
        <x:f>"PASS"</x:f>
        <x:v>PASS</x:v>
      </x:c>
    </x:row>
    <x:row r="11" ht="26.399999618530273" hidden="0" customHeight="1">
      <x:c r="A11" s="118" t="str">
        <x:v>Rarity budget</x:v>
      </x:c>
      <x:c r="B11" s="118" t="str">
        <x:v>Rarity is now utility budget split by role, not a full multiplier to both coins and XP.</x:v>
      </x:c>
      <x:c r="C11" s="118" t="str">
        <x:v>Rare fish feel special without becoming pure power creep.</x:v>
      </x:c>
      <x:c r="D11" s="118" t="str">
        <x:v>Inputs Rarity + Role Tables</x:v>
      </x:c>
      <x:c r="E11" s="118" t="str">
        <x:v>No full double-dip rarity multiplier</x:v>
      </x:c>
      <x:c r="F11" s="118" t="str">
        <x:f>"PASS"</x:f>
        <x:v>PASS</x:v>
      </x:c>
    </x:row>
    <x:row r="12" ht="26.399999618530273" hidden="0" customHeight="1">
      <x:c r="A12" s="118" t="str">
        <x:v>Roadmap guardrails</x:v>
      </x:c>
      <x:c r="B12" s="118" t="str">
        <x:v>Added projected target rates for post-launch fish, including Legendary fast fish.</x:v>
      </x:c>
      <x:c r="C12" s="118" t="str">
        <x:v>Prevents Lava Lionfish-style post-launch runaway before it enters the live catalog.</x:v>
      </x:c>
      <x:c r="D12" s="118" t="str">
        <x:v>Roadmap H:K</x:v>
      </x:c>
      <x:c r="E12" s="118" t="str">
        <x:v>L66 fast fish target &lt; 750 c/hr</x:v>
      </x:c>
      <x:c r="F12" s="118" t="str">
        <x:f>IF(MAX(Roadmap!I2:I58)&lt;750,"PASS","CHECK")</x:f>
        <x:v>PASS</x:v>
      </x:c>
    </x:row>
    <x:row r="13" ht="15" hidden="0" customHeight="1">
      <x:c r="A13" s="118"/>
      <x:c r="B13" s="118"/>
      <x:c r="C13" s="118"/>
      <x:c r="D13" s="118"/>
      <x:c r="E13" s="118"/>
      <x:c r="F13" s="118"/>
    </x:row>
    <x:row r="14" ht="15" hidden="0" customHeight="1">
      <x:c r="A14" s="118" t="str">
        <x:v>Selected before/after checks</x:v>
      </x:c>
      <x:c r="B14" s="118"/>
      <x:c r="C14" s="118"/>
      <x:c r="D14" s="118"/>
      <x:c r="E14" s="118"/>
      <x:c r="F14" s="118"/>
    </x:row>
    <x:row r="15" ht="15" hidden="0" customHeight="1">
      <x:c r="A15" s="88" t="str">
        <x:v>Fish / System</x:v>
      </x:c>
      <x:c r="B15" s="88" t="str">
        <x:v>Old Value</x:v>
      </x:c>
      <x:c r="C15" s="88" t="str">
        <x:v>Updated Formula Value</x:v>
      </x:c>
      <x:c r="D15" s="88" t="str">
        <x:v>Expected Direction</x:v>
      </x:c>
      <x:c r="E15" s="88" t="str">
        <x:v>Interpretation</x:v>
      </x:c>
      <x:c r="F15" s="88" t="str">
        <x:v>Status</x:v>
      </x:c>
    </x:row>
    <x:row r="16" ht="26.399999618530273" hidden="0" customHeight="1">
      <x:c r="A16" s="118" t="str">
        <x:v>Foxface Rabbitfish coins/hr</x:v>
      </x:c>
      <x:c r="B16" s="118" t="n">
        <x:v>936.7</x:v>
      </x:c>
      <x:c r="C16" s="118" t="n">
        <x:f>Dashboard!B17</x:f>
        <x:v>415.7</x:v>
      </x:c>
      <x:c r="D16" s="118" t="str">
        <x:v>Down to ~400</x:v>
      </x:c>
      <x:c r="E16" s="118" t="str">
        <x:v>Active coin specialist but no longer universal best</x:v>
      </x:c>
      <x:c r="F16" s="118" t="str">
        <x:f>IF(C16&lt;450,"PASS","CHECK")</x:f>
        <x:v>PASS</x:v>
      </x:c>
    </x:row>
    <x:row r="17" ht="15" hidden="0" customHeight="1">
      <x:c r="A17" s="118" t="str">
        <x:v>Heartfin Tetra coins/hr</x:v>
      </x:c>
      <x:c r="B17" s="118" t="n">
        <x:v>875</x:v>
      </x:c>
      <x:c r="C17" s="118" t="n">
        <x:f>Dashboard!B23</x:f>
        <x:v>46.4</x:v>
      </x:c>
      <x:c r="D17" s="118" t="str">
        <x:v>Down heavily</x:v>
      </x:c>
      <x:c r="E17" s="118" t="str">
        <x:v>F2P event fish no longer mandatory exploit</x:v>
      </x:c>
      <x:c r="F17" s="118" t="str">
        <x:f>IF(C17&lt;150,"PASS","CHECK")</x:f>
        <x:v>PASS</x:v>
      </x:c>
    </x:row>
    <x:row r="18" ht="26.399999618530273" hidden="0" customHeight="1">
      <x:c r="A18" s="118" t="str">
        <x:v>Bubble Eye coins/Pearl</x:v>
      </x:c>
      <x:c r="B18" s="118" t="n">
        <x:v>2300</x:v>
      </x:c>
      <x:c r="C18" s="118" t="n">
        <x:f>INDEX('Premium Fish'!S2:S11,MATCH("Bubble Eye Goldfish",'Premium Fish'!B2:B11,0))</x:f>
        <x:v>580</x:v>
      </x:c>
      <x:c r="D18" s="118" t="str">
        <x:v>Down below 1,200</x:v>
      </x:c>
      <x:c r="E18" s="118" t="str">
        <x:v>Tutorial premium no longer creates 11,500 coins from starter Pearls</x:v>
      </x:c>
      <x:c r="F18" s="118" t="str">
        <x:f>IF(C18&lt;=1200,"PASS","CHECK")</x:f>
        <x:v>PASS</x:v>
      </x:c>
    </x:row>
    <x:row r="19" ht="26.399999618530273" hidden="0" customHeight="1">
      <x:c r="A19" s="118" t="str">
        <x:v>Queen Angelfish coins/hr</x:v>
      </x:c>
      <x:c r="B19" s="118" t="n">
        <x:v>42.7</x:v>
      </x:c>
      <x:c r="C19" s="118" t="n">
        <x:f>Dashboard!B18</x:f>
        <x:v>35.5</x:v>
      </x:c>
      <x:c r="D19" s="118" t="str">
        <x:v>Similar/controlled</x:v>
      </x:c>
      <x:c r="E19" s="118" t="str">
        <x:v>Capstone remains low hourly but high per-action payout</x:v>
      </x:c>
      <x:c r="F19" s="118" t="str">
        <x:f>IF(C19&lt;60,"PASS","CHECK")</x:f>
        <x:v>PASS</x:v>
      </x:c>
    </x:row>
    <x:row r="20" ht="15" hidden="0" customHeight="1">
      <x:c r="A20" s="118" t="str">
        <x:v>Estimated core days to L70</x:v>
      </x:c>
      <x:c r="B20" s="118" t="str">
        <x:v>Not simulated</x:v>
      </x:c>
      <x:c r="C20" s="118" t="n">
        <x:f>Dashboard!B24</x:f>
        <x:v>251</x:v>
      </x:c>
      <x:c r="D20" s="118" t="str">
        <x:v>Now visible</x:v>
      </x:c>
      <x:c r="E20" s="118" t="str">
        <x:v>Directional months-long pacing check</x:v>
      </x:c>
      <x:c r="F20" s="118" t="str">
        <x:f>IF(AND(C20&gt;=180,C20&lt;=320),"PASS","CHECK")</x:f>
        <x:v>PASS</x:v>
      </x:c>
    </x:row>
    <x:row r="22" ht="38" customHeight="1">
      <x:c r="A22" s="184" t="str">
        <x:v>DECOR EXPANSION — RULE CHECKS ARE NOT A LIVE BALANCE VALIDATION</x:v>
      </x:c>
      <x:c r="B22" s="184"/>
      <x:c r="C22" s="184"/>
      <x:c r="D22" s="184"/>
      <x:c r="E22" s="184"/>
      <x:c r="F22" s="184"/>
    </x:row>
    <x:row r="23" ht="82" customHeight="1">
      <x:c r="A23" s="118" t="str">
        <x:v>Cosmetic-only scope</x:v>
      </x:c>
      <x:c r="B23" s="118" t="str">
        <x:v>Permanent ownership; no sale conversion or fish modifiers</x:v>
      </x:c>
      <x:c r="C23" s="118" t="str">
        <x:v>Avoid mandatory decor or pay-for-production</x:v>
      </x:c>
      <x:c r="D23" s="118" t="str">
        <x:v>Decor Guide</x:v>
      </x:c>
      <x:c r="E23" s="118" t="str">
        <x:v>Runtime implementation must honour these rules</x:v>
      </x:c>
      <x:c r="F23" s="118" t="str">
        <x:v>SPECIFIED — NOT RUNTIME TESTED</x:v>
      </x:c>
    </x:row>
    <x:row r="24" ht="82" customHeight="1">
      <x:c r="A24" s="118" t="str">
        <x:v>One-time XP caps</x:v>
      </x:c>
      <x:c r="B24" s="118" t="str">
        <x:v>First paid ownership only; integer and next-delta cap</x:v>
      </x:c>
      <x:c r="C24" s="118" t="str">
        <x:v>Prevent repeat purchase/reposition XP farming</x:v>
      </x:c>
      <x:c r="D24" s="118" t="str">
        <x:v>Decor Catalog K; Decor Guide B5:B10</x:v>
      </x:c>
      <x:c r="E24" s="118" t="str">
        <x:v>No item above configured XP cap</x:v>
      </x:c>
      <x:c r="F24" s="118" t="str">
        <x:f>IF(MAX('Decor Catalog'!$K$5:$K$124)&lt;='Decor Guide'!$B$8,"WITHIN CAP","REVIEW")</x:f>
        <x:v>WITHIN CAP</x:v>
      </x:c>
    </x:row>
    <x:row r="25" ht="82" customHeight="1">
      <x:c r="A25" s="118" t="str">
        <x:v>Catalog field checks</x:v>
      </x:c>
      <x:c r="B25" s="118" t="str">
        <x:v>Level, positive price, currency/edition, size and event checks</x:v>
      </x:c>
      <x:c r="C25" s="118" t="str">
        <x:v>Catch authoring inconsistencies</x:v>
      </x:c>
      <x:c r="D25" s="118" t="str">
        <x:v>Decor Catalog T</x:v>
      </x:c>
      <x:c r="E25" s="118" t="str">
        <x:v>Every catalog row is OK</x:v>
      </x:c>
      <x:c r="F25" s="118" t="str">
        <x:f>IF(COUNTIF('Decor Catalog'!$T$5:$T$124,"OK")=COUNTA('Decor Catalog'!$A$5:$A$124),"CATALOG OK","REVIEW")</x:f>
        <x:v>CATALOG OK</x:v>
      </x:c>
    </x:row>
    <x:row r="26" ht="82" customHeight="1">
      <x:c r="A26" s="118" t="str">
        <x:v>Decor spend / XP forecast</x:v>
      </x:c>
      <x:c r="B26" s="118" t="str">
        <x:v>Not added to the existing Economy Simulation</x:v>
      </x:c>
      <x:c r="C26" s="118" t="str">
        <x:v>Do not imply tested retention or affordability</x:v>
      </x:c>
      <x:c r="D26" s="118" t="str">
        <x:v>Decor Dashboard; Economy Simulation</x:v>
      </x:c>
      <x:c r="E26" s="118" t="str">
        <x:v>Profile optional uptake in playtests</x:v>
      </x:c>
      <x:c r="F26" s="118" t="str">
        <x:v>PLAYTEST REQUIRED</x:v>
      </x:c>
    </x:row>
  </x:sheetData>
  <x:mergeCells>
    <x:mergeCell ref="A1:F1"/>
    <x:mergeCell ref="A22:F22"/>
  </x:mergeCells>
  <x:conditionalFormatting sqref="F4:F20">
    <x:cfRule type="expression" dxfId="0" priority="1">
      <x:formula>F4="PASS"</x:formula>
    </x:cfRule>
    <x:cfRule type="expression" dxfId="1" priority="2">
      <x:formula>F4="CHECK"</x:formula>
    </x:cfRule>
  </x:conditionalFormatting>
  <x:pageMargins left="0.7" right="0.7" top="0.75" bottom="0.75" header="0.3" footer="0.3"/>
</x:worksheet>
</file>

<file path=xl/worksheets/sheet18.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2" customHeight="1">
      <x:c r="A1" s="219" t="str">
        <x:v>AQUARIUM COLLECTION — PLANTS &amp; DECOR</x:v>
      </x:c>
      <x:c r="B1" s="219"/>
      <x:c r="C1" s="219"/>
      <x:c r="D1" s="219"/>
      <x:c r="E1" s="219"/>
      <x:c r="F1" s="219"/>
      <x:c r="G1" s="219"/>
      <x:c r="H1" s="219"/>
      <x:c r="I1" s="219"/>
      <x:c r="J1" s="219"/>
      <x:c r="K1" s="219"/>
      <x:c r="L1" s="219"/>
    </x:row>
    <x:row r="2" ht="34" customHeight="1">
      <x:c r="A2" s="192" t="str">
        <x:v>120 proposed permanent cosmetics • 12 seasonal event pairs • Level 40 launch / Level 70 roadmap • No fish-economy modifiers</x:v>
      </x:c>
      <x:c r="B2" s="192"/>
      <x:c r="C2" s="192"/>
      <x:c r="D2" s="192"/>
      <x:c r="E2" s="192"/>
      <x:c r="F2" s="192"/>
      <x:c r="G2" s="192"/>
      <x:c r="H2" s="192"/>
      <x:c r="I2" s="192"/>
      <x:c r="J2" s="192"/>
      <x:c r="K2" s="192"/>
      <x:c r="L2" s="192"/>
    </x:row>
    <x:row r="3">
      <x:c r="A3" s="190"/>
      <x:c r="B3" s="190"/>
      <x:c r="C3" s="190"/>
      <x:c r="D3" s="190"/>
      <x:c r="E3" s="190"/>
      <x:c r="F3" s="190"/>
      <x:c r="G3" s="190"/>
      <x:c r="H3" s="190"/>
      <x:c r="I3" s="190"/>
      <x:c r="J3" s="190"/>
      <x:c r="K3" s="190"/>
      <x:c r="L3" s="190"/>
    </x:row>
    <x:row r="4" ht="26" customHeight="1">
      <x:c r="A4" s="224" t="str">
        <x:v>COLLECTIBLES</x:v>
      </x:c>
      <x:c r="B4" s="224"/>
      <x:c r="C4" s="224"/>
      <x:c r="D4" s="224" t="str">
        <x:v>PLANTS</x:v>
      </x:c>
      <x:c r="E4" s="224"/>
      <x:c r="F4" s="224"/>
      <x:c r="G4" s="224" t="str">
        <x:v>DECORATIONS</x:v>
      </x:c>
      <x:c r="H4" s="224"/>
      <x:c r="I4" s="224"/>
      <x:c r="J4" s="224" t="str">
        <x:v>ANIMATED PEARL ITEMS</x:v>
      </x:c>
      <x:c r="K4" s="224"/>
      <x:c r="L4" s="224"/>
    </x:row>
    <x:row r="5" ht="25" customHeight="1">
      <x:c r="A5" s="228" t="n">
        <x:f>COUNTA('Decor Catalog'!$A$5:$A$124)</x:f>
        <x:v>120</x:v>
      </x:c>
      <x:c r="B5" s="228"/>
      <x:c r="C5" s="228"/>
      <x:c r="D5" s="228" t="n">
        <x:f>COUNTIF('Decor Catalog'!$C$5:$C$124,"Plant")</x:f>
        <x:v>60</x:v>
      </x:c>
      <x:c r="E5" s="228"/>
      <x:c r="F5" s="228"/>
      <x:c r="G5" s="228" t="n">
        <x:f>COUNTIF('Decor Catalog'!$C$5:$C$124,"Decoration")</x:f>
        <x:v>60</x:v>
      </x:c>
      <x:c r="H5" s="228"/>
      <x:c r="I5" s="228"/>
      <x:c r="J5" s="228" t="n">
        <x:f>COUNTIF('Decor Catalog'!$I$5:$I$124,"Pearls")</x:f>
        <x:v>44</x:v>
      </x:c>
      <x:c r="K5" s="228"/>
      <x:c r="L5" s="228"/>
    </x:row>
    <x:row r="6" ht="25" customHeight="1">
      <x:c r="A6" s="228"/>
      <x:c r="B6" s="228"/>
      <x:c r="C6" s="228"/>
      <x:c r="D6" s="228"/>
      <x:c r="E6" s="228"/>
      <x:c r="F6" s="228"/>
      <x:c r="G6" s="228"/>
      <x:c r="H6" s="228"/>
      <x:c r="I6" s="228"/>
      <x:c r="J6" s="228"/>
      <x:c r="K6" s="228"/>
      <x:c r="L6" s="228"/>
    </x:row>
    <x:row r="7">
      <x:c r="A7" s="190"/>
      <x:c r="B7" s="190"/>
      <x:c r="C7" s="190"/>
      <x:c r="D7" s="190"/>
      <x:c r="E7" s="190"/>
      <x:c r="F7" s="190"/>
      <x:c r="G7" s="190"/>
      <x:c r="H7" s="190"/>
      <x:c r="I7" s="190"/>
      <x:c r="J7" s="190"/>
      <x:c r="K7" s="190"/>
      <x:c r="L7" s="190"/>
    </x:row>
    <x:row r="8">
      <x:c r="A8" s="190"/>
      <x:c r="B8" s="190"/>
      <x:c r="C8" s="190"/>
      <x:c r="D8" s="190"/>
      <x:c r="E8" s="190"/>
      <x:c r="F8" s="190"/>
      <x:c r="G8" s="190"/>
      <x:c r="H8" s="190"/>
      <x:c r="I8" s="190"/>
      <x:c r="J8" s="190"/>
      <x:c r="K8" s="190"/>
      <x:c r="L8" s="190"/>
    </x:row>
    <x:row r="9" ht="38" customHeight="1">
      <x:c r="A9" s="184" t="str">
        <x:v>Edition</x:v>
      </x:c>
      <x:c r="B9" s="184" t="str">
        <x:v>Items</x:v>
      </x:c>
      <x:c r="C9" s="184" t="str">
        <x:v>Plants</x:v>
      </x:c>
      <x:c r="D9" s="184" t="str">
        <x:v>Decor</x:v>
      </x:c>
      <x:c r="E9" s="190"/>
      <x:c r="F9" s="184" t="str">
        <x:v>PERMANENT, NOT POWER</x:v>
      </x:c>
      <x:c r="G9" s="184"/>
      <x:c r="H9" s="184"/>
      <x:c r="I9" s="184"/>
      <x:c r="J9" s="184"/>
      <x:c r="K9" s="184"/>
      <x:c r="L9" s="184"/>
    </x:row>
    <x:row r="10" ht="29" customHeight="1">
      <x:c r="A10" s="191" t="str">
        <x:v>Coin</x:v>
      </x:c>
      <x:c r="B10" s="237" t="n">
        <x:f>COUNTIF('Decor Catalog'!$F$5:$F$124,A10)</x:f>
        <x:v>64</x:v>
      </x:c>
      <x:c r="C10" s="237" t="n">
        <x:f>COUNTIFS('Decor Catalog'!$F$5:$F$124,A10,'Decor Catalog'!$C$5:$C$124,"Plant")</x:f>
        <x:v>32</x:v>
      </x:c>
      <x:c r="D10" s="237" t="n">
        <x:f>COUNTIFS('Decor Catalog'!$F$5:$F$124,A10,'Decor Catalog'!$C$5:$C$124,"Decoration")</x:f>
        <x:v>32</x:v>
      </x:c>
      <x:c r="E10" s="190"/>
      <x:c r="F10" s="210" t="str">
        <x:v>First ownership grants a small, capped XP award. Placed unique items contribute cosmetic Decor Score. No growth, income, health, capacity, resale or set-power bonuses.</x:v>
      </x:c>
      <x:c r="G10" s="210"/>
      <x:c r="H10" s="210"/>
      <x:c r="I10" s="210"/>
      <x:c r="J10" s="210"/>
      <x:c r="K10" s="210"/>
      <x:c r="L10" s="210"/>
    </x:row>
    <x:row r="11" ht="29" customHeight="1">
      <x:c r="A11" s="191" t="str">
        <x:v>Premium</x:v>
      </x:c>
      <x:c r="B11" s="237" t="n">
        <x:f>COUNTIF('Decor Catalog'!$F$5:$F$124,A11)</x:f>
        <x:v>32</x:v>
      </x:c>
      <x:c r="C11" s="237" t="n">
        <x:f>COUNTIFS('Decor Catalog'!$F$5:$F$124,A11,'Decor Catalog'!$C$5:$C$124,"Plant")</x:f>
        <x:v>16</x:v>
      </x:c>
      <x:c r="D11" s="237" t="n">
        <x:f>COUNTIFS('Decor Catalog'!$F$5:$F$124,A11,'Decor Catalog'!$C$5:$C$124,"Decoration")</x:f>
        <x:v>16</x:v>
      </x:c>
      <x:c r="E11" s="190"/>
      <x:c r="F11" s="210"/>
      <x:c r="G11" s="210"/>
      <x:c r="H11" s="210"/>
      <x:c r="I11" s="210"/>
      <x:c r="J11" s="210"/>
      <x:c r="K11" s="210"/>
      <x:c r="L11" s="210"/>
    </x:row>
    <x:row r="12" ht="29" customHeight="1">
      <x:c r="A12" s="191" t="str">
        <x:v>Limited Edition</x:v>
      </x:c>
      <x:c r="B12" s="237" t="n">
        <x:f>COUNTIF('Decor Catalog'!$F$5:$F$124,A12)</x:f>
        <x:v>24</x:v>
      </x:c>
      <x:c r="C12" s="237" t="n">
        <x:f>COUNTIFS('Decor Catalog'!$F$5:$F$124,A12,'Decor Catalog'!$C$5:$C$124,"Plant")</x:f>
        <x:v>12</x:v>
      </x:c>
      <x:c r="D12" s="237" t="n">
        <x:f>COUNTIFS('Decor Catalog'!$F$5:$F$124,A12,'Decor Catalog'!$C$5:$C$124,"Decoration")</x:f>
        <x:v>12</x:v>
      </x:c>
      <x:c r="E12" s="190"/>
      <x:c r="F12" s="210"/>
      <x:c r="G12" s="210"/>
      <x:c r="H12" s="210"/>
      <x:c r="I12" s="210"/>
      <x:c r="J12" s="210"/>
      <x:c r="K12" s="210"/>
      <x:c r="L12" s="210"/>
    </x:row>
    <x:row r="13">
      <x:c r="A13" s="190"/>
      <x:c r="B13" s="190"/>
      <x:c r="C13" s="190"/>
      <x:c r="D13" s="190"/>
      <x:c r="E13" s="190"/>
      <x:c r="F13" s="190"/>
      <x:c r="G13" s="190"/>
      <x:c r="H13" s="190"/>
      <x:c r="I13" s="190"/>
      <x:c r="J13" s="190"/>
      <x:c r="K13" s="190"/>
      <x:c r="L13" s="190"/>
    </x:row>
    <x:row r="14">
      <x:c r="A14" s="190"/>
      <x:c r="B14" s="190"/>
      <x:c r="C14" s="190"/>
      <x:c r="D14" s="190"/>
      <x:c r="E14" s="190"/>
      <x:c r="F14" s="190"/>
      <x:c r="G14" s="190"/>
      <x:c r="H14" s="190"/>
      <x:c r="I14" s="190"/>
      <x:c r="J14" s="190"/>
      <x:c r="K14" s="190"/>
      <x:c r="L14" s="190"/>
    </x:row>
    <x:row r="15" ht="38" customHeight="1">
      <x:c r="A15" s="184" t="str">
        <x:v>Release</x:v>
      </x:c>
      <x:c r="B15" s="184" t="str">
        <x:v>Coins</x:v>
      </x:c>
      <x:c r="C15" s="184" t="str">
        <x:v>Pearls</x:v>
      </x:c>
      <x:c r="D15" s="184" t="str">
        <x:v>Total</x:v>
      </x:c>
      <x:c r="E15" s="184" t="str">
        <x:v>First XP</x:v>
      </x:c>
      <x:c r="F15" s="190"/>
      <x:c r="G15" s="190"/>
      <x:c r="H15" s="190"/>
      <x:c r="I15" s="190"/>
      <x:c r="J15" s="190"/>
      <x:c r="K15" s="190"/>
      <x:c r="L15" s="190"/>
    </x:row>
    <x:row r="16" ht="42" customHeight="1">
      <x:c r="A16" s="192" t="str">
        <x:v>Launch evergreen</x:v>
      </x:c>
      <x:c r="B16" s="193" t="n">
        <x:f>COUNTIFS('Decor Catalog'!$I$5:$I$124,"Coins",'Decor Catalog'!$F$5:$F$124,"&lt;&gt;Limited Edition",'Decor Catalog'!$H$5:$H$124,"&lt;="&amp;'Decor Guide'!$B$12)</x:f>
        <x:v>50</x:v>
      </x:c>
      <x:c r="C16" s="193" t="n">
        <x:f>COUNTIFS('Decor Catalog'!$I$5:$I$124,"Pearls",'Decor Catalog'!$F$5:$F$124,"&lt;&gt;Limited Edition",'Decor Catalog'!$H$5:$H$124,"&lt;="&amp;'Decor Guide'!$B$12)</x:f>
        <x:v>22</x:v>
      </x:c>
      <x:c r="D16" s="193" t="n">
        <x:f>SUM(B16:C16)</x:f>
        <x:v>72</x:v>
      </x:c>
      <x:c r="E16" s="193" t="n">
        <x:f>SUMIFS('Decor Catalog'!$K$5:$K$124,'Decor Catalog'!$F$5:$F$124,"&lt;&gt;Limited Edition",'Decor Catalog'!$H$5:$H$124,"&lt;="&amp;'Decor Guide'!$B$12)</x:f>
        <x:v>4764</x:v>
      </x:c>
      <x:c r="F16" s="190"/>
      <x:c r="G16" s="190"/>
      <x:c r="H16" s="190"/>
      <x:c r="I16" s="190"/>
      <x:c r="J16" s="190"/>
      <x:c r="K16" s="190"/>
      <x:c r="L16" s="190"/>
    </x:row>
    <x:row r="17" ht="42" customHeight="1">
      <x:c r="A17" s="192" t="str">
        <x:v>Post-launch evergreen</x:v>
      </x:c>
      <x:c r="B17" s="193" t="n">
        <x:f>COUNTIFS('Decor Catalog'!$I$5:$I$124,"Coins",'Decor Catalog'!$F$5:$F$124,"&lt;&gt;Limited Edition",'Decor Catalog'!$H$5:$H$124,"&gt;"&amp;'Decor Guide'!$B$12)</x:f>
        <x:v>14</x:v>
      </x:c>
      <x:c r="C17" s="193" t="n">
        <x:f>COUNTIFS('Decor Catalog'!$I$5:$I$124,"Pearls",'Decor Catalog'!$F$5:$F$124,"&lt;&gt;Limited Edition",'Decor Catalog'!$H$5:$H$124,"&gt;"&amp;'Decor Guide'!$B$12)</x:f>
        <x:v>10</x:v>
      </x:c>
      <x:c r="D17" s="193" t="n">
        <x:f>SUM(B17:C17)</x:f>
        <x:v>24</x:v>
      </x:c>
      <x:c r="E17" s="193" t="n">
        <x:f>SUMIFS('Decor Catalog'!$K$5:$K$124,'Decor Catalog'!$F$5:$F$124,"&lt;&gt;Limited Edition",'Decor Catalog'!$H$5:$H$124,"&gt;"&amp;'Decor Guide'!$B$12)</x:f>
        <x:v>2880</x:v>
      </x:c>
      <x:c r="F17" s="190"/>
      <x:c r="G17" s="190"/>
      <x:c r="H17" s="190"/>
      <x:c r="I17" s="190"/>
      <x:c r="J17" s="190"/>
      <x:c r="K17" s="190"/>
      <x:c r="L17" s="190"/>
    </x:row>
    <x:row r="18" ht="42" customHeight="1">
      <x:c r="A18" s="192" t="str">
        <x:v>Limited / seasonal</x:v>
      </x:c>
      <x:c r="B18" s="193" t="n">
        <x:f>COUNTIFS('Decor Catalog'!$I$5:$I$124,"Coins",'Decor Catalog'!$F$5:$F$124,"Limited Edition")</x:f>
        <x:v>12</x:v>
      </x:c>
      <x:c r="C18" s="193" t="n">
        <x:f>COUNTIFS('Decor Catalog'!$I$5:$I$124,"Pearls",'Decor Catalog'!$F$5:$F$124,"Limited Edition")</x:f>
        <x:v>12</x:v>
      </x:c>
      <x:c r="D18" s="193" t="n">
        <x:f>SUM(B18:C18)</x:f>
        <x:v>24</x:v>
      </x:c>
      <x:c r="E18" s="193" t="n">
        <x:f>SUMIFS('Decor Catalog'!$K$5:$K$124,'Decor Catalog'!$F$5:$F$124,"Limited Edition")</x:f>
        <x:v>985</x:v>
      </x:c>
      <x:c r="F18" s="190"/>
      <x:c r="G18" s="190"/>
      <x:c r="H18" s="190"/>
      <x:c r="I18" s="190"/>
      <x:c r="J18" s="190"/>
      <x:c r="K18" s="190"/>
      <x:c r="L18" s="190"/>
    </x:row>
    <x:row r="19" ht="26" customHeight="1">
      <x:c r="A19" s="230" t="str">
        <x:v>TOTAL</x:v>
      </x:c>
      <x:c r="B19" s="238" t="n">
        <x:f>SUM(B16:B18)</x:f>
        <x:v>76</x:v>
      </x:c>
      <x:c r="C19" s="238" t="n">
        <x:f>SUM(C16:C18)</x:f>
        <x:v>44</x:v>
      </x:c>
      <x:c r="D19" s="238" t="n">
        <x:f>SUM(D16:D18)</x:f>
        <x:v>120</x:v>
      </x:c>
      <x:c r="E19" s="238" t="n">
        <x:f>SUM(E16:E18)</x:f>
        <x:v>8629</x:v>
      </x:c>
      <x:c r="F19" s="190"/>
      <x:c r="G19" s="190"/>
      <x:c r="H19" s="190"/>
      <x:c r="I19" s="190"/>
      <x:c r="J19" s="190"/>
      <x:c r="K19" s="190"/>
      <x:c r="L19" s="190"/>
    </x:row>
    <x:row r="20">
      <x:c r="A20" s="190"/>
      <x:c r="B20" s="190"/>
      <x:c r="C20" s="190"/>
      <x:c r="D20" s="190"/>
      <x:c r="E20" s="190"/>
      <x:c r="F20" s="190"/>
      <x:c r="G20" s="190"/>
      <x:c r="H20" s="190"/>
      <x:c r="I20" s="190"/>
      <x:c r="J20" s="190"/>
      <x:c r="K20" s="190"/>
      <x:c r="L20" s="190"/>
    </x:row>
    <x:row r="21">
      <x:c r="A21" s="190"/>
      <x:c r="B21" s="190"/>
      <x:c r="C21" s="190"/>
      <x:c r="D21" s="190"/>
      <x:c r="E21" s="190"/>
      <x:c r="F21" s="190"/>
      <x:c r="G21" s="190"/>
      <x:c r="H21" s="190"/>
      <x:c r="I21" s="190"/>
      <x:c r="J21" s="190"/>
      <x:c r="K21" s="190"/>
      <x:c r="L21" s="190"/>
    </x:row>
    <x:row r="22" ht="38" customHeight="1">
      <x:c r="A22" s="184" t="str">
        <x:v>OPTIONAL COMPLETION COSTS — ALL WAVES</x:v>
      </x:c>
      <x:c r="B22" s="184"/>
      <x:c r="C22" s="184"/>
      <x:c r="D22" s="184"/>
      <x:c r="E22" s="184"/>
      <x:c r="F22" s="190"/>
      <x:c r="G22" s="190"/>
      <x:c r="H22" s="190"/>
      <x:c r="I22" s="190"/>
      <x:c r="J22" s="190"/>
      <x:c r="K22" s="190"/>
      <x:c r="L22" s="190"/>
    </x:row>
    <x:row r="23" ht="29" customHeight="1">
      <x:c r="A23" s="192" t="str">
        <x:v>All Coin items</x:v>
      </x:c>
      <x:c r="B23" s="192"/>
      <x:c r="C23" s="192"/>
      <x:c r="D23" s="206" t="n">
        <x:f>SUMIF('Decor Catalog'!$I$5:$I$124,"Coins",'Decor Catalog'!$J$5:$J$124)</x:f>
        <x:v>631790</x:v>
      </x:c>
      <x:c r="E23" s="192"/>
      <x:c r="F23" s="190"/>
      <x:c r="G23" s="190"/>
      <x:c r="H23" s="190"/>
      <x:c r="I23" s="190"/>
      <x:c r="J23" s="190"/>
      <x:c r="K23" s="190"/>
      <x:c r="L23" s="190"/>
    </x:row>
    <x:row r="24" ht="29" customHeight="1">
      <x:c r="A24" s="192" t="str">
        <x:v>All Pearl items</x:v>
      </x:c>
      <x:c r="B24" s="192"/>
      <x:c r="C24" s="192"/>
      <x:c r="D24" s="231" t="n">
        <x:f>SUMIF('Decor Catalog'!$I$5:$I$124,"Pearls",'Decor Catalog'!$J$5:$J$124)</x:f>
        <x:v>477</x:v>
      </x:c>
      <x:c r="E24" s="192"/>
      <x:c r="F24" s="190"/>
      <x:c r="G24" s="190"/>
      <x:c r="H24" s="190"/>
      <x:c r="I24" s="190"/>
      <x:c r="J24" s="190"/>
      <x:c r="K24" s="190"/>
      <x:c r="L24" s="190"/>
    </x:row>
    <x:row r="25" ht="29" customHeight="1">
      <x:c r="A25" s="192" t="str">
        <x:v>Evergreen Coin range</x:v>
      </x:c>
      <x:c r="B25" s="192"/>
      <x:c r="C25" s="192"/>
      <x:c r="D25" s="192" t="str">
        <x:f>TEXT(MIN('Decor Catalog'!$J$5:$J$68),"#,##0")&amp;"–"&amp;TEXT(MAX('Decor Catalog'!$J$5:$J$68),"#,##0")&amp;" Coins"</x:f>
        <x:v>25–55,000 Coins</x:v>
      </x:c>
      <x:c r="E25" s="192"/>
      <x:c r="F25" s="190"/>
      <x:c r="G25" s="190"/>
      <x:c r="H25" s="190"/>
      <x:c r="I25" s="190"/>
      <x:c r="J25" s="190"/>
      <x:c r="K25" s="190"/>
      <x:c r="L25" s="190"/>
    </x:row>
    <x:row r="26" ht="29" customHeight="1">
      <x:c r="A26" s="192" t="str">
        <x:v>Evergreen Pearl range</x:v>
      </x:c>
      <x:c r="B26" s="192"/>
      <x:c r="C26" s="192"/>
      <x:c r="D26" s="192" t="str">
        <x:f>MIN('Decor Catalog'!$J$69:$J$100)&amp;"–"&amp;MAX('Decor Catalog'!$J$69:$J$100)&amp;" Pearls"</x:f>
        <x:v>2–30 Pearls</x:v>
      </x:c>
      <x:c r="E26" s="192"/>
      <x:c r="F26" s="190"/>
      <x:c r="G26" s="190"/>
      <x:c r="H26" s="190"/>
      <x:c r="I26" s="190"/>
      <x:c r="J26" s="190"/>
      <x:c r="K26" s="190"/>
      <x:c r="L26" s="190"/>
    </x:row>
    <x:row r="27" ht="29" customHeight="1">
      <x:c r="A27" s="192" t="str">
        <x:v>First-ownership XP total</x:v>
      </x:c>
      <x:c r="B27" s="192"/>
      <x:c r="C27" s="192"/>
      <x:c r="D27" s="232" t="n">
        <x:f>SUM('Decor Catalog'!$K$5:$K$124)</x:f>
        <x:v>8629</x:v>
      </x:c>
      <x:c r="E27" s="192"/>
      <x:c r="F27" s="190"/>
      <x:c r="G27" s="190"/>
      <x:c r="H27" s="190"/>
      <x:c r="I27" s="190"/>
      <x:c r="J27" s="190"/>
      <x:c r="K27" s="190"/>
      <x:c r="L27" s="190"/>
    </x:row>
    <x:row r="28" ht="29" customHeight="1">
      <x:c r="A28" s="192" t="str">
        <x:v>Catalog checks</x:v>
      </x:c>
      <x:c r="B28" s="192"/>
      <x:c r="C28" s="192"/>
      <x:c r="D28" s="192" t="str">
        <x:f>COUNTIF('Decor Catalog'!$T$5:$T$124,"OK")&amp;" / "&amp;COUNTA('Decor Catalog'!$A$5:$A$124)&amp;" OK"</x:f>
        <x:v>120 / 120 OK</x:v>
      </x:c>
      <x:c r="E28" s="192"/>
      <x:c r="F28" s="190"/>
      <x:c r="G28" s="190"/>
      <x:c r="H28" s="190"/>
      <x:c r="I28" s="190"/>
      <x:c r="J28" s="190"/>
      <x:c r="K28" s="190"/>
      <x:c r="L28" s="190"/>
    </x:row>
    <x:row r="29">
      <x:c r="A29" s="190"/>
      <x:c r="B29" s="190"/>
      <x:c r="C29" s="190"/>
      <x:c r="D29" s="190"/>
      <x:c r="E29" s="190"/>
      <x:c r="F29" s="190"/>
      <x:c r="G29" s="190"/>
      <x:c r="H29" s="190"/>
      <x:c r="I29" s="190"/>
      <x:c r="J29" s="190"/>
      <x:c r="K29" s="190"/>
      <x:c r="L29" s="190"/>
    </x:row>
    <x:row r="30">
      <x:c r="A30" s="190"/>
      <x:c r="B30" s="190"/>
      <x:c r="C30" s="190"/>
      <x:c r="D30" s="190"/>
      <x:c r="E30" s="190"/>
      <x:c r="F30" s="190"/>
      <x:c r="G30" s="190"/>
      <x:c r="H30" s="190"/>
      <x:c r="I30" s="190"/>
      <x:c r="J30" s="190"/>
      <x:c r="K30" s="190"/>
      <x:c r="L30" s="190"/>
    </x:row>
    <x:row r="31" ht="25" customHeight="1">
      <x:c r="A31" s="205" t="str">
        <x:v>Suggested prices are untested. Existing fish/tank simulations are unchanged and do not yet model decor spending or one-time decor XP. Seasonal purchase dates are proposals, not verified real-world holiday dates.</x:v>
      </x:c>
      <x:c r="B31" s="205"/>
      <x:c r="C31" s="205"/>
      <x:c r="D31" s="205"/>
      <x:c r="E31" s="205"/>
      <x:c r="F31" s="205"/>
      <x:c r="G31" s="205"/>
      <x:c r="H31" s="205"/>
      <x:c r="I31" s="205"/>
      <x:c r="J31" s="205"/>
      <x:c r="K31" s="205"/>
      <x:c r="L31" s="205"/>
    </x:row>
    <x:row r="32" ht="25" customHeight="1">
      <x:c r="A32" s="205"/>
      <x:c r="B32" s="205"/>
      <x:c r="C32" s="205"/>
      <x:c r="D32" s="205"/>
      <x:c r="E32" s="205"/>
      <x:c r="F32" s="205"/>
      <x:c r="G32" s="205"/>
      <x:c r="H32" s="205"/>
      <x:c r="I32" s="205"/>
      <x:c r="J32" s="205"/>
      <x:c r="K32" s="205"/>
      <x:c r="L32" s="205"/>
    </x:row>
    <x:row r="33">
      <x:c r="A33" s="190"/>
      <x:c r="B33" s="190"/>
      <x:c r="C33" s="190"/>
      <x:c r="D33" s="190"/>
      <x:c r="E33" s="190"/>
      <x:c r="F33" s="190"/>
      <x:c r="G33" s="190"/>
      <x:c r="H33" s="190"/>
      <x:c r="I33" s="190"/>
      <x:c r="J33" s="190"/>
      <x:c r="K33" s="190"/>
      <x:c r="L33" s="190"/>
    </x:row>
    <x:row r="34" ht="25" customHeight="1">
      <x:c r="A34" s="180" t="str">
        <x:v>WORKBOOK MAP  •  Decor Catalog: filterable prices, levels and scores  •  Decor Art Briefs: shape, palette, materials, placement and motion  •  Decor Live Ops: paired event releases  •  Decor Progression: L1–70 counts  •  Decor Guide: tuning and production rules</x:v>
      </x:c>
      <x:c r="B34" s="180"/>
      <x:c r="C34" s="180"/>
      <x:c r="D34" s="180"/>
      <x:c r="E34" s="180"/>
      <x:c r="F34" s="180"/>
      <x:c r="G34" s="180"/>
      <x:c r="H34" s="180"/>
      <x:c r="I34" s="180"/>
      <x:c r="J34" s="180"/>
      <x:c r="K34" s="180"/>
      <x:c r="L34" s="180"/>
    </x:row>
    <x:row r="35" ht="25" customHeight="1">
      <x:c r="A35" s="180"/>
      <x:c r="B35" s="180"/>
      <x:c r="C35" s="180"/>
      <x:c r="D35" s="180"/>
      <x:c r="E35" s="180"/>
      <x:c r="F35" s="180"/>
      <x:c r="G35" s="180"/>
      <x:c r="H35" s="180"/>
      <x:c r="I35" s="180"/>
      <x:c r="J35" s="180"/>
      <x:c r="K35" s="180"/>
      <x:c r="L35" s="180"/>
    </x:row>
    <x:row r="36">
      <x:c r="A36" s="190"/>
      <x:c r="B36" s="190"/>
      <x:c r="C36" s="190"/>
      <x:c r="D36" s="190"/>
      <x:c r="E36" s="190"/>
      <x:c r="F36" s="190"/>
      <x:c r="G36" s="190"/>
      <x:c r="H36" s="190"/>
      <x:c r="I36" s="190"/>
      <x:c r="J36" s="190"/>
      <x:c r="K36" s="190"/>
      <x:c r="L36" s="190"/>
    </x:row>
    <x:row r="37">
      <x:c r="A37" s="190"/>
      <x:c r="B37" s="190"/>
      <x:c r="C37" s="190"/>
      <x:c r="D37" s="190"/>
      <x:c r="E37" s="190"/>
      <x:c r="F37" s="190"/>
      <x:c r="G37" s="190"/>
      <x:c r="H37" s="190"/>
      <x:c r="I37" s="190"/>
      <x:c r="J37" s="190"/>
      <x:c r="K37" s="190"/>
      <x:c r="L37" s="190"/>
    </x:row>
    <x:row r="38">
      <x:c r="A38" s="190"/>
      <x:c r="B38" s="190"/>
      <x:c r="C38" s="190"/>
      <x:c r="D38" s="190"/>
      <x:c r="E38" s="190"/>
      <x:c r="F38" s="190"/>
      <x:c r="G38" s="190"/>
      <x:c r="H38" s="190"/>
      <x:c r="I38" s="190"/>
      <x:c r="J38" s="190"/>
      <x:c r="K38" s="190"/>
      <x:c r="L38" s="190"/>
    </x:row>
    <x:row r="39">
      <x:c r="A39" s="190"/>
      <x:c r="B39" s="190"/>
      <x:c r="C39" s="190"/>
      <x:c r="D39" s="190"/>
      <x:c r="E39" s="190"/>
      <x:c r="F39" s="190"/>
      <x:c r="G39" s="190"/>
      <x:c r="H39" s="190"/>
      <x:c r="I39" s="190"/>
      <x:c r="J39" s="190"/>
      <x:c r="K39" s="190"/>
      <x:c r="L39" s="190"/>
    </x:row>
    <x:row r="40">
      <x:c r="A40" s="190"/>
      <x:c r="B40" s="190"/>
      <x:c r="C40" s="190"/>
      <x:c r="D40" s="190"/>
      <x:c r="E40" s="190"/>
      <x:c r="F40" s="190"/>
      <x:c r="G40" s="190"/>
      <x:c r="H40" s="190"/>
      <x:c r="I40" s="190"/>
      <x:c r="J40" s="190"/>
      <x:c r="K40" s="190"/>
      <x:c r="L40" s="190"/>
    </x:row>
  </x:sheetData>
  <x:mergeCells>
    <x:mergeCell ref="A1:L1"/>
    <x:mergeCell ref="A2:L2"/>
    <x:mergeCell ref="A4:C4"/>
    <x:mergeCell ref="A5:C6"/>
    <x:mergeCell ref="D4:F4"/>
    <x:mergeCell ref="D5:F6"/>
    <x:mergeCell ref="G4:I4"/>
    <x:mergeCell ref="G5:I6"/>
    <x:mergeCell ref="J4:L4"/>
    <x:mergeCell ref="J5:L6"/>
    <x:mergeCell ref="F9:L9"/>
    <x:mergeCell ref="F10:L12"/>
    <x:mergeCell ref="A22:E22"/>
    <x:mergeCell ref="A23:C23"/>
    <x:mergeCell ref="D23:E23"/>
    <x:mergeCell ref="A24:C24"/>
    <x:mergeCell ref="D24:E24"/>
    <x:mergeCell ref="A25:C25"/>
    <x:mergeCell ref="D25:E25"/>
    <x:mergeCell ref="A26:C26"/>
    <x:mergeCell ref="D26:E26"/>
    <x:mergeCell ref="A27:C27"/>
    <x:mergeCell ref="D27:E27"/>
    <x:mergeCell ref="A28:C28"/>
    <x:mergeCell ref="D28:E28"/>
    <x:mergeCell ref="A31:L32"/>
    <x:mergeCell ref="A34:L35"/>
  </x:mergeCells>
  <x:pageMargins left="0.7" right="0.7" top="0.75" bottom="0.75" header="0.3" footer="0.3"/>
  <x:drawing xmlns:r="http://schemas.openxmlformats.org/officeDocument/2006/relationships" r:id="R0e6bc5291c664826"/>
</x:worksheet>
</file>

<file path=xl/worksheets/sheet19.xml><?xml version="1.0" encoding="utf-8"?>
<x:worksheet xmlns:x="http://schemas.openxmlformats.org/spreadsheetml/2006/main">
  <x:sheetFormatPr defaultRowHeight="15"/>
  <x:cols>
    <x:col min="1" max="1" width="12" hidden="0" customWidth="1"/>
    <x:col min="2" max="2" width="28" hidden="0" customWidth="1"/>
    <x:col min="3" max="3" width="16" hidden="0" customWidth="1"/>
    <x:col min="4" max="4" width="23" hidden="0" customWidth="1"/>
    <x:col min="5" max="5" width="24" hidden="0" customWidth="1"/>
    <x:col min="6" max="6" width="18" hidden="0" customWidth="1"/>
    <x:col min="7" max="7" width="15" hidden="0" customWidth="1"/>
    <x:col min="8" max="8" width="12" hidden="0" customWidth="1"/>
    <x:col min="9" max="9" width="13" hidden="0" customWidth="1"/>
    <x:col min="10" max="10" width="16" hidden="0" customWidth="1"/>
    <x:col min="11" max="11" width="17" hidden="0" customWidth="1"/>
    <x:col min="12" max="12" width="13" hidden="0" customWidth="1"/>
    <x:col min="13" max="13" width="12" hidden="0" customWidth="1"/>
    <x:col min="14" max="14" width="12" hidden="0" customWidth="1"/>
    <x:col min="15" max="15" width="12" hidden="0" customWidth="1"/>
    <x:col min="16" max="16" width="15" hidden="0" customWidth="1"/>
    <x:col min="17" max="17" width="23" hidden="0" customWidth="1"/>
    <x:col min="18" max="18" width="23" hidden="0" customWidth="1"/>
    <x:col min="19" max="19" width="36" hidden="0" customWidth="1"/>
    <x:col min="20" max="20" width="15" hidden="0" customWidth="1"/>
  </x:cols>
  <x:sheetData>
    <x:row r="1" ht="32" customHeight="1">
      <x:c r="A1" s="177" t="str">
        <x:v>PLANTS &amp; DECORATIONS — MASTER CATALOG</x:v>
      </x:c>
      <x:c r="B1" s="177"/>
      <x:c r="C1" s="177"/>
      <x:c r="D1" s="177"/>
      <x:c r="E1" s="177"/>
      <x:c r="F1" s="177"/>
      <x:c r="G1" s="177"/>
      <x:c r="H1" s="177"/>
      <x:c r="I1" s="177"/>
      <x:c r="J1" s="177"/>
      <x:c r="K1" s="177"/>
      <x:c r="L1" s="177"/>
      <x:c r="M1" s="177"/>
      <x:c r="N1" s="177"/>
      <x:c r="O1" s="177"/>
      <x:c r="P1" s="177"/>
      <x:c r="Q1" s="177"/>
      <x:c r="R1" s="177"/>
      <x:c r="S1" s="177"/>
      <x:c r="T1" s="177"/>
    </x:row>
    <x:row r="2" ht="34" customHeight="1">
      <x:c r="A2" s="180" t="str">
        <x:v>Filter by Edition, Category or Unlock Lvl • Yellow = editable price/level • XP and score are formula-driven • Matching art briefs use the same IDs</x:v>
      </x:c>
      <x:c r="B2" s="180"/>
      <x:c r="C2" s="180"/>
      <x:c r="D2" s="180"/>
      <x:c r="E2" s="180"/>
      <x:c r="F2" s="180"/>
      <x:c r="G2" s="180"/>
      <x:c r="H2" s="180"/>
      <x:c r="I2" s="180"/>
      <x:c r="J2" s="180"/>
      <x:c r="K2" s="180"/>
      <x:c r="L2" s="180"/>
      <x:c r="M2" s="180"/>
      <x:c r="N2" s="180"/>
      <x:c r="O2" s="180"/>
      <x:c r="P2" s="180"/>
      <x:c r="Q2" s="180"/>
      <x:c r="R2" s="180"/>
      <x:c r="S2" s="180"/>
      <x:c r="T2" s="180"/>
    </x:row>
    <x:row r="4" ht="38" customHeight="1">
      <x:c r="A4" s="184" t="str">
        <x:v>ID</x:v>
      </x:c>
      <x:c r="B4" s="184" t="str">
        <x:v>Item</x:v>
      </x:c>
      <x:c r="C4" s="184" t="str">
        <x:v>Category</x:v>
      </x:c>
      <x:c r="D4" s="184" t="str">
        <x:v>Subcategory</x:v>
      </x:c>
      <x:c r="E4" s="184" t="str">
        <x:v>Collection / Theme</x:v>
      </x:c>
      <x:c r="F4" s="184" t="str">
        <x:v>Edition</x:v>
      </x:c>
      <x:c r="G4" s="184" t="str">
        <x:v>Rarity</x:v>
      </x:c>
      <x:c r="H4" s="184" t="str">
        <x:v>Unlock Lvl</x:v>
      </x:c>
      <x:c r="I4" s="184" t="str">
        <x:v>Currency</x:v>
      </x:c>
      <x:c r="J4" s="184" t="str">
        <x:v>Suggested Price</x:v>
      </x:c>
      <x:c r="K4" s="184" t="str">
        <x:v>Purchase XP
(first ownership)</x:v>
      </x:c>
      <x:c r="L4" s="184" t="str">
        <x:v>Decor Score</x:v>
      </x:c>
      <x:c r="M4" s="184" t="str">
        <x:v>Size</x:v>
      </x:c>
      <x:c r="N4" s="184" t="str">
        <x:v>Width (U)</x:v>
      </x:c>
      <x:c r="O4" s="184" t="str">
        <x:v>Height (U)</x:v>
      </x:c>
      <x:c r="P4" s="184" t="str">
        <x:v>Layer</x:v>
      </x:c>
      <x:c r="Q4" s="184" t="str">
        <x:v>Release Gate</x:v>
      </x:c>
      <x:c r="R4" s="184" t="str">
        <x:v>Event</x:v>
      </x:c>
      <x:c r="S4" s="184" t="str">
        <x:v>Availability</x:v>
      </x:c>
      <x:c r="T4" s="184" t="str">
        <x:v>Balance Check</x:v>
      </x:c>
    </x:row>
    <x:row r="5" ht="48" customHeight="1">
      <x:c r="A5" s="204" t="str">
        <x:v>CP-01</x:v>
      </x:c>
      <x:c r="B5" s="204" t="str">
        <x:v>Pebble Moss Tuft</x:v>
      </x:c>
      <x:c r="C5" s="192" t="str">
        <x:v>Plant</x:v>
      </x:c>
      <x:c r="D5" s="192" t="str">
        <x:v>Moss</x:v>
      </x:c>
      <x:c r="E5" s="192" t="str">
        <x:v>Freshwater Garden</x:v>
      </x:c>
      <x:c r="F5" s="192" t="str">
        <x:v>Coin</x:v>
      </x:c>
      <x:c r="G5" s="192" t="str">
        <x:v>Common</x:v>
      </x:c>
      <x:c r="H5" s="198" t="n">
        <x:v>1</x:v>
      </x:c>
      <x:c r="I5" s="199" t="str">
        <x:v>Coins</x:v>
      </x:c>
      <x:c r="J5" s="198" t="n">
        <x:v>25</x:v>
      </x:c>
      <x:c r="K5" s="200" t="n">
        <x:f>MIN('Decor Guide'!$B$8,MAX('Decor Guide'!$B$7,INT(INDEX('XP Curve'!$F$4:$F$73,MIN(H5+1,'Decor Guide'!$B$15))*'Decor Guide'!$B$9)),MAX('Decor Guide'!$B$7,ROUND(IF(I5="Coins",J5*'Decor Guide'!$B$5,J5*'Decor Guide'!$B$6),0)))</x:f>
        <x:v>1</x:v>
      </x:c>
      <x:c r="L5" s="200" t="n">
        <x:f>VLOOKUP(M5,'Decor Guide'!$E$5:$G$8,3,FALSE)</x:f>
        <x:v>10</x:v>
      </x:c>
      <x:c r="M5" s="201" t="str">
        <x:f>IF(MAX(N5,O5)&lt;='Decor Guide'!$F$5,'Decor Guide'!$E$5,IF(MAX(N5,O5)&lt;='Decor Guide'!$F$6,'Decor Guide'!$E$6,IF(MAX(N5,O5)&lt;='Decor Guide'!$F$7,'Decor Guide'!$E$7,'Decor Guide'!$E$8)))</x:f>
        <x:v>Small</x:v>
      </x:c>
      <x:c r="N5" s="236" t="n">
        <x:v>0.9</x:v>
      </x:c>
      <x:c r="O5" s="236" t="n">
        <x:v>0.65</x:v>
      </x:c>
      <x:c r="P5" s="192" t="str">
        <x:v>Foreground</x:v>
      </x:c>
      <x:c r="Q5" s="192" t="str">
        <x:f>IF(H5&lt;='Decor Guide'!$B$12,"Launch (L1–40)",IF(H5&lt;='Decor Guide'!$B$13,"Wave 1 (L41–50)",IF(H5&lt;='Decor Guide'!$B$14,"Wave 2 (L51–60)","Wave 3 (L61–70)")))</x:f>
        <x:v>Launch (L1–40)</x:v>
      </x:c>
      <x:c r="R5" s="192" t="str">
        <x:v>None</x:v>
      </x:c>
      <x:c r="S5" s="192" t="str">
        <x:f>IF(R5="None","Always available after unlock",VLOOKUP(R5,'Decor Live Ops'!$A$5:$L$16,2,FALSE))</x:f>
        <x:v>Always available after unlock</x:v>
      </x:c>
      <x:c r="T5" s="203" t="str">
        <x:f>IF(AND(H5&gt;=1,H5&lt;='Decor Guide'!$B$15,J5&gt;0,MOD(J5,IF(I5="Coins",5,1))=0,K5&gt;='Decor Guide'!$B$7,K5&lt;='Decor Guide'!$B$8,L5&gt;0,N5&gt;0,O5&gt;0,MAX(N5,O5)&lt;='Decor Guide'!$F$8,OR(AND(F5="Coin",I5="Coins"),AND(F5="Premium",I5="Pearls"),AND(F5="Limited Edition",OR(I5="Coins",I5="Pearls"))),OR(AND(F5="Limited Edition",R5&lt;&gt;"None"),AND(F5&lt;&gt;"Limited Edition",R5="None"))),"OK","REVIEW")</x:f>
        <x:v>OK</x:v>
      </x:c>
    </x:row>
    <x:row r="6" ht="48" customHeight="1">
      <x:c r="A6" s="204" t="str">
        <x:v>CP-02</x:v>
      </x:c>
      <x:c r="B6" s="204" t="str">
        <x:v>Dwarf Hairgrass Patch</x:v>
      </x:c>
      <x:c r="C6" s="192" t="str">
        <x:v>Plant</x:v>
      </x:c>
      <x:c r="D6" s="192" t="str">
        <x:v>Carpet Plant</x:v>
      </x:c>
      <x:c r="E6" s="192" t="str">
        <x:v>Freshwater Garden</x:v>
      </x:c>
      <x:c r="F6" s="192" t="str">
        <x:v>Coin</x:v>
      </x:c>
      <x:c r="G6" s="192" t="str">
        <x:v>Common</x:v>
      </x:c>
      <x:c r="H6" s="198" t="n">
        <x:v>2</x:v>
      </x:c>
      <x:c r="I6" s="199" t="str">
        <x:v>Coins</x:v>
      </x:c>
      <x:c r="J6" s="198" t="n">
        <x:v>40</x:v>
      </x:c>
      <x:c r="K6" s="200" t="n">
        <x:f>MIN('Decor Guide'!$B$8,MAX('Decor Guide'!$B$7,INT(INDEX('XP Curve'!$F$4:$F$73,MIN(H6+1,'Decor Guide'!$B$15))*'Decor Guide'!$B$9)),MAX('Decor Guide'!$B$7,ROUND(IF(I6="Coins",J6*'Decor Guide'!$B$5,J6*'Decor Guide'!$B$6),0)))</x:f>
        <x:v>1</x:v>
      </x:c>
      <x:c r="L6" s="200" t="n">
        <x:f>VLOOKUP(M6,'Decor Guide'!$E$5:$G$8,3,FALSE)</x:f>
        <x:v>10</x:v>
      </x:c>
      <x:c r="M6" s="201" t="str">
        <x:f>IF(MAX(N6,O6)&lt;='Decor Guide'!$F$5,'Decor Guide'!$E$5,IF(MAX(N6,O6)&lt;='Decor Guide'!$F$6,'Decor Guide'!$E$6,IF(MAX(N6,O6)&lt;='Decor Guide'!$F$7,'Decor Guide'!$E$7,'Decor Guide'!$E$8)))</x:f>
        <x:v>Small</x:v>
      </x:c>
      <x:c r="N6" s="236" t="n">
        <x:v>1.2</x:v>
      </x:c>
      <x:c r="O6" s="236" t="n">
        <x:v>0.8</x:v>
      </x:c>
      <x:c r="P6" s="192" t="str">
        <x:v>Foreground</x:v>
      </x:c>
      <x:c r="Q6" s="192" t="str">
        <x:f>IF(H6&lt;='Decor Guide'!$B$12,"Launch (L1–40)",IF(H6&lt;='Decor Guide'!$B$13,"Wave 1 (L41–50)",IF(H6&lt;='Decor Guide'!$B$14,"Wave 2 (L51–60)","Wave 3 (L61–70)")))</x:f>
        <x:v>Launch (L1–40)</x:v>
      </x:c>
      <x:c r="R6" s="192" t="str">
        <x:v>None</x:v>
      </x:c>
      <x:c r="S6" s="192" t="str">
        <x:f>IF(R6="None","Always available after unlock",VLOOKUP(R6,'Decor Live Ops'!$A$5:$L$16,2,FALSE))</x:f>
        <x:v>Always available after unlock</x:v>
      </x:c>
      <x:c r="T6" s="203" t="str">
        <x:f>IF(AND(H6&gt;=1,H6&lt;='Decor Guide'!$B$15,J6&gt;0,MOD(J6,IF(I6="Coins",5,1))=0,K6&gt;='Decor Guide'!$B$7,K6&lt;='Decor Guide'!$B$8,L6&gt;0,N6&gt;0,O6&gt;0,MAX(N6,O6)&lt;='Decor Guide'!$F$8,OR(AND(F6="Coin",I6="Coins"),AND(F6="Premium",I6="Pearls"),AND(F6="Limited Edition",OR(I6="Coins",I6="Pearls"))),OR(AND(F6="Limited Edition",R6&lt;&gt;"None"),AND(F6&lt;&gt;"Limited Edition",R6="None"))),"OK","REVIEW")</x:f>
        <x:v>OK</x:v>
      </x:c>
    </x:row>
    <x:row r="7" ht="48" customHeight="1">
      <x:c r="A7" s="204" t="str">
        <x:v>CP-03</x:v>
      </x:c>
      <x:c r="B7" s="204" t="str">
        <x:v>Anubias Petite</x:v>
      </x:c>
      <x:c r="C7" s="192" t="str">
        <x:v>Plant</x:v>
      </x:c>
      <x:c r="D7" s="192" t="str">
        <x:v>Broadleaf Plant</x:v>
      </x:c>
      <x:c r="E7" s="192" t="str">
        <x:v>Freshwater Garden</x:v>
      </x:c>
      <x:c r="F7" s="192" t="str">
        <x:v>Coin</x:v>
      </x:c>
      <x:c r="G7" s="192" t="str">
        <x:v>Common</x:v>
      </x:c>
      <x:c r="H7" s="198" t="n">
        <x:v>3</x:v>
      </x:c>
      <x:c r="I7" s="199" t="str">
        <x:v>Coins</x:v>
      </x:c>
      <x:c r="J7" s="198" t="n">
        <x:v>70</x:v>
      </x:c>
      <x:c r="K7" s="200" t="n">
        <x:f>MIN('Decor Guide'!$B$8,MAX('Decor Guide'!$B$7,INT(INDEX('XP Curve'!$F$4:$F$73,MIN(H7+1,'Decor Guide'!$B$15))*'Decor Guide'!$B$9)),MAX('Decor Guide'!$B$7,ROUND(IF(I7="Coins",J7*'Decor Guide'!$B$5,J7*'Decor Guide'!$B$6),0)))</x:f>
        <x:v>2</x:v>
      </x:c>
      <x:c r="L7" s="200" t="n">
        <x:f>VLOOKUP(M7,'Decor Guide'!$E$5:$G$8,3,FALSE)</x:f>
        <x:v>10</x:v>
      </x:c>
      <x:c r="M7" s="201" t="str">
        <x:f>IF(MAX(N7,O7)&lt;='Decor Guide'!$F$5,'Decor Guide'!$E$5,IF(MAX(N7,O7)&lt;='Decor Guide'!$F$6,'Decor Guide'!$E$6,IF(MAX(N7,O7)&lt;='Decor Guide'!$F$7,'Decor Guide'!$E$7,'Decor Guide'!$E$8)))</x:f>
        <x:v>Small</x:v>
      </x:c>
      <x:c r="N7" s="236" t="n">
        <x:v>1.1</x:v>
      </x:c>
      <x:c r="O7" s="236" t="n">
        <x:v>1.05</x:v>
      </x:c>
      <x:c r="P7" s="192" t="str">
        <x:v>Foreground</x:v>
      </x:c>
      <x:c r="Q7" s="192" t="str">
        <x:f>IF(H7&lt;='Decor Guide'!$B$12,"Launch (L1–40)",IF(H7&lt;='Decor Guide'!$B$13,"Wave 1 (L41–50)",IF(H7&lt;='Decor Guide'!$B$14,"Wave 2 (L51–60)","Wave 3 (L61–70)")))</x:f>
        <x:v>Launch (L1–40)</x:v>
      </x:c>
      <x:c r="R7" s="192" t="str">
        <x:v>None</x:v>
      </x:c>
      <x:c r="S7" s="192" t="str">
        <x:f>IF(R7="None","Always available after unlock",VLOOKUP(R7,'Decor Live Ops'!$A$5:$L$16,2,FALSE))</x:f>
        <x:v>Always available after unlock</x:v>
      </x:c>
      <x:c r="T7" s="203" t="str">
        <x:f>IF(AND(H7&gt;=1,H7&lt;='Decor Guide'!$B$15,J7&gt;0,MOD(J7,IF(I7="Coins",5,1))=0,K7&gt;='Decor Guide'!$B$7,K7&lt;='Decor Guide'!$B$8,L7&gt;0,N7&gt;0,O7&gt;0,MAX(N7,O7)&lt;='Decor Guide'!$F$8,OR(AND(F7="Coin",I7="Coins"),AND(F7="Premium",I7="Pearls"),AND(F7="Limited Edition",OR(I7="Coins",I7="Pearls"))),OR(AND(F7="Limited Edition",R7&lt;&gt;"None"),AND(F7&lt;&gt;"Limited Edition",R7="None"))),"OK","REVIEW")</x:f>
        <x:v>OK</x:v>
      </x:c>
    </x:row>
    <x:row r="8" ht="48" customHeight="1">
      <x:c r="A8" s="204" t="str">
        <x:v>CP-04</x:v>
      </x:c>
      <x:c r="B8" s="204" t="str">
        <x:v>Java Fern Fan</x:v>
      </x:c>
      <x:c r="C8" s="192" t="str">
        <x:v>Plant</x:v>
      </x:c>
      <x:c r="D8" s="192" t="str">
        <x:v>Fern</x:v>
      </x:c>
      <x:c r="E8" s="192" t="str">
        <x:v>Freshwater Garden</x:v>
      </x:c>
      <x:c r="F8" s="192" t="str">
        <x:v>Coin</x:v>
      </x:c>
      <x:c r="G8" s="192" t="str">
        <x:v>Common</x:v>
      </x:c>
      <x:c r="H8" s="198" t="n">
        <x:v>4</x:v>
      </x:c>
      <x:c r="I8" s="199" t="str">
        <x:v>Coins</x:v>
      </x:c>
      <x:c r="J8" s="198" t="n">
        <x:v>90</x:v>
      </x:c>
      <x:c r="K8" s="200" t="n">
        <x:f>MIN('Decor Guide'!$B$8,MAX('Decor Guide'!$B$7,INT(INDEX('XP Curve'!$F$4:$F$73,MIN(H8+1,'Decor Guide'!$B$15))*'Decor Guide'!$B$9)),MAX('Decor Guide'!$B$7,ROUND(IF(I8="Coins",J8*'Decor Guide'!$B$5,J8*'Decor Guide'!$B$6),0)))</x:f>
        <x:v>3</x:v>
      </x:c>
      <x:c r="L8" s="200" t="n">
        <x:f>VLOOKUP(M8,'Decor Guide'!$E$5:$G$8,3,FALSE)</x:f>
        <x:v>20</x:v>
      </x:c>
      <x:c r="M8" s="201" t="str">
        <x:f>IF(MAX(N8,O8)&lt;='Decor Guide'!$F$5,'Decor Guide'!$E$5,IF(MAX(N8,O8)&lt;='Decor Guide'!$F$6,'Decor Guide'!$E$6,IF(MAX(N8,O8)&lt;='Decor Guide'!$F$7,'Decor Guide'!$E$7,'Decor Guide'!$E$8)))</x:f>
        <x:v>Medium</x:v>
      </x:c>
      <x:c r="N8" s="236" t="n">
        <x:v>1.5</x:v>
      </x:c>
      <x:c r="O8" s="236" t="n">
        <x:v>1.9</x:v>
      </x:c>
      <x:c r="P8" s="192" t="str">
        <x:v>Midground</x:v>
      </x:c>
      <x:c r="Q8" s="192" t="str">
        <x:f>IF(H8&lt;='Decor Guide'!$B$12,"Launch (L1–40)",IF(H8&lt;='Decor Guide'!$B$13,"Wave 1 (L41–50)",IF(H8&lt;='Decor Guide'!$B$14,"Wave 2 (L51–60)","Wave 3 (L61–70)")))</x:f>
        <x:v>Launch (L1–40)</x:v>
      </x:c>
      <x:c r="R8" s="192" t="str">
        <x:v>None</x:v>
      </x:c>
      <x:c r="S8" s="192" t="str">
        <x:f>IF(R8="None","Always available after unlock",VLOOKUP(R8,'Decor Live Ops'!$A$5:$L$16,2,FALSE))</x:f>
        <x:v>Always available after unlock</x:v>
      </x:c>
      <x:c r="T8" s="203" t="str">
        <x:f>IF(AND(H8&gt;=1,H8&lt;='Decor Guide'!$B$15,J8&gt;0,MOD(J8,IF(I8="Coins",5,1))=0,K8&gt;='Decor Guide'!$B$7,K8&lt;='Decor Guide'!$B$8,L8&gt;0,N8&gt;0,O8&gt;0,MAX(N8,O8)&lt;='Decor Guide'!$F$8,OR(AND(F8="Coin",I8="Coins"),AND(F8="Premium",I8="Pearls"),AND(F8="Limited Edition",OR(I8="Coins",I8="Pearls"))),OR(AND(F8="Limited Edition",R8&lt;&gt;"None"),AND(F8&lt;&gt;"Limited Edition",R8="None"))),"OK","REVIEW")</x:f>
        <x:v>OK</x:v>
      </x:c>
    </x:row>
    <x:row r="9" ht="48" customHeight="1">
      <x:c r="A9" s="204" t="str">
        <x:v>CP-05</x:v>
      </x:c>
      <x:c r="B9" s="204" t="str">
        <x:v>Bacopa Bubbleleaf</x:v>
      </x:c>
      <x:c r="C9" s="192" t="str">
        <x:v>Plant</x:v>
      </x:c>
      <x:c r="D9" s="192" t="str">
        <x:v>Stem Plant</x:v>
      </x:c>
      <x:c r="E9" s="192" t="str">
        <x:v>Freshwater Garden</x:v>
      </x:c>
      <x:c r="F9" s="192" t="str">
        <x:v>Coin</x:v>
      </x:c>
      <x:c r="G9" s="192" t="str">
        <x:v>Common</x:v>
      </x:c>
      <x:c r="H9" s="198" t="n">
        <x:v>5</x:v>
      </x:c>
      <x:c r="I9" s="199" t="str">
        <x:v>Coins</x:v>
      </x:c>
      <x:c r="J9" s="198" t="n">
        <x:v>125</x:v>
      </x:c>
      <x:c r="K9" s="200" t="n">
        <x:f>MIN('Decor Guide'!$B$8,MAX('Decor Guide'!$B$7,INT(INDEX('XP Curve'!$F$4:$F$73,MIN(H9+1,'Decor Guide'!$B$15))*'Decor Guide'!$B$9)),MAX('Decor Guide'!$B$7,ROUND(IF(I9="Coins",J9*'Decor Guide'!$B$5,J9*'Decor Guide'!$B$6),0)))</x:f>
        <x:v>4</x:v>
      </x:c>
      <x:c r="L9" s="200" t="n">
        <x:f>VLOOKUP(M9,'Decor Guide'!$E$5:$G$8,3,FALSE)</x:f>
        <x:v>20</x:v>
      </x:c>
      <x:c r="M9" s="201" t="str">
        <x:f>IF(MAX(N9,O9)&lt;='Decor Guide'!$F$5,'Decor Guide'!$E$5,IF(MAX(N9,O9)&lt;='Decor Guide'!$F$6,'Decor Guide'!$E$6,IF(MAX(N9,O9)&lt;='Decor Guide'!$F$7,'Decor Guide'!$E$7,'Decor Guide'!$E$8)))</x:f>
        <x:v>Medium</x:v>
      </x:c>
      <x:c r="N9" s="236" t="n">
        <x:v>1.2</x:v>
      </x:c>
      <x:c r="O9" s="236" t="n">
        <x:v>1.8</x:v>
      </x:c>
      <x:c r="P9" s="192" t="str">
        <x:v>Midground</x:v>
      </x:c>
      <x:c r="Q9" s="192" t="str">
        <x:f>IF(H9&lt;='Decor Guide'!$B$12,"Launch (L1–40)",IF(H9&lt;='Decor Guide'!$B$13,"Wave 1 (L41–50)",IF(H9&lt;='Decor Guide'!$B$14,"Wave 2 (L51–60)","Wave 3 (L61–70)")))</x:f>
        <x:v>Launch (L1–40)</x:v>
      </x:c>
      <x:c r="R9" s="192" t="str">
        <x:v>None</x:v>
      </x:c>
      <x:c r="S9" s="192" t="str">
        <x:f>IF(R9="None","Always available after unlock",VLOOKUP(R9,'Decor Live Ops'!$A$5:$L$16,2,FALSE))</x:f>
        <x:v>Always available after unlock</x:v>
      </x:c>
      <x:c r="T9" s="203" t="str">
        <x:f>IF(AND(H9&gt;=1,H9&lt;='Decor Guide'!$B$15,J9&gt;0,MOD(J9,IF(I9="Coins",5,1))=0,K9&gt;='Decor Guide'!$B$7,K9&lt;='Decor Guide'!$B$8,L9&gt;0,N9&gt;0,O9&gt;0,MAX(N9,O9)&lt;='Decor Guide'!$F$8,OR(AND(F9="Coin",I9="Coins"),AND(F9="Premium",I9="Pearls"),AND(F9="Limited Edition",OR(I9="Coins",I9="Pearls"))),OR(AND(F9="Limited Edition",R9&lt;&gt;"None"),AND(F9&lt;&gt;"Limited Edition",R9="None"))),"OK","REVIEW")</x:f>
        <x:v>OK</x:v>
      </x:c>
    </x:row>
    <x:row r="10" ht="48" customHeight="1">
      <x:c r="A10" s="204" t="str">
        <x:v>CP-06</x:v>
      </x:c>
      <x:c r="B10" s="204" t="str">
        <x:v>Cryptocoryne Bronze</x:v>
      </x:c>
      <x:c r="C10" s="192" t="str">
        <x:v>Plant</x:v>
      </x:c>
      <x:c r="D10" s="192" t="str">
        <x:v>Rosette Plant</x:v>
      </x:c>
      <x:c r="E10" s="192" t="str">
        <x:v>Freshwater Garden</x:v>
      </x:c>
      <x:c r="F10" s="192" t="str">
        <x:v>Coin</x:v>
      </x:c>
      <x:c r="G10" s="192" t="str">
        <x:v>Common</x:v>
      </x:c>
      <x:c r="H10" s="198" t="n">
        <x:v>6</x:v>
      </x:c>
      <x:c r="I10" s="199" t="str">
        <x:v>Coins</x:v>
      </x:c>
      <x:c r="J10" s="198" t="n">
        <x:v>180</x:v>
      </x:c>
      <x:c r="K10" s="200" t="n">
        <x:f>MIN('Decor Guide'!$B$8,MAX('Decor Guide'!$B$7,INT(INDEX('XP Curve'!$F$4:$F$73,MIN(H10+1,'Decor Guide'!$B$15))*'Decor Guide'!$B$9)),MAX('Decor Guide'!$B$7,ROUND(IF(I10="Coins",J10*'Decor Guide'!$B$5,J10*'Decor Guide'!$B$6),0)))</x:f>
        <x:v>5</x:v>
      </x:c>
      <x:c r="L10" s="200" t="n">
        <x:f>VLOOKUP(M10,'Decor Guide'!$E$5:$G$8,3,FALSE)</x:f>
        <x:v>20</x:v>
      </x:c>
      <x:c r="M10" s="201" t="str">
        <x:f>IF(MAX(N10,O10)&lt;='Decor Guide'!$F$5,'Decor Guide'!$E$5,IF(MAX(N10,O10)&lt;='Decor Guide'!$F$6,'Decor Guide'!$E$6,IF(MAX(N10,O10)&lt;='Decor Guide'!$F$7,'Decor Guide'!$E$7,'Decor Guide'!$E$8)))</x:f>
        <x:v>Medium</x:v>
      </x:c>
      <x:c r="N10" s="236" t="n">
        <x:v>1.55</x:v>
      </x:c>
      <x:c r="O10" s="236" t="n">
        <x:v>1.35</x:v>
      </x:c>
      <x:c r="P10" s="192" t="str">
        <x:v>Midground</x:v>
      </x:c>
      <x:c r="Q10" s="192" t="str">
        <x:f>IF(H10&lt;='Decor Guide'!$B$12,"Launch (L1–40)",IF(H10&lt;='Decor Guide'!$B$13,"Wave 1 (L41–50)",IF(H10&lt;='Decor Guide'!$B$14,"Wave 2 (L51–60)","Wave 3 (L61–70)")))</x:f>
        <x:v>Launch (L1–40)</x:v>
      </x:c>
      <x:c r="R10" s="192" t="str">
        <x:v>None</x:v>
      </x:c>
      <x:c r="S10" s="192" t="str">
        <x:f>IF(R10="None","Always available after unlock",VLOOKUP(R10,'Decor Live Ops'!$A$5:$L$16,2,FALSE))</x:f>
        <x:v>Always available after unlock</x:v>
      </x:c>
      <x:c r="T10" s="203" t="str">
        <x:f>IF(AND(H10&gt;=1,H10&lt;='Decor Guide'!$B$15,J10&gt;0,MOD(J10,IF(I10="Coins",5,1))=0,K10&gt;='Decor Guide'!$B$7,K10&lt;='Decor Guide'!$B$8,L10&gt;0,N10&gt;0,O10&gt;0,MAX(N10,O10)&lt;='Decor Guide'!$F$8,OR(AND(F10="Coin",I10="Coins"),AND(F10="Premium",I10="Pearls"),AND(F10="Limited Edition",OR(I10="Coins",I10="Pearls"))),OR(AND(F10="Limited Edition",R10&lt;&gt;"None"),AND(F10&lt;&gt;"Limited Edition",R10="None"))),"OK","REVIEW")</x:f>
        <x:v>OK</x:v>
      </x:c>
    </x:row>
    <x:row r="11" ht="48" customHeight="1">
      <x:c r="A11" s="204" t="str">
        <x:v>CP-07</x:v>
      </x:c>
      <x:c r="B11" s="204" t="str">
        <x:v>Marimo Trio</x:v>
      </x:c>
      <x:c r="C11" s="192" t="str">
        <x:v>Plant</x:v>
      </x:c>
      <x:c r="D11" s="192" t="str">
        <x:v>Moss</x:v>
      </x:c>
      <x:c r="E11" s="192" t="str">
        <x:v>Zen Garden</x:v>
      </x:c>
      <x:c r="F11" s="192" t="str">
        <x:v>Coin</x:v>
      </x:c>
      <x:c r="G11" s="192" t="str">
        <x:v>Common</x:v>
      </x:c>
      <x:c r="H11" s="198" t="n">
        <x:v>7</x:v>
      </x:c>
      <x:c r="I11" s="199" t="str">
        <x:v>Coins</x:v>
      </x:c>
      <x:c r="J11" s="198" t="n">
        <x:v>230</x:v>
      </x:c>
      <x:c r="K11" s="200" t="n">
        <x:f>MIN('Decor Guide'!$B$8,MAX('Decor Guide'!$B$7,INT(INDEX('XP Curve'!$F$4:$F$73,MIN(H11+1,'Decor Guide'!$B$15))*'Decor Guide'!$B$9)),MAX('Decor Guide'!$B$7,ROUND(IF(I11="Coins",J11*'Decor Guide'!$B$5,J11*'Decor Guide'!$B$6),0)))</x:f>
        <x:v>7</x:v>
      </x:c>
      <x:c r="L11" s="200" t="n">
        <x:f>VLOOKUP(M11,'Decor Guide'!$E$5:$G$8,3,FALSE)</x:f>
        <x:v>20</x:v>
      </x:c>
      <x:c r="M11" s="201" t="str">
        <x:f>IF(MAX(N11,O11)&lt;='Decor Guide'!$F$5,'Decor Guide'!$E$5,IF(MAX(N11,O11)&lt;='Decor Guide'!$F$6,'Decor Guide'!$E$6,IF(MAX(N11,O11)&lt;='Decor Guide'!$F$7,'Decor Guide'!$E$7,'Decor Guide'!$E$8)))</x:f>
        <x:v>Medium</x:v>
      </x:c>
      <x:c r="N11" s="236" t="n">
        <x:v>1.8</x:v>
      </x:c>
      <x:c r="O11" s="236" t="n">
        <x:v>1.1</x:v>
      </x:c>
      <x:c r="P11" s="192" t="str">
        <x:v>Foreground</x:v>
      </x:c>
      <x:c r="Q11" s="192" t="str">
        <x:f>IF(H11&lt;='Decor Guide'!$B$12,"Launch (L1–40)",IF(H11&lt;='Decor Guide'!$B$13,"Wave 1 (L41–50)",IF(H11&lt;='Decor Guide'!$B$14,"Wave 2 (L51–60)","Wave 3 (L61–70)")))</x:f>
        <x:v>Launch (L1–40)</x:v>
      </x:c>
      <x:c r="R11" s="192" t="str">
        <x:v>None</x:v>
      </x:c>
      <x:c r="S11" s="192" t="str">
        <x:f>IF(R11="None","Always available after unlock",VLOOKUP(R11,'Decor Live Ops'!$A$5:$L$16,2,FALSE))</x:f>
        <x:v>Always available after unlock</x:v>
      </x:c>
      <x:c r="T11" s="203" t="str">
        <x:f>IF(AND(H11&gt;=1,H11&lt;='Decor Guide'!$B$15,J11&gt;0,MOD(J11,IF(I11="Coins",5,1))=0,K11&gt;='Decor Guide'!$B$7,K11&lt;='Decor Guide'!$B$8,L11&gt;0,N11&gt;0,O11&gt;0,MAX(N11,O11)&lt;='Decor Guide'!$F$8,OR(AND(F11="Coin",I11="Coins"),AND(F11="Premium",I11="Pearls"),AND(F11="Limited Edition",OR(I11="Coins",I11="Pearls"))),OR(AND(F11="Limited Edition",R11&lt;&gt;"None"),AND(F11&lt;&gt;"Limited Edition",R11="None"))),"OK","REVIEW")</x:f>
        <x:v>OK</x:v>
      </x:c>
    </x:row>
    <x:row r="12" ht="48" customHeight="1">
      <x:c r="A12" s="204" t="str">
        <x:v>CP-08</x:v>
      </x:c>
      <x:c r="B12" s="204" t="str">
        <x:v>Corkscrew Vallisneria</x:v>
      </x:c>
      <x:c r="C12" s="192" t="str">
        <x:v>Plant</x:v>
      </x:c>
      <x:c r="D12" s="192" t="str">
        <x:v>Ribbon Plant</x:v>
      </x:c>
      <x:c r="E12" s="192" t="str">
        <x:v>Freshwater Garden</x:v>
      </x:c>
      <x:c r="F12" s="192" t="str">
        <x:v>Coin</x:v>
      </x:c>
      <x:c r="G12" s="192" t="str">
        <x:v>Uncommon</x:v>
      </x:c>
      <x:c r="H12" s="198" t="n">
        <x:v>8</x:v>
      </x:c>
      <x:c r="I12" s="199" t="str">
        <x:v>Coins</x:v>
      </x:c>
      <x:c r="J12" s="198" t="n">
        <x:v>300</x:v>
      </x:c>
      <x:c r="K12" s="200" t="n">
        <x:f>MIN('Decor Guide'!$B$8,MAX('Decor Guide'!$B$7,INT(INDEX('XP Curve'!$F$4:$F$73,MIN(H12+1,'Decor Guide'!$B$15))*'Decor Guide'!$B$9)),MAX('Decor Guide'!$B$7,ROUND(IF(I12="Coins",J12*'Decor Guide'!$B$5,J12*'Decor Guide'!$B$6),0)))</x:f>
        <x:v>9</x:v>
      </x:c>
      <x:c r="L12" s="200" t="n">
        <x:f>VLOOKUP(M12,'Decor Guide'!$E$5:$G$8,3,FALSE)</x:f>
        <x:v>35</x:v>
      </x:c>
      <x:c r="M12" s="201" t="str">
        <x:f>IF(MAX(N12,O12)&lt;='Decor Guide'!$F$5,'Decor Guide'!$E$5,IF(MAX(N12,O12)&lt;='Decor Guide'!$F$6,'Decor Guide'!$E$6,IF(MAX(N12,O12)&lt;='Decor Guide'!$F$7,'Decor Guide'!$E$7,'Decor Guide'!$E$8)))</x:f>
        <x:v>Large</x:v>
      </x:c>
      <x:c r="N12" s="236" t="n">
        <x:v>1.2</x:v>
      </x:c>
      <x:c r="O12" s="236" t="n">
        <x:v>2.7</x:v>
      </x:c>
      <x:c r="P12" s="192" t="str">
        <x:v>Background</x:v>
      </x:c>
      <x:c r="Q12" s="192" t="str">
        <x:f>IF(H12&lt;='Decor Guide'!$B$12,"Launch (L1–40)",IF(H12&lt;='Decor Guide'!$B$13,"Wave 1 (L41–50)",IF(H12&lt;='Decor Guide'!$B$14,"Wave 2 (L51–60)","Wave 3 (L61–70)")))</x:f>
        <x:v>Launch (L1–40)</x:v>
      </x:c>
      <x:c r="R12" s="192" t="str">
        <x:v>None</x:v>
      </x:c>
      <x:c r="S12" s="192" t="str">
        <x:f>IF(R12="None","Always available after unlock",VLOOKUP(R12,'Decor Live Ops'!$A$5:$L$16,2,FALSE))</x:f>
        <x:v>Always available after unlock</x:v>
      </x:c>
      <x:c r="T12" s="203" t="str">
        <x:f>IF(AND(H12&gt;=1,H12&lt;='Decor Guide'!$B$15,J12&gt;0,MOD(J12,IF(I12="Coins",5,1))=0,K12&gt;='Decor Guide'!$B$7,K12&lt;='Decor Guide'!$B$8,L12&gt;0,N12&gt;0,O12&gt;0,MAX(N12,O12)&lt;='Decor Guide'!$F$8,OR(AND(F12="Coin",I12="Coins"),AND(F12="Premium",I12="Pearls"),AND(F12="Limited Edition",OR(I12="Coins",I12="Pearls"))),OR(AND(F12="Limited Edition",R12&lt;&gt;"None"),AND(F12&lt;&gt;"Limited Edition",R12="None"))),"OK","REVIEW")</x:f>
        <x:v>OK</x:v>
      </x:c>
    </x:row>
    <x:row r="13" ht="48" customHeight="1">
      <x:c r="A13" s="204" t="str">
        <x:v>CP-09</x:v>
      </x:c>
      <x:c r="B13" s="204" t="str">
        <x:v>Water Wisteria</x:v>
      </x:c>
      <x:c r="C13" s="192" t="str">
        <x:v>Plant</x:v>
      </x:c>
      <x:c r="D13" s="192" t="str">
        <x:v>Stem Plant</x:v>
      </x:c>
      <x:c r="E13" s="192" t="str">
        <x:v>Freshwater Garden</x:v>
      </x:c>
      <x:c r="F13" s="192" t="str">
        <x:v>Coin</x:v>
      </x:c>
      <x:c r="G13" s="192" t="str">
        <x:v>Uncommon</x:v>
      </x:c>
      <x:c r="H13" s="198" t="n">
        <x:v>9</x:v>
      </x:c>
      <x:c r="I13" s="199" t="str">
        <x:v>Coins</x:v>
      </x:c>
      <x:c r="J13" s="198" t="n">
        <x:v>380</x:v>
      </x:c>
      <x:c r="K13" s="200" t="n">
        <x:f>MIN('Decor Guide'!$B$8,MAX('Decor Guide'!$B$7,INT(INDEX('XP Curve'!$F$4:$F$73,MIN(H13+1,'Decor Guide'!$B$15))*'Decor Guide'!$B$9)),MAX('Decor Guide'!$B$7,ROUND(IF(I13="Coins",J13*'Decor Guide'!$B$5,J13*'Decor Guide'!$B$6),0)))</x:f>
        <x:v>11</x:v>
      </x:c>
      <x:c r="L13" s="200" t="n">
        <x:f>VLOOKUP(M13,'Decor Guide'!$E$5:$G$8,3,FALSE)</x:f>
        <x:v>35</x:v>
      </x:c>
      <x:c r="M13" s="201" t="str">
        <x:f>IF(MAX(N13,O13)&lt;='Decor Guide'!$F$5,'Decor Guide'!$E$5,IF(MAX(N13,O13)&lt;='Decor Guide'!$F$6,'Decor Guide'!$E$6,IF(MAX(N13,O13)&lt;='Decor Guide'!$F$7,'Decor Guide'!$E$7,'Decor Guide'!$E$8)))</x:f>
        <x:v>Large</x:v>
      </x:c>
      <x:c r="N13" s="236" t="n">
        <x:v>1.8</x:v>
      </x:c>
      <x:c r="O13" s="236" t="n">
        <x:v>2.4</x:v>
      </x:c>
      <x:c r="P13" s="192" t="str">
        <x:v>Background</x:v>
      </x:c>
      <x:c r="Q13" s="192" t="str">
        <x:f>IF(H13&lt;='Decor Guide'!$B$12,"Launch (L1–40)",IF(H13&lt;='Decor Guide'!$B$13,"Wave 1 (L41–50)",IF(H13&lt;='Decor Guide'!$B$14,"Wave 2 (L51–60)","Wave 3 (L61–70)")))</x:f>
        <x:v>Launch (L1–40)</x:v>
      </x:c>
      <x:c r="R13" s="192" t="str">
        <x:v>None</x:v>
      </x:c>
      <x:c r="S13" s="192" t="str">
        <x:f>IF(R13="None","Always available after unlock",VLOOKUP(R13,'Decor Live Ops'!$A$5:$L$16,2,FALSE))</x:f>
        <x:v>Always available after unlock</x:v>
      </x:c>
      <x:c r="T13" s="203" t="str">
        <x:f>IF(AND(H13&gt;=1,H13&lt;='Decor Guide'!$B$15,J13&gt;0,MOD(J13,IF(I13="Coins",5,1))=0,K13&gt;='Decor Guide'!$B$7,K13&lt;='Decor Guide'!$B$8,L13&gt;0,N13&gt;0,O13&gt;0,MAX(N13,O13)&lt;='Decor Guide'!$F$8,OR(AND(F13="Coin",I13="Coins"),AND(F13="Premium",I13="Pearls"),AND(F13="Limited Edition",OR(I13="Coins",I13="Pearls"))),OR(AND(F13="Limited Edition",R13&lt;&gt;"None"),AND(F13&lt;&gt;"Limited Edition",R13="None"))),"OK","REVIEW")</x:f>
        <x:v>OK</x:v>
      </x:c>
    </x:row>
    <x:row r="14" ht="48" customHeight="1">
      <x:c r="A14" s="204" t="str">
        <x:v>CP-10</x:v>
      </x:c>
      <x:c r="B14" s="204" t="str">
        <x:v>Ludwigia Ruby</x:v>
      </x:c>
      <x:c r="C14" s="192" t="str">
        <x:v>Plant</x:v>
      </x:c>
      <x:c r="D14" s="192" t="str">
        <x:v>Stem Plant</x:v>
      </x:c>
      <x:c r="E14" s="192" t="str">
        <x:v>Sunset Wetlands</x:v>
      </x:c>
      <x:c r="F14" s="192" t="str">
        <x:v>Coin</x:v>
      </x:c>
      <x:c r="G14" s="192" t="str">
        <x:v>Uncommon</x:v>
      </x:c>
      <x:c r="H14" s="198" t="n">
        <x:v>10</x:v>
      </x:c>
      <x:c r="I14" s="199" t="str">
        <x:v>Coins</x:v>
      </x:c>
      <x:c r="J14" s="198" t="n">
        <x:v>450</x:v>
      </x:c>
      <x:c r="K14" s="200" t="n">
        <x:f>MIN('Decor Guide'!$B$8,MAX('Decor Guide'!$B$7,INT(INDEX('XP Curve'!$F$4:$F$73,MIN(H14+1,'Decor Guide'!$B$15))*'Decor Guide'!$B$9)),MAX('Decor Guide'!$B$7,ROUND(IF(I14="Coins",J14*'Decor Guide'!$B$5,J14*'Decor Guide'!$B$6),0)))</x:f>
        <x:v>14</x:v>
      </x:c>
      <x:c r="L14" s="200" t="n">
        <x:f>VLOOKUP(M14,'Decor Guide'!$E$5:$G$8,3,FALSE)</x:f>
        <x:v>35</x:v>
      </x:c>
      <x:c r="M14" s="201" t="str">
        <x:f>IF(MAX(N14,O14)&lt;='Decor Guide'!$F$5,'Decor Guide'!$E$5,IF(MAX(N14,O14)&lt;='Decor Guide'!$F$6,'Decor Guide'!$E$6,IF(MAX(N14,O14)&lt;='Decor Guide'!$F$7,'Decor Guide'!$E$7,'Decor Guide'!$E$8)))</x:f>
        <x:v>Large</x:v>
      </x:c>
      <x:c r="N14" s="236" t="n">
        <x:v>1.5</x:v>
      </x:c>
      <x:c r="O14" s="236" t="n">
        <x:v>2.2</x:v>
      </x:c>
      <x:c r="P14" s="192" t="str">
        <x:v>Midground</x:v>
      </x:c>
      <x:c r="Q14" s="192" t="str">
        <x:f>IF(H14&lt;='Decor Guide'!$B$12,"Launch (L1–40)",IF(H14&lt;='Decor Guide'!$B$13,"Wave 1 (L41–50)",IF(H14&lt;='Decor Guide'!$B$14,"Wave 2 (L51–60)","Wave 3 (L61–70)")))</x:f>
        <x:v>Launch (L1–40)</x:v>
      </x:c>
      <x:c r="R14" s="192" t="str">
        <x:v>None</x:v>
      </x:c>
      <x:c r="S14" s="192" t="str">
        <x:f>IF(R14="None","Always available after unlock",VLOOKUP(R14,'Decor Live Ops'!$A$5:$L$16,2,FALSE))</x:f>
        <x:v>Always available after unlock</x:v>
      </x:c>
      <x:c r="T14" s="203" t="str">
        <x:f>IF(AND(H14&gt;=1,H14&lt;='Decor Guide'!$B$15,J14&gt;0,MOD(J14,IF(I14="Coins",5,1))=0,K14&gt;='Decor Guide'!$B$7,K14&lt;='Decor Guide'!$B$8,L14&gt;0,N14&gt;0,O14&gt;0,MAX(N14,O14)&lt;='Decor Guide'!$F$8,OR(AND(F14="Coin",I14="Coins"),AND(F14="Premium",I14="Pearls"),AND(F14="Limited Edition",OR(I14="Coins",I14="Pearls"))),OR(AND(F14="Limited Edition",R14&lt;&gt;"None"),AND(F14&lt;&gt;"Limited Edition",R14="None"))),"OK","REVIEW")</x:f>
        <x:v>OK</x:v>
      </x:c>
    </x:row>
    <x:row r="15" ht="48" customHeight="1">
      <x:c r="A15" s="204" t="str">
        <x:v>CP-11</x:v>
      </x:c>
      <x:c r="B15" s="204" t="str">
        <x:v>Rotala Sunset</x:v>
      </x:c>
      <x:c r="C15" s="192" t="str">
        <x:v>Plant</x:v>
      </x:c>
      <x:c r="D15" s="192" t="str">
        <x:v>Stem Plant</x:v>
      </x:c>
      <x:c r="E15" s="192" t="str">
        <x:v>Sunset Wetlands</x:v>
      </x:c>
      <x:c r="F15" s="192" t="str">
        <x:v>Coin</x:v>
      </x:c>
      <x:c r="G15" s="192" t="str">
        <x:v>Uncommon</x:v>
      </x:c>
      <x:c r="H15" s="198" t="n">
        <x:v>12</x:v>
      </x:c>
      <x:c r="I15" s="199" t="str">
        <x:v>Coins</x:v>
      </x:c>
      <x:c r="J15" s="198" t="n">
        <x:v>650</x:v>
      </x:c>
      <x:c r="K15" s="200" t="n">
        <x:f>MIN('Decor Guide'!$B$8,MAX('Decor Guide'!$B$7,INT(INDEX('XP Curve'!$F$4:$F$73,MIN(H15+1,'Decor Guide'!$B$15))*'Decor Guide'!$B$9)),MAX('Decor Guide'!$B$7,ROUND(IF(I15="Coins",J15*'Decor Guide'!$B$5,J15*'Decor Guide'!$B$6),0)))</x:f>
        <x:v>20</x:v>
      </x:c>
      <x:c r="L15" s="200" t="n">
        <x:f>VLOOKUP(M15,'Decor Guide'!$E$5:$G$8,3,FALSE)</x:f>
        <x:v>35</x:v>
      </x:c>
      <x:c r="M15" s="201" t="str">
        <x:f>IF(MAX(N15,O15)&lt;='Decor Guide'!$F$5,'Decor Guide'!$E$5,IF(MAX(N15,O15)&lt;='Decor Guide'!$F$6,'Decor Guide'!$E$6,IF(MAX(N15,O15)&lt;='Decor Guide'!$F$7,'Decor Guide'!$E$7,'Decor Guide'!$E$8)))</x:f>
        <x:v>Large</x:v>
      </x:c>
      <x:c r="N15" s="236" t="n">
        <x:v>1.6</x:v>
      </x:c>
      <x:c r="O15" s="236" t="n">
        <x:v>2.6</x:v>
      </x:c>
      <x:c r="P15" s="192" t="str">
        <x:v>Background</x:v>
      </x:c>
      <x:c r="Q15" s="192" t="str">
        <x:f>IF(H15&lt;='Decor Guide'!$B$12,"Launch (L1–40)",IF(H15&lt;='Decor Guide'!$B$13,"Wave 1 (L41–50)",IF(H15&lt;='Decor Guide'!$B$14,"Wave 2 (L51–60)","Wave 3 (L61–70)")))</x:f>
        <x:v>Launch (L1–40)</x:v>
      </x:c>
      <x:c r="R15" s="192" t="str">
        <x:v>None</x:v>
      </x:c>
      <x:c r="S15" s="192" t="str">
        <x:f>IF(R15="None","Always available after unlock",VLOOKUP(R15,'Decor Live Ops'!$A$5:$L$16,2,FALSE))</x:f>
        <x:v>Always available after unlock</x:v>
      </x:c>
      <x:c r="T15" s="203" t="str">
        <x:f>IF(AND(H15&gt;=1,H15&lt;='Decor Guide'!$B$15,J15&gt;0,MOD(J15,IF(I15="Coins",5,1))=0,K15&gt;='Decor Guide'!$B$7,K15&lt;='Decor Guide'!$B$8,L15&gt;0,N15&gt;0,O15&gt;0,MAX(N15,O15)&lt;='Decor Guide'!$F$8,OR(AND(F15="Coin",I15="Coins"),AND(F15="Premium",I15="Pearls"),AND(F15="Limited Edition",OR(I15="Coins",I15="Pearls"))),OR(AND(F15="Limited Edition",R15&lt;&gt;"None"),AND(F15&lt;&gt;"Limited Edition",R15="None"))),"OK","REVIEW")</x:f>
        <x:v>OK</x:v>
      </x:c>
    </x:row>
    <x:row r="16" ht="48" customHeight="1">
      <x:c r="A16" s="204" t="str">
        <x:v>CP-12</x:v>
      </x:c>
      <x:c r="B16" s="204" t="str">
        <x:v>Amazon Sword</x:v>
      </x:c>
      <x:c r="C16" s="192" t="str">
        <x:v>Plant</x:v>
      </x:c>
      <x:c r="D16" s="192" t="str">
        <x:v>Broadleaf Plant</x:v>
      </x:c>
      <x:c r="E16" s="192" t="str">
        <x:v>Freshwater Garden</x:v>
      </x:c>
      <x:c r="F16" s="192" t="str">
        <x:v>Coin</x:v>
      </x:c>
      <x:c r="G16" s="192" t="str">
        <x:v>Uncommon</x:v>
      </x:c>
      <x:c r="H16" s="198" t="n">
        <x:v>14</x:v>
      </x:c>
      <x:c r="I16" s="199" t="str">
        <x:v>Coins</x:v>
      </x:c>
      <x:c r="J16" s="198" t="n">
        <x:v>850</x:v>
      </x:c>
      <x:c r="K16" s="200" t="n">
        <x:f>MIN('Decor Guide'!$B$8,MAX('Decor Guide'!$B$7,INT(INDEX('XP Curve'!$F$4:$F$73,MIN(H16+1,'Decor Guide'!$B$15))*'Decor Guide'!$B$9)),MAX('Decor Guide'!$B$7,ROUND(IF(I16="Coins",J16*'Decor Guide'!$B$5,J16*'Decor Guide'!$B$6),0)))</x:f>
        <x:v>26</x:v>
      </x:c>
      <x:c r="L16" s="200" t="n">
        <x:f>VLOOKUP(M16,'Decor Guide'!$E$5:$G$8,3,FALSE)</x:f>
        <x:v>35</x:v>
      </x:c>
      <x:c r="M16" s="201" t="str">
        <x:f>IF(MAX(N16,O16)&lt;='Decor Guide'!$F$5,'Decor Guide'!$E$5,IF(MAX(N16,O16)&lt;='Decor Guide'!$F$6,'Decor Guide'!$E$6,IF(MAX(N16,O16)&lt;='Decor Guide'!$F$7,'Decor Guide'!$E$7,'Decor Guide'!$E$8)))</x:f>
        <x:v>Large</x:v>
      </x:c>
      <x:c r="N16" s="236" t="n">
        <x:v>2.5</x:v>
      </x:c>
      <x:c r="O16" s="236" t="n">
        <x:v>3</x:v>
      </x:c>
      <x:c r="P16" s="192" t="str">
        <x:v>Background</x:v>
      </x:c>
      <x:c r="Q16" s="192" t="str">
        <x:f>IF(H16&lt;='Decor Guide'!$B$12,"Launch (L1–40)",IF(H16&lt;='Decor Guide'!$B$13,"Wave 1 (L41–50)",IF(H16&lt;='Decor Guide'!$B$14,"Wave 2 (L51–60)","Wave 3 (L61–70)")))</x:f>
        <x:v>Launch (L1–40)</x:v>
      </x:c>
      <x:c r="R16" s="192" t="str">
        <x:v>None</x:v>
      </x:c>
      <x:c r="S16" s="192" t="str">
        <x:f>IF(R16="None","Always available after unlock",VLOOKUP(R16,'Decor Live Ops'!$A$5:$L$16,2,FALSE))</x:f>
        <x:v>Always available after unlock</x:v>
      </x:c>
      <x:c r="T16" s="203" t="str">
        <x:f>IF(AND(H16&gt;=1,H16&lt;='Decor Guide'!$B$15,J16&gt;0,MOD(J16,IF(I16="Coins",5,1))=0,K16&gt;='Decor Guide'!$B$7,K16&lt;='Decor Guide'!$B$8,L16&gt;0,N16&gt;0,O16&gt;0,MAX(N16,O16)&lt;='Decor Guide'!$F$8,OR(AND(F16="Coin",I16="Coins"),AND(F16="Premium",I16="Pearls"),AND(F16="Limited Edition",OR(I16="Coins",I16="Pearls"))),OR(AND(F16="Limited Edition",R16&lt;&gt;"None"),AND(F16&lt;&gt;"Limited Edition",R16="None"))),"OK","REVIEW")</x:f>
        <x:v>OK</x:v>
      </x:c>
    </x:row>
    <x:row r="17" ht="48" customHeight="1">
      <x:c r="A17" s="204" t="str">
        <x:v>CP-13</x:v>
      </x:c>
      <x:c r="B17" s="204" t="str">
        <x:v>Red Tiger Lotus</x:v>
      </x:c>
      <x:c r="C17" s="192" t="str">
        <x:v>Plant</x:v>
      </x:c>
      <x:c r="D17" s="192" t="str">
        <x:v>Lotus</x:v>
      </x:c>
      <x:c r="E17" s="192" t="str">
        <x:v>Sunset Wetlands</x:v>
      </x:c>
      <x:c r="F17" s="192" t="str">
        <x:v>Coin</x:v>
      </x:c>
      <x:c r="G17" s="192" t="str">
        <x:v>Uncommon</x:v>
      </x:c>
      <x:c r="H17" s="198" t="n">
        <x:v>16</x:v>
      </x:c>
      <x:c r="I17" s="199" t="str">
        <x:v>Coins</x:v>
      </x:c>
      <x:c r="J17" s="198" t="n">
        <x:v>1100</x:v>
      </x:c>
      <x:c r="K17" s="200" t="n">
        <x:f>MIN('Decor Guide'!$B$8,MAX('Decor Guide'!$B$7,INT(INDEX('XP Curve'!$F$4:$F$73,MIN(H17+1,'Decor Guide'!$B$15))*'Decor Guide'!$B$9)),MAX('Decor Guide'!$B$7,ROUND(IF(I17="Coins",J17*'Decor Guide'!$B$5,J17*'Decor Guide'!$B$6),0)))</x:f>
        <x:v>33</x:v>
      </x:c>
      <x:c r="L17" s="200" t="n">
        <x:f>VLOOKUP(M17,'Decor Guide'!$E$5:$G$8,3,FALSE)</x:f>
        <x:v>35</x:v>
      </x:c>
      <x:c r="M17" s="201" t="str">
        <x:f>IF(MAX(N17,O17)&lt;='Decor Guide'!$F$5,'Decor Guide'!$E$5,IF(MAX(N17,O17)&lt;='Decor Guide'!$F$6,'Decor Guide'!$E$6,IF(MAX(N17,O17)&lt;='Decor Guide'!$F$7,'Decor Guide'!$E$7,'Decor Guide'!$E$8)))</x:f>
        <x:v>Large</x:v>
      </x:c>
      <x:c r="N17" s="236" t="n">
        <x:v>2.2</x:v>
      </x:c>
      <x:c r="O17" s="236" t="n">
        <x:v>2</x:v>
      </x:c>
      <x:c r="P17" s="192" t="str">
        <x:v>Midground</x:v>
      </x:c>
      <x:c r="Q17" s="192" t="str">
        <x:f>IF(H17&lt;='Decor Guide'!$B$12,"Launch (L1–40)",IF(H17&lt;='Decor Guide'!$B$13,"Wave 1 (L41–50)",IF(H17&lt;='Decor Guide'!$B$14,"Wave 2 (L51–60)","Wave 3 (L61–70)")))</x:f>
        <x:v>Launch (L1–40)</x:v>
      </x:c>
      <x:c r="R17" s="192" t="str">
        <x:v>None</x:v>
      </x:c>
      <x:c r="S17" s="192" t="str">
        <x:f>IF(R17="None","Always available after unlock",VLOOKUP(R17,'Decor Live Ops'!$A$5:$L$16,2,FALSE))</x:f>
        <x:v>Always available after unlock</x:v>
      </x:c>
      <x:c r="T17" s="203" t="str">
        <x:f>IF(AND(H17&gt;=1,H17&lt;='Decor Guide'!$B$15,J17&gt;0,MOD(J17,IF(I17="Coins",5,1))=0,K17&gt;='Decor Guide'!$B$7,K17&lt;='Decor Guide'!$B$8,L17&gt;0,N17&gt;0,O17&gt;0,MAX(N17,O17)&lt;='Decor Guide'!$F$8,OR(AND(F17="Coin",I17="Coins"),AND(F17="Premium",I17="Pearls"),AND(F17="Limited Edition",OR(I17="Coins",I17="Pearls"))),OR(AND(F17="Limited Edition",R17&lt;&gt;"None"),AND(F17&lt;&gt;"Limited Edition",R17="None"))),"OK","REVIEW")</x:f>
        <x:v>OK</x:v>
      </x:c>
    </x:row>
    <x:row r="18" ht="48" customHeight="1">
      <x:c r="A18" s="204" t="str">
        <x:v>CP-14</x:v>
      </x:c>
      <x:c r="B18" s="204" t="str">
        <x:v>Water Sprite Canopy</x:v>
      </x:c>
      <x:c r="C18" s="192" t="str">
        <x:v>Plant</x:v>
      </x:c>
      <x:c r="D18" s="192" t="str">
        <x:v>Fern</x:v>
      </x:c>
      <x:c r="E18" s="192" t="str">
        <x:v>Freshwater Garden</x:v>
      </x:c>
      <x:c r="F18" s="192" t="str">
        <x:v>Coin</x:v>
      </x:c>
      <x:c r="G18" s="192" t="str">
        <x:v>Uncommon</x:v>
      </x:c>
      <x:c r="H18" s="198" t="n">
        <x:v>18</x:v>
      </x:c>
      <x:c r="I18" s="199" t="str">
        <x:v>Coins</x:v>
      </x:c>
      <x:c r="J18" s="198" t="n">
        <x:v>1500</x:v>
      </x:c>
      <x:c r="K18" s="200" t="n">
        <x:f>MIN('Decor Guide'!$B$8,MAX('Decor Guide'!$B$7,INT(INDEX('XP Curve'!$F$4:$F$73,MIN(H18+1,'Decor Guide'!$B$15))*'Decor Guide'!$B$9)),MAX('Decor Guide'!$B$7,ROUND(IF(I18="Coins",J18*'Decor Guide'!$B$5,J18*'Decor Guide'!$B$6),0)))</x:f>
        <x:v>45</x:v>
      </x:c>
      <x:c r="L18" s="200" t="n">
        <x:f>VLOOKUP(M18,'Decor Guide'!$E$5:$G$8,3,FALSE)</x:f>
        <x:v>35</x:v>
      </x:c>
      <x:c r="M18" s="201" t="str">
        <x:f>IF(MAX(N18,O18)&lt;='Decor Guide'!$F$5,'Decor Guide'!$E$5,IF(MAX(N18,O18)&lt;='Decor Guide'!$F$6,'Decor Guide'!$E$6,IF(MAX(N18,O18)&lt;='Decor Guide'!$F$7,'Decor Guide'!$E$7,'Decor Guide'!$E$8)))</x:f>
        <x:v>Large</x:v>
      </x:c>
      <x:c r="N18" s="236" t="n">
        <x:v>2.4</x:v>
      </x:c>
      <x:c r="O18" s="236" t="n">
        <x:v>2.7</x:v>
      </x:c>
      <x:c r="P18" s="192" t="str">
        <x:v>Background</x:v>
      </x:c>
      <x:c r="Q18" s="192" t="str">
        <x:f>IF(H18&lt;='Decor Guide'!$B$12,"Launch (L1–40)",IF(H18&lt;='Decor Guide'!$B$13,"Wave 1 (L41–50)",IF(H18&lt;='Decor Guide'!$B$14,"Wave 2 (L51–60)","Wave 3 (L61–70)")))</x:f>
        <x:v>Launch (L1–40)</x:v>
      </x:c>
      <x:c r="R18" s="192" t="str">
        <x:v>None</x:v>
      </x:c>
      <x:c r="S18" s="192" t="str">
        <x:f>IF(R18="None","Always available after unlock",VLOOKUP(R18,'Decor Live Ops'!$A$5:$L$16,2,FALSE))</x:f>
        <x:v>Always available after unlock</x:v>
      </x:c>
      <x:c r="T18" s="203" t="str">
        <x:f>IF(AND(H18&gt;=1,H18&lt;='Decor Guide'!$B$15,J18&gt;0,MOD(J18,IF(I18="Coins",5,1))=0,K18&gt;='Decor Guide'!$B$7,K18&lt;='Decor Guide'!$B$8,L18&gt;0,N18&gt;0,O18&gt;0,MAX(N18,O18)&lt;='Decor Guide'!$F$8,OR(AND(F18="Coin",I18="Coins"),AND(F18="Premium",I18="Pearls"),AND(F18="Limited Edition",OR(I18="Coins",I18="Pearls"))),OR(AND(F18="Limited Edition",R18&lt;&gt;"None"),AND(F18&lt;&gt;"Limited Edition",R18="None"))),"OK","REVIEW")</x:f>
        <x:v>OK</x:v>
      </x:c>
    </x:row>
    <x:row r="19" ht="48" customHeight="1">
      <x:c r="A19" s="204" t="str">
        <x:v>CP-15</x:v>
      </x:c>
      <x:c r="B19" s="204" t="str">
        <x:v>Pogostemon Star Cluster</x:v>
      </x:c>
      <x:c r="C19" s="192" t="str">
        <x:v>Plant</x:v>
      </x:c>
      <x:c r="D19" s="192" t="str">
        <x:v>Rosette Plant</x:v>
      </x:c>
      <x:c r="E19" s="192" t="str">
        <x:v>Freshwater Garden</x:v>
      </x:c>
      <x:c r="F19" s="192" t="str">
        <x:v>Coin</x:v>
      </x:c>
      <x:c r="G19" s="192" t="str">
        <x:v>Rare</x:v>
      </x:c>
      <x:c r="H19" s="198" t="n">
        <x:v>20</x:v>
      </x:c>
      <x:c r="I19" s="199" t="str">
        <x:v>Coins</x:v>
      </x:c>
      <x:c r="J19" s="198" t="n">
        <x:v>2000</x:v>
      </x:c>
      <x:c r="K19" s="200" t="n">
        <x:f>MIN('Decor Guide'!$B$8,MAX('Decor Guide'!$B$7,INT(INDEX('XP Curve'!$F$4:$F$73,MIN(H19+1,'Decor Guide'!$B$15))*'Decor Guide'!$B$9)),MAX('Decor Guide'!$B$7,ROUND(IF(I19="Coins",J19*'Decor Guide'!$B$5,J19*'Decor Guide'!$B$6),0)))</x:f>
        <x:v>60</x:v>
      </x:c>
      <x:c r="L19" s="200" t="n">
        <x:f>VLOOKUP(M19,'Decor Guide'!$E$5:$G$8,3,FALSE)</x:f>
        <x:v>20</x:v>
      </x:c>
      <x:c r="M19" s="201" t="str">
        <x:f>IF(MAX(N19,O19)&lt;='Decor Guide'!$F$5,'Decor Guide'!$E$5,IF(MAX(N19,O19)&lt;='Decor Guide'!$F$6,'Decor Guide'!$E$6,IF(MAX(N19,O19)&lt;='Decor Guide'!$F$7,'Decor Guide'!$E$7,'Decor Guide'!$E$8)))</x:f>
        <x:v>Medium</x:v>
      </x:c>
      <x:c r="N19" s="236" t="n">
        <x:v>1.8</x:v>
      </x:c>
      <x:c r="O19" s="236" t="n">
        <x:v>1.3</x:v>
      </x:c>
      <x:c r="P19" s="192" t="str">
        <x:v>Foreground</x:v>
      </x:c>
      <x:c r="Q19" s="192" t="str">
        <x:f>IF(H19&lt;='Decor Guide'!$B$12,"Launch (L1–40)",IF(H19&lt;='Decor Guide'!$B$13,"Wave 1 (L41–50)",IF(H19&lt;='Decor Guide'!$B$14,"Wave 2 (L51–60)","Wave 3 (L61–70)")))</x:f>
        <x:v>Launch (L1–40)</x:v>
      </x:c>
      <x:c r="R19" s="192" t="str">
        <x:v>None</x:v>
      </x:c>
      <x:c r="S19" s="192" t="str">
        <x:f>IF(R19="None","Always available after unlock",VLOOKUP(R19,'Decor Live Ops'!$A$5:$L$16,2,FALSE))</x:f>
        <x:v>Always available after unlock</x:v>
      </x:c>
      <x:c r="T19" s="203" t="str">
        <x:f>IF(AND(H19&gt;=1,H19&lt;='Decor Guide'!$B$15,J19&gt;0,MOD(J19,IF(I19="Coins",5,1))=0,K19&gt;='Decor Guide'!$B$7,K19&lt;='Decor Guide'!$B$8,L19&gt;0,N19&gt;0,O19&gt;0,MAX(N19,O19)&lt;='Decor Guide'!$F$8,OR(AND(F19="Coin",I19="Coins"),AND(F19="Premium",I19="Pearls"),AND(F19="Limited Edition",OR(I19="Coins",I19="Pearls"))),OR(AND(F19="Limited Edition",R19&lt;&gt;"None"),AND(F19&lt;&gt;"Limited Edition",R19="None"))),"OK","REVIEW")</x:f>
        <x:v>OK</x:v>
      </x:c>
    </x:row>
    <x:row r="20" ht="48" customHeight="1">
      <x:c r="A20" s="204" t="str">
        <x:v>CP-16</x:v>
      </x:c>
      <x:c r="B20" s="204" t="str">
        <x:v>Banana Root Rosette</x:v>
      </x:c>
      <x:c r="C20" s="192" t="str">
        <x:v>Plant</x:v>
      </x:c>
      <x:c r="D20" s="192" t="str">
        <x:v>Broadleaf Plant</x:v>
      </x:c>
      <x:c r="E20" s="192" t="str">
        <x:v>Tropical Lagoon</x:v>
      </x:c>
      <x:c r="F20" s="192" t="str">
        <x:v>Coin</x:v>
      </x:c>
      <x:c r="G20" s="192" t="str">
        <x:v>Rare</x:v>
      </x:c>
      <x:c r="H20" s="198" t="n">
        <x:v>22</x:v>
      </x:c>
      <x:c r="I20" s="199" t="str">
        <x:v>Coins</x:v>
      </x:c>
      <x:c r="J20" s="198" t="n">
        <x:v>2500</x:v>
      </x:c>
      <x:c r="K20" s="200" t="n">
        <x:f>MIN('Decor Guide'!$B$8,MAX('Decor Guide'!$B$7,INT(INDEX('XP Curve'!$F$4:$F$73,MIN(H20+1,'Decor Guide'!$B$15))*'Decor Guide'!$B$9)),MAX('Decor Guide'!$B$7,ROUND(IF(I20="Coins",J20*'Decor Guide'!$B$5,J20*'Decor Guide'!$B$6),0)))</x:f>
        <x:v>75</x:v>
      </x:c>
      <x:c r="L20" s="200" t="n">
        <x:f>VLOOKUP(M20,'Decor Guide'!$E$5:$G$8,3,FALSE)</x:f>
        <x:v>20</x:v>
      </x:c>
      <x:c r="M20" s="201" t="str">
        <x:f>IF(MAX(N20,O20)&lt;='Decor Guide'!$F$5,'Decor Guide'!$E$5,IF(MAX(N20,O20)&lt;='Decor Guide'!$F$6,'Decor Guide'!$E$6,IF(MAX(N20,O20)&lt;='Decor Guide'!$F$7,'Decor Guide'!$E$7,'Decor Guide'!$E$8)))</x:f>
        <x:v>Medium</x:v>
      </x:c>
      <x:c r="N20" s="236" t="n">
        <x:v>1.8</x:v>
      </x:c>
      <x:c r="O20" s="236" t="n">
        <x:v>1.6</x:v>
      </x:c>
      <x:c r="P20" s="192" t="str">
        <x:v>Midground</x:v>
      </x:c>
      <x:c r="Q20" s="192" t="str">
        <x:f>IF(H20&lt;='Decor Guide'!$B$12,"Launch (L1–40)",IF(H20&lt;='Decor Guide'!$B$13,"Wave 1 (L41–50)",IF(H20&lt;='Decor Guide'!$B$14,"Wave 2 (L51–60)","Wave 3 (L61–70)")))</x:f>
        <x:v>Launch (L1–40)</x:v>
      </x:c>
      <x:c r="R20" s="192" t="str">
        <x:v>None</x:v>
      </x:c>
      <x:c r="S20" s="192" t="str">
        <x:f>IF(R20="None","Always available after unlock",VLOOKUP(R20,'Decor Live Ops'!$A$5:$L$16,2,FALSE))</x:f>
        <x:v>Always available after unlock</x:v>
      </x:c>
      <x:c r="T20" s="203" t="str">
        <x:f>IF(AND(H20&gt;=1,H20&lt;='Decor Guide'!$B$15,J20&gt;0,MOD(J20,IF(I20="Coins",5,1))=0,K20&gt;='Decor Guide'!$B$7,K20&lt;='Decor Guide'!$B$8,L20&gt;0,N20&gt;0,O20&gt;0,MAX(N20,O20)&lt;='Decor Guide'!$F$8,OR(AND(F20="Coin",I20="Coins"),AND(F20="Premium",I20="Pearls"),AND(F20="Limited Edition",OR(I20="Coins",I20="Pearls"))),OR(AND(F20="Limited Edition",R20&lt;&gt;"None"),AND(F20&lt;&gt;"Limited Edition",R20="None"))),"OK","REVIEW")</x:f>
        <x:v>OK</x:v>
      </x:c>
    </x:row>
    <x:row r="21" ht="48" customHeight="1">
      <x:c r="A21" s="204" t="str">
        <x:v>CP-17</x:v>
      </x:c>
      <x:c r="B21" s="204" t="str">
        <x:v>Christmas Moss Log</x:v>
      </x:c>
      <x:c r="C21" s="192" t="str">
        <x:v>Plant</x:v>
      </x:c>
      <x:c r="D21" s="192" t="str">
        <x:v>Moss</x:v>
      </x:c>
      <x:c r="E21" s="192" t="str">
        <x:v>Woodland Creek</x:v>
      </x:c>
      <x:c r="F21" s="192" t="str">
        <x:v>Coin</x:v>
      </x:c>
      <x:c r="G21" s="192" t="str">
        <x:v>Rare</x:v>
      </x:c>
      <x:c r="H21" s="198" t="n">
        <x:v>24</x:v>
      </x:c>
      <x:c r="I21" s="199" t="str">
        <x:v>Coins</x:v>
      </x:c>
      <x:c r="J21" s="198" t="n">
        <x:v>3000</x:v>
      </x:c>
      <x:c r="K21" s="200" t="n">
        <x:f>MIN('Decor Guide'!$B$8,MAX('Decor Guide'!$B$7,INT(INDEX('XP Curve'!$F$4:$F$73,MIN(H21+1,'Decor Guide'!$B$15))*'Decor Guide'!$B$9)),MAX('Decor Guide'!$B$7,ROUND(IF(I21="Coins",J21*'Decor Guide'!$B$5,J21*'Decor Guide'!$B$6),0)))</x:f>
        <x:v>90</x:v>
      </x:c>
      <x:c r="L21" s="200" t="n">
        <x:f>VLOOKUP(M21,'Decor Guide'!$E$5:$G$8,3,FALSE)</x:f>
        <x:v>35</x:v>
      </x:c>
      <x:c r="M21" s="201" t="str">
        <x:f>IF(MAX(N21,O21)&lt;='Decor Guide'!$F$5,'Decor Guide'!$E$5,IF(MAX(N21,O21)&lt;='Decor Guide'!$F$6,'Decor Guide'!$E$6,IF(MAX(N21,O21)&lt;='Decor Guide'!$F$7,'Decor Guide'!$E$7,'Decor Guide'!$E$8)))</x:f>
        <x:v>Large</x:v>
      </x:c>
      <x:c r="N21" s="236" t="n">
        <x:v>2.4</x:v>
      </x:c>
      <x:c r="O21" s="236" t="n">
        <x:v>1.4</x:v>
      </x:c>
      <x:c r="P21" s="192" t="str">
        <x:v>Midground</x:v>
      </x:c>
      <x:c r="Q21" s="192" t="str">
        <x:f>IF(H21&lt;='Decor Guide'!$B$12,"Launch (L1–40)",IF(H21&lt;='Decor Guide'!$B$13,"Wave 1 (L41–50)",IF(H21&lt;='Decor Guide'!$B$14,"Wave 2 (L51–60)","Wave 3 (L61–70)")))</x:f>
        <x:v>Launch (L1–40)</x:v>
      </x:c>
      <x:c r="R21" s="192" t="str">
        <x:v>None</x:v>
      </x:c>
      <x:c r="S21" s="192" t="str">
        <x:f>IF(R21="None","Always available after unlock",VLOOKUP(R21,'Decor Live Ops'!$A$5:$L$16,2,FALSE))</x:f>
        <x:v>Always available after unlock</x:v>
      </x:c>
      <x:c r="T21" s="203" t="str">
        <x:f>IF(AND(H21&gt;=1,H21&lt;='Decor Guide'!$B$15,J21&gt;0,MOD(J21,IF(I21="Coins",5,1))=0,K21&gt;='Decor Guide'!$B$7,K21&lt;='Decor Guide'!$B$8,L21&gt;0,N21&gt;0,O21&gt;0,MAX(N21,O21)&lt;='Decor Guide'!$F$8,OR(AND(F21="Coin",I21="Coins"),AND(F21="Premium",I21="Pearls"),AND(F21="Limited Edition",OR(I21="Coins",I21="Pearls"))),OR(AND(F21="Limited Edition",R21&lt;&gt;"None"),AND(F21&lt;&gt;"Limited Edition",R21="None"))),"OK","REVIEW")</x:f>
        <x:v>OK</x:v>
      </x:c>
    </x:row>
    <x:row r="22" ht="48" customHeight="1">
      <x:c r="A22" s="204" t="str">
        <x:v>CP-18</x:v>
      </x:c>
      <x:c r="B22" s="204" t="str">
        <x:v>Pearlweed Pillow</x:v>
      </x:c>
      <x:c r="C22" s="192" t="str">
        <x:v>Plant</x:v>
      </x:c>
      <x:c r="D22" s="192" t="str">
        <x:v>Carpet Plant</x:v>
      </x:c>
      <x:c r="E22" s="192" t="str">
        <x:v>Freshwater Garden</x:v>
      </x:c>
      <x:c r="F22" s="192" t="str">
        <x:v>Coin</x:v>
      </x:c>
      <x:c r="G22" s="192" t="str">
        <x:v>Rare</x:v>
      </x:c>
      <x:c r="H22" s="198" t="n">
        <x:v>26</x:v>
      </x:c>
      <x:c r="I22" s="199" t="str">
        <x:v>Coins</x:v>
      </x:c>
      <x:c r="J22" s="198" t="n">
        <x:v>3800</x:v>
      </x:c>
      <x:c r="K22" s="200" t="n">
        <x:f>MIN('Decor Guide'!$B$8,MAX('Decor Guide'!$B$7,INT(INDEX('XP Curve'!$F$4:$F$73,MIN(H22+1,'Decor Guide'!$B$15))*'Decor Guide'!$B$9)),MAX('Decor Guide'!$B$7,ROUND(IF(I22="Coins",J22*'Decor Guide'!$B$5,J22*'Decor Guide'!$B$6),0)))</x:f>
        <x:v>114</x:v>
      </x:c>
      <x:c r="L22" s="200" t="n">
        <x:f>VLOOKUP(M22,'Decor Guide'!$E$5:$G$8,3,FALSE)</x:f>
        <x:v>35</x:v>
      </x:c>
      <x:c r="M22" s="201" t="str">
        <x:f>IF(MAX(N22,O22)&lt;='Decor Guide'!$F$5,'Decor Guide'!$E$5,IF(MAX(N22,O22)&lt;='Decor Guide'!$F$6,'Decor Guide'!$E$6,IF(MAX(N22,O22)&lt;='Decor Guide'!$F$7,'Decor Guide'!$E$7,'Decor Guide'!$E$8)))</x:f>
        <x:v>Large</x:v>
      </x:c>
      <x:c r="N22" s="236" t="n">
        <x:v>2.8</x:v>
      </x:c>
      <x:c r="O22" s="236" t="n">
        <x:v>1.4</x:v>
      </x:c>
      <x:c r="P22" s="192" t="str">
        <x:v>Foreground</x:v>
      </x:c>
      <x:c r="Q22" s="192" t="str">
        <x:f>IF(H22&lt;='Decor Guide'!$B$12,"Launch (L1–40)",IF(H22&lt;='Decor Guide'!$B$13,"Wave 1 (L41–50)",IF(H22&lt;='Decor Guide'!$B$14,"Wave 2 (L51–60)","Wave 3 (L61–70)")))</x:f>
        <x:v>Launch (L1–40)</x:v>
      </x:c>
      <x:c r="R22" s="192" t="str">
        <x:v>None</x:v>
      </x:c>
      <x:c r="S22" s="192" t="str">
        <x:f>IF(R22="None","Always available after unlock",VLOOKUP(R22,'Decor Live Ops'!$A$5:$L$16,2,FALSE))</x:f>
        <x:v>Always available after unlock</x:v>
      </x:c>
      <x:c r="T22" s="203" t="str">
        <x:f>IF(AND(H22&gt;=1,H22&lt;='Decor Guide'!$B$15,J22&gt;0,MOD(J22,IF(I22="Coins",5,1))=0,K22&gt;='Decor Guide'!$B$7,K22&lt;='Decor Guide'!$B$8,L22&gt;0,N22&gt;0,O22&gt;0,MAX(N22,O22)&lt;='Decor Guide'!$F$8,OR(AND(F22="Coin",I22="Coins"),AND(F22="Premium",I22="Pearls"),AND(F22="Limited Edition",OR(I22="Coins",I22="Pearls"))),OR(AND(F22="Limited Edition",R22&lt;&gt;"None"),AND(F22&lt;&gt;"Limited Edition",R22="None"))),"OK","REVIEW")</x:f>
        <x:v>OK</x:v>
      </x:c>
    </x:row>
    <x:row r="23" ht="48" customHeight="1">
      <x:c r="A23" s="204" t="str">
        <x:v>CP-19</x:v>
      </x:c>
      <x:c r="B23" s="204" t="str">
        <x:v>Laceleaf Aponogeton</x:v>
      </x:c>
      <x:c r="C23" s="192" t="str">
        <x:v>Plant</x:v>
      </x:c>
      <x:c r="D23" s="192" t="str">
        <x:v>Broadleaf Plant</x:v>
      </x:c>
      <x:c r="E23" s="192" t="str">
        <x:v>Botanical Rarities</x:v>
      </x:c>
      <x:c r="F23" s="192" t="str">
        <x:v>Coin</x:v>
      </x:c>
      <x:c r="G23" s="192" t="str">
        <x:v>Rare</x:v>
      </x:c>
      <x:c r="H23" s="198" t="n">
        <x:v>28</x:v>
      </x:c>
      <x:c r="I23" s="199" t="str">
        <x:v>Coins</x:v>
      </x:c>
      <x:c r="J23" s="198" t="n">
        <x:v>4600</x:v>
      </x:c>
      <x:c r="K23" s="200" t="n">
        <x:f>MIN('Decor Guide'!$B$8,MAX('Decor Guide'!$B$7,INT(INDEX('XP Curve'!$F$4:$F$73,MIN(H23+1,'Decor Guide'!$B$15))*'Decor Guide'!$B$9)),MAX('Decor Guide'!$B$7,ROUND(IF(I23="Coins",J23*'Decor Guide'!$B$5,J23*'Decor Guide'!$B$6),0)))</x:f>
        <x:v>120</x:v>
      </x:c>
      <x:c r="L23" s="200" t="n">
        <x:f>VLOOKUP(M23,'Decor Guide'!$E$5:$G$8,3,FALSE)</x:f>
        <x:v>35</x:v>
      </x:c>
      <x:c r="M23" s="201" t="str">
        <x:f>IF(MAX(N23,O23)&lt;='Decor Guide'!$F$5,'Decor Guide'!$E$5,IF(MAX(N23,O23)&lt;='Decor Guide'!$F$6,'Decor Guide'!$E$6,IF(MAX(N23,O23)&lt;='Decor Guide'!$F$7,'Decor Guide'!$E$7,'Decor Guide'!$E$8)))</x:f>
        <x:v>Large</x:v>
      </x:c>
      <x:c r="N23" s="236" t="n">
        <x:v>2.2</x:v>
      </x:c>
      <x:c r="O23" s="236" t="n">
        <x:v>3</x:v>
      </x:c>
      <x:c r="P23" s="192" t="str">
        <x:v>Background</x:v>
      </x:c>
      <x:c r="Q23" s="192" t="str">
        <x:f>IF(H23&lt;='Decor Guide'!$B$12,"Launch (L1–40)",IF(H23&lt;='Decor Guide'!$B$13,"Wave 1 (L41–50)",IF(H23&lt;='Decor Guide'!$B$14,"Wave 2 (L51–60)","Wave 3 (L61–70)")))</x:f>
        <x:v>Launch (L1–40)</x:v>
      </x:c>
      <x:c r="R23" s="192" t="str">
        <x:v>None</x:v>
      </x:c>
      <x:c r="S23" s="192" t="str">
        <x:f>IF(R23="None","Always available after unlock",VLOOKUP(R23,'Decor Live Ops'!$A$5:$L$16,2,FALSE))</x:f>
        <x:v>Always available after unlock</x:v>
      </x:c>
      <x:c r="T23" s="203" t="str">
        <x:f>IF(AND(H23&gt;=1,H23&lt;='Decor Guide'!$B$15,J23&gt;0,MOD(J23,IF(I23="Coins",5,1))=0,K23&gt;='Decor Guide'!$B$7,K23&lt;='Decor Guide'!$B$8,L23&gt;0,N23&gt;0,O23&gt;0,MAX(N23,O23)&lt;='Decor Guide'!$F$8,OR(AND(F23="Coin",I23="Coins"),AND(F23="Premium",I23="Pearls"),AND(F23="Limited Edition",OR(I23="Coins",I23="Pearls"))),OR(AND(F23="Limited Edition",R23&lt;&gt;"None"),AND(F23&lt;&gt;"Limited Edition",R23="None"))),"OK","REVIEW")</x:f>
        <x:v>OK</x:v>
      </x:c>
    </x:row>
    <x:row r="24" ht="48" customHeight="1">
      <x:c r="A24" s="204" t="str">
        <x:v>CP-20</x:v>
      </x:c>
      <x:c r="B24" s="204" t="str">
        <x:v>Ruffled Ribbon Plant</x:v>
      </x:c>
      <x:c r="C24" s="192" t="str">
        <x:v>Plant</x:v>
      </x:c>
      <x:c r="D24" s="192" t="str">
        <x:v>Ribbon Plant</x:v>
      </x:c>
      <x:c r="E24" s="192" t="str">
        <x:v>Botanical Rarities</x:v>
      </x:c>
      <x:c r="F24" s="192" t="str">
        <x:v>Coin</x:v>
      </x:c>
      <x:c r="G24" s="192" t="str">
        <x:v>Rare</x:v>
      </x:c>
      <x:c r="H24" s="198" t="n">
        <x:v>30</x:v>
      </x:c>
      <x:c r="I24" s="199" t="str">
        <x:v>Coins</x:v>
      </x:c>
      <x:c r="J24" s="198" t="n">
        <x:v>5500</x:v>
      </x:c>
      <x:c r="K24" s="200" t="n">
        <x:f>MIN('Decor Guide'!$B$8,MAX('Decor Guide'!$B$7,INT(INDEX('XP Curve'!$F$4:$F$73,MIN(H24+1,'Decor Guide'!$B$15))*'Decor Guide'!$B$9)),MAX('Decor Guide'!$B$7,ROUND(IF(I24="Coins",J24*'Decor Guide'!$B$5,J24*'Decor Guide'!$B$6),0)))</x:f>
        <x:v>120</x:v>
      </x:c>
      <x:c r="L24" s="200" t="n">
        <x:f>VLOOKUP(M24,'Decor Guide'!$E$5:$G$8,3,FALSE)</x:f>
        <x:v>35</x:v>
      </x:c>
      <x:c r="M24" s="201" t="str">
        <x:f>IF(MAX(N24,O24)&lt;='Decor Guide'!$F$5,'Decor Guide'!$E$5,IF(MAX(N24,O24)&lt;='Decor Guide'!$F$6,'Decor Guide'!$E$6,IF(MAX(N24,O24)&lt;='Decor Guide'!$F$7,'Decor Guide'!$E$7,'Decor Guide'!$E$8)))</x:f>
        <x:v>Large</x:v>
      </x:c>
      <x:c r="N24" s="236" t="n">
        <x:v>1.7</x:v>
      </x:c>
      <x:c r="O24" s="236" t="n">
        <x:v>3.1</x:v>
      </x:c>
      <x:c r="P24" s="192" t="str">
        <x:v>Background</x:v>
      </x:c>
      <x:c r="Q24" s="192" t="str">
        <x:f>IF(H24&lt;='Decor Guide'!$B$12,"Launch (L1–40)",IF(H24&lt;='Decor Guide'!$B$13,"Wave 1 (L41–50)",IF(H24&lt;='Decor Guide'!$B$14,"Wave 2 (L51–60)","Wave 3 (L61–70)")))</x:f>
        <x:v>Launch (L1–40)</x:v>
      </x:c>
      <x:c r="R24" s="192" t="str">
        <x:v>None</x:v>
      </x:c>
      <x:c r="S24" s="192" t="str">
        <x:f>IF(R24="None","Always available after unlock",VLOOKUP(R24,'Decor Live Ops'!$A$5:$L$16,2,FALSE))</x:f>
        <x:v>Always available after unlock</x:v>
      </x:c>
      <x:c r="T24" s="203" t="str">
        <x:f>IF(AND(H24&gt;=1,H24&lt;='Decor Guide'!$B$15,J24&gt;0,MOD(J24,IF(I24="Coins",5,1))=0,K24&gt;='Decor Guide'!$B$7,K24&lt;='Decor Guide'!$B$8,L24&gt;0,N24&gt;0,O24&gt;0,MAX(N24,O24)&lt;='Decor Guide'!$F$8,OR(AND(F24="Coin",I24="Coins"),AND(F24="Premium",I24="Pearls"),AND(F24="Limited Edition",OR(I24="Coins",I24="Pearls"))),OR(AND(F24="Limited Edition",R24&lt;&gt;"None"),AND(F24&lt;&gt;"Limited Edition",R24="None"))),"OK","REVIEW")</x:f>
        <x:v>OK</x:v>
      </x:c>
    </x:row>
    <x:row r="25" ht="48" customHeight="1">
      <x:c r="A25" s="204" t="str">
        <x:v>CP-21</x:v>
      </x:c>
      <x:c r="B25" s="204" t="str">
        <x:v>Bolbitis River Fern</x:v>
      </x:c>
      <x:c r="C25" s="192" t="str">
        <x:v>Plant</x:v>
      </x:c>
      <x:c r="D25" s="192" t="str">
        <x:v>Fern</x:v>
      </x:c>
      <x:c r="E25" s="192" t="str">
        <x:v>Woodland Creek</x:v>
      </x:c>
      <x:c r="F25" s="192" t="str">
        <x:v>Coin</x:v>
      </x:c>
      <x:c r="G25" s="192" t="str">
        <x:v>Rare</x:v>
      </x:c>
      <x:c r="H25" s="198" t="n">
        <x:v>32</x:v>
      </x:c>
      <x:c r="I25" s="199" t="str">
        <x:v>Coins</x:v>
      </x:c>
      <x:c r="J25" s="198" t="n">
        <x:v>6500</x:v>
      </x:c>
      <x:c r="K25" s="200" t="n">
        <x:f>MIN('Decor Guide'!$B$8,MAX('Decor Guide'!$B$7,INT(INDEX('XP Curve'!$F$4:$F$73,MIN(H25+1,'Decor Guide'!$B$15))*'Decor Guide'!$B$9)),MAX('Decor Guide'!$B$7,ROUND(IF(I25="Coins",J25*'Decor Guide'!$B$5,J25*'Decor Guide'!$B$6),0)))</x:f>
        <x:v>120</x:v>
      </x:c>
      <x:c r="L25" s="200" t="n">
        <x:f>VLOOKUP(M25,'Decor Guide'!$E$5:$G$8,3,FALSE)</x:f>
        <x:v>35</x:v>
      </x:c>
      <x:c r="M25" s="201" t="str">
        <x:f>IF(MAX(N25,O25)&lt;='Decor Guide'!$F$5,'Decor Guide'!$E$5,IF(MAX(N25,O25)&lt;='Decor Guide'!$F$6,'Decor Guide'!$E$6,IF(MAX(N25,O25)&lt;='Decor Guide'!$F$7,'Decor Guide'!$E$7,'Decor Guide'!$E$8)))</x:f>
        <x:v>Large</x:v>
      </x:c>
      <x:c r="N25" s="236" t="n">
        <x:v>2.5</x:v>
      </x:c>
      <x:c r="O25" s="236" t="n">
        <x:v>2.6</x:v>
      </x:c>
      <x:c r="P25" s="192" t="str">
        <x:v>Background</x:v>
      </x:c>
      <x:c r="Q25" s="192" t="str">
        <x:f>IF(H25&lt;='Decor Guide'!$B$12,"Launch (L1–40)",IF(H25&lt;='Decor Guide'!$B$13,"Wave 1 (L41–50)",IF(H25&lt;='Decor Guide'!$B$14,"Wave 2 (L51–60)","Wave 3 (L61–70)")))</x:f>
        <x:v>Launch (L1–40)</x:v>
      </x:c>
      <x:c r="R25" s="192" t="str">
        <x:v>None</x:v>
      </x:c>
      <x:c r="S25" s="192" t="str">
        <x:f>IF(R25="None","Always available after unlock",VLOOKUP(R25,'Decor Live Ops'!$A$5:$L$16,2,FALSE))</x:f>
        <x:v>Always available after unlock</x:v>
      </x:c>
      <x:c r="T25" s="203" t="str">
        <x:f>IF(AND(H25&gt;=1,H25&lt;='Decor Guide'!$B$15,J25&gt;0,MOD(J25,IF(I25="Coins",5,1))=0,K25&gt;='Decor Guide'!$B$7,K25&lt;='Decor Guide'!$B$8,L25&gt;0,N25&gt;0,O25&gt;0,MAX(N25,O25)&lt;='Decor Guide'!$F$8,OR(AND(F25="Coin",I25="Coins"),AND(F25="Premium",I25="Pearls"),AND(F25="Limited Edition",OR(I25="Coins",I25="Pearls"))),OR(AND(F25="Limited Edition",R25&lt;&gt;"None"),AND(F25&lt;&gt;"Limited Edition",R25="None"))),"OK","REVIEW")</x:f>
        <x:v>OK</x:v>
      </x:c>
    </x:row>
    <x:row r="26" ht="48" customHeight="1">
      <x:c r="A26" s="204" t="str">
        <x:v>CP-22</x:v>
      </x:c>
      <x:c r="B26" s="204" t="str">
        <x:v>Bucephalandra Velvet</x:v>
      </x:c>
      <x:c r="C26" s="192" t="str">
        <x:v>Plant</x:v>
      </x:c>
      <x:c r="D26" s="192" t="str">
        <x:v>Rosette Plant</x:v>
      </x:c>
      <x:c r="E26" s="192" t="str">
        <x:v>Botanical Rarities</x:v>
      </x:c>
      <x:c r="F26" s="192" t="str">
        <x:v>Coin</x:v>
      </x:c>
      <x:c r="G26" s="192" t="str">
        <x:v>Rare</x:v>
      </x:c>
      <x:c r="H26" s="198" t="n">
        <x:v>34</x:v>
      </x:c>
      <x:c r="I26" s="199" t="str">
        <x:v>Coins</x:v>
      </x:c>
      <x:c r="J26" s="198" t="n">
        <x:v>7600</x:v>
      </x:c>
      <x:c r="K26" s="200" t="n">
        <x:f>MIN('Decor Guide'!$B$8,MAX('Decor Guide'!$B$7,INT(INDEX('XP Curve'!$F$4:$F$73,MIN(H26+1,'Decor Guide'!$B$15))*'Decor Guide'!$B$9)),MAX('Decor Guide'!$B$7,ROUND(IF(I26="Coins",J26*'Decor Guide'!$B$5,J26*'Decor Guide'!$B$6),0)))</x:f>
        <x:v>120</x:v>
      </x:c>
      <x:c r="L26" s="200" t="n">
        <x:f>VLOOKUP(M26,'Decor Guide'!$E$5:$G$8,3,FALSE)</x:f>
        <x:v>20</x:v>
      </x:c>
      <x:c r="M26" s="201" t="str">
        <x:f>IF(MAX(N26,O26)&lt;='Decor Guide'!$F$5,'Decor Guide'!$E$5,IF(MAX(N26,O26)&lt;='Decor Guide'!$F$6,'Decor Guide'!$E$6,IF(MAX(N26,O26)&lt;='Decor Guide'!$F$7,'Decor Guide'!$E$7,'Decor Guide'!$E$8)))</x:f>
        <x:v>Medium</x:v>
      </x:c>
      <x:c r="N26" s="236" t="n">
        <x:v>1.8</x:v>
      </x:c>
      <x:c r="O26" s="236" t="n">
        <x:v>1.4</x:v>
      </x:c>
      <x:c r="P26" s="192" t="str">
        <x:v>Midground</x:v>
      </x:c>
      <x:c r="Q26" s="192" t="str">
        <x:f>IF(H26&lt;='Decor Guide'!$B$12,"Launch (L1–40)",IF(H26&lt;='Decor Guide'!$B$13,"Wave 1 (L41–50)",IF(H26&lt;='Decor Guide'!$B$14,"Wave 2 (L51–60)","Wave 3 (L61–70)")))</x:f>
        <x:v>Launch (L1–40)</x:v>
      </x:c>
      <x:c r="R26" s="192" t="str">
        <x:v>None</x:v>
      </x:c>
      <x:c r="S26" s="192" t="str">
        <x:f>IF(R26="None","Always available after unlock",VLOOKUP(R26,'Decor Live Ops'!$A$5:$L$16,2,FALSE))</x:f>
        <x:v>Always available after unlock</x:v>
      </x:c>
      <x:c r="T26" s="203" t="str">
        <x:f>IF(AND(H26&gt;=1,H26&lt;='Decor Guide'!$B$15,J26&gt;0,MOD(J26,IF(I26="Coins",5,1))=0,K26&gt;='Decor Guide'!$B$7,K26&lt;='Decor Guide'!$B$8,L26&gt;0,N26&gt;0,O26&gt;0,MAX(N26,O26)&lt;='Decor Guide'!$F$8,OR(AND(F26="Coin",I26="Coins"),AND(F26="Premium",I26="Pearls"),AND(F26="Limited Edition",OR(I26="Coins",I26="Pearls"))),OR(AND(F26="Limited Edition",R26&lt;&gt;"None"),AND(F26&lt;&gt;"Limited Edition",R26="None"))),"OK","REVIEW")</x:f>
        <x:v>OK</x:v>
      </x:c>
    </x:row>
    <x:row r="27" ht="48" customHeight="1">
      <x:c r="A27" s="204" t="str">
        <x:v>CP-23</x:v>
      </x:c>
      <x:c r="B27" s="204" t="str">
        <x:v>Scarlet Temple Bush</x:v>
      </x:c>
      <x:c r="C27" s="192" t="str">
        <x:v>Plant</x:v>
      </x:c>
      <x:c r="D27" s="192" t="str">
        <x:v>Stem Plant</x:v>
      </x:c>
      <x:c r="E27" s="192" t="str">
        <x:v>Sunset Wetlands</x:v>
      </x:c>
      <x:c r="F27" s="192" t="str">
        <x:v>Coin</x:v>
      </x:c>
      <x:c r="G27" s="192" t="str">
        <x:v>Epic</x:v>
      </x:c>
      <x:c r="H27" s="198" t="n">
        <x:v>36</x:v>
      </x:c>
      <x:c r="I27" s="199" t="str">
        <x:v>Coins</x:v>
      </x:c>
      <x:c r="J27" s="198" t="n">
        <x:v>9000</x:v>
      </x:c>
      <x:c r="K27" s="200" t="n">
        <x:f>MIN('Decor Guide'!$B$8,MAX('Decor Guide'!$B$7,INT(INDEX('XP Curve'!$F$4:$F$73,MIN(H27+1,'Decor Guide'!$B$15))*'Decor Guide'!$B$9)),MAX('Decor Guide'!$B$7,ROUND(IF(I27="Coins",J27*'Decor Guide'!$B$5,J27*'Decor Guide'!$B$6),0)))</x:f>
        <x:v>120</x:v>
      </x:c>
      <x:c r="L27" s="200" t="n">
        <x:f>VLOOKUP(M27,'Decor Guide'!$E$5:$G$8,3,FALSE)</x:f>
        <x:v>35</x:v>
      </x:c>
      <x:c r="M27" s="201" t="str">
        <x:f>IF(MAX(N27,O27)&lt;='Decor Guide'!$F$5,'Decor Guide'!$E$5,IF(MAX(N27,O27)&lt;='Decor Guide'!$F$6,'Decor Guide'!$E$6,IF(MAX(N27,O27)&lt;='Decor Guide'!$F$7,'Decor Guide'!$E$7,'Decor Guide'!$E$8)))</x:f>
        <x:v>Large</x:v>
      </x:c>
      <x:c r="N27" s="236" t="n">
        <x:v>2.8</x:v>
      </x:c>
      <x:c r="O27" s="236" t="n">
        <x:v>3</x:v>
      </x:c>
      <x:c r="P27" s="192" t="str">
        <x:v>Background</x:v>
      </x:c>
      <x:c r="Q27" s="192" t="str">
        <x:f>IF(H27&lt;='Decor Guide'!$B$12,"Launch (L1–40)",IF(H27&lt;='Decor Guide'!$B$13,"Wave 1 (L41–50)",IF(H27&lt;='Decor Guide'!$B$14,"Wave 2 (L51–60)","Wave 3 (L61–70)")))</x:f>
        <x:v>Launch (L1–40)</x:v>
      </x:c>
      <x:c r="R27" s="192" t="str">
        <x:v>None</x:v>
      </x:c>
      <x:c r="S27" s="192" t="str">
        <x:f>IF(R27="None","Always available after unlock",VLOOKUP(R27,'Decor Live Ops'!$A$5:$L$16,2,FALSE))</x:f>
        <x:v>Always available after unlock</x:v>
      </x:c>
      <x:c r="T27" s="203" t="str">
        <x:f>IF(AND(H27&gt;=1,H27&lt;='Decor Guide'!$B$15,J27&gt;0,MOD(J27,IF(I27="Coins",5,1))=0,K27&gt;='Decor Guide'!$B$7,K27&lt;='Decor Guide'!$B$8,L27&gt;0,N27&gt;0,O27&gt;0,MAX(N27,O27)&lt;='Decor Guide'!$F$8,OR(AND(F27="Coin",I27="Coins"),AND(F27="Premium",I27="Pearls"),AND(F27="Limited Edition",OR(I27="Coins",I27="Pearls"))),OR(AND(F27="Limited Edition",R27&lt;&gt;"None"),AND(F27&lt;&gt;"Limited Edition",R27="None"))),"OK","REVIEW")</x:f>
        <x:v>OK</x:v>
      </x:c>
    </x:row>
    <x:row r="28" ht="48" customHeight="1">
      <x:c r="A28" s="204" t="str">
        <x:v>CP-24</x:v>
      </x:c>
      <x:c r="B28" s="204" t="str">
        <x:v>Willow Hygrophila</x:v>
      </x:c>
      <x:c r="C28" s="192" t="str">
        <x:v>Plant</x:v>
      </x:c>
      <x:c r="D28" s="192" t="str">
        <x:v>Stem Plant</x:v>
      </x:c>
      <x:c r="E28" s="192" t="str">
        <x:v>Botanical Rarities</x:v>
      </x:c>
      <x:c r="F28" s="192" t="str">
        <x:v>Coin</x:v>
      </x:c>
      <x:c r="G28" s="192" t="str">
        <x:v>Epic</x:v>
      </x:c>
      <x:c r="H28" s="198" t="n">
        <x:v>38</x:v>
      </x:c>
      <x:c r="I28" s="199" t="str">
        <x:v>Coins</x:v>
      </x:c>
      <x:c r="J28" s="198" t="n">
        <x:v>10500</x:v>
      </x:c>
      <x:c r="K28" s="200" t="n">
        <x:f>MIN('Decor Guide'!$B$8,MAX('Decor Guide'!$B$7,INT(INDEX('XP Curve'!$F$4:$F$73,MIN(H28+1,'Decor Guide'!$B$15))*'Decor Guide'!$B$9)),MAX('Decor Guide'!$B$7,ROUND(IF(I28="Coins",J28*'Decor Guide'!$B$5,J28*'Decor Guide'!$B$6),0)))</x:f>
        <x:v>120</x:v>
      </x:c>
      <x:c r="L28" s="200" t="n">
        <x:f>VLOOKUP(M28,'Decor Guide'!$E$5:$G$8,3,FALSE)</x:f>
        <x:v>35</x:v>
      </x:c>
      <x:c r="M28" s="201" t="str">
        <x:f>IF(MAX(N28,O28)&lt;='Decor Guide'!$F$5,'Decor Guide'!$E$5,IF(MAX(N28,O28)&lt;='Decor Guide'!$F$6,'Decor Guide'!$E$6,IF(MAX(N28,O28)&lt;='Decor Guide'!$F$7,'Decor Guide'!$E$7,'Decor Guide'!$E$8)))</x:f>
        <x:v>Large</x:v>
      </x:c>
      <x:c r="N28" s="236" t="n">
        <x:v>2.8</x:v>
      </x:c>
      <x:c r="O28" s="236" t="n">
        <x:v>3.2</x:v>
      </x:c>
      <x:c r="P28" s="192" t="str">
        <x:v>Background</x:v>
      </x:c>
      <x:c r="Q28" s="192" t="str">
        <x:f>IF(H28&lt;='Decor Guide'!$B$12,"Launch (L1–40)",IF(H28&lt;='Decor Guide'!$B$13,"Wave 1 (L41–50)",IF(H28&lt;='Decor Guide'!$B$14,"Wave 2 (L51–60)","Wave 3 (L61–70)")))</x:f>
        <x:v>Launch (L1–40)</x:v>
      </x:c>
      <x:c r="R28" s="192" t="str">
        <x:v>None</x:v>
      </x:c>
      <x:c r="S28" s="192" t="str">
        <x:f>IF(R28="None","Always available after unlock",VLOOKUP(R28,'Decor Live Ops'!$A$5:$L$16,2,FALSE))</x:f>
        <x:v>Always available after unlock</x:v>
      </x:c>
      <x:c r="T28" s="203" t="str">
        <x:f>IF(AND(H28&gt;=1,H28&lt;='Decor Guide'!$B$15,J28&gt;0,MOD(J28,IF(I28="Coins",5,1))=0,K28&gt;='Decor Guide'!$B$7,K28&lt;='Decor Guide'!$B$8,L28&gt;0,N28&gt;0,O28&gt;0,MAX(N28,O28)&lt;='Decor Guide'!$F$8,OR(AND(F28="Coin",I28="Coins"),AND(F28="Premium",I28="Pearls"),AND(F28="Limited Edition",OR(I28="Coins",I28="Pearls"))),OR(AND(F28="Limited Edition",R28&lt;&gt;"None"),AND(F28&lt;&gt;"Limited Edition",R28="None"))),"OK","REVIEW")</x:f>
        <x:v>OK</x:v>
      </x:c>
    </x:row>
    <x:row r="29" ht="48" customHeight="1">
      <x:c r="A29" s="204" t="str">
        <x:v>CP-25</x:v>
      </x:c>
      <x:c r="B29" s="204" t="str">
        <x:v>Mangrove Root Sapling</x:v>
      </x:c>
      <x:c r="C29" s="192" t="str">
        <x:v>Plant</x:v>
      </x:c>
      <x:c r="D29" s="192" t="str">
        <x:v>Rooted Plant</x:v>
      </x:c>
      <x:c r="E29" s="192" t="str">
        <x:v>Tropical Lagoon</x:v>
      </x:c>
      <x:c r="F29" s="192" t="str">
        <x:v>Coin</x:v>
      </x:c>
      <x:c r="G29" s="192" t="str">
        <x:v>Epic</x:v>
      </x:c>
      <x:c r="H29" s="198" t="n">
        <x:v>40</x:v>
      </x:c>
      <x:c r="I29" s="199" t="str">
        <x:v>Coins</x:v>
      </x:c>
      <x:c r="J29" s="198" t="n">
        <x:v>12000</x:v>
      </x:c>
      <x:c r="K29" s="200" t="n">
        <x:f>MIN('Decor Guide'!$B$8,MAX('Decor Guide'!$B$7,INT(INDEX('XP Curve'!$F$4:$F$73,MIN(H29+1,'Decor Guide'!$B$15))*'Decor Guide'!$B$9)),MAX('Decor Guide'!$B$7,ROUND(IF(I29="Coins",J29*'Decor Guide'!$B$5,J29*'Decor Guide'!$B$6),0)))</x:f>
        <x:v>120</x:v>
      </x:c>
      <x:c r="L29" s="200" t="n">
        <x:f>VLOOKUP(M29,'Decor Guide'!$E$5:$G$8,3,FALSE)</x:f>
        <x:v>50</x:v>
      </x:c>
      <x:c r="M29" s="201" t="str">
        <x:f>IF(MAX(N29,O29)&lt;='Decor Guide'!$F$5,'Decor Guide'!$E$5,IF(MAX(N29,O29)&lt;='Decor Guide'!$F$6,'Decor Guide'!$E$6,IF(MAX(N29,O29)&lt;='Decor Guide'!$F$7,'Decor Guide'!$E$7,'Decor Guide'!$E$8)))</x:f>
        <x:v>XL</x:v>
      </x:c>
      <x:c r="N29" s="236" t="n">
        <x:v>3</x:v>
      </x:c>
      <x:c r="O29" s="236" t="n">
        <x:v>3.5</x:v>
      </x:c>
      <x:c r="P29" s="192" t="str">
        <x:v>Background</x:v>
      </x:c>
      <x:c r="Q29" s="192" t="str">
        <x:f>IF(H29&lt;='Decor Guide'!$B$12,"Launch (L1–40)",IF(H29&lt;='Decor Guide'!$B$13,"Wave 1 (L41–50)",IF(H29&lt;='Decor Guide'!$B$14,"Wave 2 (L51–60)","Wave 3 (L61–70)")))</x:f>
        <x:v>Launch (L1–40)</x:v>
      </x:c>
      <x:c r="R29" s="192" t="str">
        <x:v>None</x:v>
      </x:c>
      <x:c r="S29" s="192" t="str">
        <x:f>IF(R29="None","Always available after unlock",VLOOKUP(R29,'Decor Live Ops'!$A$5:$L$16,2,FALSE))</x:f>
        <x:v>Always available after unlock</x:v>
      </x:c>
      <x:c r="T29" s="203" t="str">
        <x:f>IF(AND(H29&gt;=1,H29&lt;='Decor Guide'!$B$15,J29&gt;0,MOD(J29,IF(I29="Coins",5,1))=0,K29&gt;='Decor Guide'!$B$7,K29&lt;='Decor Guide'!$B$8,L29&gt;0,N29&gt;0,O29&gt;0,MAX(N29,O29)&lt;='Decor Guide'!$F$8,OR(AND(F29="Coin",I29="Coins"),AND(F29="Premium",I29="Pearls"),AND(F29="Limited Edition",OR(I29="Coins",I29="Pearls"))),OR(AND(F29="Limited Edition",R29&lt;&gt;"None"),AND(F29&lt;&gt;"Limited Edition",R29="None"))),"OK","REVIEW")</x:f>
        <x:v>OK</x:v>
      </x:c>
    </x:row>
    <x:row r="30" ht="48" customHeight="1">
      <x:c r="A30" s="204" t="str">
        <x:v>CP-26</x:v>
      </x:c>
      <x:c r="B30" s="204" t="str">
        <x:v>Crystalgrass Crescent</x:v>
      </x:c>
      <x:c r="C30" s="192" t="str">
        <x:v>Plant</x:v>
      </x:c>
      <x:c r="D30" s="192" t="str">
        <x:v>Fantasy Plant</x:v>
      </x:c>
      <x:c r="E30" s="192" t="str">
        <x:v>Crystal Grotto</x:v>
      </x:c>
      <x:c r="F30" s="192" t="str">
        <x:v>Coin</x:v>
      </x:c>
      <x:c r="G30" s="192" t="str">
        <x:v>Epic</x:v>
      </x:c>
      <x:c r="H30" s="198" t="n">
        <x:v>44</x:v>
      </x:c>
      <x:c r="I30" s="199" t="str">
        <x:v>Coins</x:v>
      </x:c>
      <x:c r="J30" s="198" t="n">
        <x:v>15000</x:v>
      </x:c>
      <x:c r="K30" s="200" t="n">
        <x:f>MIN('Decor Guide'!$B$8,MAX('Decor Guide'!$B$7,INT(INDEX('XP Curve'!$F$4:$F$73,MIN(H30+1,'Decor Guide'!$B$15))*'Decor Guide'!$B$9)),MAX('Decor Guide'!$B$7,ROUND(IF(I30="Coins",J30*'Decor Guide'!$B$5,J30*'Decor Guide'!$B$6),0)))</x:f>
        <x:v>120</x:v>
      </x:c>
      <x:c r="L30" s="200" t="n">
        <x:f>VLOOKUP(M30,'Decor Guide'!$E$5:$G$8,3,FALSE)</x:f>
        <x:v>35</x:v>
      </x:c>
      <x:c r="M30" s="201" t="str">
        <x:f>IF(MAX(N30,O30)&lt;='Decor Guide'!$F$5,'Decor Guide'!$E$5,IF(MAX(N30,O30)&lt;='Decor Guide'!$F$6,'Decor Guide'!$E$6,IF(MAX(N30,O30)&lt;='Decor Guide'!$F$7,'Decor Guide'!$E$7,'Decor Guide'!$E$8)))</x:f>
        <x:v>Large</x:v>
      </x:c>
      <x:c r="N30" s="236" t="n">
        <x:v>2.4</x:v>
      </x:c>
      <x:c r="O30" s="236" t="n">
        <x:v>2.2</x:v>
      </x:c>
      <x:c r="P30" s="192" t="str">
        <x:v>Midground</x:v>
      </x:c>
      <x:c r="Q30" s="192" t="str">
        <x:f>IF(H30&lt;='Decor Guide'!$B$12,"Launch (L1–40)",IF(H30&lt;='Decor Guide'!$B$13,"Wave 1 (L41–50)",IF(H30&lt;='Decor Guide'!$B$14,"Wave 2 (L51–60)","Wave 3 (L61–70)")))</x:f>
        <x:v>Wave 1 (L41–50)</x:v>
      </x:c>
      <x:c r="R30" s="192" t="str">
        <x:v>None</x:v>
      </x:c>
      <x:c r="S30" s="192" t="str">
        <x:f>IF(R30="None","Always available after unlock",VLOOKUP(R30,'Decor Live Ops'!$A$5:$L$16,2,FALSE))</x:f>
        <x:v>Always available after unlock</x:v>
      </x:c>
      <x:c r="T30" s="203" t="str">
        <x:f>IF(AND(H30&gt;=1,H30&lt;='Decor Guide'!$B$15,J30&gt;0,MOD(J30,IF(I30="Coins",5,1))=0,K30&gt;='Decor Guide'!$B$7,K30&lt;='Decor Guide'!$B$8,L30&gt;0,N30&gt;0,O30&gt;0,MAX(N30,O30)&lt;='Decor Guide'!$F$8,OR(AND(F30="Coin",I30="Coins"),AND(F30="Premium",I30="Pearls"),AND(F30="Limited Edition",OR(I30="Coins",I30="Pearls"))),OR(AND(F30="Limited Edition",R30&lt;&gt;"None"),AND(F30&lt;&gt;"Limited Edition",R30="None"))),"OK","REVIEW")</x:f>
        <x:v>OK</x:v>
      </x:c>
    </x:row>
    <x:row r="31" ht="48" customHeight="1">
      <x:c r="A31" s="204" t="str">
        <x:v>CP-27</x:v>
      </x:c>
      <x:c r="B31" s="204" t="str">
        <x:v>Sapphire Fanleaf</x:v>
      </x:c>
      <x:c r="C31" s="192" t="str">
        <x:v>Plant</x:v>
      </x:c>
      <x:c r="D31" s="192" t="str">
        <x:v>Fantasy Plant</x:v>
      </x:c>
      <x:c r="E31" s="192" t="str">
        <x:v>Deep Sea</x:v>
      </x:c>
      <x:c r="F31" s="192" t="str">
        <x:v>Coin</x:v>
      </x:c>
      <x:c r="G31" s="192" t="str">
        <x:v>Epic</x:v>
      </x:c>
      <x:c r="H31" s="198" t="n">
        <x:v>48</x:v>
      </x:c>
      <x:c r="I31" s="199" t="str">
        <x:v>Coins</x:v>
      </x:c>
      <x:c r="J31" s="198" t="n">
        <x:v>18500</x:v>
      </x:c>
      <x:c r="K31" s="200" t="n">
        <x:f>MIN('Decor Guide'!$B$8,MAX('Decor Guide'!$B$7,INT(INDEX('XP Curve'!$F$4:$F$73,MIN(H31+1,'Decor Guide'!$B$15))*'Decor Guide'!$B$9)),MAX('Decor Guide'!$B$7,ROUND(IF(I31="Coins",J31*'Decor Guide'!$B$5,J31*'Decor Guide'!$B$6),0)))</x:f>
        <x:v>120</x:v>
      </x:c>
      <x:c r="L31" s="200" t="n">
        <x:f>VLOOKUP(M31,'Decor Guide'!$E$5:$G$8,3,FALSE)</x:f>
        <x:v>35</x:v>
      </x:c>
      <x:c r="M31" s="201" t="str">
        <x:f>IF(MAX(N31,O31)&lt;='Decor Guide'!$F$5,'Decor Guide'!$E$5,IF(MAX(N31,O31)&lt;='Decor Guide'!$F$6,'Decor Guide'!$E$6,IF(MAX(N31,O31)&lt;='Decor Guide'!$F$7,'Decor Guide'!$E$7,'Decor Guide'!$E$8)))</x:f>
        <x:v>Large</x:v>
      </x:c>
      <x:c r="N31" s="236" t="n">
        <x:v>2.7</x:v>
      </x:c>
      <x:c r="O31" s="236" t="n">
        <x:v>3</x:v>
      </x:c>
      <x:c r="P31" s="192" t="str">
        <x:v>Background</x:v>
      </x:c>
      <x:c r="Q31" s="192" t="str">
        <x:f>IF(H31&lt;='Decor Guide'!$B$12,"Launch (L1–40)",IF(H31&lt;='Decor Guide'!$B$13,"Wave 1 (L41–50)",IF(H31&lt;='Decor Guide'!$B$14,"Wave 2 (L51–60)","Wave 3 (L61–70)")))</x:f>
        <x:v>Wave 1 (L41–50)</x:v>
      </x:c>
      <x:c r="R31" s="192" t="str">
        <x:v>None</x:v>
      </x:c>
      <x:c r="S31" s="192" t="str">
        <x:f>IF(R31="None","Always available after unlock",VLOOKUP(R31,'Decor Live Ops'!$A$5:$L$16,2,FALSE))</x:f>
        <x:v>Always available after unlock</x:v>
      </x:c>
      <x:c r="T31" s="203" t="str">
        <x:f>IF(AND(H31&gt;=1,H31&lt;='Decor Guide'!$B$15,J31&gt;0,MOD(J31,IF(I31="Coins",5,1))=0,K31&gt;='Decor Guide'!$B$7,K31&lt;='Decor Guide'!$B$8,L31&gt;0,N31&gt;0,O31&gt;0,MAX(N31,O31)&lt;='Decor Guide'!$F$8,OR(AND(F31="Coin",I31="Coins"),AND(F31="Premium",I31="Pearls"),AND(F31="Limited Edition",OR(I31="Coins",I31="Pearls"))),OR(AND(F31="Limited Edition",R31&lt;&gt;"None"),AND(F31&lt;&gt;"Limited Edition",R31="None"))),"OK","REVIEW")</x:f>
        <x:v>OK</x:v>
      </x:c>
    </x:row>
    <x:row r="32" ht="48" customHeight="1">
      <x:c r="A32" s="204" t="str">
        <x:v>CP-28</x:v>
      </x:c>
      <x:c r="B32" s="204" t="str">
        <x:v>Amber Reed Cluster</x:v>
      </x:c>
      <x:c r="C32" s="192" t="str">
        <x:v>Plant</x:v>
      </x:c>
      <x:c r="D32" s="192" t="str">
        <x:v>Fantasy Plant</x:v>
      </x:c>
      <x:c r="E32" s="192" t="str">
        <x:v>Sunset Wetlands</x:v>
      </x:c>
      <x:c r="F32" s="192" t="str">
        <x:v>Coin</x:v>
      </x:c>
      <x:c r="G32" s="192" t="str">
        <x:v>Epic</x:v>
      </x:c>
      <x:c r="H32" s="198" t="n">
        <x:v>52</x:v>
      </x:c>
      <x:c r="I32" s="199" t="str">
        <x:v>Coins</x:v>
      </x:c>
      <x:c r="J32" s="198" t="n">
        <x:v>22500</x:v>
      </x:c>
      <x:c r="K32" s="200" t="n">
        <x:f>MIN('Decor Guide'!$B$8,MAX('Decor Guide'!$B$7,INT(INDEX('XP Curve'!$F$4:$F$73,MIN(H32+1,'Decor Guide'!$B$15))*'Decor Guide'!$B$9)),MAX('Decor Guide'!$B$7,ROUND(IF(I32="Coins",J32*'Decor Guide'!$B$5,J32*'Decor Guide'!$B$6),0)))</x:f>
        <x:v>120</x:v>
      </x:c>
      <x:c r="L32" s="200" t="n">
        <x:f>VLOOKUP(M32,'Decor Guide'!$E$5:$G$8,3,FALSE)</x:f>
        <x:v>50</x:v>
      </x:c>
      <x:c r="M32" s="201" t="str">
        <x:f>IF(MAX(N32,O32)&lt;='Decor Guide'!$F$5,'Decor Guide'!$E$5,IF(MAX(N32,O32)&lt;='Decor Guide'!$F$6,'Decor Guide'!$E$6,IF(MAX(N32,O32)&lt;='Decor Guide'!$F$7,'Decor Guide'!$E$7,'Decor Guide'!$E$8)))</x:f>
        <x:v>XL</x:v>
      </x:c>
      <x:c r="N32" s="236" t="n">
        <x:v>2</x:v>
      </x:c>
      <x:c r="O32" s="236" t="n">
        <x:v>3.4</x:v>
      </x:c>
      <x:c r="P32" s="192" t="str">
        <x:v>Background</x:v>
      </x:c>
      <x:c r="Q32" s="192" t="str">
        <x:f>IF(H32&lt;='Decor Guide'!$B$12,"Launch (L1–40)",IF(H32&lt;='Decor Guide'!$B$13,"Wave 1 (L41–50)",IF(H32&lt;='Decor Guide'!$B$14,"Wave 2 (L51–60)","Wave 3 (L61–70)")))</x:f>
        <x:v>Wave 2 (L51–60)</x:v>
      </x:c>
      <x:c r="R32" s="192" t="str">
        <x:v>None</x:v>
      </x:c>
      <x:c r="S32" s="192" t="str">
        <x:f>IF(R32="None","Always available after unlock",VLOOKUP(R32,'Decor Live Ops'!$A$5:$L$16,2,FALSE))</x:f>
        <x:v>Always available after unlock</x:v>
      </x:c>
      <x:c r="T32" s="203" t="str">
        <x:f>IF(AND(H32&gt;=1,H32&lt;='Decor Guide'!$B$15,J32&gt;0,MOD(J32,IF(I32="Coins",5,1))=0,K32&gt;='Decor Guide'!$B$7,K32&lt;='Decor Guide'!$B$8,L32&gt;0,N32&gt;0,O32&gt;0,MAX(N32,O32)&lt;='Decor Guide'!$F$8,OR(AND(F32="Coin",I32="Coins"),AND(F32="Premium",I32="Pearls"),AND(F32="Limited Edition",OR(I32="Coins",I32="Pearls"))),OR(AND(F32="Limited Edition",R32&lt;&gt;"None"),AND(F32&lt;&gt;"Limited Edition",R32="None"))),"OK","REVIEW")</x:f>
        <x:v>OK</x:v>
      </x:c>
    </x:row>
    <x:row r="33" ht="48" customHeight="1">
      <x:c r="A33" s="204" t="str">
        <x:v>CP-29</x:v>
      </x:c>
      <x:c r="B33" s="204" t="str">
        <x:v>Silver Lace Grove</x:v>
      </x:c>
      <x:c r="C33" s="192" t="str">
        <x:v>Plant</x:v>
      </x:c>
      <x:c r="D33" s="192" t="str">
        <x:v>Fantasy Plant</x:v>
      </x:c>
      <x:c r="E33" s="192" t="str">
        <x:v>Moonlit Garden</x:v>
      </x:c>
      <x:c r="F33" s="192" t="str">
        <x:v>Coin</x:v>
      </x:c>
      <x:c r="G33" s="192" t="str">
        <x:v>Epic</x:v>
      </x:c>
      <x:c r="H33" s="198" t="n">
        <x:v>56</x:v>
      </x:c>
      <x:c r="I33" s="199" t="str">
        <x:v>Coins</x:v>
      </x:c>
      <x:c r="J33" s="198" t="n">
        <x:v>26500</x:v>
      </x:c>
      <x:c r="K33" s="200" t="n">
        <x:f>MIN('Decor Guide'!$B$8,MAX('Decor Guide'!$B$7,INT(INDEX('XP Curve'!$F$4:$F$73,MIN(H33+1,'Decor Guide'!$B$15))*'Decor Guide'!$B$9)),MAX('Decor Guide'!$B$7,ROUND(IF(I33="Coins",J33*'Decor Guide'!$B$5,J33*'Decor Guide'!$B$6),0)))</x:f>
        <x:v>120</x:v>
      </x:c>
      <x:c r="L33" s="200" t="n">
        <x:f>VLOOKUP(M33,'Decor Guide'!$E$5:$G$8,3,FALSE)</x:f>
        <x:v>50</x:v>
      </x:c>
      <x:c r="M33" s="201" t="str">
        <x:f>IF(MAX(N33,O33)&lt;='Decor Guide'!$F$5,'Decor Guide'!$E$5,IF(MAX(N33,O33)&lt;='Decor Guide'!$F$6,'Decor Guide'!$E$6,IF(MAX(N33,O33)&lt;='Decor Guide'!$F$7,'Decor Guide'!$E$7,'Decor Guide'!$E$8)))</x:f>
        <x:v>XL</x:v>
      </x:c>
      <x:c r="N33" s="236" t="n">
        <x:v>3.1</x:v>
      </x:c>
      <x:c r="O33" s="236" t="n">
        <x:v>3.4</x:v>
      </x:c>
      <x:c r="P33" s="192" t="str">
        <x:v>Background</x:v>
      </x:c>
      <x:c r="Q33" s="192" t="str">
        <x:f>IF(H33&lt;='Decor Guide'!$B$12,"Launch (L1–40)",IF(H33&lt;='Decor Guide'!$B$13,"Wave 1 (L41–50)",IF(H33&lt;='Decor Guide'!$B$14,"Wave 2 (L51–60)","Wave 3 (L61–70)")))</x:f>
        <x:v>Wave 2 (L51–60)</x:v>
      </x:c>
      <x:c r="R33" s="192" t="str">
        <x:v>None</x:v>
      </x:c>
      <x:c r="S33" s="192" t="str">
        <x:f>IF(R33="None","Always available after unlock",VLOOKUP(R33,'Decor Live Ops'!$A$5:$L$16,2,FALSE))</x:f>
        <x:v>Always available after unlock</x:v>
      </x:c>
      <x:c r="T33" s="203" t="str">
        <x:f>IF(AND(H33&gt;=1,H33&lt;='Decor Guide'!$B$15,J33&gt;0,MOD(J33,IF(I33="Coins",5,1))=0,K33&gt;='Decor Guide'!$B$7,K33&lt;='Decor Guide'!$B$8,L33&gt;0,N33&gt;0,O33&gt;0,MAX(N33,O33)&lt;='Decor Guide'!$F$8,OR(AND(F33="Coin",I33="Coins"),AND(F33="Premium",I33="Pearls"),AND(F33="Limited Edition",OR(I33="Coins",I33="Pearls"))),OR(AND(F33="Limited Edition",R33&lt;&gt;"None"),AND(F33&lt;&gt;"Limited Edition",R33="None"))),"OK","REVIEW")</x:f>
        <x:v>OK</x:v>
      </x:c>
    </x:row>
    <x:row r="34" ht="48" customHeight="1">
      <x:c r="A34" s="204" t="str">
        <x:v>CP-30</x:v>
      </x:c>
      <x:c r="B34" s="204" t="str">
        <x:v>Giant Lotus Canopy</x:v>
      </x:c>
      <x:c r="C34" s="192" t="str">
        <x:v>Plant</x:v>
      </x:c>
      <x:c r="D34" s="192" t="str">
        <x:v>Lotus</x:v>
      </x:c>
      <x:c r="E34" s="192" t="str">
        <x:v>Zen Garden</x:v>
      </x:c>
      <x:c r="F34" s="192" t="str">
        <x:v>Coin</x:v>
      </x:c>
      <x:c r="G34" s="192" t="str">
        <x:v>Epic</x:v>
      </x:c>
      <x:c r="H34" s="198" t="n">
        <x:v>60</x:v>
      </x:c>
      <x:c r="I34" s="199" t="str">
        <x:v>Coins</x:v>
      </x:c>
      <x:c r="J34" s="198" t="n">
        <x:v>30000</x:v>
      </x:c>
      <x:c r="K34" s="200" t="n">
        <x:f>MIN('Decor Guide'!$B$8,MAX('Decor Guide'!$B$7,INT(INDEX('XP Curve'!$F$4:$F$73,MIN(H34+1,'Decor Guide'!$B$15))*'Decor Guide'!$B$9)),MAX('Decor Guide'!$B$7,ROUND(IF(I34="Coins",J34*'Decor Guide'!$B$5,J34*'Decor Guide'!$B$6),0)))</x:f>
        <x:v>120</x:v>
      </x:c>
      <x:c r="L34" s="200" t="n">
        <x:f>VLOOKUP(M34,'Decor Guide'!$E$5:$G$8,3,FALSE)</x:f>
        <x:v>50</x:v>
      </x:c>
      <x:c r="M34" s="201" t="str">
        <x:f>IF(MAX(N34,O34)&lt;='Decor Guide'!$F$5,'Decor Guide'!$E$5,IF(MAX(N34,O34)&lt;='Decor Guide'!$F$6,'Decor Guide'!$E$6,IF(MAX(N34,O34)&lt;='Decor Guide'!$F$7,'Decor Guide'!$E$7,'Decor Guide'!$E$8)))</x:f>
        <x:v>XL</x:v>
      </x:c>
      <x:c r="N34" s="236" t="n">
        <x:v>3.8</x:v>
      </x:c>
      <x:c r="O34" s="236" t="n">
        <x:v>3.4</x:v>
      </x:c>
      <x:c r="P34" s="192" t="str">
        <x:v>Background</x:v>
      </x:c>
      <x:c r="Q34" s="192" t="str">
        <x:f>IF(H34&lt;='Decor Guide'!$B$12,"Launch (L1–40)",IF(H34&lt;='Decor Guide'!$B$13,"Wave 1 (L41–50)",IF(H34&lt;='Decor Guide'!$B$14,"Wave 2 (L51–60)","Wave 3 (L61–70)")))</x:f>
        <x:v>Wave 2 (L51–60)</x:v>
      </x:c>
      <x:c r="R34" s="192" t="str">
        <x:v>None</x:v>
      </x:c>
      <x:c r="S34" s="192" t="str">
        <x:f>IF(R34="None","Always available after unlock",VLOOKUP(R34,'Decor Live Ops'!$A$5:$L$16,2,FALSE))</x:f>
        <x:v>Always available after unlock</x:v>
      </x:c>
      <x:c r="T34" s="203" t="str">
        <x:f>IF(AND(H34&gt;=1,H34&lt;='Decor Guide'!$B$15,J34&gt;0,MOD(J34,IF(I34="Coins",5,1))=0,K34&gt;='Decor Guide'!$B$7,K34&lt;='Decor Guide'!$B$8,L34&gt;0,N34&gt;0,O34&gt;0,MAX(N34,O34)&lt;='Decor Guide'!$F$8,OR(AND(F34="Coin",I34="Coins"),AND(F34="Premium",I34="Pearls"),AND(F34="Limited Edition",OR(I34="Coins",I34="Pearls"))),OR(AND(F34="Limited Edition",R34&lt;&gt;"None"),AND(F34&lt;&gt;"Limited Edition",R34="None"))),"OK","REVIEW")</x:f>
        <x:v>OK</x:v>
      </x:c>
    </x:row>
    <x:row r="35" ht="48" customHeight="1">
      <x:c r="A35" s="204" t="str">
        <x:v>CP-31</x:v>
      </x:c>
      <x:c r="B35" s="204" t="str">
        <x:v>Ancient Root Garden</x:v>
      </x:c>
      <x:c r="C35" s="192" t="str">
        <x:v>Plant</x:v>
      </x:c>
      <x:c r="D35" s="192" t="str">
        <x:v>Rooted Plant</x:v>
      </x:c>
      <x:c r="E35" s="192" t="str">
        <x:v>Woodland Creek</x:v>
      </x:c>
      <x:c r="F35" s="192" t="str">
        <x:v>Coin</x:v>
      </x:c>
      <x:c r="G35" s="192" t="str">
        <x:v>Legendary</x:v>
      </x:c>
      <x:c r="H35" s="198" t="n">
        <x:v>65</x:v>
      </x:c>
      <x:c r="I35" s="199" t="str">
        <x:v>Coins</x:v>
      </x:c>
      <x:c r="J35" s="198" t="n">
        <x:v>35000</x:v>
      </x:c>
      <x:c r="K35" s="200" t="n">
        <x:f>MIN('Decor Guide'!$B$8,MAX('Decor Guide'!$B$7,INT(INDEX('XP Curve'!$F$4:$F$73,MIN(H35+1,'Decor Guide'!$B$15))*'Decor Guide'!$B$9)),MAX('Decor Guide'!$B$7,ROUND(IF(I35="Coins",J35*'Decor Guide'!$B$5,J35*'Decor Guide'!$B$6),0)))</x:f>
        <x:v>120</x:v>
      </x:c>
      <x:c r="L35" s="200" t="n">
        <x:f>VLOOKUP(M35,'Decor Guide'!$E$5:$G$8,3,FALSE)</x:f>
        <x:v>50</x:v>
      </x:c>
      <x:c r="M35" s="201" t="str">
        <x:f>IF(MAX(N35,O35)&lt;='Decor Guide'!$F$5,'Decor Guide'!$E$5,IF(MAX(N35,O35)&lt;='Decor Guide'!$F$6,'Decor Guide'!$E$6,IF(MAX(N35,O35)&lt;='Decor Guide'!$F$7,'Decor Guide'!$E$7,'Decor Guide'!$E$8)))</x:f>
        <x:v>XL</x:v>
      </x:c>
      <x:c r="N35" s="236" t="n">
        <x:v>3.8</x:v>
      </x:c>
      <x:c r="O35" s="236" t="n">
        <x:v>3.5</x:v>
      </x:c>
      <x:c r="P35" s="192" t="str">
        <x:v>Background</x:v>
      </x:c>
      <x:c r="Q35" s="192" t="str">
        <x:f>IF(H35&lt;='Decor Guide'!$B$12,"Launch (L1–40)",IF(H35&lt;='Decor Guide'!$B$13,"Wave 1 (L41–50)",IF(H35&lt;='Decor Guide'!$B$14,"Wave 2 (L51–60)","Wave 3 (L61–70)")))</x:f>
        <x:v>Wave 3 (L61–70)</x:v>
      </x:c>
      <x:c r="R35" s="192" t="str">
        <x:v>None</x:v>
      </x:c>
      <x:c r="S35" s="192" t="str">
        <x:f>IF(R35="None","Always available after unlock",VLOOKUP(R35,'Decor Live Ops'!$A$5:$L$16,2,FALSE))</x:f>
        <x:v>Always available after unlock</x:v>
      </x:c>
      <x:c r="T35" s="203" t="str">
        <x:f>IF(AND(H35&gt;=1,H35&lt;='Decor Guide'!$B$15,J35&gt;0,MOD(J35,IF(I35="Coins",5,1))=0,K35&gt;='Decor Guide'!$B$7,K35&lt;='Decor Guide'!$B$8,L35&gt;0,N35&gt;0,O35&gt;0,MAX(N35,O35)&lt;='Decor Guide'!$F$8,OR(AND(F35="Coin",I35="Coins"),AND(F35="Premium",I35="Pearls"),AND(F35="Limited Edition",OR(I35="Coins",I35="Pearls"))),OR(AND(F35="Limited Edition",R35&lt;&gt;"None"),AND(F35&lt;&gt;"Limited Edition",R35="None"))),"OK","REVIEW")</x:f>
        <x:v>OK</x:v>
      </x:c>
    </x:row>
    <x:row r="36" ht="48" customHeight="1">
      <x:c r="A36" s="204" t="str">
        <x:v>CP-32</x:v>
      </x:c>
      <x:c r="B36" s="204" t="str">
        <x:v>Rainbow Ribbon Grove</x:v>
      </x:c>
      <x:c r="C36" s="192" t="str">
        <x:v>Plant</x:v>
      </x:c>
      <x:c r="D36" s="192" t="str">
        <x:v>Fantasy Plant</x:v>
      </x:c>
      <x:c r="E36" s="192" t="str">
        <x:v>Prism Reef</x:v>
      </x:c>
      <x:c r="F36" s="192" t="str">
        <x:v>Coin</x:v>
      </x:c>
      <x:c r="G36" s="192" t="str">
        <x:v>Legendary</x:v>
      </x:c>
      <x:c r="H36" s="198" t="n">
        <x:v>70</x:v>
      </x:c>
      <x:c r="I36" s="199" t="str">
        <x:v>Coins</x:v>
      </x:c>
      <x:c r="J36" s="198" t="n">
        <x:v>42000</x:v>
      </x:c>
      <x:c r="K36" s="200" t="n">
        <x:f>MIN('Decor Guide'!$B$8,MAX('Decor Guide'!$B$7,INT(INDEX('XP Curve'!$F$4:$F$73,MIN(H36+1,'Decor Guide'!$B$15))*'Decor Guide'!$B$9)),MAX('Decor Guide'!$B$7,ROUND(IF(I36="Coins",J36*'Decor Guide'!$B$5,J36*'Decor Guide'!$B$6),0)))</x:f>
        <x:v>120</x:v>
      </x:c>
      <x:c r="L36" s="200" t="n">
        <x:f>VLOOKUP(M36,'Decor Guide'!$E$5:$G$8,3,FALSE)</x:f>
        <x:v>50</x:v>
      </x:c>
      <x:c r="M36" s="201" t="str">
        <x:f>IF(MAX(N36,O36)&lt;='Decor Guide'!$F$5,'Decor Guide'!$E$5,IF(MAX(N36,O36)&lt;='Decor Guide'!$F$6,'Decor Guide'!$E$6,IF(MAX(N36,O36)&lt;='Decor Guide'!$F$7,'Decor Guide'!$E$7,'Decor Guide'!$E$8)))</x:f>
        <x:v>XL</x:v>
      </x:c>
      <x:c r="N36" s="236" t="n">
        <x:v>3.4</x:v>
      </x:c>
      <x:c r="O36" s="236" t="n">
        <x:v>4</x:v>
      </x:c>
      <x:c r="P36" s="192" t="str">
        <x:v>Background</x:v>
      </x:c>
      <x:c r="Q36" s="192" t="str">
        <x:f>IF(H36&lt;='Decor Guide'!$B$12,"Launch (L1–40)",IF(H36&lt;='Decor Guide'!$B$13,"Wave 1 (L41–50)",IF(H36&lt;='Decor Guide'!$B$14,"Wave 2 (L51–60)","Wave 3 (L61–70)")))</x:f>
        <x:v>Wave 3 (L61–70)</x:v>
      </x:c>
      <x:c r="R36" s="192" t="str">
        <x:v>None</x:v>
      </x:c>
      <x:c r="S36" s="192" t="str">
        <x:f>IF(R36="None","Always available after unlock",VLOOKUP(R36,'Decor Live Ops'!$A$5:$L$16,2,FALSE))</x:f>
        <x:v>Always available after unlock</x:v>
      </x:c>
      <x:c r="T36" s="203" t="str">
        <x:f>IF(AND(H36&gt;=1,H36&lt;='Decor Guide'!$B$15,J36&gt;0,MOD(J36,IF(I36="Coins",5,1))=0,K36&gt;='Decor Guide'!$B$7,K36&lt;='Decor Guide'!$B$8,L36&gt;0,N36&gt;0,O36&gt;0,MAX(N36,O36)&lt;='Decor Guide'!$F$8,OR(AND(F36="Coin",I36="Coins"),AND(F36="Premium",I36="Pearls"),AND(F36="Limited Edition",OR(I36="Coins",I36="Pearls"))),OR(AND(F36="Limited Edition",R36&lt;&gt;"None"),AND(F36&lt;&gt;"Limited Edition",R36="None"))),"OK","REVIEW")</x:f>
        <x:v>OK</x:v>
      </x:c>
    </x:row>
    <x:row r="37" ht="48" customHeight="1">
      <x:c r="A37" s="204" t="str">
        <x:v>CD-01</x:v>
      </x:c>
      <x:c r="B37" s="204" t="str">
        <x:v>River Pebble Pair</x:v>
      </x:c>
      <x:c r="C37" s="192" t="str">
        <x:v>Decoration</x:v>
      </x:c>
      <x:c r="D37" s="192" t="str">
        <x:v>Rock</x:v>
      </x:c>
      <x:c r="E37" s="192" t="str">
        <x:v>Freshwater Garden</x:v>
      </x:c>
      <x:c r="F37" s="192" t="str">
        <x:v>Coin</x:v>
      </x:c>
      <x:c r="G37" s="192" t="str">
        <x:v>Common</x:v>
      </x:c>
      <x:c r="H37" s="198" t="n">
        <x:v>1</x:v>
      </x:c>
      <x:c r="I37" s="199" t="str">
        <x:v>Coins</x:v>
      </x:c>
      <x:c r="J37" s="198" t="n">
        <x:v>40</x:v>
      </x:c>
      <x:c r="K37" s="200" t="n">
        <x:f>MIN('Decor Guide'!$B$8,MAX('Decor Guide'!$B$7,INT(INDEX('XP Curve'!$F$4:$F$73,MIN(H37+1,'Decor Guide'!$B$15))*'Decor Guide'!$B$9)),MAX('Decor Guide'!$B$7,ROUND(IF(I37="Coins",J37*'Decor Guide'!$B$5,J37*'Decor Guide'!$B$6),0)))</x:f>
        <x:v>1</x:v>
      </x:c>
      <x:c r="L37" s="200" t="n">
        <x:f>VLOOKUP(M37,'Decor Guide'!$E$5:$G$8,3,FALSE)</x:f>
        <x:v>10</x:v>
      </x:c>
      <x:c r="M37" s="201" t="str">
        <x:f>IF(MAX(N37,O37)&lt;='Decor Guide'!$F$5,'Decor Guide'!$E$5,IF(MAX(N37,O37)&lt;='Decor Guide'!$F$6,'Decor Guide'!$E$6,IF(MAX(N37,O37)&lt;='Decor Guide'!$F$7,'Decor Guide'!$E$7,'Decor Guide'!$E$8)))</x:f>
        <x:v>Small</x:v>
      </x:c>
      <x:c r="N37" s="236" t="n">
        <x:v>1.1</x:v>
      </x:c>
      <x:c r="O37" s="236" t="n">
        <x:v>0.65</x:v>
      </x:c>
      <x:c r="P37" s="192" t="str">
        <x:v>Foreground</x:v>
      </x:c>
      <x:c r="Q37" s="192" t="str">
        <x:f>IF(H37&lt;='Decor Guide'!$B$12,"Launch (L1–40)",IF(H37&lt;='Decor Guide'!$B$13,"Wave 1 (L41–50)",IF(H37&lt;='Decor Guide'!$B$14,"Wave 2 (L51–60)","Wave 3 (L61–70)")))</x:f>
        <x:v>Launch (L1–40)</x:v>
      </x:c>
      <x:c r="R37" s="192" t="str">
        <x:v>None</x:v>
      </x:c>
      <x:c r="S37" s="192" t="str">
        <x:f>IF(R37="None","Always available after unlock",VLOOKUP(R37,'Decor Live Ops'!$A$5:$L$16,2,FALSE))</x:f>
        <x:v>Always available after unlock</x:v>
      </x:c>
      <x:c r="T37" s="203" t="str">
        <x:f>IF(AND(H37&gt;=1,H37&lt;='Decor Guide'!$B$15,J37&gt;0,MOD(J37,IF(I37="Coins",5,1))=0,K37&gt;='Decor Guide'!$B$7,K37&lt;='Decor Guide'!$B$8,L37&gt;0,N37&gt;0,O37&gt;0,MAX(N37,O37)&lt;='Decor Guide'!$F$8,OR(AND(F37="Coin",I37="Coins"),AND(F37="Premium",I37="Pearls"),AND(F37="Limited Edition",OR(I37="Coins",I37="Pearls"))),OR(AND(F37="Limited Edition",R37&lt;&gt;"None"),AND(F37&lt;&gt;"Limited Edition",R37="None"))),"OK","REVIEW")</x:f>
        <x:v>OK</x:v>
      </x:c>
    </x:row>
    <x:row r="38" ht="48" customHeight="1">
      <x:c r="A38" s="204" t="str">
        <x:v>CD-02</x:v>
      </x:c>
      <x:c r="B38" s="204" t="str">
        <x:v>Spiral Shell</x:v>
      </x:c>
      <x:c r="C38" s="192" t="str">
        <x:v>Decoration</x:v>
      </x:c>
      <x:c r="D38" s="192" t="str">
        <x:v>Shell Ornament</x:v>
      </x:c>
      <x:c r="E38" s="192" t="str">
        <x:v>Tropical Lagoon</x:v>
      </x:c>
      <x:c r="F38" s="192" t="str">
        <x:v>Coin</x:v>
      </x:c>
      <x:c r="G38" s="192" t="str">
        <x:v>Common</x:v>
      </x:c>
      <x:c r="H38" s="198" t="n">
        <x:v>2</x:v>
      </x:c>
      <x:c r="I38" s="199" t="str">
        <x:v>Coins</x:v>
      </x:c>
      <x:c r="J38" s="198" t="n">
        <x:v>60</x:v>
      </x:c>
      <x:c r="K38" s="200" t="n">
        <x:f>MIN('Decor Guide'!$B$8,MAX('Decor Guide'!$B$7,INT(INDEX('XP Curve'!$F$4:$F$73,MIN(H38+1,'Decor Guide'!$B$15))*'Decor Guide'!$B$9)),MAX('Decor Guide'!$B$7,ROUND(IF(I38="Coins",J38*'Decor Guide'!$B$5,J38*'Decor Guide'!$B$6),0)))</x:f>
        <x:v>1</x:v>
      </x:c>
      <x:c r="L38" s="200" t="n">
        <x:f>VLOOKUP(M38,'Decor Guide'!$E$5:$G$8,3,FALSE)</x:f>
        <x:v>10</x:v>
      </x:c>
      <x:c r="M38" s="201" t="str">
        <x:f>IF(MAX(N38,O38)&lt;='Decor Guide'!$F$5,'Decor Guide'!$E$5,IF(MAX(N38,O38)&lt;='Decor Guide'!$F$6,'Decor Guide'!$E$6,IF(MAX(N38,O38)&lt;='Decor Guide'!$F$7,'Decor Guide'!$E$7,'Decor Guide'!$E$8)))</x:f>
        <x:v>Small</x:v>
      </x:c>
      <x:c r="N38" s="236" t="n">
        <x:v>0.95</x:v>
      </x:c>
      <x:c r="O38" s="236" t="n">
        <x:v>0.8</x:v>
      </x:c>
      <x:c r="P38" s="192" t="str">
        <x:v>Foreground</x:v>
      </x:c>
      <x:c r="Q38" s="192" t="str">
        <x:f>IF(H38&lt;='Decor Guide'!$B$12,"Launch (L1–40)",IF(H38&lt;='Decor Guide'!$B$13,"Wave 1 (L41–50)",IF(H38&lt;='Decor Guide'!$B$14,"Wave 2 (L51–60)","Wave 3 (L61–70)")))</x:f>
        <x:v>Launch (L1–40)</x:v>
      </x:c>
      <x:c r="R38" s="192" t="str">
        <x:v>None</x:v>
      </x:c>
      <x:c r="S38" s="192" t="str">
        <x:f>IF(R38="None","Always available after unlock",VLOOKUP(R38,'Decor Live Ops'!$A$5:$L$16,2,FALSE))</x:f>
        <x:v>Always available after unlock</x:v>
      </x:c>
      <x:c r="T38" s="203" t="str">
        <x:f>IF(AND(H38&gt;=1,H38&lt;='Decor Guide'!$B$15,J38&gt;0,MOD(J38,IF(I38="Coins",5,1))=0,K38&gt;='Decor Guide'!$B$7,K38&lt;='Decor Guide'!$B$8,L38&gt;0,N38&gt;0,O38&gt;0,MAX(N38,O38)&lt;='Decor Guide'!$F$8,OR(AND(F38="Coin",I38="Coins"),AND(F38="Premium",I38="Pearls"),AND(F38="Limited Edition",OR(I38="Coins",I38="Pearls"))),OR(AND(F38="Limited Edition",R38&lt;&gt;"None"),AND(F38&lt;&gt;"Limited Edition",R38="None"))),"OK","REVIEW")</x:f>
        <x:v>OK</x:v>
      </x:c>
    </x:row>
    <x:row r="39" ht="48" customHeight="1">
      <x:c r="A39" s="204" t="str">
        <x:v>CD-03</x:v>
      </x:c>
      <x:c r="B39" s="204" t="str">
        <x:v>Terracotta Plant Pot</x:v>
      </x:c>
      <x:c r="C39" s="192" t="str">
        <x:v>Decoration</x:v>
      </x:c>
      <x:c r="D39" s="192" t="str">
        <x:v>Pottery</x:v>
      </x:c>
      <x:c r="E39" s="192" t="str">
        <x:v>Freshwater Garden</x:v>
      </x:c>
      <x:c r="F39" s="192" t="str">
        <x:v>Coin</x:v>
      </x:c>
      <x:c r="G39" s="192" t="str">
        <x:v>Common</x:v>
      </x:c>
      <x:c r="H39" s="198" t="n">
        <x:v>3</x:v>
      </x:c>
      <x:c r="I39" s="199" t="str">
        <x:v>Coins</x:v>
      </x:c>
      <x:c r="J39" s="198" t="n">
        <x:v>100</x:v>
      </x:c>
      <x:c r="K39" s="200" t="n">
        <x:f>MIN('Decor Guide'!$B$8,MAX('Decor Guide'!$B$7,INT(INDEX('XP Curve'!$F$4:$F$73,MIN(H39+1,'Decor Guide'!$B$15))*'Decor Guide'!$B$9)),MAX('Decor Guide'!$B$7,ROUND(IF(I39="Coins",J39*'Decor Guide'!$B$5,J39*'Decor Guide'!$B$6),0)))</x:f>
        <x:v>3</x:v>
      </x:c>
      <x:c r="L39" s="200" t="n">
        <x:f>VLOOKUP(M39,'Decor Guide'!$E$5:$G$8,3,FALSE)</x:f>
        <x:v>10</x:v>
      </x:c>
      <x:c r="M39" s="201" t="str">
        <x:f>IF(MAX(N39,O39)&lt;='Decor Guide'!$F$5,'Decor Guide'!$E$5,IF(MAX(N39,O39)&lt;='Decor Guide'!$F$6,'Decor Guide'!$E$6,IF(MAX(N39,O39)&lt;='Decor Guide'!$F$7,'Decor Guide'!$E$7,'Decor Guide'!$E$8)))</x:f>
        <x:v>Small</x:v>
      </x:c>
      <x:c r="N39" s="236" t="n">
        <x:v>1</x:v>
      </x:c>
      <x:c r="O39" s="236" t="n">
        <x:v>1</x:v>
      </x:c>
      <x:c r="P39" s="192" t="str">
        <x:v>Foreground</x:v>
      </x:c>
      <x:c r="Q39" s="192" t="str">
        <x:f>IF(H39&lt;='Decor Guide'!$B$12,"Launch (L1–40)",IF(H39&lt;='Decor Guide'!$B$13,"Wave 1 (L41–50)",IF(H39&lt;='Decor Guide'!$B$14,"Wave 2 (L51–60)","Wave 3 (L61–70)")))</x:f>
        <x:v>Launch (L1–40)</x:v>
      </x:c>
      <x:c r="R39" s="192" t="str">
        <x:v>None</x:v>
      </x:c>
      <x:c r="S39" s="192" t="str">
        <x:f>IF(R39="None","Always available after unlock",VLOOKUP(R39,'Decor Live Ops'!$A$5:$L$16,2,FALSE))</x:f>
        <x:v>Always available after unlock</x:v>
      </x:c>
      <x:c r="T39" s="203" t="str">
        <x:f>IF(AND(H39&gt;=1,H39&lt;='Decor Guide'!$B$15,J39&gt;0,MOD(J39,IF(I39="Coins",5,1))=0,K39&gt;='Decor Guide'!$B$7,K39&lt;='Decor Guide'!$B$8,L39&gt;0,N39&gt;0,O39&gt;0,MAX(N39,O39)&lt;='Decor Guide'!$F$8,OR(AND(F39="Coin",I39="Coins"),AND(F39="Premium",I39="Pearls"),AND(F39="Limited Edition",OR(I39="Coins",I39="Pearls"))),OR(AND(F39="Limited Edition",R39&lt;&gt;"None"),AND(F39&lt;&gt;"Limited Edition",R39="None"))),"OK","REVIEW")</x:f>
        <x:v>OK</x:v>
      </x:c>
    </x:row>
    <x:row r="40" ht="48" customHeight="1">
      <x:c r="A40" s="204" t="str">
        <x:v>CD-04</x:v>
      </x:c>
      <x:c r="B40" s="204" t="str">
        <x:v>Driftwood Fork</x:v>
      </x:c>
      <x:c r="C40" s="192" t="str">
        <x:v>Decoration</x:v>
      </x:c>
      <x:c r="D40" s="192" t="str">
        <x:v>Wood</x:v>
      </x:c>
      <x:c r="E40" s="192" t="str">
        <x:v>Woodland Creek</x:v>
      </x:c>
      <x:c r="F40" s="192" t="str">
        <x:v>Coin</x:v>
      </x:c>
      <x:c r="G40" s="192" t="str">
        <x:v>Common</x:v>
      </x:c>
      <x:c r="H40" s="198" t="n">
        <x:v>4</x:v>
      </x:c>
      <x:c r="I40" s="199" t="str">
        <x:v>Coins</x:v>
      </x:c>
      <x:c r="J40" s="198" t="n">
        <x:v>150</x:v>
      </x:c>
      <x:c r="K40" s="200" t="n">
        <x:f>MIN('Decor Guide'!$B$8,MAX('Decor Guide'!$B$7,INT(INDEX('XP Curve'!$F$4:$F$73,MIN(H40+1,'Decor Guide'!$B$15))*'Decor Guide'!$B$9)),MAX('Decor Guide'!$B$7,ROUND(IF(I40="Coins",J40*'Decor Guide'!$B$5,J40*'Decor Guide'!$B$6),0)))</x:f>
        <x:v>5</x:v>
      </x:c>
      <x:c r="L40" s="200" t="n">
        <x:f>VLOOKUP(M40,'Decor Guide'!$E$5:$G$8,3,FALSE)</x:f>
        <x:v>20</x:v>
      </x:c>
      <x:c r="M40" s="201" t="str">
        <x:f>IF(MAX(N40,O40)&lt;='Decor Guide'!$F$5,'Decor Guide'!$E$5,IF(MAX(N40,O40)&lt;='Decor Guide'!$F$6,'Decor Guide'!$E$6,IF(MAX(N40,O40)&lt;='Decor Guide'!$F$7,'Decor Guide'!$E$7,'Decor Guide'!$E$8)))</x:f>
        <x:v>Medium</x:v>
      </x:c>
      <x:c r="N40" s="236" t="n">
        <x:v>1.8</x:v>
      </x:c>
      <x:c r="O40" s="236" t="n">
        <x:v>1.2</x:v>
      </x:c>
      <x:c r="P40" s="192" t="str">
        <x:v>Midground</x:v>
      </x:c>
      <x:c r="Q40" s="192" t="str">
        <x:f>IF(H40&lt;='Decor Guide'!$B$12,"Launch (L1–40)",IF(H40&lt;='Decor Guide'!$B$13,"Wave 1 (L41–50)",IF(H40&lt;='Decor Guide'!$B$14,"Wave 2 (L51–60)","Wave 3 (L61–70)")))</x:f>
        <x:v>Launch (L1–40)</x:v>
      </x:c>
      <x:c r="R40" s="192" t="str">
        <x:v>None</x:v>
      </x:c>
      <x:c r="S40" s="192" t="str">
        <x:f>IF(R40="None","Always available after unlock",VLOOKUP(R40,'Decor Live Ops'!$A$5:$L$16,2,FALSE))</x:f>
        <x:v>Always available after unlock</x:v>
      </x:c>
      <x:c r="T40" s="203" t="str">
        <x:f>IF(AND(H40&gt;=1,H40&lt;='Decor Guide'!$B$15,J40&gt;0,MOD(J40,IF(I40="Coins",5,1))=0,K40&gt;='Decor Guide'!$B$7,K40&lt;='Decor Guide'!$B$8,L40&gt;0,N40&gt;0,O40&gt;0,MAX(N40,O40)&lt;='Decor Guide'!$F$8,OR(AND(F40="Coin",I40="Coins"),AND(F40="Premium",I40="Pearls"),AND(F40="Limited Edition",OR(I40="Coins",I40="Pearls"))),OR(AND(F40="Limited Edition",R40&lt;&gt;"None"),AND(F40&lt;&gt;"Limited Edition",R40="None"))),"OK","REVIEW")</x:f>
        <x:v>OK</x:v>
      </x:c>
    </x:row>
    <x:row r="41" ht="48" customHeight="1">
      <x:c r="A41" s="204" t="str">
        <x:v>CD-05</x:v>
      </x:c>
      <x:c r="B41" s="204" t="str">
        <x:v>Painted Pebble Cairn</x:v>
      </x:c>
      <x:c r="C41" s="192" t="str">
        <x:v>Decoration</x:v>
      </x:c>
      <x:c r="D41" s="192" t="str">
        <x:v>Rock</x:v>
      </x:c>
      <x:c r="E41" s="192" t="str">
        <x:v>Zen Garden</x:v>
      </x:c>
      <x:c r="F41" s="192" t="str">
        <x:v>Coin</x:v>
      </x:c>
      <x:c r="G41" s="192" t="str">
        <x:v>Common</x:v>
      </x:c>
      <x:c r="H41" s="198" t="n">
        <x:v>5</x:v>
      </x:c>
      <x:c r="I41" s="199" t="str">
        <x:v>Coins</x:v>
      </x:c>
      <x:c r="J41" s="198" t="n">
        <x:v>200</x:v>
      </x:c>
      <x:c r="K41" s="200" t="n">
        <x:f>MIN('Decor Guide'!$B$8,MAX('Decor Guide'!$B$7,INT(INDEX('XP Curve'!$F$4:$F$73,MIN(H41+1,'Decor Guide'!$B$15))*'Decor Guide'!$B$9)),MAX('Decor Guide'!$B$7,ROUND(IF(I41="Coins",J41*'Decor Guide'!$B$5,J41*'Decor Guide'!$B$6),0)))</x:f>
        <x:v>6</x:v>
      </x:c>
      <x:c r="L41" s="200" t="n">
        <x:f>VLOOKUP(M41,'Decor Guide'!$E$5:$G$8,3,FALSE)</x:f>
        <x:v>20</x:v>
      </x:c>
      <x:c r="M41" s="201" t="str">
        <x:f>IF(MAX(N41,O41)&lt;='Decor Guide'!$F$5,'Decor Guide'!$E$5,IF(MAX(N41,O41)&lt;='Decor Guide'!$F$6,'Decor Guide'!$E$6,IF(MAX(N41,O41)&lt;='Decor Guide'!$F$7,'Decor Guide'!$E$7,'Decor Guide'!$E$8)))</x:f>
        <x:v>Medium</x:v>
      </x:c>
      <x:c r="N41" s="236" t="n">
        <x:v>1.1</x:v>
      </x:c>
      <x:c r="O41" s="236" t="n">
        <x:v>1.4</x:v>
      </x:c>
      <x:c r="P41" s="192" t="str">
        <x:v>Midground</x:v>
      </x:c>
      <x:c r="Q41" s="192" t="str">
        <x:f>IF(H41&lt;='Decor Guide'!$B$12,"Launch (L1–40)",IF(H41&lt;='Decor Guide'!$B$13,"Wave 1 (L41–50)",IF(H41&lt;='Decor Guide'!$B$14,"Wave 2 (L51–60)","Wave 3 (L61–70)")))</x:f>
        <x:v>Launch (L1–40)</x:v>
      </x:c>
      <x:c r="R41" s="192" t="str">
        <x:v>None</x:v>
      </x:c>
      <x:c r="S41" s="192" t="str">
        <x:f>IF(R41="None","Always available after unlock",VLOOKUP(R41,'Decor Live Ops'!$A$5:$L$16,2,FALSE))</x:f>
        <x:v>Always available after unlock</x:v>
      </x:c>
      <x:c r="T41" s="203" t="str">
        <x:f>IF(AND(H41&gt;=1,H41&lt;='Decor Guide'!$B$15,J41&gt;0,MOD(J41,IF(I41="Coins",5,1))=0,K41&gt;='Decor Guide'!$B$7,K41&lt;='Decor Guide'!$B$8,L41&gt;0,N41&gt;0,O41&gt;0,MAX(N41,O41)&lt;='Decor Guide'!$F$8,OR(AND(F41="Coin",I41="Coins"),AND(F41="Premium",I41="Pearls"),AND(F41="Limited Edition",OR(I41="Coins",I41="Pearls"))),OR(AND(F41="Limited Edition",R41&lt;&gt;"None"),AND(F41&lt;&gt;"Limited Edition",R41="None"))),"OK","REVIEW")</x:f>
        <x:v>OK</x:v>
      </x:c>
    </x:row>
    <x:row r="42" ht="48" customHeight="1">
      <x:c r="A42" s="204" t="str">
        <x:v>CD-06</x:v>
      </x:c>
      <x:c r="B42" s="204" t="str">
        <x:v>Shell Arch</x:v>
      </x:c>
      <x:c r="C42" s="192" t="str">
        <x:v>Decoration</x:v>
      </x:c>
      <x:c r="D42" s="192" t="str">
        <x:v>Shell Ornament</x:v>
      </x:c>
      <x:c r="E42" s="192" t="str">
        <x:v>Tropical Lagoon</x:v>
      </x:c>
      <x:c r="F42" s="192" t="str">
        <x:v>Coin</x:v>
      </x:c>
      <x:c r="G42" s="192" t="str">
        <x:v>Common</x:v>
      </x:c>
      <x:c r="H42" s="198" t="n">
        <x:v>6</x:v>
      </x:c>
      <x:c r="I42" s="199" t="str">
        <x:v>Coins</x:v>
      </x:c>
      <x:c r="J42" s="198" t="n">
        <x:v>260</x:v>
      </x:c>
      <x:c r="K42" s="200" t="n">
        <x:f>MIN('Decor Guide'!$B$8,MAX('Decor Guide'!$B$7,INT(INDEX('XP Curve'!$F$4:$F$73,MIN(H42+1,'Decor Guide'!$B$15))*'Decor Guide'!$B$9)),MAX('Decor Guide'!$B$7,ROUND(IF(I42="Coins",J42*'Decor Guide'!$B$5,J42*'Decor Guide'!$B$6),0)))</x:f>
        <x:v>8</x:v>
      </x:c>
      <x:c r="L42" s="200" t="n">
        <x:f>VLOOKUP(M42,'Decor Guide'!$E$5:$G$8,3,FALSE)</x:f>
        <x:v>20</x:v>
      </x:c>
      <x:c r="M42" s="201" t="str">
        <x:f>IF(MAX(N42,O42)&lt;='Decor Guide'!$F$5,'Decor Guide'!$E$5,IF(MAX(N42,O42)&lt;='Decor Guide'!$F$6,'Decor Guide'!$E$6,IF(MAX(N42,O42)&lt;='Decor Guide'!$F$7,'Decor Guide'!$E$7,'Decor Guide'!$E$8)))</x:f>
        <x:v>Medium</x:v>
      </x:c>
      <x:c r="N42" s="236" t="n">
        <x:v>1.8</x:v>
      </x:c>
      <x:c r="O42" s="236" t="n">
        <x:v>1.3</x:v>
      </x:c>
      <x:c r="P42" s="192" t="str">
        <x:v>Midground</x:v>
      </x:c>
      <x:c r="Q42" s="192" t="str">
        <x:f>IF(H42&lt;='Decor Guide'!$B$12,"Launch (L1–40)",IF(H42&lt;='Decor Guide'!$B$13,"Wave 1 (L41–50)",IF(H42&lt;='Decor Guide'!$B$14,"Wave 2 (L51–60)","Wave 3 (L61–70)")))</x:f>
        <x:v>Launch (L1–40)</x:v>
      </x:c>
      <x:c r="R42" s="192" t="str">
        <x:v>None</x:v>
      </x:c>
      <x:c r="S42" s="192" t="str">
        <x:f>IF(R42="None","Always available after unlock",VLOOKUP(R42,'Decor Live Ops'!$A$5:$L$16,2,FALSE))</x:f>
        <x:v>Always available after unlock</x:v>
      </x:c>
      <x:c r="T42" s="203" t="str">
        <x:f>IF(AND(H42&gt;=1,H42&lt;='Decor Guide'!$B$15,J42&gt;0,MOD(J42,IF(I42="Coins",5,1))=0,K42&gt;='Decor Guide'!$B$7,K42&lt;='Decor Guide'!$B$8,L42&gt;0,N42&gt;0,O42&gt;0,MAX(N42,O42)&lt;='Decor Guide'!$F$8,OR(AND(F42="Coin",I42="Coins"),AND(F42="Premium",I42="Pearls"),AND(F42="Limited Edition",OR(I42="Coins",I42="Pearls"))),OR(AND(F42="Limited Edition",R42&lt;&gt;"None"),AND(F42&lt;&gt;"Limited Edition",R42="None"))),"OK","REVIEW")</x:f>
        <x:v>OK</x:v>
      </x:c>
    </x:row>
    <x:row r="43" ht="48" customHeight="1">
      <x:c r="A43" s="204" t="str">
        <x:v>CD-07</x:v>
      </x:c>
      <x:c r="B43" s="204" t="str">
        <x:v>Peach Coral Cluster</x:v>
      </x:c>
      <x:c r="C43" s="192" t="str">
        <x:v>Decoration</x:v>
      </x:c>
      <x:c r="D43" s="192" t="str">
        <x:v>Coral Sculpture</x:v>
      </x:c>
      <x:c r="E43" s="192" t="str">
        <x:v>Coral</x:v>
      </x:c>
      <x:c r="F43" s="192" t="str">
        <x:v>Coin</x:v>
      </x:c>
      <x:c r="G43" s="192" t="str">
        <x:v>Common</x:v>
      </x:c>
      <x:c r="H43" s="198" t="n">
        <x:v>7</x:v>
      </x:c>
      <x:c r="I43" s="199" t="str">
        <x:v>Coins</x:v>
      </x:c>
      <x:c r="J43" s="198" t="n">
        <x:v>340</x:v>
      </x:c>
      <x:c r="K43" s="200" t="n">
        <x:f>MIN('Decor Guide'!$B$8,MAX('Decor Guide'!$B$7,INT(INDEX('XP Curve'!$F$4:$F$73,MIN(H43+1,'Decor Guide'!$B$15))*'Decor Guide'!$B$9)),MAX('Decor Guide'!$B$7,ROUND(IF(I43="Coins",J43*'Decor Guide'!$B$5,J43*'Decor Guide'!$B$6),0)))</x:f>
        <x:v>10</x:v>
      </x:c>
      <x:c r="L43" s="200" t="n">
        <x:f>VLOOKUP(M43,'Decor Guide'!$E$5:$G$8,3,FALSE)</x:f>
        <x:v>20</x:v>
      </x:c>
      <x:c r="M43" s="201" t="str">
        <x:f>IF(MAX(N43,O43)&lt;='Decor Guide'!$F$5,'Decor Guide'!$E$5,IF(MAX(N43,O43)&lt;='Decor Guide'!$F$6,'Decor Guide'!$E$6,IF(MAX(N43,O43)&lt;='Decor Guide'!$F$7,'Decor Guide'!$E$7,'Decor Guide'!$E$8)))</x:f>
        <x:v>Medium</x:v>
      </x:c>
      <x:c r="N43" s="236" t="n">
        <x:v>1.5</x:v>
      </x:c>
      <x:c r="O43" s="236" t="n">
        <x:v>1.4</x:v>
      </x:c>
      <x:c r="P43" s="192" t="str">
        <x:v>Midground</x:v>
      </x:c>
      <x:c r="Q43" s="192" t="str">
        <x:f>IF(H43&lt;='Decor Guide'!$B$12,"Launch (L1–40)",IF(H43&lt;='Decor Guide'!$B$13,"Wave 1 (L41–50)",IF(H43&lt;='Decor Guide'!$B$14,"Wave 2 (L51–60)","Wave 3 (L61–70)")))</x:f>
        <x:v>Launch (L1–40)</x:v>
      </x:c>
      <x:c r="R43" s="192" t="str">
        <x:v>None</x:v>
      </x:c>
      <x:c r="S43" s="192" t="str">
        <x:f>IF(R43="None","Always available after unlock",VLOOKUP(R43,'Decor Live Ops'!$A$5:$L$16,2,FALSE))</x:f>
        <x:v>Always available after unlock</x:v>
      </x:c>
      <x:c r="T43" s="203" t="str">
        <x:f>IF(AND(H43&gt;=1,H43&lt;='Decor Guide'!$B$15,J43&gt;0,MOD(J43,IF(I43="Coins",5,1))=0,K43&gt;='Decor Guide'!$B$7,K43&lt;='Decor Guide'!$B$8,L43&gt;0,N43&gt;0,O43&gt;0,MAX(N43,O43)&lt;='Decor Guide'!$F$8,OR(AND(F43="Coin",I43="Coins"),AND(F43="Premium",I43="Pearls"),AND(F43="Limited Edition",OR(I43="Coins",I43="Pearls"))),OR(AND(F43="Limited Edition",R43&lt;&gt;"None"),AND(F43&lt;&gt;"Limited Edition",R43="None"))),"OK","REVIEW")</x:f>
        <x:v>OK</x:v>
      </x:c>
    </x:row>
    <x:row r="44" ht="48" customHeight="1">
      <x:c r="A44" s="204" t="str">
        <x:v>CD-08</x:v>
      </x:c>
      <x:c r="B44" s="204" t="str">
        <x:v>Sunken Clay Amphora</x:v>
      </x:c>
      <x:c r="C44" s="192" t="str">
        <x:v>Decoration</x:v>
      </x:c>
      <x:c r="D44" s="192" t="str">
        <x:v>Pottery</x:v>
      </x:c>
      <x:c r="E44" s="192" t="str">
        <x:v>Ruins</x:v>
      </x:c>
      <x:c r="F44" s="192" t="str">
        <x:v>Coin</x:v>
      </x:c>
      <x:c r="G44" s="192" t="str">
        <x:v>Uncommon</x:v>
      </x:c>
      <x:c r="H44" s="198" t="n">
        <x:v>8</x:v>
      </x:c>
      <x:c r="I44" s="199" t="str">
        <x:v>Coins</x:v>
      </x:c>
      <x:c r="J44" s="198" t="n">
        <x:v>450</x:v>
      </x:c>
      <x:c r="K44" s="200" t="n">
        <x:f>MIN('Decor Guide'!$B$8,MAX('Decor Guide'!$B$7,INT(INDEX('XP Curve'!$F$4:$F$73,MIN(H44+1,'Decor Guide'!$B$15))*'Decor Guide'!$B$9)),MAX('Decor Guide'!$B$7,ROUND(IF(I44="Coins",J44*'Decor Guide'!$B$5,J44*'Decor Guide'!$B$6),0)))</x:f>
        <x:v>14</x:v>
      </x:c>
      <x:c r="L44" s="200" t="n">
        <x:f>VLOOKUP(M44,'Decor Guide'!$E$5:$G$8,3,FALSE)</x:f>
        <x:v>20</x:v>
      </x:c>
      <x:c r="M44" s="201" t="str">
        <x:f>IF(MAX(N44,O44)&lt;='Decor Guide'!$F$5,'Decor Guide'!$E$5,IF(MAX(N44,O44)&lt;='Decor Guide'!$F$6,'Decor Guide'!$E$6,IF(MAX(N44,O44)&lt;='Decor Guide'!$F$7,'Decor Guide'!$E$7,'Decor Guide'!$E$8)))</x:f>
        <x:v>Medium</x:v>
      </x:c>
      <x:c r="N44" s="236" t="n">
        <x:v>1.4</x:v>
      </x:c>
      <x:c r="O44" s="236" t="n">
        <x:v>1.8</x:v>
      </x:c>
      <x:c r="P44" s="192" t="str">
        <x:v>Midground</x:v>
      </x:c>
      <x:c r="Q44" s="192" t="str">
        <x:f>IF(H44&lt;='Decor Guide'!$B$12,"Launch (L1–40)",IF(H44&lt;='Decor Guide'!$B$13,"Wave 1 (L41–50)",IF(H44&lt;='Decor Guide'!$B$14,"Wave 2 (L51–60)","Wave 3 (L61–70)")))</x:f>
        <x:v>Launch (L1–40)</x:v>
      </x:c>
      <x:c r="R44" s="192" t="str">
        <x:v>None</x:v>
      </x:c>
      <x:c r="S44" s="192" t="str">
        <x:f>IF(R44="None","Always available after unlock",VLOOKUP(R44,'Decor Live Ops'!$A$5:$L$16,2,FALSE))</x:f>
        <x:v>Always available after unlock</x:v>
      </x:c>
      <x:c r="T44" s="203" t="str">
        <x:f>IF(AND(H44&gt;=1,H44&lt;='Decor Guide'!$B$15,J44&gt;0,MOD(J44,IF(I44="Coins",5,1))=0,K44&gt;='Decor Guide'!$B$7,K44&lt;='Decor Guide'!$B$8,L44&gt;0,N44&gt;0,O44&gt;0,MAX(N44,O44)&lt;='Decor Guide'!$F$8,OR(AND(F44="Coin",I44="Coins"),AND(F44="Premium",I44="Pearls"),AND(F44="Limited Edition",OR(I44="Coins",I44="Pearls"))),OR(AND(F44="Limited Edition",R44&lt;&gt;"None"),AND(F44&lt;&gt;"Limited Edition",R44="None"))),"OK","REVIEW")</x:f>
        <x:v>OK</x:v>
      </x:c>
    </x:row>
    <x:row r="45" ht="48" customHeight="1">
      <x:c r="A45" s="204" t="str">
        <x:v>CD-09</x:v>
      </x:c>
      <x:c r="B45" s="204" t="str">
        <x:v>Smooth Stone Cave</x:v>
      </x:c>
      <x:c r="C45" s="192" t="str">
        <x:v>Decoration</x:v>
      </x:c>
      <x:c r="D45" s="192" t="str">
        <x:v>Rock</x:v>
      </x:c>
      <x:c r="E45" s="192" t="str">
        <x:v>Freshwater Garden</x:v>
      </x:c>
      <x:c r="F45" s="192" t="str">
        <x:v>Coin</x:v>
      </x:c>
      <x:c r="G45" s="192" t="str">
        <x:v>Uncommon</x:v>
      </x:c>
      <x:c r="H45" s="198" t="n">
        <x:v>9</x:v>
      </x:c>
      <x:c r="I45" s="199" t="str">
        <x:v>Coins</x:v>
      </x:c>
      <x:c r="J45" s="198" t="n">
        <x:v>550</x:v>
      </x:c>
      <x:c r="K45" s="200" t="n">
        <x:f>MIN('Decor Guide'!$B$8,MAX('Decor Guide'!$B$7,INT(INDEX('XP Curve'!$F$4:$F$73,MIN(H45+1,'Decor Guide'!$B$15))*'Decor Guide'!$B$9)),MAX('Decor Guide'!$B$7,ROUND(IF(I45="Coins",J45*'Decor Guide'!$B$5,J45*'Decor Guide'!$B$6),0)))</x:f>
        <x:v>17</x:v>
      </x:c>
      <x:c r="L45" s="200" t="n">
        <x:f>VLOOKUP(M45,'Decor Guide'!$E$5:$G$8,3,FALSE)</x:f>
        <x:v>20</x:v>
      </x:c>
      <x:c r="M45" s="201" t="str">
        <x:f>IF(MAX(N45,O45)&lt;='Decor Guide'!$F$5,'Decor Guide'!$E$5,IF(MAX(N45,O45)&lt;='Decor Guide'!$F$6,'Decor Guide'!$E$6,IF(MAX(N45,O45)&lt;='Decor Guide'!$F$7,'Decor Guide'!$E$7,'Decor Guide'!$E$8)))</x:f>
        <x:v>Medium</x:v>
      </x:c>
      <x:c r="N45" s="236" t="n">
        <x:v>2</x:v>
      </x:c>
      <x:c r="O45" s="236" t="n">
        <x:v>1.4</x:v>
      </x:c>
      <x:c r="P45" s="192" t="str">
        <x:v>Midground</x:v>
      </x:c>
      <x:c r="Q45" s="192" t="str">
        <x:f>IF(H45&lt;='Decor Guide'!$B$12,"Launch (L1–40)",IF(H45&lt;='Decor Guide'!$B$13,"Wave 1 (L41–50)",IF(H45&lt;='Decor Guide'!$B$14,"Wave 2 (L51–60)","Wave 3 (L61–70)")))</x:f>
        <x:v>Launch (L1–40)</x:v>
      </x:c>
      <x:c r="R45" s="192" t="str">
        <x:v>None</x:v>
      </x:c>
      <x:c r="S45" s="192" t="str">
        <x:f>IF(R45="None","Always available after unlock",VLOOKUP(R45,'Decor Live Ops'!$A$5:$L$16,2,FALSE))</x:f>
        <x:v>Always available after unlock</x:v>
      </x:c>
      <x:c r="T45" s="203" t="str">
        <x:f>IF(AND(H45&gt;=1,H45&lt;='Decor Guide'!$B$15,J45&gt;0,MOD(J45,IF(I45="Coins",5,1))=0,K45&gt;='Decor Guide'!$B$7,K45&lt;='Decor Guide'!$B$8,L45&gt;0,N45&gt;0,O45&gt;0,MAX(N45,O45)&lt;='Decor Guide'!$F$8,OR(AND(F45="Coin",I45="Coins"),AND(F45="Premium",I45="Pearls"),AND(F45="Limited Edition",OR(I45="Coins",I45="Pearls"))),OR(AND(F45="Limited Edition",R45&lt;&gt;"None"),AND(F45&lt;&gt;"Limited Edition",R45="None"))),"OK","REVIEW")</x:f>
        <x:v>OK</x:v>
      </x:c>
    </x:row>
    <x:row r="46" ht="48" customHeight="1">
      <x:c r="A46" s="204" t="str">
        <x:v>CD-10</x:v>
      </x:c>
      <x:c r="B46" s="204" t="str">
        <x:v>Mini Stone Bridge</x:v>
      </x:c>
      <x:c r="C46" s="192" t="str">
        <x:v>Decoration</x:v>
      </x:c>
      <x:c r="D46" s="192" t="str">
        <x:v>Architecture</x:v>
      </x:c>
      <x:c r="E46" s="192" t="str">
        <x:v>Zen Garden</x:v>
      </x:c>
      <x:c r="F46" s="192" t="str">
        <x:v>Coin</x:v>
      </x:c>
      <x:c r="G46" s="192" t="str">
        <x:v>Uncommon</x:v>
      </x:c>
      <x:c r="H46" s="198" t="n">
        <x:v>10</x:v>
      </x:c>
      <x:c r="I46" s="199" t="str">
        <x:v>Coins</x:v>
      </x:c>
      <x:c r="J46" s="198" t="n">
        <x:v>650</x:v>
      </x:c>
      <x:c r="K46" s="200" t="n">
        <x:f>MIN('Decor Guide'!$B$8,MAX('Decor Guide'!$B$7,INT(INDEX('XP Curve'!$F$4:$F$73,MIN(H46+1,'Decor Guide'!$B$15))*'Decor Guide'!$B$9)),MAX('Decor Guide'!$B$7,ROUND(IF(I46="Coins",J46*'Decor Guide'!$B$5,J46*'Decor Guide'!$B$6),0)))</x:f>
        <x:v>20</x:v>
      </x:c>
      <x:c r="L46" s="200" t="n">
        <x:f>VLOOKUP(M46,'Decor Guide'!$E$5:$G$8,3,FALSE)</x:f>
        <x:v>35</x:v>
      </x:c>
      <x:c r="M46" s="201" t="str">
        <x:f>IF(MAX(N46,O46)&lt;='Decor Guide'!$F$5,'Decor Guide'!$E$5,IF(MAX(N46,O46)&lt;='Decor Guide'!$F$6,'Decor Guide'!$E$6,IF(MAX(N46,O46)&lt;='Decor Guide'!$F$7,'Decor Guide'!$E$7,'Decor Guide'!$E$8)))</x:f>
        <x:v>Large</x:v>
      </x:c>
      <x:c r="N46" s="236" t="n">
        <x:v>2.4</x:v>
      </x:c>
      <x:c r="O46" s="236" t="n">
        <x:v>1.4</x:v>
      </x:c>
      <x:c r="P46" s="192" t="str">
        <x:v>Midground</x:v>
      </x:c>
      <x:c r="Q46" s="192" t="str">
        <x:f>IF(H46&lt;='Decor Guide'!$B$12,"Launch (L1–40)",IF(H46&lt;='Decor Guide'!$B$13,"Wave 1 (L41–50)",IF(H46&lt;='Decor Guide'!$B$14,"Wave 2 (L51–60)","Wave 3 (L61–70)")))</x:f>
        <x:v>Launch (L1–40)</x:v>
      </x:c>
      <x:c r="R46" s="192" t="str">
        <x:v>None</x:v>
      </x:c>
      <x:c r="S46" s="192" t="str">
        <x:f>IF(R46="None","Always available after unlock",VLOOKUP(R46,'Decor Live Ops'!$A$5:$L$16,2,FALSE))</x:f>
        <x:v>Always available after unlock</x:v>
      </x:c>
      <x:c r="T46" s="203" t="str">
        <x:f>IF(AND(H46&gt;=1,H46&lt;='Decor Guide'!$B$15,J46&gt;0,MOD(J46,IF(I46="Coins",5,1))=0,K46&gt;='Decor Guide'!$B$7,K46&lt;='Decor Guide'!$B$8,L46&gt;0,N46&gt;0,O46&gt;0,MAX(N46,O46)&lt;='Decor Guide'!$F$8,OR(AND(F46="Coin",I46="Coins"),AND(F46="Premium",I46="Pearls"),AND(F46="Limited Edition",OR(I46="Coins",I46="Pearls"))),OR(AND(F46="Limited Edition",R46&lt;&gt;"None"),AND(F46&lt;&gt;"Limited Edition",R46="None"))),"OK","REVIEW")</x:f>
        <x:v>OK</x:v>
      </x:c>
    </x:row>
    <x:row r="47" ht="48" customHeight="1">
      <x:c r="A47" s="204" t="str">
        <x:v>CD-11</x:v>
      </x:c>
      <x:c r="B47" s="204" t="str">
        <x:v>Sea-glass Mosaic Tile</x:v>
      </x:c>
      <x:c r="C47" s="192" t="str">
        <x:v>Decoration</x:v>
      </x:c>
      <x:c r="D47" s="192" t="str">
        <x:v>Ground Accent</x:v>
      </x:c>
      <x:c r="E47" s="192" t="str">
        <x:v>Tropical Lagoon</x:v>
      </x:c>
      <x:c r="F47" s="192" t="str">
        <x:v>Coin</x:v>
      </x:c>
      <x:c r="G47" s="192" t="str">
        <x:v>Uncommon</x:v>
      </x:c>
      <x:c r="H47" s="198" t="n">
        <x:v>11</x:v>
      </x:c>
      <x:c r="I47" s="199" t="str">
        <x:v>Coins</x:v>
      </x:c>
      <x:c r="J47" s="198" t="n">
        <x:v>800</x:v>
      </x:c>
      <x:c r="K47" s="200" t="n">
        <x:f>MIN('Decor Guide'!$B$8,MAX('Decor Guide'!$B$7,INT(INDEX('XP Curve'!$F$4:$F$73,MIN(H47+1,'Decor Guide'!$B$15))*'Decor Guide'!$B$9)),MAX('Decor Guide'!$B$7,ROUND(IF(I47="Coins",J47*'Decor Guide'!$B$5,J47*'Decor Guide'!$B$6),0)))</x:f>
        <x:v>24</x:v>
      </x:c>
      <x:c r="L47" s="200" t="n">
        <x:f>VLOOKUP(M47,'Decor Guide'!$E$5:$G$8,3,FALSE)</x:f>
        <x:v>20</x:v>
      </x:c>
      <x:c r="M47" s="201" t="str">
        <x:f>IF(MAX(N47,O47)&lt;='Decor Guide'!$F$5,'Decor Guide'!$E$5,IF(MAX(N47,O47)&lt;='Decor Guide'!$F$6,'Decor Guide'!$E$6,IF(MAX(N47,O47)&lt;='Decor Guide'!$F$7,'Decor Guide'!$E$7,'Decor Guide'!$E$8)))</x:f>
        <x:v>Medium</x:v>
      </x:c>
      <x:c r="N47" s="236" t="n">
        <x:v>1.8</x:v>
      </x:c>
      <x:c r="O47" s="236" t="n">
        <x:v>0.7</x:v>
      </x:c>
      <x:c r="P47" s="192" t="str">
        <x:v>Foreground</x:v>
      </x:c>
      <x:c r="Q47" s="192" t="str">
        <x:f>IF(H47&lt;='Decor Guide'!$B$12,"Launch (L1–40)",IF(H47&lt;='Decor Guide'!$B$13,"Wave 1 (L41–50)",IF(H47&lt;='Decor Guide'!$B$14,"Wave 2 (L51–60)","Wave 3 (L61–70)")))</x:f>
        <x:v>Launch (L1–40)</x:v>
      </x:c>
      <x:c r="R47" s="192" t="str">
        <x:v>None</x:v>
      </x:c>
      <x:c r="S47" s="192" t="str">
        <x:f>IF(R47="None","Always available after unlock",VLOOKUP(R47,'Decor Live Ops'!$A$5:$L$16,2,FALSE))</x:f>
        <x:v>Always available after unlock</x:v>
      </x:c>
      <x:c r="T47" s="203" t="str">
        <x:f>IF(AND(H47&gt;=1,H47&lt;='Decor Guide'!$B$15,J47&gt;0,MOD(J47,IF(I47="Coins",5,1))=0,K47&gt;='Decor Guide'!$B$7,K47&lt;='Decor Guide'!$B$8,L47&gt;0,N47&gt;0,O47&gt;0,MAX(N47,O47)&lt;='Decor Guide'!$F$8,OR(AND(F47="Coin",I47="Coins"),AND(F47="Premium",I47="Pearls"),AND(F47="Limited Edition",OR(I47="Coins",I47="Pearls"))),OR(AND(F47="Limited Edition",R47&lt;&gt;"None"),AND(F47&lt;&gt;"Limited Edition",R47="None"))),"OK","REVIEW")</x:f>
        <x:v>OK</x:v>
      </x:c>
    </x:row>
    <x:row r="48" ht="48" customHeight="1">
      <x:c r="A48" s="204" t="str">
        <x:v>CD-12</x:v>
      </x:c>
      <x:c r="B48" s="204" t="str">
        <x:v>Anchor &amp; Rope</x:v>
      </x:c>
      <x:c r="C48" s="192" t="str">
        <x:v>Decoration</x:v>
      </x:c>
      <x:c r="D48" s="192" t="str">
        <x:v>Nautical Relic</x:v>
      </x:c>
      <x:c r="E48" s="192" t="str">
        <x:v>Shipwreck</x:v>
      </x:c>
      <x:c r="F48" s="192" t="str">
        <x:v>Coin</x:v>
      </x:c>
      <x:c r="G48" s="192" t="str">
        <x:v>Uncommon</x:v>
      </x:c>
      <x:c r="H48" s="198" t="n">
        <x:v>13</x:v>
      </x:c>
      <x:c r="I48" s="199" t="str">
        <x:v>Coins</x:v>
      </x:c>
      <x:c r="J48" s="198" t="n">
        <x:v>1050</x:v>
      </x:c>
      <x:c r="K48" s="200" t="n">
        <x:f>MIN('Decor Guide'!$B$8,MAX('Decor Guide'!$B$7,INT(INDEX('XP Curve'!$F$4:$F$73,MIN(H48+1,'Decor Guide'!$B$15))*'Decor Guide'!$B$9)),MAX('Decor Guide'!$B$7,ROUND(IF(I48="Coins",J48*'Decor Guide'!$B$5,J48*'Decor Guide'!$B$6),0)))</x:f>
        <x:v>32</x:v>
      </x:c>
      <x:c r="L48" s="200" t="n">
        <x:f>VLOOKUP(M48,'Decor Guide'!$E$5:$G$8,3,FALSE)</x:f>
        <x:v>20</x:v>
      </x:c>
      <x:c r="M48" s="201" t="str">
        <x:f>IF(MAX(N48,O48)&lt;='Decor Guide'!$F$5,'Decor Guide'!$E$5,IF(MAX(N48,O48)&lt;='Decor Guide'!$F$6,'Decor Guide'!$E$6,IF(MAX(N48,O48)&lt;='Decor Guide'!$F$7,'Decor Guide'!$E$7,'Decor Guide'!$E$8)))</x:f>
        <x:v>Medium</x:v>
      </x:c>
      <x:c r="N48" s="236" t="n">
        <x:v>1.9</x:v>
      </x:c>
      <x:c r="O48" s="236" t="n">
        <x:v>2</x:v>
      </x:c>
      <x:c r="P48" s="192" t="str">
        <x:v>Midground</x:v>
      </x:c>
      <x:c r="Q48" s="192" t="str">
        <x:f>IF(H48&lt;='Decor Guide'!$B$12,"Launch (L1–40)",IF(H48&lt;='Decor Guide'!$B$13,"Wave 1 (L41–50)",IF(H48&lt;='Decor Guide'!$B$14,"Wave 2 (L51–60)","Wave 3 (L61–70)")))</x:f>
        <x:v>Launch (L1–40)</x:v>
      </x:c>
      <x:c r="R48" s="192" t="str">
        <x:v>None</x:v>
      </x:c>
      <x:c r="S48" s="192" t="str">
        <x:f>IF(R48="None","Always available after unlock",VLOOKUP(R48,'Decor Live Ops'!$A$5:$L$16,2,FALSE))</x:f>
        <x:v>Always available after unlock</x:v>
      </x:c>
      <x:c r="T48" s="203" t="str">
        <x:f>IF(AND(H48&gt;=1,H48&lt;='Decor Guide'!$B$15,J48&gt;0,MOD(J48,IF(I48="Coins",5,1))=0,K48&gt;='Decor Guide'!$B$7,K48&lt;='Decor Guide'!$B$8,L48&gt;0,N48&gt;0,O48&gt;0,MAX(N48,O48)&lt;='Decor Guide'!$F$8,OR(AND(F48="Coin",I48="Coins"),AND(F48="Premium",I48="Pearls"),AND(F48="Limited Edition",OR(I48="Coins",I48="Pearls"))),OR(AND(F48="Limited Edition",R48&lt;&gt;"None"),AND(F48&lt;&gt;"Limited Edition",R48="None"))),"OK","REVIEW")</x:f>
        <x:v>OK</x:v>
      </x:c>
    </x:row>
    <x:row r="49" ht="48" customHeight="1">
      <x:c r="A49" s="204" t="str">
        <x:v>CD-13</x:v>
      </x:c>
      <x:c r="B49" s="204" t="str">
        <x:v>Barrel Hideout</x:v>
      </x:c>
      <x:c r="C49" s="192" t="str">
        <x:v>Decoration</x:v>
      </x:c>
      <x:c r="D49" s="192" t="str">
        <x:v>Nautical Relic</x:v>
      </x:c>
      <x:c r="E49" s="192" t="str">
        <x:v>Shipwreck</x:v>
      </x:c>
      <x:c r="F49" s="192" t="str">
        <x:v>Coin</x:v>
      </x:c>
      <x:c r="G49" s="192" t="str">
        <x:v>Uncommon</x:v>
      </x:c>
      <x:c r="H49" s="198" t="n">
        <x:v>15</x:v>
      </x:c>
      <x:c r="I49" s="199" t="str">
        <x:v>Coins</x:v>
      </x:c>
      <x:c r="J49" s="198" t="n">
        <x:v>1400</x:v>
      </x:c>
      <x:c r="K49" s="200" t="n">
        <x:f>MIN('Decor Guide'!$B$8,MAX('Decor Guide'!$B$7,INT(INDEX('XP Curve'!$F$4:$F$73,MIN(H49+1,'Decor Guide'!$B$15))*'Decor Guide'!$B$9)),MAX('Decor Guide'!$B$7,ROUND(IF(I49="Coins",J49*'Decor Guide'!$B$5,J49*'Decor Guide'!$B$6),0)))</x:f>
        <x:v>42</x:v>
      </x:c>
      <x:c r="L49" s="200" t="n">
        <x:f>VLOOKUP(M49,'Decor Guide'!$E$5:$G$8,3,FALSE)</x:f>
        <x:v>20</x:v>
      </x:c>
      <x:c r="M49" s="201" t="str">
        <x:f>IF(MAX(N49,O49)&lt;='Decor Guide'!$F$5,'Decor Guide'!$E$5,IF(MAX(N49,O49)&lt;='Decor Guide'!$F$6,'Decor Guide'!$E$6,IF(MAX(N49,O49)&lt;='Decor Guide'!$F$7,'Decor Guide'!$E$7,'Decor Guide'!$E$8)))</x:f>
        <x:v>Medium</x:v>
      </x:c>
      <x:c r="N49" s="236" t="n">
        <x:v>1.8</x:v>
      </x:c>
      <x:c r="O49" s="236" t="n">
        <x:v>1.8</x:v>
      </x:c>
      <x:c r="P49" s="192" t="str">
        <x:v>Midground</x:v>
      </x:c>
      <x:c r="Q49" s="192" t="str">
        <x:f>IF(H49&lt;='Decor Guide'!$B$12,"Launch (L1–40)",IF(H49&lt;='Decor Guide'!$B$13,"Wave 1 (L41–50)",IF(H49&lt;='Decor Guide'!$B$14,"Wave 2 (L51–60)","Wave 3 (L61–70)")))</x:f>
        <x:v>Launch (L1–40)</x:v>
      </x:c>
      <x:c r="R49" s="192" t="str">
        <x:v>None</x:v>
      </x:c>
      <x:c r="S49" s="192" t="str">
        <x:f>IF(R49="None","Always available after unlock",VLOOKUP(R49,'Decor Live Ops'!$A$5:$L$16,2,FALSE))</x:f>
        <x:v>Always available after unlock</x:v>
      </x:c>
      <x:c r="T49" s="203" t="str">
        <x:f>IF(AND(H49&gt;=1,H49&lt;='Decor Guide'!$B$15,J49&gt;0,MOD(J49,IF(I49="Coins",5,1))=0,K49&gt;='Decor Guide'!$B$7,K49&lt;='Decor Guide'!$B$8,L49&gt;0,N49&gt;0,O49&gt;0,MAX(N49,O49)&lt;='Decor Guide'!$F$8,OR(AND(F49="Coin",I49="Coins"),AND(F49="Premium",I49="Pearls"),AND(F49="Limited Edition",OR(I49="Coins",I49="Pearls"))),OR(AND(F49="Limited Edition",R49&lt;&gt;"None"),AND(F49&lt;&gt;"Limited Edition",R49="None"))),"OK","REVIEW")</x:f>
        <x:v>OK</x:v>
      </x:c>
    </x:row>
    <x:row r="50" ht="48" customHeight="1">
      <x:c r="A50" s="204" t="str">
        <x:v>CD-14</x:v>
      </x:c>
      <x:c r="B50" s="204" t="str">
        <x:v>Fan Coral Sculpture</x:v>
      </x:c>
      <x:c r="C50" s="192" t="str">
        <x:v>Decoration</x:v>
      </x:c>
      <x:c r="D50" s="192" t="str">
        <x:v>Coral Sculpture</x:v>
      </x:c>
      <x:c r="E50" s="192" t="str">
        <x:v>Coral</x:v>
      </x:c>
      <x:c r="F50" s="192" t="str">
        <x:v>Coin</x:v>
      </x:c>
      <x:c r="G50" s="192" t="str">
        <x:v>Uncommon</x:v>
      </x:c>
      <x:c r="H50" s="198" t="n">
        <x:v>17</x:v>
      </x:c>
      <x:c r="I50" s="199" t="str">
        <x:v>Coins</x:v>
      </x:c>
      <x:c r="J50" s="198" t="n">
        <x:v>1900</x:v>
      </x:c>
      <x:c r="K50" s="200" t="n">
        <x:f>MIN('Decor Guide'!$B$8,MAX('Decor Guide'!$B$7,INT(INDEX('XP Curve'!$F$4:$F$73,MIN(H50+1,'Decor Guide'!$B$15))*'Decor Guide'!$B$9)),MAX('Decor Guide'!$B$7,ROUND(IF(I50="Coins",J50*'Decor Guide'!$B$5,J50*'Decor Guide'!$B$6),0)))</x:f>
        <x:v>57</x:v>
      </x:c>
      <x:c r="L50" s="200" t="n">
        <x:f>VLOOKUP(M50,'Decor Guide'!$E$5:$G$8,3,FALSE)</x:f>
        <x:v>35</x:v>
      </x:c>
      <x:c r="M50" s="201" t="str">
        <x:f>IF(MAX(N50,O50)&lt;='Decor Guide'!$F$5,'Decor Guide'!$E$5,IF(MAX(N50,O50)&lt;='Decor Guide'!$F$6,'Decor Guide'!$E$6,IF(MAX(N50,O50)&lt;='Decor Guide'!$F$7,'Decor Guide'!$E$7,'Decor Guide'!$E$8)))</x:f>
        <x:v>Large</x:v>
      </x:c>
      <x:c r="N50" s="236" t="n">
        <x:v>2.3</x:v>
      </x:c>
      <x:c r="O50" s="236" t="n">
        <x:v>2.7</x:v>
      </x:c>
      <x:c r="P50" s="192" t="str">
        <x:v>Background</x:v>
      </x:c>
      <x:c r="Q50" s="192" t="str">
        <x:f>IF(H50&lt;='Decor Guide'!$B$12,"Launch (L1–40)",IF(H50&lt;='Decor Guide'!$B$13,"Wave 1 (L41–50)",IF(H50&lt;='Decor Guide'!$B$14,"Wave 2 (L51–60)","Wave 3 (L61–70)")))</x:f>
        <x:v>Launch (L1–40)</x:v>
      </x:c>
      <x:c r="R50" s="192" t="str">
        <x:v>None</x:v>
      </x:c>
      <x:c r="S50" s="192" t="str">
        <x:f>IF(R50="None","Always available after unlock",VLOOKUP(R50,'Decor Live Ops'!$A$5:$L$16,2,FALSE))</x:f>
        <x:v>Always available after unlock</x:v>
      </x:c>
      <x:c r="T50" s="203" t="str">
        <x:f>IF(AND(H50&gt;=1,H50&lt;='Decor Guide'!$B$15,J50&gt;0,MOD(J50,IF(I50="Coins",5,1))=0,K50&gt;='Decor Guide'!$B$7,K50&lt;='Decor Guide'!$B$8,L50&gt;0,N50&gt;0,O50&gt;0,MAX(N50,O50)&lt;='Decor Guide'!$F$8,OR(AND(F50="Coin",I50="Coins"),AND(F50="Premium",I50="Pearls"),AND(F50="Limited Edition",OR(I50="Coins",I50="Pearls"))),OR(AND(F50="Limited Edition",R50&lt;&gt;"None"),AND(F50&lt;&gt;"Limited Edition",R50="None"))),"OK","REVIEW")</x:f>
        <x:v>OK</x:v>
      </x:c>
    </x:row>
    <x:row r="51" ht="48" customHeight="1">
      <x:c r="A51" s="204" t="str">
        <x:v>CD-15</x:v>
      </x:c>
      <x:c r="B51" s="204" t="str">
        <x:v>Bamboo Water Wheel</x:v>
      </x:c>
      <x:c r="C51" s="192" t="str">
        <x:v>Decoration</x:v>
      </x:c>
      <x:c r="D51" s="192" t="str">
        <x:v>Architecture</x:v>
      </x:c>
      <x:c r="E51" s="192" t="str">
        <x:v>Zen Garden</x:v>
      </x:c>
      <x:c r="F51" s="192" t="str">
        <x:v>Coin</x:v>
      </x:c>
      <x:c r="G51" s="192" t="str">
        <x:v>Rare</x:v>
      </x:c>
      <x:c r="H51" s="198" t="n">
        <x:v>19</x:v>
      </x:c>
      <x:c r="I51" s="199" t="str">
        <x:v>Coins</x:v>
      </x:c>
      <x:c r="J51" s="198" t="n">
        <x:v>2500</x:v>
      </x:c>
      <x:c r="K51" s="200" t="n">
        <x:f>MIN('Decor Guide'!$B$8,MAX('Decor Guide'!$B$7,INT(INDEX('XP Curve'!$F$4:$F$73,MIN(H51+1,'Decor Guide'!$B$15))*'Decor Guide'!$B$9)),MAX('Decor Guide'!$B$7,ROUND(IF(I51="Coins",J51*'Decor Guide'!$B$5,J51*'Decor Guide'!$B$6),0)))</x:f>
        <x:v>75</x:v>
      </x:c>
      <x:c r="L51" s="200" t="n">
        <x:f>VLOOKUP(M51,'Decor Guide'!$E$5:$G$8,3,FALSE)</x:f>
        <x:v>35</x:v>
      </x:c>
      <x:c r="M51" s="201" t="str">
        <x:f>IF(MAX(N51,O51)&lt;='Decor Guide'!$F$5,'Decor Guide'!$E$5,IF(MAX(N51,O51)&lt;='Decor Guide'!$F$6,'Decor Guide'!$E$6,IF(MAX(N51,O51)&lt;='Decor Guide'!$F$7,'Decor Guide'!$E$7,'Decor Guide'!$E$8)))</x:f>
        <x:v>Large</x:v>
      </x:c>
      <x:c r="N51" s="236" t="n">
        <x:v>2.5</x:v>
      </x:c>
      <x:c r="O51" s="236" t="n">
        <x:v>2.5</x:v>
      </x:c>
      <x:c r="P51" s="192" t="str">
        <x:v>Midground</x:v>
      </x:c>
      <x:c r="Q51" s="192" t="str">
        <x:f>IF(H51&lt;='Decor Guide'!$B$12,"Launch (L1–40)",IF(H51&lt;='Decor Guide'!$B$13,"Wave 1 (L41–50)",IF(H51&lt;='Decor Guide'!$B$14,"Wave 2 (L51–60)","Wave 3 (L61–70)")))</x:f>
        <x:v>Launch (L1–40)</x:v>
      </x:c>
      <x:c r="R51" s="192" t="str">
        <x:v>None</x:v>
      </x:c>
      <x:c r="S51" s="192" t="str">
        <x:f>IF(R51="None","Always available after unlock",VLOOKUP(R51,'Decor Live Ops'!$A$5:$L$16,2,FALSE))</x:f>
        <x:v>Always available after unlock</x:v>
      </x:c>
      <x:c r="T51" s="203" t="str">
        <x:f>IF(AND(H51&gt;=1,H51&lt;='Decor Guide'!$B$15,J51&gt;0,MOD(J51,IF(I51="Coins",5,1))=0,K51&gt;='Decor Guide'!$B$7,K51&lt;='Decor Guide'!$B$8,L51&gt;0,N51&gt;0,O51&gt;0,MAX(N51,O51)&lt;='Decor Guide'!$F$8,OR(AND(F51="Coin",I51="Coins"),AND(F51="Premium",I51="Pearls"),AND(F51="Limited Edition",OR(I51="Coins",I51="Pearls"))),OR(AND(F51="Limited Edition",R51&lt;&gt;"None"),AND(F51&lt;&gt;"Limited Edition",R51="None"))),"OK","REVIEW")</x:f>
        <x:v>OK</x:v>
      </x:c>
    </x:row>
    <x:row r="52" ht="48" customHeight="1">
      <x:c r="A52" s="204" t="str">
        <x:v>CD-16</x:v>
      </x:c>
      <x:c r="B52" s="204" t="str">
        <x:v>Broken Column Pair</x:v>
      </x:c>
      <x:c r="C52" s="192" t="str">
        <x:v>Decoration</x:v>
      </x:c>
      <x:c r="D52" s="192" t="str">
        <x:v>Ancient Relic</x:v>
      </x:c>
      <x:c r="E52" s="192" t="str">
        <x:v>Ruins</x:v>
      </x:c>
      <x:c r="F52" s="192" t="str">
        <x:v>Coin</x:v>
      </x:c>
      <x:c r="G52" s="192" t="str">
        <x:v>Rare</x:v>
      </x:c>
      <x:c r="H52" s="198" t="n">
        <x:v>21</x:v>
      </x:c>
      <x:c r="I52" s="199" t="str">
        <x:v>Coins</x:v>
      </x:c>
      <x:c r="J52" s="198" t="n">
        <x:v>3200</x:v>
      </x:c>
      <x:c r="K52" s="200" t="n">
        <x:f>MIN('Decor Guide'!$B$8,MAX('Decor Guide'!$B$7,INT(INDEX('XP Curve'!$F$4:$F$73,MIN(H52+1,'Decor Guide'!$B$15))*'Decor Guide'!$B$9)),MAX('Decor Guide'!$B$7,ROUND(IF(I52="Coins",J52*'Decor Guide'!$B$5,J52*'Decor Guide'!$B$6),0)))</x:f>
        <x:v>96</x:v>
      </x:c>
      <x:c r="L52" s="200" t="n">
        <x:f>VLOOKUP(M52,'Decor Guide'!$E$5:$G$8,3,FALSE)</x:f>
        <x:v>35</x:v>
      </x:c>
      <x:c r="M52" s="201" t="str">
        <x:f>IF(MAX(N52,O52)&lt;='Decor Guide'!$F$5,'Decor Guide'!$E$5,IF(MAX(N52,O52)&lt;='Decor Guide'!$F$6,'Decor Guide'!$E$6,IF(MAX(N52,O52)&lt;='Decor Guide'!$F$7,'Decor Guide'!$E$7,'Decor Guide'!$E$8)))</x:f>
        <x:v>Large</x:v>
      </x:c>
      <x:c r="N52" s="236" t="n">
        <x:v>2.5</x:v>
      </x:c>
      <x:c r="O52" s="236" t="n">
        <x:v>2.3</x:v>
      </x:c>
      <x:c r="P52" s="192" t="str">
        <x:v>Midground</x:v>
      </x:c>
      <x:c r="Q52" s="192" t="str">
        <x:f>IF(H52&lt;='Decor Guide'!$B$12,"Launch (L1–40)",IF(H52&lt;='Decor Guide'!$B$13,"Wave 1 (L41–50)",IF(H52&lt;='Decor Guide'!$B$14,"Wave 2 (L51–60)","Wave 3 (L61–70)")))</x:f>
        <x:v>Launch (L1–40)</x:v>
      </x:c>
      <x:c r="R52" s="192" t="str">
        <x:v>None</x:v>
      </x:c>
      <x:c r="S52" s="192" t="str">
        <x:f>IF(R52="None","Always available after unlock",VLOOKUP(R52,'Decor Live Ops'!$A$5:$L$16,2,FALSE))</x:f>
        <x:v>Always available after unlock</x:v>
      </x:c>
      <x:c r="T52" s="203" t="str">
        <x:f>IF(AND(H52&gt;=1,H52&lt;='Decor Guide'!$B$15,J52&gt;0,MOD(J52,IF(I52="Coins",5,1))=0,K52&gt;='Decor Guide'!$B$7,K52&lt;='Decor Guide'!$B$8,L52&gt;0,N52&gt;0,O52&gt;0,MAX(N52,O52)&lt;='Decor Guide'!$F$8,OR(AND(F52="Coin",I52="Coins"),AND(F52="Premium",I52="Pearls"),AND(F52="Limited Edition",OR(I52="Coins",I52="Pearls"))),OR(AND(F52="Limited Edition",R52&lt;&gt;"None"),AND(F52&lt;&gt;"Limited Edition",R52="None"))),"OK","REVIEW")</x:f>
        <x:v>OK</x:v>
      </x:c>
    </x:row>
    <x:row r="53" ht="48" customHeight="1">
      <x:c r="A53" s="204" t="str">
        <x:v>CD-17</x:v>
      </x:c>
      <x:c r="B53" s="204" t="str">
        <x:v>Turtle Garden Statue</x:v>
      </x:c>
      <x:c r="C53" s="192" t="str">
        <x:v>Decoration</x:v>
      </x:c>
      <x:c r="D53" s="192" t="str">
        <x:v>Statue</x:v>
      </x:c>
      <x:c r="E53" s="192" t="str">
        <x:v>Zen Garden</x:v>
      </x:c>
      <x:c r="F53" s="192" t="str">
        <x:v>Coin</x:v>
      </x:c>
      <x:c r="G53" s="192" t="str">
        <x:v>Rare</x:v>
      </x:c>
      <x:c r="H53" s="198" t="n">
        <x:v>23</x:v>
      </x:c>
      <x:c r="I53" s="199" t="str">
        <x:v>Coins</x:v>
      </x:c>
      <x:c r="J53" s="198" t="n">
        <x:v>4000</x:v>
      </x:c>
      <x:c r="K53" s="200" t="n">
        <x:f>MIN('Decor Guide'!$B$8,MAX('Decor Guide'!$B$7,INT(INDEX('XP Curve'!$F$4:$F$73,MIN(H53+1,'Decor Guide'!$B$15))*'Decor Guide'!$B$9)),MAX('Decor Guide'!$B$7,ROUND(IF(I53="Coins",J53*'Decor Guide'!$B$5,J53*'Decor Guide'!$B$6),0)))</x:f>
        <x:v>120</x:v>
      </x:c>
      <x:c r="L53" s="200" t="n">
        <x:f>VLOOKUP(M53,'Decor Guide'!$E$5:$G$8,3,FALSE)</x:f>
        <x:v>20</x:v>
      </x:c>
      <x:c r="M53" s="201" t="str">
        <x:f>IF(MAX(N53,O53)&lt;='Decor Guide'!$F$5,'Decor Guide'!$E$5,IF(MAX(N53,O53)&lt;='Decor Guide'!$F$6,'Decor Guide'!$E$6,IF(MAX(N53,O53)&lt;='Decor Guide'!$F$7,'Decor Guide'!$E$7,'Decor Guide'!$E$8)))</x:f>
        <x:v>Medium</x:v>
      </x:c>
      <x:c r="N53" s="236" t="n">
        <x:v>1.9</x:v>
      </x:c>
      <x:c r="O53" s="236" t="n">
        <x:v>1.2</x:v>
      </x:c>
      <x:c r="P53" s="192" t="str">
        <x:v>Foreground</x:v>
      </x:c>
      <x:c r="Q53" s="192" t="str">
        <x:f>IF(H53&lt;='Decor Guide'!$B$12,"Launch (L1–40)",IF(H53&lt;='Decor Guide'!$B$13,"Wave 1 (L41–50)",IF(H53&lt;='Decor Guide'!$B$14,"Wave 2 (L51–60)","Wave 3 (L61–70)")))</x:f>
        <x:v>Launch (L1–40)</x:v>
      </x:c>
      <x:c r="R53" s="192" t="str">
        <x:v>None</x:v>
      </x:c>
      <x:c r="S53" s="192" t="str">
        <x:f>IF(R53="None","Always available after unlock",VLOOKUP(R53,'Decor Live Ops'!$A$5:$L$16,2,FALSE))</x:f>
        <x:v>Always available after unlock</x:v>
      </x:c>
      <x:c r="T53" s="203" t="str">
        <x:f>IF(AND(H53&gt;=1,H53&lt;='Decor Guide'!$B$15,J53&gt;0,MOD(J53,IF(I53="Coins",5,1))=0,K53&gt;='Decor Guide'!$B$7,K53&lt;='Decor Guide'!$B$8,L53&gt;0,N53&gt;0,O53&gt;0,MAX(N53,O53)&lt;='Decor Guide'!$F$8,OR(AND(F53="Coin",I53="Coins"),AND(F53="Premium",I53="Pearls"),AND(F53="Limited Edition",OR(I53="Coins",I53="Pearls"))),OR(AND(F53="Limited Edition",R53&lt;&gt;"None"),AND(F53&lt;&gt;"Limited Edition",R53="None"))),"OK","REVIEW")</x:f>
        <x:v>OK</x:v>
      </x:c>
    </x:row>
    <x:row r="54" ht="48" customHeight="1">
      <x:c r="A54" s="204" t="str">
        <x:v>CD-18</x:v>
      </x:c>
      <x:c r="B54" s="204" t="str">
        <x:v>Ship's Wheel Stand</x:v>
      </x:c>
      <x:c r="C54" s="192" t="str">
        <x:v>Decoration</x:v>
      </x:c>
      <x:c r="D54" s="192" t="str">
        <x:v>Nautical Relic</x:v>
      </x:c>
      <x:c r="E54" s="192" t="str">
        <x:v>Shipwreck</x:v>
      </x:c>
      <x:c r="F54" s="192" t="str">
        <x:v>Coin</x:v>
      </x:c>
      <x:c r="G54" s="192" t="str">
        <x:v>Rare</x:v>
      </x:c>
      <x:c r="H54" s="198" t="n">
        <x:v>25</x:v>
      </x:c>
      <x:c r="I54" s="199" t="str">
        <x:v>Coins</x:v>
      </x:c>
      <x:c r="J54" s="198" t="n">
        <x:v>5000</x:v>
      </x:c>
      <x:c r="K54" s="200" t="n">
        <x:f>MIN('Decor Guide'!$B$8,MAX('Decor Guide'!$B$7,INT(INDEX('XP Curve'!$F$4:$F$73,MIN(H54+1,'Decor Guide'!$B$15))*'Decor Guide'!$B$9)),MAX('Decor Guide'!$B$7,ROUND(IF(I54="Coins",J54*'Decor Guide'!$B$5,J54*'Decor Guide'!$B$6),0)))</x:f>
        <x:v>120</x:v>
      </x:c>
      <x:c r="L54" s="200" t="n">
        <x:f>VLOOKUP(M54,'Decor Guide'!$E$5:$G$8,3,FALSE)</x:f>
        <x:v>35</x:v>
      </x:c>
      <x:c r="M54" s="201" t="str">
        <x:f>IF(MAX(N54,O54)&lt;='Decor Guide'!$F$5,'Decor Guide'!$E$5,IF(MAX(N54,O54)&lt;='Decor Guide'!$F$6,'Decor Guide'!$E$6,IF(MAX(N54,O54)&lt;='Decor Guide'!$F$7,'Decor Guide'!$E$7,'Decor Guide'!$E$8)))</x:f>
        <x:v>Large</x:v>
      </x:c>
      <x:c r="N54" s="236" t="n">
        <x:v>2.3</x:v>
      </x:c>
      <x:c r="O54" s="236" t="n">
        <x:v>2.5</x:v>
      </x:c>
      <x:c r="P54" s="192" t="str">
        <x:v>Midground</x:v>
      </x:c>
      <x:c r="Q54" s="192" t="str">
        <x:f>IF(H54&lt;='Decor Guide'!$B$12,"Launch (L1–40)",IF(H54&lt;='Decor Guide'!$B$13,"Wave 1 (L41–50)",IF(H54&lt;='Decor Guide'!$B$14,"Wave 2 (L51–60)","Wave 3 (L61–70)")))</x:f>
        <x:v>Launch (L1–40)</x:v>
      </x:c>
      <x:c r="R54" s="192" t="str">
        <x:v>None</x:v>
      </x:c>
      <x:c r="S54" s="192" t="str">
        <x:f>IF(R54="None","Always available after unlock",VLOOKUP(R54,'Decor Live Ops'!$A$5:$L$16,2,FALSE))</x:f>
        <x:v>Always available after unlock</x:v>
      </x:c>
      <x:c r="T54" s="203" t="str">
        <x:f>IF(AND(H54&gt;=1,H54&lt;='Decor Guide'!$B$15,J54&gt;0,MOD(J54,IF(I54="Coins",5,1))=0,K54&gt;='Decor Guide'!$B$7,K54&lt;='Decor Guide'!$B$8,L54&gt;0,N54&gt;0,O54&gt;0,MAX(N54,O54)&lt;='Decor Guide'!$F$8,OR(AND(F54="Coin",I54="Coins"),AND(F54="Premium",I54="Pearls"),AND(F54="Limited Edition",OR(I54="Coins",I54="Pearls"))),OR(AND(F54="Limited Edition",R54&lt;&gt;"None"),AND(F54&lt;&gt;"Limited Edition",R54="None"))),"OK","REVIEW")</x:f>
        <x:v>OK</x:v>
      </x:c>
    </x:row>
    <x:row r="55" ht="48" customHeight="1">
      <x:c r="A55" s="204" t="str">
        <x:v>CD-19</x:v>
      </x:c>
      <x:c r="B55" s="204" t="str">
        <x:v>Mushroom Cottage</x:v>
      </x:c>
      <x:c r="C55" s="192" t="str">
        <x:v>Decoration</x:v>
      </x:c>
      <x:c r="D55" s="192" t="str">
        <x:v>Fantasy Architecture</x:v>
      </x:c>
      <x:c r="E55" s="192" t="str">
        <x:v>Fantasy</x:v>
      </x:c>
      <x:c r="F55" s="192" t="str">
        <x:v>Coin</x:v>
      </x:c>
      <x:c r="G55" s="192" t="str">
        <x:v>Rare</x:v>
      </x:c>
      <x:c r="H55" s="198" t="n">
        <x:v>27</x:v>
      </x:c>
      <x:c r="I55" s="199" t="str">
        <x:v>Coins</x:v>
      </x:c>
      <x:c r="J55" s="198" t="n">
        <x:v>6200</x:v>
      </x:c>
      <x:c r="K55" s="200" t="n">
        <x:f>MIN('Decor Guide'!$B$8,MAX('Decor Guide'!$B$7,INT(INDEX('XP Curve'!$F$4:$F$73,MIN(H55+1,'Decor Guide'!$B$15))*'Decor Guide'!$B$9)),MAX('Decor Guide'!$B$7,ROUND(IF(I55="Coins",J55*'Decor Guide'!$B$5,J55*'Decor Guide'!$B$6),0)))</x:f>
        <x:v>120</x:v>
      </x:c>
      <x:c r="L55" s="200" t="n">
        <x:f>VLOOKUP(M55,'Decor Guide'!$E$5:$G$8,3,FALSE)</x:f>
        <x:v>35</x:v>
      </x:c>
      <x:c r="M55" s="201" t="str">
        <x:f>IF(MAX(N55,O55)&lt;='Decor Guide'!$F$5,'Decor Guide'!$E$5,IF(MAX(N55,O55)&lt;='Decor Guide'!$F$6,'Decor Guide'!$E$6,IF(MAX(N55,O55)&lt;='Decor Guide'!$F$7,'Decor Guide'!$E$7,'Decor Guide'!$E$8)))</x:f>
        <x:v>Large</x:v>
      </x:c>
      <x:c r="N55" s="236" t="n">
        <x:v>2.3</x:v>
      </x:c>
      <x:c r="O55" s="236" t="n">
        <x:v>2.7</x:v>
      </x:c>
      <x:c r="P55" s="192" t="str">
        <x:v>Midground</x:v>
      </x:c>
      <x:c r="Q55" s="192" t="str">
        <x:f>IF(H55&lt;='Decor Guide'!$B$12,"Launch (L1–40)",IF(H55&lt;='Decor Guide'!$B$13,"Wave 1 (L41–50)",IF(H55&lt;='Decor Guide'!$B$14,"Wave 2 (L51–60)","Wave 3 (L61–70)")))</x:f>
        <x:v>Launch (L1–40)</x:v>
      </x:c>
      <x:c r="R55" s="192" t="str">
        <x:v>None</x:v>
      </x:c>
      <x:c r="S55" s="192" t="str">
        <x:f>IF(R55="None","Always available after unlock",VLOOKUP(R55,'Decor Live Ops'!$A$5:$L$16,2,FALSE))</x:f>
        <x:v>Always available after unlock</x:v>
      </x:c>
      <x:c r="T55" s="203" t="str">
        <x:f>IF(AND(H55&gt;=1,H55&lt;='Decor Guide'!$B$15,J55&gt;0,MOD(J55,IF(I55="Coins",5,1))=0,K55&gt;='Decor Guide'!$B$7,K55&lt;='Decor Guide'!$B$8,L55&gt;0,N55&gt;0,O55&gt;0,MAX(N55,O55)&lt;='Decor Guide'!$F$8,OR(AND(F55="Coin",I55="Coins"),AND(F55="Premium",I55="Pearls"),AND(F55="Limited Edition",OR(I55="Coins",I55="Pearls"))),OR(AND(F55="Limited Edition",R55&lt;&gt;"None"),AND(F55&lt;&gt;"Limited Edition",R55="None"))),"OK","REVIEW")</x:f>
        <x:v>OK</x:v>
      </x:c>
    </x:row>
    <x:row r="56" ht="48" customHeight="1">
      <x:c r="A56" s="204" t="str">
        <x:v>CD-20</x:v>
      </x:c>
      <x:c r="B56" s="204" t="str">
        <x:v>Basalt Stair Terrace</x:v>
      </x:c>
      <x:c r="C56" s="192" t="str">
        <x:v>Decoration</x:v>
      </x:c>
      <x:c r="D56" s="192" t="str">
        <x:v>Rock</x:v>
      </x:c>
      <x:c r="E56" s="192" t="str">
        <x:v>Deep Sea</x:v>
      </x:c>
      <x:c r="F56" s="192" t="str">
        <x:v>Coin</x:v>
      </x:c>
      <x:c r="G56" s="192" t="str">
        <x:v>Rare</x:v>
      </x:c>
      <x:c r="H56" s="198" t="n">
        <x:v>29</x:v>
      </x:c>
      <x:c r="I56" s="199" t="str">
        <x:v>Coins</x:v>
      </x:c>
      <x:c r="J56" s="198" t="n">
        <x:v>7600</x:v>
      </x:c>
      <x:c r="K56" s="200" t="n">
        <x:f>MIN('Decor Guide'!$B$8,MAX('Decor Guide'!$B$7,INT(INDEX('XP Curve'!$F$4:$F$73,MIN(H56+1,'Decor Guide'!$B$15))*'Decor Guide'!$B$9)),MAX('Decor Guide'!$B$7,ROUND(IF(I56="Coins",J56*'Decor Guide'!$B$5,J56*'Decor Guide'!$B$6),0)))</x:f>
        <x:v>120</x:v>
      </x:c>
      <x:c r="L56" s="200" t="n">
        <x:f>VLOOKUP(M56,'Decor Guide'!$E$5:$G$8,3,FALSE)</x:f>
        <x:v>35</x:v>
      </x:c>
      <x:c r="M56" s="201" t="str">
        <x:f>IF(MAX(N56,O56)&lt;='Decor Guide'!$F$5,'Decor Guide'!$E$5,IF(MAX(N56,O56)&lt;='Decor Guide'!$F$6,'Decor Guide'!$E$6,IF(MAX(N56,O56)&lt;='Decor Guide'!$F$7,'Decor Guide'!$E$7,'Decor Guide'!$E$8)))</x:f>
        <x:v>Large</x:v>
      </x:c>
      <x:c r="N56" s="236" t="n">
        <x:v>2.8</x:v>
      </x:c>
      <x:c r="O56" s="236" t="n">
        <x:v>2.1</x:v>
      </x:c>
      <x:c r="P56" s="192" t="str">
        <x:v>Midground</x:v>
      </x:c>
      <x:c r="Q56" s="192" t="str">
        <x:f>IF(H56&lt;='Decor Guide'!$B$12,"Launch (L1–40)",IF(H56&lt;='Decor Guide'!$B$13,"Wave 1 (L41–50)",IF(H56&lt;='Decor Guide'!$B$14,"Wave 2 (L51–60)","Wave 3 (L61–70)")))</x:f>
        <x:v>Launch (L1–40)</x:v>
      </x:c>
      <x:c r="R56" s="192" t="str">
        <x:v>None</x:v>
      </x:c>
      <x:c r="S56" s="192" t="str">
        <x:f>IF(R56="None","Always available after unlock",VLOOKUP(R56,'Decor Live Ops'!$A$5:$L$16,2,FALSE))</x:f>
        <x:v>Always available after unlock</x:v>
      </x:c>
      <x:c r="T56" s="203" t="str">
        <x:f>IF(AND(H56&gt;=1,H56&lt;='Decor Guide'!$B$15,J56&gt;0,MOD(J56,IF(I56="Coins",5,1))=0,K56&gt;='Decor Guide'!$B$7,K56&lt;='Decor Guide'!$B$8,L56&gt;0,N56&gt;0,O56&gt;0,MAX(N56,O56)&lt;='Decor Guide'!$F$8,OR(AND(F56="Coin",I56="Coins"),AND(F56="Premium",I56="Pearls"),AND(F56="Limited Edition",OR(I56="Coins",I56="Pearls"))),OR(AND(F56="Limited Edition",R56&lt;&gt;"None"),AND(F56&lt;&gt;"Limited Edition",R56="None"))),"OK","REVIEW")</x:f>
        <x:v>OK</x:v>
      </x:c>
    </x:row>
    <x:row r="57" ht="48" customHeight="1">
      <x:c r="A57" s="204" t="str">
        <x:v>CD-21</x:v>
      </x:c>
      <x:c r="B57" s="204" t="str">
        <x:v>Nautilus Alcove</x:v>
      </x:c>
      <x:c r="C57" s="192" t="str">
        <x:v>Decoration</x:v>
      </x:c>
      <x:c r="D57" s="192" t="str">
        <x:v>Ancient Relic</x:v>
      </x:c>
      <x:c r="E57" s="192" t="str">
        <x:v>Ruins</x:v>
      </x:c>
      <x:c r="F57" s="192" t="str">
        <x:v>Coin</x:v>
      </x:c>
      <x:c r="G57" s="192" t="str">
        <x:v>Rare</x:v>
      </x:c>
      <x:c r="H57" s="198" t="n">
        <x:v>31</x:v>
      </x:c>
      <x:c r="I57" s="199" t="str">
        <x:v>Coins</x:v>
      </x:c>
      <x:c r="J57" s="198" t="n">
        <x:v>9000</x:v>
      </x:c>
      <x:c r="K57" s="200" t="n">
        <x:f>MIN('Decor Guide'!$B$8,MAX('Decor Guide'!$B$7,INT(INDEX('XP Curve'!$F$4:$F$73,MIN(H57+1,'Decor Guide'!$B$15))*'Decor Guide'!$B$9)),MAX('Decor Guide'!$B$7,ROUND(IF(I57="Coins",J57*'Decor Guide'!$B$5,J57*'Decor Guide'!$B$6),0)))</x:f>
        <x:v>120</x:v>
      </x:c>
      <x:c r="L57" s="200" t="n">
        <x:f>VLOOKUP(M57,'Decor Guide'!$E$5:$G$8,3,FALSE)</x:f>
        <x:v>35</x:v>
      </x:c>
      <x:c r="M57" s="201" t="str">
        <x:f>IF(MAX(N57,O57)&lt;='Decor Guide'!$F$5,'Decor Guide'!$E$5,IF(MAX(N57,O57)&lt;='Decor Guide'!$F$6,'Decor Guide'!$E$6,IF(MAX(N57,O57)&lt;='Decor Guide'!$F$7,'Decor Guide'!$E$7,'Decor Guide'!$E$8)))</x:f>
        <x:v>Large</x:v>
      </x:c>
      <x:c r="N57" s="236" t="n">
        <x:v>2.7</x:v>
      </x:c>
      <x:c r="O57" s="236" t="n">
        <x:v>2.6</x:v>
      </x:c>
      <x:c r="P57" s="192" t="str">
        <x:v>Midground</x:v>
      </x:c>
      <x:c r="Q57" s="192" t="str">
        <x:f>IF(H57&lt;='Decor Guide'!$B$12,"Launch (L1–40)",IF(H57&lt;='Decor Guide'!$B$13,"Wave 1 (L41–50)",IF(H57&lt;='Decor Guide'!$B$14,"Wave 2 (L51–60)","Wave 3 (L61–70)")))</x:f>
        <x:v>Launch (L1–40)</x:v>
      </x:c>
      <x:c r="R57" s="192" t="str">
        <x:v>None</x:v>
      </x:c>
      <x:c r="S57" s="192" t="str">
        <x:f>IF(R57="None","Always available after unlock",VLOOKUP(R57,'Decor Live Ops'!$A$5:$L$16,2,FALSE))</x:f>
        <x:v>Always available after unlock</x:v>
      </x:c>
      <x:c r="T57" s="203" t="str">
        <x:f>IF(AND(H57&gt;=1,H57&lt;='Decor Guide'!$B$15,J57&gt;0,MOD(J57,IF(I57="Coins",5,1))=0,K57&gt;='Decor Guide'!$B$7,K57&lt;='Decor Guide'!$B$8,L57&gt;0,N57&gt;0,O57&gt;0,MAX(N57,O57)&lt;='Decor Guide'!$F$8,OR(AND(F57="Coin",I57="Coins"),AND(F57="Premium",I57="Pearls"),AND(F57="Limited Edition",OR(I57="Coins",I57="Pearls"))),OR(AND(F57="Limited Edition",R57&lt;&gt;"None"),AND(F57&lt;&gt;"Limited Edition",R57="None"))),"OK","REVIEW")</x:f>
        <x:v>OK</x:v>
      </x:c>
    </x:row>
    <x:row r="58" ht="48" customHeight="1">
      <x:c r="A58" s="204" t="str">
        <x:v>CD-22</x:v>
      </x:c>
      <x:c r="B58" s="204" t="str">
        <x:v>Sunken Teacup</x:v>
      </x:c>
      <x:c r="C58" s="192" t="str">
        <x:v>Decoration</x:v>
      </x:c>
      <x:c r="D58" s="192" t="str">
        <x:v>Whimsical Object</x:v>
      </x:c>
      <x:c r="E58" s="192" t="str">
        <x:v>Fantasy</x:v>
      </x:c>
      <x:c r="F58" s="192" t="str">
        <x:v>Coin</x:v>
      </x:c>
      <x:c r="G58" s="192" t="str">
        <x:v>Rare</x:v>
      </x:c>
      <x:c r="H58" s="198" t="n">
        <x:v>33</x:v>
      </x:c>
      <x:c r="I58" s="199" t="str">
        <x:v>Coins</x:v>
      </x:c>
      <x:c r="J58" s="198" t="n">
        <x:v>11000</x:v>
      </x:c>
      <x:c r="K58" s="200" t="n">
        <x:f>MIN('Decor Guide'!$B$8,MAX('Decor Guide'!$B$7,INT(INDEX('XP Curve'!$F$4:$F$73,MIN(H58+1,'Decor Guide'!$B$15))*'Decor Guide'!$B$9)),MAX('Decor Guide'!$B$7,ROUND(IF(I58="Coins",J58*'Decor Guide'!$B$5,J58*'Decor Guide'!$B$6),0)))</x:f>
        <x:v>120</x:v>
      </x:c>
      <x:c r="L58" s="200" t="n">
        <x:f>VLOOKUP(M58,'Decor Guide'!$E$5:$G$8,3,FALSE)</x:f>
        <x:v>35</x:v>
      </x:c>
      <x:c r="M58" s="201" t="str">
        <x:f>IF(MAX(N58,O58)&lt;='Decor Guide'!$F$5,'Decor Guide'!$E$5,IF(MAX(N58,O58)&lt;='Decor Guide'!$F$6,'Decor Guide'!$E$6,IF(MAX(N58,O58)&lt;='Decor Guide'!$F$7,'Decor Guide'!$E$7,'Decor Guide'!$E$8)))</x:f>
        <x:v>Large</x:v>
      </x:c>
      <x:c r="N58" s="236" t="n">
        <x:v>2.5</x:v>
      </x:c>
      <x:c r="O58" s="236" t="n">
        <x:v>1.8</x:v>
      </x:c>
      <x:c r="P58" s="192" t="str">
        <x:v>Midground</x:v>
      </x:c>
      <x:c r="Q58" s="192" t="str">
        <x:f>IF(H58&lt;='Decor Guide'!$B$12,"Launch (L1–40)",IF(H58&lt;='Decor Guide'!$B$13,"Wave 1 (L41–50)",IF(H58&lt;='Decor Guide'!$B$14,"Wave 2 (L51–60)","Wave 3 (L61–70)")))</x:f>
        <x:v>Launch (L1–40)</x:v>
      </x:c>
      <x:c r="R58" s="192" t="str">
        <x:v>None</x:v>
      </x:c>
      <x:c r="S58" s="192" t="str">
        <x:f>IF(R58="None","Always available after unlock",VLOOKUP(R58,'Decor Live Ops'!$A$5:$L$16,2,FALSE))</x:f>
        <x:v>Always available after unlock</x:v>
      </x:c>
      <x:c r="T58" s="203" t="str">
        <x:f>IF(AND(H58&gt;=1,H58&lt;='Decor Guide'!$B$15,J58&gt;0,MOD(J58,IF(I58="Coins",5,1))=0,K58&gt;='Decor Guide'!$B$7,K58&lt;='Decor Guide'!$B$8,L58&gt;0,N58&gt;0,O58&gt;0,MAX(N58,O58)&lt;='Decor Guide'!$F$8,OR(AND(F58="Coin",I58="Coins"),AND(F58="Premium",I58="Pearls"),AND(F58="Limited Edition",OR(I58="Coins",I58="Pearls"))),OR(AND(F58="Limited Edition",R58&lt;&gt;"None"),AND(F58&lt;&gt;"Limited Edition",R58="None"))),"OK","REVIEW")</x:f>
        <x:v>OK</x:v>
      </x:c>
    </x:row>
    <x:row r="59" ht="48" customHeight="1">
      <x:c r="A59" s="204" t="str">
        <x:v>CD-23</x:v>
      </x:c>
      <x:c r="B59" s="204" t="str">
        <x:v>Ruined Moon Gate</x:v>
      </x:c>
      <x:c r="C59" s="192" t="str">
        <x:v>Decoration</x:v>
      </x:c>
      <x:c r="D59" s="192" t="str">
        <x:v>Architecture</x:v>
      </x:c>
      <x:c r="E59" s="192" t="str">
        <x:v>Zen Garden</x:v>
      </x:c>
      <x:c r="F59" s="192" t="str">
        <x:v>Coin</x:v>
      </x:c>
      <x:c r="G59" s="192" t="str">
        <x:v>Epic</x:v>
      </x:c>
      <x:c r="H59" s="198" t="n">
        <x:v>35</x:v>
      </x:c>
      <x:c r="I59" s="199" t="str">
        <x:v>Coins</x:v>
      </x:c>
      <x:c r="J59" s="198" t="n">
        <x:v>13000</x:v>
      </x:c>
      <x:c r="K59" s="200" t="n">
        <x:f>MIN('Decor Guide'!$B$8,MAX('Decor Guide'!$B$7,INT(INDEX('XP Curve'!$F$4:$F$73,MIN(H59+1,'Decor Guide'!$B$15))*'Decor Guide'!$B$9)),MAX('Decor Guide'!$B$7,ROUND(IF(I59="Coins",J59*'Decor Guide'!$B$5,J59*'Decor Guide'!$B$6),0)))</x:f>
        <x:v>120</x:v>
      </x:c>
      <x:c r="L59" s="200" t="n">
        <x:f>VLOOKUP(M59,'Decor Guide'!$E$5:$G$8,3,FALSE)</x:f>
        <x:v>35</x:v>
      </x:c>
      <x:c r="M59" s="201" t="str">
        <x:f>IF(MAX(N59,O59)&lt;='Decor Guide'!$F$5,'Decor Guide'!$E$5,IF(MAX(N59,O59)&lt;='Decor Guide'!$F$6,'Decor Guide'!$E$6,IF(MAX(N59,O59)&lt;='Decor Guide'!$F$7,'Decor Guide'!$E$7,'Decor Guide'!$E$8)))</x:f>
        <x:v>Large</x:v>
      </x:c>
      <x:c r="N59" s="236" t="n">
        <x:v>3</x:v>
      </x:c>
      <x:c r="O59" s="236" t="n">
        <x:v>3.1</x:v>
      </x:c>
      <x:c r="P59" s="192" t="str">
        <x:v>Background</x:v>
      </x:c>
      <x:c r="Q59" s="192" t="str">
        <x:f>IF(H59&lt;='Decor Guide'!$B$12,"Launch (L1–40)",IF(H59&lt;='Decor Guide'!$B$13,"Wave 1 (L41–50)",IF(H59&lt;='Decor Guide'!$B$14,"Wave 2 (L51–60)","Wave 3 (L61–70)")))</x:f>
        <x:v>Launch (L1–40)</x:v>
      </x:c>
      <x:c r="R59" s="192" t="str">
        <x:v>None</x:v>
      </x:c>
      <x:c r="S59" s="192" t="str">
        <x:f>IF(R59="None","Always available after unlock",VLOOKUP(R59,'Decor Live Ops'!$A$5:$L$16,2,FALSE))</x:f>
        <x:v>Always available after unlock</x:v>
      </x:c>
      <x:c r="T59" s="203" t="str">
        <x:f>IF(AND(H59&gt;=1,H59&lt;='Decor Guide'!$B$15,J59&gt;0,MOD(J59,IF(I59="Coins",5,1))=0,K59&gt;='Decor Guide'!$B$7,K59&lt;='Decor Guide'!$B$8,L59&gt;0,N59&gt;0,O59&gt;0,MAX(N59,O59)&lt;='Decor Guide'!$F$8,OR(AND(F59="Coin",I59="Coins"),AND(F59="Premium",I59="Pearls"),AND(F59="Limited Edition",OR(I59="Coins",I59="Pearls"))),OR(AND(F59="Limited Edition",R59&lt;&gt;"None"),AND(F59&lt;&gt;"Limited Edition",R59="None"))),"OK","REVIEW")</x:f>
        <x:v>OK</x:v>
      </x:c>
    </x:row>
    <x:row r="60" ht="48" customHeight="1">
      <x:c r="A60" s="204" t="str">
        <x:v>CD-24</x:v>
      </x:c>
      <x:c r="B60" s="204" t="str">
        <x:v>Fossil Spiral Slab</x:v>
      </x:c>
      <x:c r="C60" s="192" t="str">
        <x:v>Decoration</x:v>
      </x:c>
      <x:c r="D60" s="192" t="str">
        <x:v>Ancient Relic</x:v>
      </x:c>
      <x:c r="E60" s="192" t="str">
        <x:v>Ruins</x:v>
      </x:c>
      <x:c r="F60" s="192" t="str">
        <x:v>Coin</x:v>
      </x:c>
      <x:c r="G60" s="192" t="str">
        <x:v>Epic</x:v>
      </x:c>
      <x:c r="H60" s="198" t="n">
        <x:v>37</x:v>
      </x:c>
      <x:c r="I60" s="199" t="str">
        <x:v>Coins</x:v>
      </x:c>
      <x:c r="J60" s="198" t="n">
        <x:v>15000</x:v>
      </x:c>
      <x:c r="K60" s="200" t="n">
        <x:f>MIN('Decor Guide'!$B$8,MAX('Decor Guide'!$B$7,INT(INDEX('XP Curve'!$F$4:$F$73,MIN(H60+1,'Decor Guide'!$B$15))*'Decor Guide'!$B$9)),MAX('Decor Guide'!$B$7,ROUND(IF(I60="Coins",J60*'Decor Guide'!$B$5,J60*'Decor Guide'!$B$6),0)))</x:f>
        <x:v>120</x:v>
      </x:c>
      <x:c r="L60" s="200" t="n">
        <x:f>VLOOKUP(M60,'Decor Guide'!$E$5:$G$8,3,FALSE)</x:f>
        <x:v>35</x:v>
      </x:c>
      <x:c r="M60" s="201" t="str">
        <x:f>IF(MAX(N60,O60)&lt;='Decor Guide'!$F$5,'Decor Guide'!$E$5,IF(MAX(N60,O60)&lt;='Decor Guide'!$F$6,'Decor Guide'!$E$6,IF(MAX(N60,O60)&lt;='Decor Guide'!$F$7,'Decor Guide'!$E$7,'Decor Guide'!$E$8)))</x:f>
        <x:v>Large</x:v>
      </x:c>
      <x:c r="N60" s="236" t="n">
        <x:v>2.8</x:v>
      </x:c>
      <x:c r="O60" s="236" t="n">
        <x:v>2.4</x:v>
      </x:c>
      <x:c r="P60" s="192" t="str">
        <x:v>Midground</x:v>
      </x:c>
      <x:c r="Q60" s="192" t="str">
        <x:f>IF(H60&lt;='Decor Guide'!$B$12,"Launch (L1–40)",IF(H60&lt;='Decor Guide'!$B$13,"Wave 1 (L41–50)",IF(H60&lt;='Decor Guide'!$B$14,"Wave 2 (L51–60)","Wave 3 (L61–70)")))</x:f>
        <x:v>Launch (L1–40)</x:v>
      </x:c>
      <x:c r="R60" s="192" t="str">
        <x:v>None</x:v>
      </x:c>
      <x:c r="S60" s="192" t="str">
        <x:f>IF(R60="None","Always available after unlock",VLOOKUP(R60,'Decor Live Ops'!$A$5:$L$16,2,FALSE))</x:f>
        <x:v>Always available after unlock</x:v>
      </x:c>
      <x:c r="T60" s="203" t="str">
        <x:f>IF(AND(H60&gt;=1,H60&lt;='Decor Guide'!$B$15,J60&gt;0,MOD(J60,IF(I60="Coins",5,1))=0,K60&gt;='Decor Guide'!$B$7,K60&lt;='Decor Guide'!$B$8,L60&gt;0,N60&gt;0,O60&gt;0,MAX(N60,O60)&lt;='Decor Guide'!$F$8,OR(AND(F60="Coin",I60="Coins"),AND(F60="Premium",I60="Pearls"),AND(F60="Limited Edition",OR(I60="Coins",I60="Pearls"))),OR(AND(F60="Limited Edition",R60&lt;&gt;"None"),AND(F60&lt;&gt;"Limited Edition",R60="None"))),"OK","REVIEW")</x:f>
        <x:v>OK</x:v>
      </x:c>
    </x:row>
    <x:row r="61" ht="48" customHeight="1">
      <x:c r="A61" s="204" t="str">
        <x:v>CD-25</x:v>
      </x:c>
      <x:c r="B61" s="204" t="str">
        <x:v>Grand Driftwood Arch</x:v>
      </x:c>
      <x:c r="C61" s="192" t="str">
        <x:v>Decoration</x:v>
      </x:c>
      <x:c r="D61" s="192" t="str">
        <x:v>Wood</x:v>
      </x:c>
      <x:c r="E61" s="192" t="str">
        <x:v>Woodland Creek</x:v>
      </x:c>
      <x:c r="F61" s="192" t="str">
        <x:v>Coin</x:v>
      </x:c>
      <x:c r="G61" s="192" t="str">
        <x:v>Epic</x:v>
      </x:c>
      <x:c r="H61" s="198" t="n">
        <x:v>39</x:v>
      </x:c>
      <x:c r="I61" s="199" t="str">
        <x:v>Coins</x:v>
      </x:c>
      <x:c r="J61" s="198" t="n">
        <x:v>18000</x:v>
      </x:c>
      <x:c r="K61" s="200" t="n">
        <x:f>MIN('Decor Guide'!$B$8,MAX('Decor Guide'!$B$7,INT(INDEX('XP Curve'!$F$4:$F$73,MIN(H61+1,'Decor Guide'!$B$15))*'Decor Guide'!$B$9)),MAX('Decor Guide'!$B$7,ROUND(IF(I61="Coins",J61*'Decor Guide'!$B$5,J61*'Decor Guide'!$B$6),0)))</x:f>
        <x:v>120</x:v>
      </x:c>
      <x:c r="L61" s="200" t="n">
        <x:f>VLOOKUP(M61,'Decor Guide'!$E$5:$G$8,3,FALSE)</x:f>
        <x:v>50</x:v>
      </x:c>
      <x:c r="M61" s="201" t="str">
        <x:f>IF(MAX(N61,O61)&lt;='Decor Guide'!$F$5,'Decor Guide'!$E$5,IF(MAX(N61,O61)&lt;='Decor Guide'!$F$6,'Decor Guide'!$E$6,IF(MAX(N61,O61)&lt;='Decor Guide'!$F$7,'Decor Guide'!$E$7,'Decor Guide'!$E$8)))</x:f>
        <x:v>XL</x:v>
      </x:c>
      <x:c r="N61" s="236" t="n">
        <x:v>3.5</x:v>
      </x:c>
      <x:c r="O61" s="236" t="n">
        <x:v>2.6</x:v>
      </x:c>
      <x:c r="P61" s="192" t="str">
        <x:v>Background</x:v>
      </x:c>
      <x:c r="Q61" s="192" t="str">
        <x:f>IF(H61&lt;='Decor Guide'!$B$12,"Launch (L1–40)",IF(H61&lt;='Decor Guide'!$B$13,"Wave 1 (L41–50)",IF(H61&lt;='Decor Guide'!$B$14,"Wave 2 (L51–60)","Wave 3 (L61–70)")))</x:f>
        <x:v>Launch (L1–40)</x:v>
      </x:c>
      <x:c r="R61" s="192" t="str">
        <x:v>None</x:v>
      </x:c>
      <x:c r="S61" s="192" t="str">
        <x:f>IF(R61="None","Always available after unlock",VLOOKUP(R61,'Decor Live Ops'!$A$5:$L$16,2,FALSE))</x:f>
        <x:v>Always available after unlock</x:v>
      </x:c>
      <x:c r="T61" s="203" t="str">
        <x:f>IF(AND(H61&gt;=1,H61&lt;='Decor Guide'!$B$15,J61&gt;0,MOD(J61,IF(I61="Coins",5,1))=0,K61&gt;='Decor Guide'!$B$7,K61&lt;='Decor Guide'!$B$8,L61&gt;0,N61&gt;0,O61&gt;0,MAX(N61,O61)&lt;='Decor Guide'!$F$8,OR(AND(F61="Coin",I61="Coins"),AND(F61="Premium",I61="Pearls"),AND(F61="Limited Edition",OR(I61="Coins",I61="Pearls"))),OR(AND(F61="Limited Edition",R61&lt;&gt;"None"),AND(F61&lt;&gt;"Limited Edition",R61="None"))),"OK","REVIEW")</x:f>
        <x:v>OK</x:v>
      </x:c>
    </x:row>
    <x:row r="62" ht="48" customHeight="1">
      <x:c r="A62" s="204" t="str">
        <x:v>CD-26</x:v>
      </x:c>
      <x:c r="B62" s="204" t="str">
        <x:v>Star Crystal Cluster</x:v>
      </x:c>
      <x:c r="C62" s="192" t="str">
        <x:v>Decoration</x:v>
      </x:c>
      <x:c r="D62" s="192" t="str">
        <x:v>Crystal</x:v>
      </x:c>
      <x:c r="E62" s="192" t="str">
        <x:v>Crystal Grotto</x:v>
      </x:c>
      <x:c r="F62" s="192" t="str">
        <x:v>Coin</x:v>
      </x:c>
      <x:c r="G62" s="192" t="str">
        <x:v>Epic</x:v>
      </x:c>
      <x:c r="H62" s="198" t="n">
        <x:v>42</x:v>
      </x:c>
      <x:c r="I62" s="199" t="str">
        <x:v>Coins</x:v>
      </x:c>
      <x:c r="J62" s="198" t="n">
        <x:v>21000</x:v>
      </x:c>
      <x:c r="K62" s="200" t="n">
        <x:f>MIN('Decor Guide'!$B$8,MAX('Decor Guide'!$B$7,INT(INDEX('XP Curve'!$F$4:$F$73,MIN(H62+1,'Decor Guide'!$B$15))*'Decor Guide'!$B$9)),MAX('Decor Guide'!$B$7,ROUND(IF(I62="Coins",J62*'Decor Guide'!$B$5,J62*'Decor Guide'!$B$6),0)))</x:f>
        <x:v>120</x:v>
      </x:c>
      <x:c r="L62" s="200" t="n">
        <x:f>VLOOKUP(M62,'Decor Guide'!$E$5:$G$8,3,FALSE)</x:f>
        <x:v>35</x:v>
      </x:c>
      <x:c r="M62" s="201" t="str">
        <x:f>IF(MAX(N62,O62)&lt;='Decor Guide'!$F$5,'Decor Guide'!$E$5,IF(MAX(N62,O62)&lt;='Decor Guide'!$F$6,'Decor Guide'!$E$6,IF(MAX(N62,O62)&lt;='Decor Guide'!$F$7,'Decor Guide'!$E$7,'Decor Guide'!$E$8)))</x:f>
        <x:v>Large</x:v>
      </x:c>
      <x:c r="N62" s="236" t="n">
        <x:v>2.8</x:v>
      </x:c>
      <x:c r="O62" s="236" t="n">
        <x:v>3</x:v>
      </x:c>
      <x:c r="P62" s="192" t="str">
        <x:v>Midground</x:v>
      </x:c>
      <x:c r="Q62" s="192" t="str">
        <x:f>IF(H62&lt;='Decor Guide'!$B$12,"Launch (L1–40)",IF(H62&lt;='Decor Guide'!$B$13,"Wave 1 (L41–50)",IF(H62&lt;='Decor Guide'!$B$14,"Wave 2 (L51–60)","Wave 3 (L61–70)")))</x:f>
        <x:v>Wave 1 (L41–50)</x:v>
      </x:c>
      <x:c r="R62" s="192" t="str">
        <x:v>None</x:v>
      </x:c>
      <x:c r="S62" s="192" t="str">
        <x:f>IF(R62="None","Always available after unlock",VLOOKUP(R62,'Decor Live Ops'!$A$5:$L$16,2,FALSE))</x:f>
        <x:v>Always available after unlock</x:v>
      </x:c>
      <x:c r="T62" s="203" t="str">
        <x:f>IF(AND(H62&gt;=1,H62&lt;='Decor Guide'!$B$15,J62&gt;0,MOD(J62,IF(I62="Coins",5,1))=0,K62&gt;='Decor Guide'!$B$7,K62&lt;='Decor Guide'!$B$8,L62&gt;0,N62&gt;0,O62&gt;0,MAX(N62,O62)&lt;='Decor Guide'!$F$8,OR(AND(F62="Coin",I62="Coins"),AND(F62="Premium",I62="Pearls"),AND(F62="Limited Edition",OR(I62="Coins",I62="Pearls"))),OR(AND(F62="Limited Edition",R62&lt;&gt;"None"),AND(F62&lt;&gt;"Limited Edition",R62="None"))),"OK","REVIEW")</x:f>
        <x:v>OK</x:v>
      </x:c>
    </x:row>
    <x:row r="63" ht="48" customHeight="1">
      <x:c r="A63" s="204" t="str">
        <x:v>CD-27</x:v>
      </x:c>
      <x:c r="B63" s="204" t="str">
        <x:v>Sandstone Palace Ruin</x:v>
      </x:c>
      <x:c r="C63" s="192" t="str">
        <x:v>Decoration</x:v>
      </x:c>
      <x:c r="D63" s="192" t="str">
        <x:v>Architecture</x:v>
      </x:c>
      <x:c r="E63" s="192" t="str">
        <x:v>Ruins</x:v>
      </x:c>
      <x:c r="F63" s="192" t="str">
        <x:v>Coin</x:v>
      </x:c>
      <x:c r="G63" s="192" t="str">
        <x:v>Epic</x:v>
      </x:c>
      <x:c r="H63" s="198" t="n">
        <x:v>46</x:v>
      </x:c>
      <x:c r="I63" s="199" t="str">
        <x:v>Coins</x:v>
      </x:c>
      <x:c r="J63" s="198" t="n">
        <x:v>25000</x:v>
      </x:c>
      <x:c r="K63" s="200" t="n">
        <x:f>MIN('Decor Guide'!$B$8,MAX('Decor Guide'!$B$7,INT(INDEX('XP Curve'!$F$4:$F$73,MIN(H63+1,'Decor Guide'!$B$15))*'Decor Guide'!$B$9)),MAX('Decor Guide'!$B$7,ROUND(IF(I63="Coins",J63*'Decor Guide'!$B$5,J63*'Decor Guide'!$B$6),0)))</x:f>
        <x:v>120</x:v>
      </x:c>
      <x:c r="L63" s="200" t="n">
        <x:f>VLOOKUP(M63,'Decor Guide'!$E$5:$G$8,3,FALSE)</x:f>
        <x:v>50</x:v>
      </x:c>
      <x:c r="M63" s="201" t="str">
        <x:f>IF(MAX(N63,O63)&lt;='Decor Guide'!$F$5,'Decor Guide'!$E$5,IF(MAX(N63,O63)&lt;='Decor Guide'!$F$6,'Decor Guide'!$E$6,IF(MAX(N63,O63)&lt;='Decor Guide'!$F$7,'Decor Guide'!$E$7,'Decor Guide'!$E$8)))</x:f>
        <x:v>XL</x:v>
      </x:c>
      <x:c r="N63" s="236" t="n">
        <x:v>3.6</x:v>
      </x:c>
      <x:c r="O63" s="236" t="n">
        <x:v>3.4</x:v>
      </x:c>
      <x:c r="P63" s="192" t="str">
        <x:v>Background</x:v>
      </x:c>
      <x:c r="Q63" s="192" t="str">
        <x:f>IF(H63&lt;='Decor Guide'!$B$12,"Launch (L1–40)",IF(H63&lt;='Decor Guide'!$B$13,"Wave 1 (L41–50)",IF(H63&lt;='Decor Guide'!$B$14,"Wave 2 (L51–60)","Wave 3 (L61–70)")))</x:f>
        <x:v>Wave 1 (L41–50)</x:v>
      </x:c>
      <x:c r="R63" s="192" t="str">
        <x:v>None</x:v>
      </x:c>
      <x:c r="S63" s="192" t="str">
        <x:f>IF(R63="None","Always available after unlock",VLOOKUP(R63,'Decor Live Ops'!$A$5:$L$16,2,FALSE))</x:f>
        <x:v>Always available after unlock</x:v>
      </x:c>
      <x:c r="T63" s="203" t="str">
        <x:f>IF(AND(H63&gt;=1,H63&lt;='Decor Guide'!$B$15,J63&gt;0,MOD(J63,IF(I63="Coins",5,1))=0,K63&gt;='Decor Guide'!$B$7,K63&lt;='Decor Guide'!$B$8,L63&gt;0,N63&gt;0,O63&gt;0,MAX(N63,O63)&lt;='Decor Guide'!$F$8,OR(AND(F63="Coin",I63="Coins"),AND(F63="Premium",I63="Pearls"),AND(F63="Limited Edition",OR(I63="Coins",I63="Pearls"))),OR(AND(F63="Limited Edition",R63&lt;&gt;"None"),AND(F63&lt;&gt;"Limited Edition",R63="None"))),"OK","REVIEW")</x:f>
        <x:v>OK</x:v>
      </x:c>
    </x:row>
    <x:row r="64" ht="48" customHeight="1">
      <x:c r="A64" s="204" t="str">
        <x:v>CD-28</x:v>
      </x:c>
      <x:c r="B64" s="204" t="str">
        <x:v>Shipwreck Bow</x:v>
      </x:c>
      <x:c r="C64" s="192" t="str">
        <x:v>Decoration</x:v>
      </x:c>
      <x:c r="D64" s="192" t="str">
        <x:v>Nautical Relic</x:v>
      </x:c>
      <x:c r="E64" s="192" t="str">
        <x:v>Shipwreck</x:v>
      </x:c>
      <x:c r="F64" s="192" t="str">
        <x:v>Coin</x:v>
      </x:c>
      <x:c r="G64" s="192" t="str">
        <x:v>Epic</x:v>
      </x:c>
      <x:c r="H64" s="198" t="n">
        <x:v>50</x:v>
      </x:c>
      <x:c r="I64" s="199" t="str">
        <x:v>Coins</x:v>
      </x:c>
      <x:c r="J64" s="198" t="n">
        <x:v>30000</x:v>
      </x:c>
      <x:c r="K64" s="200" t="n">
        <x:f>MIN('Decor Guide'!$B$8,MAX('Decor Guide'!$B$7,INT(INDEX('XP Curve'!$F$4:$F$73,MIN(H64+1,'Decor Guide'!$B$15))*'Decor Guide'!$B$9)),MAX('Decor Guide'!$B$7,ROUND(IF(I64="Coins",J64*'Decor Guide'!$B$5,J64*'Decor Guide'!$B$6),0)))</x:f>
        <x:v>120</x:v>
      </x:c>
      <x:c r="L64" s="200" t="n">
        <x:f>VLOOKUP(M64,'Decor Guide'!$E$5:$G$8,3,FALSE)</x:f>
        <x:v>50</x:v>
      </x:c>
      <x:c r="M64" s="201" t="str">
        <x:f>IF(MAX(N64,O64)&lt;='Decor Guide'!$F$5,'Decor Guide'!$E$5,IF(MAX(N64,O64)&lt;='Decor Guide'!$F$6,'Decor Guide'!$E$6,IF(MAX(N64,O64)&lt;='Decor Guide'!$F$7,'Decor Guide'!$E$7,'Decor Guide'!$E$8)))</x:f>
        <x:v>XL</x:v>
      </x:c>
      <x:c r="N64" s="236" t="n">
        <x:v>3.9</x:v>
      </x:c>
      <x:c r="O64" s="236" t="n">
        <x:v>3</x:v>
      </x:c>
      <x:c r="P64" s="192" t="str">
        <x:v>Background</x:v>
      </x:c>
      <x:c r="Q64" s="192" t="str">
        <x:f>IF(H64&lt;='Decor Guide'!$B$12,"Launch (L1–40)",IF(H64&lt;='Decor Guide'!$B$13,"Wave 1 (L41–50)",IF(H64&lt;='Decor Guide'!$B$14,"Wave 2 (L51–60)","Wave 3 (L61–70)")))</x:f>
        <x:v>Wave 1 (L41–50)</x:v>
      </x:c>
      <x:c r="R64" s="192" t="str">
        <x:v>None</x:v>
      </x:c>
      <x:c r="S64" s="192" t="str">
        <x:f>IF(R64="None","Always available after unlock",VLOOKUP(R64,'Decor Live Ops'!$A$5:$L$16,2,FALSE))</x:f>
        <x:v>Always available after unlock</x:v>
      </x:c>
      <x:c r="T64" s="203" t="str">
        <x:f>IF(AND(H64&gt;=1,H64&lt;='Decor Guide'!$B$15,J64&gt;0,MOD(J64,IF(I64="Coins",5,1))=0,K64&gt;='Decor Guide'!$B$7,K64&lt;='Decor Guide'!$B$8,L64&gt;0,N64&gt;0,O64&gt;0,MAX(N64,O64)&lt;='Decor Guide'!$F$8,OR(AND(F64="Coin",I64="Coins"),AND(F64="Premium",I64="Pearls"),AND(F64="Limited Edition",OR(I64="Coins",I64="Pearls"))),OR(AND(F64="Limited Edition",R64&lt;&gt;"None"),AND(F64&lt;&gt;"Limited Edition",R64="None"))),"OK","REVIEW")</x:f>
        <x:v>OK</x:v>
      </x:c>
    </x:row>
    <x:row r="65" ht="48" customHeight="1">
      <x:c r="A65" s="204" t="str">
        <x:v>CD-29</x:v>
      </x:c>
      <x:c r="B65" s="204" t="str">
        <x:v>Overgrown Observatory</x:v>
      </x:c>
      <x:c r="C65" s="192" t="str">
        <x:v>Decoration</x:v>
      </x:c>
      <x:c r="D65" s="192" t="str">
        <x:v>Architecture</x:v>
      </x:c>
      <x:c r="E65" s="192" t="str">
        <x:v>Ruins</x:v>
      </x:c>
      <x:c r="F65" s="192" t="str">
        <x:v>Coin</x:v>
      </x:c>
      <x:c r="G65" s="192" t="str">
        <x:v>Epic</x:v>
      </x:c>
      <x:c r="H65" s="198" t="n">
        <x:v>54</x:v>
      </x:c>
      <x:c r="I65" s="199" t="str">
        <x:v>Coins</x:v>
      </x:c>
      <x:c r="J65" s="198" t="n">
        <x:v>35000</x:v>
      </x:c>
      <x:c r="K65" s="200" t="n">
        <x:f>MIN('Decor Guide'!$B$8,MAX('Decor Guide'!$B$7,INT(INDEX('XP Curve'!$F$4:$F$73,MIN(H65+1,'Decor Guide'!$B$15))*'Decor Guide'!$B$9)),MAX('Decor Guide'!$B$7,ROUND(IF(I65="Coins",J65*'Decor Guide'!$B$5,J65*'Decor Guide'!$B$6),0)))</x:f>
        <x:v>120</x:v>
      </x:c>
      <x:c r="L65" s="200" t="n">
        <x:f>VLOOKUP(M65,'Decor Guide'!$E$5:$G$8,3,FALSE)</x:f>
        <x:v>50</x:v>
      </x:c>
      <x:c r="M65" s="201" t="str">
        <x:f>IF(MAX(N65,O65)&lt;='Decor Guide'!$F$5,'Decor Guide'!$E$5,IF(MAX(N65,O65)&lt;='Decor Guide'!$F$6,'Decor Guide'!$E$6,IF(MAX(N65,O65)&lt;='Decor Guide'!$F$7,'Decor Guide'!$E$7,'Decor Guide'!$E$8)))</x:f>
        <x:v>XL</x:v>
      </x:c>
      <x:c r="N65" s="236" t="n">
        <x:v>3.4</x:v>
      </x:c>
      <x:c r="O65" s="236" t="n">
        <x:v>3.8</x:v>
      </x:c>
      <x:c r="P65" s="192" t="str">
        <x:v>Background</x:v>
      </x:c>
      <x:c r="Q65" s="192" t="str">
        <x:f>IF(H65&lt;='Decor Guide'!$B$12,"Launch (L1–40)",IF(H65&lt;='Decor Guide'!$B$13,"Wave 1 (L41–50)",IF(H65&lt;='Decor Guide'!$B$14,"Wave 2 (L51–60)","Wave 3 (L61–70)")))</x:f>
        <x:v>Wave 2 (L51–60)</x:v>
      </x:c>
      <x:c r="R65" s="192" t="str">
        <x:v>None</x:v>
      </x:c>
      <x:c r="S65" s="192" t="str">
        <x:f>IF(R65="None","Always available after unlock",VLOOKUP(R65,'Decor Live Ops'!$A$5:$L$16,2,FALSE))</x:f>
        <x:v>Always available after unlock</x:v>
      </x:c>
      <x:c r="T65" s="203" t="str">
        <x:f>IF(AND(H65&gt;=1,H65&lt;='Decor Guide'!$B$15,J65&gt;0,MOD(J65,IF(I65="Coins",5,1))=0,K65&gt;='Decor Guide'!$B$7,K65&lt;='Decor Guide'!$B$8,L65&gt;0,N65&gt;0,O65&gt;0,MAX(N65,O65)&lt;='Decor Guide'!$F$8,OR(AND(F65="Coin",I65="Coins"),AND(F65="Premium",I65="Pearls"),AND(F65="Limited Edition",OR(I65="Coins",I65="Pearls"))),OR(AND(F65="Limited Edition",R65&lt;&gt;"None"),AND(F65&lt;&gt;"Limited Edition",R65="None"))),"OK","REVIEW")</x:f>
        <x:v>OK</x:v>
      </x:c>
    </x:row>
    <x:row r="66" ht="48" customHeight="1">
      <x:c r="A66" s="204" t="str">
        <x:v>CD-30</x:v>
      </x:c>
      <x:c r="B66" s="204" t="str">
        <x:v>Giant Conch Pavilion</x:v>
      </x:c>
      <x:c r="C66" s="192" t="str">
        <x:v>Decoration</x:v>
      </x:c>
      <x:c r="D66" s="192" t="str">
        <x:v>Shell Ornament</x:v>
      </x:c>
      <x:c r="E66" s="192" t="str">
        <x:v>Tropical Lagoon</x:v>
      </x:c>
      <x:c r="F66" s="192" t="str">
        <x:v>Coin</x:v>
      </x:c>
      <x:c r="G66" s="192" t="str">
        <x:v>Epic</x:v>
      </x:c>
      <x:c r="H66" s="198" t="n">
        <x:v>58</x:v>
      </x:c>
      <x:c r="I66" s="199" t="str">
        <x:v>Coins</x:v>
      </x:c>
      <x:c r="J66" s="198" t="n">
        <x:v>40000</x:v>
      </x:c>
      <x:c r="K66" s="200" t="n">
        <x:f>MIN('Decor Guide'!$B$8,MAX('Decor Guide'!$B$7,INT(INDEX('XP Curve'!$F$4:$F$73,MIN(H66+1,'Decor Guide'!$B$15))*'Decor Guide'!$B$9)),MAX('Decor Guide'!$B$7,ROUND(IF(I66="Coins",J66*'Decor Guide'!$B$5,J66*'Decor Guide'!$B$6),0)))</x:f>
        <x:v>120</x:v>
      </x:c>
      <x:c r="L66" s="200" t="n">
        <x:f>VLOOKUP(M66,'Decor Guide'!$E$5:$G$8,3,FALSE)</x:f>
        <x:v>50</x:v>
      </x:c>
      <x:c r="M66" s="201" t="str">
        <x:f>IF(MAX(N66,O66)&lt;='Decor Guide'!$F$5,'Decor Guide'!$E$5,IF(MAX(N66,O66)&lt;='Decor Guide'!$F$6,'Decor Guide'!$E$6,IF(MAX(N66,O66)&lt;='Decor Guide'!$F$7,'Decor Guide'!$E$7,'Decor Guide'!$E$8)))</x:f>
        <x:v>XL</x:v>
      </x:c>
      <x:c r="N66" s="236" t="n">
        <x:v>4</x:v>
      </x:c>
      <x:c r="O66" s="236" t="n">
        <x:v>3.4</x:v>
      </x:c>
      <x:c r="P66" s="192" t="str">
        <x:v>Background</x:v>
      </x:c>
      <x:c r="Q66" s="192" t="str">
        <x:f>IF(H66&lt;='Decor Guide'!$B$12,"Launch (L1–40)",IF(H66&lt;='Decor Guide'!$B$13,"Wave 1 (L41–50)",IF(H66&lt;='Decor Guide'!$B$14,"Wave 2 (L51–60)","Wave 3 (L61–70)")))</x:f>
        <x:v>Wave 2 (L51–60)</x:v>
      </x:c>
      <x:c r="R66" s="192" t="str">
        <x:v>None</x:v>
      </x:c>
      <x:c r="S66" s="192" t="str">
        <x:f>IF(R66="None","Always available after unlock",VLOOKUP(R66,'Decor Live Ops'!$A$5:$L$16,2,FALSE))</x:f>
        <x:v>Always available after unlock</x:v>
      </x:c>
      <x:c r="T66" s="203" t="str">
        <x:f>IF(AND(H66&gt;=1,H66&lt;='Decor Guide'!$B$15,J66&gt;0,MOD(J66,IF(I66="Coins",5,1))=0,K66&gt;='Decor Guide'!$B$7,K66&lt;='Decor Guide'!$B$8,L66&gt;0,N66&gt;0,O66&gt;0,MAX(N66,O66)&lt;='Decor Guide'!$F$8,OR(AND(F66="Coin",I66="Coins"),AND(F66="Premium",I66="Pearls"),AND(F66="Limited Edition",OR(I66="Coins",I66="Pearls"))),OR(AND(F66="Limited Edition",R66&lt;&gt;"None"),AND(F66&lt;&gt;"Limited Edition",R66="None"))),"OK","REVIEW")</x:f>
        <x:v>OK</x:v>
      </x:c>
    </x:row>
    <x:row r="67" ht="48" customHeight="1">
      <x:c r="A67" s="204" t="str">
        <x:v>CD-31</x:v>
      </x:c>
      <x:c r="B67" s="204" t="str">
        <x:v>Deep-sea Monolith</x:v>
      </x:c>
      <x:c r="C67" s="192" t="str">
        <x:v>Decoration</x:v>
      </x:c>
      <x:c r="D67" s="192" t="str">
        <x:v>Ancient Relic</x:v>
      </x:c>
      <x:c r="E67" s="192" t="str">
        <x:v>Deep Sea</x:v>
      </x:c>
      <x:c r="F67" s="192" t="str">
        <x:v>Coin</x:v>
      </x:c>
      <x:c r="G67" s="192" t="str">
        <x:v>Legendary</x:v>
      </x:c>
      <x:c r="H67" s="198" t="n">
        <x:v>64</x:v>
      </x:c>
      <x:c r="I67" s="199" t="str">
        <x:v>Coins</x:v>
      </x:c>
      <x:c r="J67" s="198" t="n">
        <x:v>48000</x:v>
      </x:c>
      <x:c r="K67" s="200" t="n">
        <x:f>MIN('Decor Guide'!$B$8,MAX('Decor Guide'!$B$7,INT(INDEX('XP Curve'!$F$4:$F$73,MIN(H67+1,'Decor Guide'!$B$15))*'Decor Guide'!$B$9)),MAX('Decor Guide'!$B$7,ROUND(IF(I67="Coins",J67*'Decor Guide'!$B$5,J67*'Decor Guide'!$B$6),0)))</x:f>
        <x:v>120</x:v>
      </x:c>
      <x:c r="L67" s="200" t="n">
        <x:f>VLOOKUP(M67,'Decor Guide'!$E$5:$G$8,3,FALSE)</x:f>
        <x:v>50</x:v>
      </x:c>
      <x:c r="M67" s="201" t="str">
        <x:f>IF(MAX(N67,O67)&lt;='Decor Guide'!$F$5,'Decor Guide'!$E$5,IF(MAX(N67,O67)&lt;='Decor Guide'!$F$6,'Decor Guide'!$E$6,IF(MAX(N67,O67)&lt;='Decor Guide'!$F$7,'Decor Guide'!$E$7,'Decor Guide'!$E$8)))</x:f>
        <x:v>XL</x:v>
      </x:c>
      <x:c r="N67" s="236" t="n">
        <x:v>2.6</x:v>
      </x:c>
      <x:c r="O67" s="236" t="n">
        <x:v>4</x:v>
      </x:c>
      <x:c r="P67" s="192" t="str">
        <x:v>Background</x:v>
      </x:c>
      <x:c r="Q67" s="192" t="str">
        <x:f>IF(H67&lt;='Decor Guide'!$B$12,"Launch (L1–40)",IF(H67&lt;='Decor Guide'!$B$13,"Wave 1 (L41–50)",IF(H67&lt;='Decor Guide'!$B$14,"Wave 2 (L51–60)","Wave 3 (L61–70)")))</x:f>
        <x:v>Wave 3 (L61–70)</x:v>
      </x:c>
      <x:c r="R67" s="192" t="str">
        <x:v>None</x:v>
      </x:c>
      <x:c r="S67" s="192" t="str">
        <x:f>IF(R67="None","Always available after unlock",VLOOKUP(R67,'Decor Live Ops'!$A$5:$L$16,2,FALSE))</x:f>
        <x:v>Always available after unlock</x:v>
      </x:c>
      <x:c r="T67" s="203" t="str">
        <x:f>IF(AND(H67&gt;=1,H67&lt;='Decor Guide'!$B$15,J67&gt;0,MOD(J67,IF(I67="Coins",5,1))=0,K67&gt;='Decor Guide'!$B$7,K67&lt;='Decor Guide'!$B$8,L67&gt;0,N67&gt;0,O67&gt;0,MAX(N67,O67)&lt;='Decor Guide'!$F$8,OR(AND(F67="Coin",I67="Coins"),AND(F67="Premium",I67="Pearls"),AND(F67="Limited Edition",OR(I67="Coins",I67="Pearls"))),OR(AND(F67="Limited Edition",R67&lt;&gt;"None"),AND(F67&lt;&gt;"Limited Edition",R67="None"))),"OK","REVIEW")</x:f>
        <x:v>OK</x:v>
      </x:c>
    </x:row>
    <x:row r="68" ht="48" customHeight="1">
      <x:c r="A68" s="204" t="str">
        <x:v>CD-32</x:v>
      </x:c>
      <x:c r="B68" s="204" t="str">
        <x:v>Coral Crown Castle</x:v>
      </x:c>
      <x:c r="C68" s="192" t="str">
        <x:v>Decoration</x:v>
      </x:c>
      <x:c r="D68" s="192" t="str">
        <x:v>Fantasy Architecture</x:v>
      </x:c>
      <x:c r="E68" s="192" t="str">
        <x:v>Coral</x:v>
      </x:c>
      <x:c r="F68" s="192" t="str">
        <x:v>Coin</x:v>
      </x:c>
      <x:c r="G68" s="192" t="str">
        <x:v>Legendary</x:v>
      </x:c>
      <x:c r="H68" s="198" t="n">
        <x:v>68</x:v>
      </x:c>
      <x:c r="I68" s="199" t="str">
        <x:v>Coins</x:v>
      </x:c>
      <x:c r="J68" s="198" t="n">
        <x:v>55000</x:v>
      </x:c>
      <x:c r="K68" s="200" t="n">
        <x:f>MIN('Decor Guide'!$B$8,MAX('Decor Guide'!$B$7,INT(INDEX('XP Curve'!$F$4:$F$73,MIN(H68+1,'Decor Guide'!$B$15))*'Decor Guide'!$B$9)),MAX('Decor Guide'!$B$7,ROUND(IF(I68="Coins",J68*'Decor Guide'!$B$5,J68*'Decor Guide'!$B$6),0)))</x:f>
        <x:v>120</x:v>
      </x:c>
      <x:c r="L68" s="200" t="n">
        <x:f>VLOOKUP(M68,'Decor Guide'!$E$5:$G$8,3,FALSE)</x:f>
        <x:v>50</x:v>
      </x:c>
      <x:c r="M68" s="201" t="str">
        <x:f>IF(MAX(N68,O68)&lt;='Decor Guide'!$F$5,'Decor Guide'!$E$5,IF(MAX(N68,O68)&lt;='Decor Guide'!$F$6,'Decor Guide'!$E$6,IF(MAX(N68,O68)&lt;='Decor Guide'!$F$7,'Decor Guide'!$E$7,'Decor Guide'!$E$8)))</x:f>
        <x:v>XL</x:v>
      </x:c>
      <x:c r="N68" s="236" t="n">
        <x:v>4.2</x:v>
      </x:c>
      <x:c r="O68" s="236" t="n">
        <x:v>4.1</x:v>
      </x:c>
      <x:c r="P68" s="192" t="str">
        <x:v>Background</x:v>
      </x:c>
      <x:c r="Q68" s="192" t="str">
        <x:f>IF(H68&lt;='Decor Guide'!$B$12,"Launch (L1–40)",IF(H68&lt;='Decor Guide'!$B$13,"Wave 1 (L41–50)",IF(H68&lt;='Decor Guide'!$B$14,"Wave 2 (L51–60)","Wave 3 (L61–70)")))</x:f>
        <x:v>Wave 3 (L61–70)</x:v>
      </x:c>
      <x:c r="R68" s="192" t="str">
        <x:v>None</x:v>
      </x:c>
      <x:c r="S68" s="192" t="str">
        <x:f>IF(R68="None","Always available after unlock",VLOOKUP(R68,'Decor Live Ops'!$A$5:$L$16,2,FALSE))</x:f>
        <x:v>Always available after unlock</x:v>
      </x:c>
      <x:c r="T68" s="203" t="str">
        <x:f>IF(AND(H68&gt;=1,H68&lt;='Decor Guide'!$B$15,J68&gt;0,MOD(J68,IF(I68="Coins",5,1))=0,K68&gt;='Decor Guide'!$B$7,K68&lt;='Decor Guide'!$B$8,L68&gt;0,N68&gt;0,O68&gt;0,MAX(N68,O68)&lt;='Decor Guide'!$F$8,OR(AND(F68="Coin",I68="Coins"),AND(F68="Premium",I68="Pearls"),AND(F68="Limited Edition",OR(I68="Coins",I68="Pearls"))),OR(AND(F68="Limited Edition",R68&lt;&gt;"None"),AND(F68&lt;&gt;"Limited Edition",R68="None"))),"OK","REVIEW")</x:f>
        <x:v>OK</x:v>
      </x:c>
    </x:row>
    <x:row r="69" ht="48" customHeight="1">
      <x:c r="A69" s="204" t="str">
        <x:v>PP-01</x:v>
      </x:c>
      <x:c r="B69" s="204" t="str">
        <x:v>Moon-tip Anubias</x:v>
      </x:c>
      <x:c r="C69" s="192" t="str">
        <x:v>Plant</x:v>
      </x:c>
      <x:c r="D69" s="192" t="str">
        <x:v>Broadleaf Plant</x:v>
      </x:c>
      <x:c r="E69" s="192" t="str">
        <x:v>Moonlit Garden</x:v>
      </x:c>
      <x:c r="F69" s="192" t="str">
        <x:v>Premium</x:v>
      </x:c>
      <x:c r="G69" s="192" t="str">
        <x:v>Rare</x:v>
      </x:c>
      <x:c r="H69" s="198" t="n">
        <x:v>4</x:v>
      </x:c>
      <x:c r="I69" s="199" t="str">
        <x:v>Pearls</x:v>
      </x:c>
      <x:c r="J69" s="198" t="n">
        <x:v>2</x:v>
      </x:c>
      <x:c r="K69" s="200" t="n">
        <x:f>MIN('Decor Guide'!$B$8,MAX('Decor Guide'!$B$7,INT(INDEX('XP Curve'!$F$4:$F$73,MIN(H69+1,'Decor Guide'!$B$15))*'Decor Guide'!$B$9)),MAX('Decor Guide'!$B$7,ROUND(IF(I69="Coins",J69*'Decor Guide'!$B$5,J69*'Decor Guide'!$B$6),0)))</x:f>
        <x:v>5</x:v>
      </x:c>
      <x:c r="L69" s="200" t="n">
        <x:f>VLOOKUP(M69,'Decor Guide'!$E$5:$G$8,3,FALSE)</x:f>
        <x:v>20</x:v>
      </x:c>
      <x:c r="M69" s="201" t="str">
        <x:f>IF(MAX(N69,O69)&lt;='Decor Guide'!$F$5,'Decor Guide'!$E$5,IF(MAX(N69,O69)&lt;='Decor Guide'!$F$6,'Decor Guide'!$E$6,IF(MAX(N69,O69)&lt;='Decor Guide'!$F$7,'Decor Guide'!$E$7,'Decor Guide'!$E$8)))</x:f>
        <x:v>Medium</x:v>
      </x:c>
      <x:c r="N69" s="236" t="n">
        <x:v>1.5</x:v>
      </x:c>
      <x:c r="O69" s="236" t="n">
        <x:v>1.4</x:v>
      </x:c>
      <x:c r="P69" s="192" t="str">
        <x:v>Midground</x:v>
      </x:c>
      <x:c r="Q69" s="192" t="str">
        <x:f>IF(H69&lt;='Decor Guide'!$B$12,"Launch (L1–40)",IF(H69&lt;='Decor Guide'!$B$13,"Wave 1 (L41–50)",IF(H69&lt;='Decor Guide'!$B$14,"Wave 2 (L51–60)","Wave 3 (L61–70)")))</x:f>
        <x:v>Launch (L1–40)</x:v>
      </x:c>
      <x:c r="R69" s="192" t="str">
        <x:v>None</x:v>
      </x:c>
      <x:c r="S69" s="192" t="str">
        <x:f>IF(R69="None","Always available after unlock",VLOOKUP(R69,'Decor Live Ops'!$A$5:$L$16,2,FALSE))</x:f>
        <x:v>Always available after unlock</x:v>
      </x:c>
      <x:c r="T69" s="203" t="str">
        <x:f>IF(AND(H69&gt;=1,H69&lt;='Decor Guide'!$B$15,J69&gt;0,MOD(J69,IF(I69="Coins",5,1))=0,K69&gt;='Decor Guide'!$B$7,K69&lt;='Decor Guide'!$B$8,L69&gt;0,N69&gt;0,O69&gt;0,MAX(N69,O69)&lt;='Decor Guide'!$F$8,OR(AND(F69="Coin",I69="Coins"),AND(F69="Premium",I69="Pearls"),AND(F69="Limited Edition",OR(I69="Coins",I69="Pearls"))),OR(AND(F69="Limited Edition",R69&lt;&gt;"None"),AND(F69&lt;&gt;"Limited Edition",R69="None"))),"OK","REVIEW")</x:f>
        <x:v>OK</x:v>
      </x:c>
    </x:row>
    <x:row r="70" ht="48" customHeight="1">
      <x:c r="A70" s="204" t="str">
        <x:v>PP-02</x:v>
      </x:c>
      <x:c r="B70" s="204" t="str">
        <x:v>Silken Ribbon Fern</x:v>
      </x:c>
      <x:c r="C70" s="192" t="str">
        <x:v>Plant</x:v>
      </x:c>
      <x:c r="D70" s="192" t="str">
        <x:v>Ribbon Plant</x:v>
      </x:c>
      <x:c r="E70" s="192" t="str">
        <x:v>Moonlit Garden</x:v>
      </x:c>
      <x:c r="F70" s="192" t="str">
        <x:v>Premium</x:v>
      </x:c>
      <x:c r="G70" s="192" t="str">
        <x:v>Rare</x:v>
      </x:c>
      <x:c r="H70" s="198" t="n">
        <x:v>7</x:v>
      </x:c>
      <x:c r="I70" s="199" t="str">
        <x:v>Pearls</x:v>
      </x:c>
      <x:c r="J70" s="198" t="n">
        <x:v>3</x:v>
      </x:c>
      <x:c r="K70" s="200" t="n">
        <x:f>MIN('Decor Guide'!$B$8,MAX('Decor Guide'!$B$7,INT(INDEX('XP Curve'!$F$4:$F$73,MIN(H70+1,'Decor Guide'!$B$15))*'Decor Guide'!$B$9)),MAX('Decor Guide'!$B$7,ROUND(IF(I70="Coins",J70*'Decor Guide'!$B$5,J70*'Decor Guide'!$B$6),0)))</x:f>
        <x:v>13</x:v>
      </x:c>
      <x:c r="L70" s="200" t="n">
        <x:f>VLOOKUP(M70,'Decor Guide'!$E$5:$G$8,3,FALSE)</x:f>
        <x:v>35</x:v>
      </x:c>
      <x:c r="M70" s="201" t="str">
        <x:f>IF(MAX(N70,O70)&lt;='Decor Guide'!$F$5,'Decor Guide'!$E$5,IF(MAX(N70,O70)&lt;='Decor Guide'!$F$6,'Decor Guide'!$E$6,IF(MAX(N70,O70)&lt;='Decor Guide'!$F$7,'Decor Guide'!$E$7,'Decor Guide'!$E$8)))</x:f>
        <x:v>Large</x:v>
      </x:c>
      <x:c r="N70" s="236" t="n">
        <x:v>1.4</x:v>
      </x:c>
      <x:c r="O70" s="236" t="n">
        <x:v>2.3</x:v>
      </x:c>
      <x:c r="P70" s="192" t="str">
        <x:v>Background</x:v>
      </x:c>
      <x:c r="Q70" s="192" t="str">
        <x:f>IF(H70&lt;='Decor Guide'!$B$12,"Launch (L1–40)",IF(H70&lt;='Decor Guide'!$B$13,"Wave 1 (L41–50)",IF(H70&lt;='Decor Guide'!$B$14,"Wave 2 (L51–60)","Wave 3 (L61–70)")))</x:f>
        <x:v>Launch (L1–40)</x:v>
      </x:c>
      <x:c r="R70" s="192" t="str">
        <x:v>None</x:v>
      </x:c>
      <x:c r="S70" s="192" t="str">
        <x:f>IF(R70="None","Always available after unlock",VLOOKUP(R70,'Decor Live Ops'!$A$5:$L$16,2,FALSE))</x:f>
        <x:v>Always available after unlock</x:v>
      </x:c>
      <x:c r="T70" s="203" t="str">
        <x:f>IF(AND(H70&gt;=1,H70&lt;='Decor Guide'!$B$15,J70&gt;0,MOD(J70,IF(I70="Coins",5,1))=0,K70&gt;='Decor Guide'!$B$7,K70&lt;='Decor Guide'!$B$8,L70&gt;0,N70&gt;0,O70&gt;0,MAX(N70,O70)&lt;='Decor Guide'!$F$8,OR(AND(F70="Coin",I70="Coins"),AND(F70="Premium",I70="Pearls"),AND(F70="Limited Edition",OR(I70="Coins",I70="Pearls"))),OR(AND(F70="Limited Edition",R70&lt;&gt;"None"),AND(F70&lt;&gt;"Limited Edition",R70="None"))),"OK","REVIEW")</x:f>
        <x:v>OK</x:v>
      </x:c>
    </x:row>
    <x:row r="71" ht="48" customHeight="1">
      <x:c r="A71" s="204" t="str">
        <x:v>PP-03</x:v>
      </x:c>
      <x:c r="B71" s="204" t="str">
        <x:v>Lantern Bud Stem</x:v>
      </x:c>
      <x:c r="C71" s="192" t="str">
        <x:v>Plant</x:v>
      </x:c>
      <x:c r="D71" s="192" t="str">
        <x:v>Flowering Plant</x:v>
      </x:c>
      <x:c r="E71" s="192" t="str">
        <x:v>Fantasy</x:v>
      </x:c>
      <x:c r="F71" s="192" t="str">
        <x:v>Premium</x:v>
      </x:c>
      <x:c r="G71" s="192" t="str">
        <x:v>Rare</x:v>
      </x:c>
      <x:c r="H71" s="198" t="n">
        <x:v>10</x:v>
      </x:c>
      <x:c r="I71" s="199" t="str">
        <x:v>Pearls</x:v>
      </x:c>
      <x:c r="J71" s="198" t="n">
        <x:v>4</x:v>
      </x:c>
      <x:c r="K71" s="200" t="n">
        <x:f>MIN('Decor Guide'!$B$8,MAX('Decor Guide'!$B$7,INT(INDEX('XP Curve'!$F$4:$F$73,MIN(H71+1,'Decor Guide'!$B$15))*'Decor Guide'!$B$9)),MAX('Decor Guide'!$B$7,ROUND(IF(I71="Coins",J71*'Decor Guide'!$B$5,J71*'Decor Guide'!$B$6),0)))</x:f>
        <x:v>28</x:v>
      </x:c>
      <x:c r="L71" s="200" t="n">
        <x:f>VLOOKUP(M71,'Decor Guide'!$E$5:$G$8,3,FALSE)</x:f>
        <x:v>35</x:v>
      </x:c>
      <x:c r="M71" s="201" t="str">
        <x:f>IF(MAX(N71,O71)&lt;='Decor Guide'!$F$5,'Decor Guide'!$E$5,IF(MAX(N71,O71)&lt;='Decor Guide'!$F$6,'Decor Guide'!$E$6,IF(MAX(N71,O71)&lt;='Decor Guide'!$F$7,'Decor Guide'!$E$7,'Decor Guide'!$E$8)))</x:f>
        <x:v>Large</x:v>
      </x:c>
      <x:c r="N71" s="236" t="n">
        <x:v>1.6</x:v>
      </x:c>
      <x:c r="O71" s="236" t="n">
        <x:v>2.2</x:v>
      </x:c>
      <x:c r="P71" s="192" t="str">
        <x:v>Midground</x:v>
      </x:c>
      <x:c r="Q71" s="192" t="str">
        <x:f>IF(H71&lt;='Decor Guide'!$B$12,"Launch (L1–40)",IF(H71&lt;='Decor Guide'!$B$13,"Wave 1 (L41–50)",IF(H71&lt;='Decor Guide'!$B$14,"Wave 2 (L51–60)","Wave 3 (L61–70)")))</x:f>
        <x:v>Launch (L1–40)</x:v>
      </x:c>
      <x:c r="R71" s="192" t="str">
        <x:v>None</x:v>
      </x:c>
      <x:c r="S71" s="192" t="str">
        <x:f>IF(R71="None","Always available after unlock",VLOOKUP(R71,'Decor Live Ops'!$A$5:$L$16,2,FALSE))</x:f>
        <x:v>Always available after unlock</x:v>
      </x:c>
      <x:c r="T71" s="203" t="str">
        <x:f>IF(AND(H71&gt;=1,H71&lt;='Decor Guide'!$B$15,J71&gt;0,MOD(J71,IF(I71="Coins",5,1))=0,K71&gt;='Decor Guide'!$B$7,K71&lt;='Decor Guide'!$B$8,L71&gt;0,N71&gt;0,O71&gt;0,MAX(N71,O71)&lt;='Decor Guide'!$F$8,OR(AND(F71="Coin",I71="Coins"),AND(F71="Premium",I71="Pearls"),AND(F71="Limited Edition",OR(I71="Coins",I71="Pearls"))),OR(AND(F71="Limited Edition",R71&lt;&gt;"None"),AND(F71&lt;&gt;"Limited Edition",R71="None"))),"OK","REVIEW")</x:f>
        <x:v>OK</x:v>
      </x:c>
    </x:row>
    <x:row r="72" ht="48" customHeight="1">
      <x:c r="A72" s="204" t="str">
        <x:v>PP-04</x:v>
      </x:c>
      <x:c r="B72" s="204" t="str">
        <x:v>Pearldrop Lotus</x:v>
      </x:c>
      <x:c r="C72" s="192" t="str">
        <x:v>Plant</x:v>
      </x:c>
      <x:c r="D72" s="192" t="str">
        <x:v>Lotus</x:v>
      </x:c>
      <x:c r="E72" s="192" t="str">
        <x:v>Zen Garden</x:v>
      </x:c>
      <x:c r="F72" s="192" t="str">
        <x:v>Premium</x:v>
      </x:c>
      <x:c r="G72" s="192" t="str">
        <x:v>Rare</x:v>
      </x:c>
      <x:c r="H72" s="198" t="n">
        <x:v>13</x:v>
      </x:c>
      <x:c r="I72" s="199" t="str">
        <x:v>Pearls</x:v>
      </x:c>
      <x:c r="J72" s="198" t="n">
        <x:v>5</x:v>
      </x:c>
      <x:c r="K72" s="200" t="n">
        <x:f>MIN('Decor Guide'!$B$8,MAX('Decor Guide'!$B$7,INT(INDEX('XP Curve'!$F$4:$F$73,MIN(H72+1,'Decor Guide'!$B$15))*'Decor Guide'!$B$9)),MAX('Decor Guide'!$B$7,ROUND(IF(I72="Coins",J72*'Decor Guide'!$B$5,J72*'Decor Guide'!$B$6),0)))</x:f>
        <x:v>57</x:v>
      </x:c>
      <x:c r="L72" s="200" t="n">
        <x:f>VLOOKUP(M72,'Decor Guide'!$E$5:$G$8,3,FALSE)</x:f>
        <x:v>20</x:v>
      </x:c>
      <x:c r="M72" s="201" t="str">
        <x:f>IF(MAX(N72,O72)&lt;='Decor Guide'!$F$5,'Decor Guide'!$E$5,IF(MAX(N72,O72)&lt;='Decor Guide'!$F$6,'Decor Guide'!$E$6,IF(MAX(N72,O72)&lt;='Decor Guide'!$F$7,'Decor Guide'!$E$7,'Decor Guide'!$E$8)))</x:f>
        <x:v>Medium</x:v>
      </x:c>
      <x:c r="N72" s="236" t="n">
        <x:v>2</x:v>
      </x:c>
      <x:c r="O72" s="236" t="n">
        <x:v>2</x:v>
      </x:c>
      <x:c r="P72" s="192" t="str">
        <x:v>Midground</x:v>
      </x:c>
      <x:c r="Q72" s="192" t="str">
        <x:f>IF(H72&lt;='Decor Guide'!$B$12,"Launch (L1–40)",IF(H72&lt;='Decor Guide'!$B$13,"Wave 1 (L41–50)",IF(H72&lt;='Decor Guide'!$B$14,"Wave 2 (L51–60)","Wave 3 (L61–70)")))</x:f>
        <x:v>Launch (L1–40)</x:v>
      </x:c>
      <x:c r="R72" s="192" t="str">
        <x:v>None</x:v>
      </x:c>
      <x:c r="S72" s="192" t="str">
        <x:f>IF(R72="None","Always available after unlock",VLOOKUP(R72,'Decor Live Ops'!$A$5:$L$16,2,FALSE))</x:f>
        <x:v>Always available after unlock</x:v>
      </x:c>
      <x:c r="T72" s="203" t="str">
        <x:f>IF(AND(H72&gt;=1,H72&lt;='Decor Guide'!$B$15,J72&gt;0,MOD(J72,IF(I72="Coins",5,1))=0,K72&gt;='Decor Guide'!$B$7,K72&lt;='Decor Guide'!$B$8,L72&gt;0,N72&gt;0,O72&gt;0,MAX(N72,O72)&lt;='Decor Guide'!$F$8,OR(AND(F72="Coin",I72="Coins"),AND(F72="Premium",I72="Pearls"),AND(F72="Limited Edition",OR(I72="Coins",I72="Pearls"))),OR(AND(F72="Limited Edition",R72&lt;&gt;"None"),AND(F72&lt;&gt;"Limited Edition",R72="None"))),"OK","REVIEW")</x:f>
        <x:v>OK</x:v>
      </x:c>
    </x:row>
    <x:row r="73" ht="48" customHeight="1">
      <x:c r="A73" s="204" t="str">
        <x:v>PP-05</x:v>
      </x:c>
      <x:c r="B73" s="204" t="str">
        <x:v>Aurora Rotala</x:v>
      </x:c>
      <x:c r="C73" s="192" t="str">
        <x:v>Plant</x:v>
      </x:c>
      <x:c r="D73" s="192" t="str">
        <x:v>Stem Plant</x:v>
      </x:c>
      <x:c r="E73" s="192" t="str">
        <x:v>Prism Reef</x:v>
      </x:c>
      <x:c r="F73" s="192" t="str">
        <x:v>Premium</x:v>
      </x:c>
      <x:c r="G73" s="192" t="str">
        <x:v>Rare</x:v>
      </x:c>
      <x:c r="H73" s="198" t="n">
        <x:v>16</x:v>
      </x:c>
      <x:c r="I73" s="199" t="str">
        <x:v>Pearls</x:v>
      </x:c>
      <x:c r="J73" s="198" t="n">
        <x:v>6</x:v>
      </x:c>
      <x:c r="K73" s="200" t="n">
        <x:f>MIN('Decor Guide'!$B$8,MAX('Decor Guide'!$B$7,INT(INDEX('XP Curve'!$F$4:$F$73,MIN(H73+1,'Decor Guide'!$B$15))*'Decor Guide'!$B$9)),MAX('Decor Guide'!$B$7,ROUND(IF(I73="Coins",J73*'Decor Guide'!$B$5,J73*'Decor Guide'!$B$6),0)))</x:f>
        <x:v>99</x:v>
      </x:c>
      <x:c r="L73" s="200" t="n">
        <x:f>VLOOKUP(M73,'Decor Guide'!$E$5:$G$8,3,FALSE)</x:f>
        <x:v>35</x:v>
      </x:c>
      <x:c r="M73" s="201" t="str">
        <x:f>IF(MAX(N73,O73)&lt;='Decor Guide'!$F$5,'Decor Guide'!$E$5,IF(MAX(N73,O73)&lt;='Decor Guide'!$F$6,'Decor Guide'!$E$6,IF(MAX(N73,O73)&lt;='Decor Guide'!$F$7,'Decor Guide'!$E$7,'Decor Guide'!$E$8)))</x:f>
        <x:v>Large</x:v>
      </x:c>
      <x:c r="N73" s="236" t="n">
        <x:v>1.8</x:v>
      </x:c>
      <x:c r="O73" s="236" t="n">
        <x:v>2.6</x:v>
      </x:c>
      <x:c r="P73" s="192" t="str">
        <x:v>Background</x:v>
      </x:c>
      <x:c r="Q73" s="192" t="str">
        <x:f>IF(H73&lt;='Decor Guide'!$B$12,"Launch (L1–40)",IF(H73&lt;='Decor Guide'!$B$13,"Wave 1 (L41–50)",IF(H73&lt;='Decor Guide'!$B$14,"Wave 2 (L51–60)","Wave 3 (L61–70)")))</x:f>
        <x:v>Launch (L1–40)</x:v>
      </x:c>
      <x:c r="R73" s="192" t="str">
        <x:v>None</x:v>
      </x:c>
      <x:c r="S73" s="192" t="str">
        <x:f>IF(R73="None","Always available after unlock",VLOOKUP(R73,'Decor Live Ops'!$A$5:$L$16,2,FALSE))</x:f>
        <x:v>Always available after unlock</x:v>
      </x:c>
      <x:c r="T73" s="203" t="str">
        <x:f>IF(AND(H73&gt;=1,H73&lt;='Decor Guide'!$B$15,J73&gt;0,MOD(J73,IF(I73="Coins",5,1))=0,K73&gt;='Decor Guide'!$B$7,K73&lt;='Decor Guide'!$B$8,L73&gt;0,N73&gt;0,O73&gt;0,MAX(N73,O73)&lt;='Decor Guide'!$F$8,OR(AND(F73="Coin",I73="Coins"),AND(F73="Premium",I73="Pearls"),AND(F73="Limited Edition",OR(I73="Coins",I73="Pearls"))),OR(AND(F73="Limited Edition",R73&lt;&gt;"None"),AND(F73&lt;&gt;"Limited Edition",R73="None"))),"OK","REVIEW")</x:f>
        <x:v>OK</x:v>
      </x:c>
    </x:row>
    <x:row r="74" ht="48" customHeight="1">
      <x:c r="A74" s="204" t="str">
        <x:v>PP-06</x:v>
      </x:c>
      <x:c r="B74" s="204" t="str">
        <x:v>Firefly Moss Cushion</x:v>
      </x:c>
      <x:c r="C74" s="192" t="str">
        <x:v>Plant</x:v>
      </x:c>
      <x:c r="D74" s="192" t="str">
        <x:v>Moss</x:v>
      </x:c>
      <x:c r="E74" s="192" t="str">
        <x:v>Moonlit Garden</x:v>
      </x:c>
      <x:c r="F74" s="192" t="str">
        <x:v>Premium</x:v>
      </x:c>
      <x:c r="G74" s="192" t="str">
        <x:v>Rare</x:v>
      </x:c>
      <x:c r="H74" s="198" t="n">
        <x:v>20</x:v>
      </x:c>
      <x:c r="I74" s="199" t="str">
        <x:v>Pearls</x:v>
      </x:c>
      <x:c r="J74" s="198" t="n">
        <x:v>7</x:v>
      </x:c>
      <x:c r="K74" s="200" t="n">
        <x:f>MIN('Decor Guide'!$B$8,MAX('Decor Guide'!$B$7,INT(INDEX('XP Curve'!$F$4:$F$73,MIN(H74+1,'Decor Guide'!$B$15))*'Decor Guide'!$B$9)),MAX('Decor Guide'!$B$7,ROUND(IF(I74="Coins",J74*'Decor Guide'!$B$5,J74*'Decor Guide'!$B$6),0)))</x:f>
        <x:v>120</x:v>
      </x:c>
      <x:c r="L74" s="200" t="n">
        <x:f>VLOOKUP(M74,'Decor Guide'!$E$5:$G$8,3,FALSE)</x:f>
        <x:v>20</x:v>
      </x:c>
      <x:c r="M74" s="201" t="str">
        <x:f>IF(MAX(N74,O74)&lt;='Decor Guide'!$F$5,'Decor Guide'!$E$5,IF(MAX(N74,O74)&lt;='Decor Guide'!$F$6,'Decor Guide'!$E$6,IF(MAX(N74,O74)&lt;='Decor Guide'!$F$7,'Decor Guide'!$E$7,'Decor Guide'!$E$8)))</x:f>
        <x:v>Medium</x:v>
      </x:c>
      <x:c r="N74" s="236" t="n">
        <x:v>1.8</x:v>
      </x:c>
      <x:c r="O74" s="236" t="n">
        <x:v>1</x:v>
      </x:c>
      <x:c r="P74" s="192" t="str">
        <x:v>Foreground</x:v>
      </x:c>
      <x:c r="Q74" s="192" t="str">
        <x:f>IF(H74&lt;='Decor Guide'!$B$12,"Launch (L1–40)",IF(H74&lt;='Decor Guide'!$B$13,"Wave 1 (L41–50)",IF(H74&lt;='Decor Guide'!$B$14,"Wave 2 (L51–60)","Wave 3 (L61–70)")))</x:f>
        <x:v>Launch (L1–40)</x:v>
      </x:c>
      <x:c r="R74" s="192" t="str">
        <x:v>None</x:v>
      </x:c>
      <x:c r="S74" s="192" t="str">
        <x:f>IF(R74="None","Always available after unlock",VLOOKUP(R74,'Decor Live Ops'!$A$5:$L$16,2,FALSE))</x:f>
        <x:v>Always available after unlock</x:v>
      </x:c>
      <x:c r="T74" s="203" t="str">
        <x:f>IF(AND(H74&gt;=1,H74&lt;='Decor Guide'!$B$15,J74&gt;0,MOD(J74,IF(I74="Coins",5,1))=0,K74&gt;='Decor Guide'!$B$7,K74&lt;='Decor Guide'!$B$8,L74&gt;0,N74&gt;0,O74&gt;0,MAX(N74,O74)&lt;='Decor Guide'!$F$8,OR(AND(F74="Coin",I74="Coins"),AND(F74="Premium",I74="Pearls"),AND(F74="Limited Edition",OR(I74="Coins",I74="Pearls"))),OR(AND(F74="Limited Edition",R74&lt;&gt;"None"),AND(F74&lt;&gt;"Limited Edition",R74="None"))),"OK","REVIEW")</x:f>
        <x:v>OK</x:v>
      </x:c>
    </x:row>
    <x:row r="75" ht="48" customHeight="1">
      <x:c r="A75" s="204" t="str">
        <x:v>PP-07</x:v>
      </x:c>
      <x:c r="B75" s="204" t="str">
        <x:v>Crystal-tip Seagrass</x:v>
      </x:c>
      <x:c r="C75" s="192" t="str">
        <x:v>Plant</x:v>
      </x:c>
      <x:c r="D75" s="192" t="str">
        <x:v>Fantasy Plant</x:v>
      </x:c>
      <x:c r="E75" s="192" t="str">
        <x:v>Crystal Grotto</x:v>
      </x:c>
      <x:c r="F75" s="192" t="str">
        <x:v>Premium</x:v>
      </x:c>
      <x:c r="G75" s="192" t="str">
        <x:v>Epic</x:v>
      </x:c>
      <x:c r="H75" s="198" t="n">
        <x:v>24</x:v>
      </x:c>
      <x:c r="I75" s="199" t="str">
        <x:v>Pearls</x:v>
      </x:c>
      <x:c r="J75" s="198" t="n">
        <x:v>8</x:v>
      </x:c>
      <x:c r="K75" s="200" t="n">
        <x:f>MIN('Decor Guide'!$B$8,MAX('Decor Guide'!$B$7,INT(INDEX('XP Curve'!$F$4:$F$73,MIN(H75+1,'Decor Guide'!$B$15))*'Decor Guide'!$B$9)),MAX('Decor Guide'!$B$7,ROUND(IF(I75="Coins",J75*'Decor Guide'!$B$5,J75*'Decor Guide'!$B$6),0)))</x:f>
        <x:v>120</x:v>
      </x:c>
      <x:c r="L75" s="200" t="n">
        <x:f>VLOOKUP(M75,'Decor Guide'!$E$5:$G$8,3,FALSE)</x:f>
        <x:v>35</x:v>
      </x:c>
      <x:c r="M75" s="201" t="str">
        <x:f>IF(MAX(N75,O75)&lt;='Decor Guide'!$F$5,'Decor Guide'!$E$5,IF(MAX(N75,O75)&lt;='Decor Guide'!$F$6,'Decor Guide'!$E$6,IF(MAX(N75,O75)&lt;='Decor Guide'!$F$7,'Decor Guide'!$E$7,'Decor Guide'!$E$8)))</x:f>
        <x:v>Large</x:v>
      </x:c>
      <x:c r="N75" s="236" t="n">
        <x:v>1.6</x:v>
      </x:c>
      <x:c r="O75" s="236" t="n">
        <x:v>2.7</x:v>
      </x:c>
      <x:c r="P75" s="192" t="str">
        <x:v>Background</x:v>
      </x:c>
      <x:c r="Q75" s="192" t="str">
        <x:f>IF(H75&lt;='Decor Guide'!$B$12,"Launch (L1–40)",IF(H75&lt;='Decor Guide'!$B$13,"Wave 1 (L41–50)",IF(H75&lt;='Decor Guide'!$B$14,"Wave 2 (L51–60)","Wave 3 (L61–70)")))</x:f>
        <x:v>Launch (L1–40)</x:v>
      </x:c>
      <x:c r="R75" s="192" t="str">
        <x:v>None</x:v>
      </x:c>
      <x:c r="S75" s="192" t="str">
        <x:f>IF(R75="None","Always available after unlock",VLOOKUP(R75,'Decor Live Ops'!$A$5:$L$16,2,FALSE))</x:f>
        <x:v>Always available after unlock</x:v>
      </x:c>
      <x:c r="T75" s="203" t="str">
        <x:f>IF(AND(H75&gt;=1,H75&lt;='Decor Guide'!$B$15,J75&gt;0,MOD(J75,IF(I75="Coins",5,1))=0,K75&gt;='Decor Guide'!$B$7,K75&lt;='Decor Guide'!$B$8,L75&gt;0,N75&gt;0,O75&gt;0,MAX(N75,O75)&lt;='Decor Guide'!$F$8,OR(AND(F75="Coin",I75="Coins"),AND(F75="Premium",I75="Pearls"),AND(F75="Limited Edition",OR(I75="Coins",I75="Pearls"))),OR(AND(F75="Limited Edition",R75&lt;&gt;"None"),AND(F75&lt;&gt;"Limited Edition",R75="None"))),"OK","REVIEW")</x:f>
        <x:v>OK</x:v>
      </x:c>
    </x:row>
    <x:row r="76" ht="48" customHeight="1">
      <x:c r="A76" s="204" t="str">
        <x:v>PP-08</x:v>
      </x:c>
      <x:c r="B76" s="204" t="str">
        <x:v>Coral Bells Vine</x:v>
      </x:c>
      <x:c r="C76" s="192" t="str">
        <x:v>Plant</x:v>
      </x:c>
      <x:c r="D76" s="192" t="str">
        <x:v>Flowering Plant</x:v>
      </x:c>
      <x:c r="E76" s="192" t="str">
        <x:v>Fantasy</x:v>
      </x:c>
      <x:c r="F76" s="192" t="str">
        <x:v>Premium</x:v>
      </x:c>
      <x:c r="G76" s="192" t="str">
        <x:v>Epic</x:v>
      </x:c>
      <x:c r="H76" s="198" t="n">
        <x:v>28</x:v>
      </x:c>
      <x:c r="I76" s="199" t="str">
        <x:v>Pearls</x:v>
      </x:c>
      <x:c r="J76" s="198" t="n">
        <x:v>9</x:v>
      </x:c>
      <x:c r="K76" s="200" t="n">
        <x:f>MIN('Decor Guide'!$B$8,MAX('Decor Guide'!$B$7,INT(INDEX('XP Curve'!$F$4:$F$73,MIN(H76+1,'Decor Guide'!$B$15))*'Decor Guide'!$B$9)),MAX('Decor Guide'!$B$7,ROUND(IF(I76="Coins",J76*'Decor Guide'!$B$5,J76*'Decor Guide'!$B$6),0)))</x:f>
        <x:v>120</x:v>
      </x:c>
      <x:c r="L76" s="200" t="n">
        <x:f>VLOOKUP(M76,'Decor Guide'!$E$5:$G$8,3,FALSE)</x:f>
        <x:v>35</x:v>
      </x:c>
      <x:c r="M76" s="201" t="str">
        <x:f>IF(MAX(N76,O76)&lt;='Decor Guide'!$F$5,'Decor Guide'!$E$5,IF(MAX(N76,O76)&lt;='Decor Guide'!$F$6,'Decor Guide'!$E$6,IF(MAX(N76,O76)&lt;='Decor Guide'!$F$7,'Decor Guide'!$E$7,'Decor Guide'!$E$8)))</x:f>
        <x:v>Large</x:v>
      </x:c>
      <x:c r="N76" s="236" t="n">
        <x:v>2.5</x:v>
      </x:c>
      <x:c r="O76" s="236" t="n">
        <x:v>2.6</x:v>
      </x:c>
      <x:c r="P76" s="192" t="str">
        <x:v>Midground</x:v>
      </x:c>
      <x:c r="Q76" s="192" t="str">
        <x:f>IF(H76&lt;='Decor Guide'!$B$12,"Launch (L1–40)",IF(H76&lt;='Decor Guide'!$B$13,"Wave 1 (L41–50)",IF(H76&lt;='Decor Guide'!$B$14,"Wave 2 (L51–60)","Wave 3 (L61–70)")))</x:f>
        <x:v>Launch (L1–40)</x:v>
      </x:c>
      <x:c r="R76" s="192" t="str">
        <x:v>None</x:v>
      </x:c>
      <x:c r="S76" s="192" t="str">
        <x:f>IF(R76="None","Always available after unlock",VLOOKUP(R76,'Decor Live Ops'!$A$5:$L$16,2,FALSE))</x:f>
        <x:v>Always available after unlock</x:v>
      </x:c>
      <x:c r="T76" s="203" t="str">
        <x:f>IF(AND(H76&gt;=1,H76&lt;='Decor Guide'!$B$15,J76&gt;0,MOD(J76,IF(I76="Coins",5,1))=0,K76&gt;='Decor Guide'!$B$7,K76&lt;='Decor Guide'!$B$8,L76&gt;0,N76&gt;0,O76&gt;0,MAX(N76,O76)&lt;='Decor Guide'!$F$8,OR(AND(F76="Coin",I76="Coins"),AND(F76="Premium",I76="Pearls"),AND(F76="Limited Edition",OR(I76="Coins",I76="Pearls"))),OR(AND(F76="Limited Edition",R76&lt;&gt;"None"),AND(F76&lt;&gt;"Limited Edition",R76="None"))),"OK","REVIEW")</x:f>
        <x:v>OK</x:v>
      </x:c>
    </x:row>
    <x:row r="77" ht="48" customHeight="1">
      <x:c r="A77" s="204" t="str">
        <x:v>PP-09</x:v>
      </x:c>
      <x:c r="B77" s="204" t="str">
        <x:v>Starlight Lace Fern</x:v>
      </x:c>
      <x:c r="C77" s="192" t="str">
        <x:v>Plant</x:v>
      </x:c>
      <x:c r="D77" s="192" t="str">
        <x:v>Fern</x:v>
      </x:c>
      <x:c r="E77" s="192" t="str">
        <x:v>Moonlit Garden</x:v>
      </x:c>
      <x:c r="F77" s="192" t="str">
        <x:v>Premium</x:v>
      </x:c>
      <x:c r="G77" s="192" t="str">
        <x:v>Epic</x:v>
      </x:c>
      <x:c r="H77" s="198" t="n">
        <x:v>32</x:v>
      </x:c>
      <x:c r="I77" s="199" t="str">
        <x:v>Pearls</x:v>
      </x:c>
      <x:c r="J77" s="198" t="n">
        <x:v>10</x:v>
      </x:c>
      <x:c r="K77" s="200" t="n">
        <x:f>MIN('Decor Guide'!$B$8,MAX('Decor Guide'!$B$7,INT(INDEX('XP Curve'!$F$4:$F$73,MIN(H77+1,'Decor Guide'!$B$15))*'Decor Guide'!$B$9)),MAX('Decor Guide'!$B$7,ROUND(IF(I77="Coins",J77*'Decor Guide'!$B$5,J77*'Decor Guide'!$B$6),0)))</x:f>
        <x:v>120</x:v>
      </x:c>
      <x:c r="L77" s="200" t="n">
        <x:f>VLOOKUP(M77,'Decor Guide'!$E$5:$G$8,3,FALSE)</x:f>
        <x:v>35</x:v>
      </x:c>
      <x:c r="M77" s="201" t="str">
        <x:f>IF(MAX(N77,O77)&lt;='Decor Guide'!$F$5,'Decor Guide'!$E$5,IF(MAX(N77,O77)&lt;='Decor Guide'!$F$6,'Decor Guide'!$E$6,IF(MAX(N77,O77)&lt;='Decor Guide'!$F$7,'Decor Guide'!$E$7,'Decor Guide'!$E$8)))</x:f>
        <x:v>Large</x:v>
      </x:c>
      <x:c r="N77" s="236" t="n">
        <x:v>2.6</x:v>
      </x:c>
      <x:c r="O77" s="236" t="n">
        <x:v>3</x:v>
      </x:c>
      <x:c r="P77" s="192" t="str">
        <x:v>Background</x:v>
      </x:c>
      <x:c r="Q77" s="192" t="str">
        <x:f>IF(H77&lt;='Decor Guide'!$B$12,"Launch (L1–40)",IF(H77&lt;='Decor Guide'!$B$13,"Wave 1 (L41–50)",IF(H77&lt;='Decor Guide'!$B$14,"Wave 2 (L51–60)","Wave 3 (L61–70)")))</x:f>
        <x:v>Launch (L1–40)</x:v>
      </x:c>
      <x:c r="R77" s="192" t="str">
        <x:v>None</x:v>
      </x:c>
      <x:c r="S77" s="192" t="str">
        <x:f>IF(R77="None","Always available after unlock",VLOOKUP(R77,'Decor Live Ops'!$A$5:$L$16,2,FALSE))</x:f>
        <x:v>Always available after unlock</x:v>
      </x:c>
      <x:c r="T77" s="203" t="str">
        <x:f>IF(AND(H77&gt;=1,H77&lt;='Decor Guide'!$B$15,J77&gt;0,MOD(J77,IF(I77="Coins",5,1))=0,K77&gt;='Decor Guide'!$B$7,K77&lt;='Decor Guide'!$B$8,L77&gt;0,N77&gt;0,O77&gt;0,MAX(N77,O77)&lt;='Decor Guide'!$F$8,OR(AND(F77="Coin",I77="Coins"),AND(F77="Premium",I77="Pearls"),AND(F77="Limited Edition",OR(I77="Coins",I77="Pearls"))),OR(AND(F77="Limited Edition",R77&lt;&gt;"None"),AND(F77&lt;&gt;"Limited Edition",R77="None"))),"OK","REVIEW")</x:f>
        <x:v>OK</x:v>
      </x:c>
    </x:row>
    <x:row r="78" ht="48" customHeight="1">
      <x:c r="A78" s="204" t="str">
        <x:v>PP-10</x:v>
      </x:c>
      <x:c r="B78" s="204" t="str">
        <x:v>Velvet Fan Bloom</x:v>
      </x:c>
      <x:c r="C78" s="192" t="str">
        <x:v>Plant</x:v>
      </x:c>
      <x:c r="D78" s="192" t="str">
        <x:v>Flowering Plant</x:v>
      </x:c>
      <x:c r="E78" s="192" t="str">
        <x:v>Botanical Rarities</x:v>
      </x:c>
      <x:c r="F78" s="192" t="str">
        <x:v>Premium</x:v>
      </x:c>
      <x:c r="G78" s="192" t="str">
        <x:v>Epic</x:v>
      </x:c>
      <x:c r="H78" s="198" t="n">
        <x:v>36</x:v>
      </x:c>
      <x:c r="I78" s="199" t="str">
        <x:v>Pearls</x:v>
      </x:c>
      <x:c r="J78" s="198" t="n">
        <x:v>12</x:v>
      </x:c>
      <x:c r="K78" s="200" t="n">
        <x:f>MIN('Decor Guide'!$B$8,MAX('Decor Guide'!$B$7,INT(INDEX('XP Curve'!$F$4:$F$73,MIN(H78+1,'Decor Guide'!$B$15))*'Decor Guide'!$B$9)),MAX('Decor Guide'!$B$7,ROUND(IF(I78="Coins",J78*'Decor Guide'!$B$5,J78*'Decor Guide'!$B$6),0)))</x:f>
        <x:v>120</x:v>
      </x:c>
      <x:c r="L78" s="200" t="n">
        <x:f>VLOOKUP(M78,'Decor Guide'!$E$5:$G$8,3,FALSE)</x:f>
        <x:v>35</x:v>
      </x:c>
      <x:c r="M78" s="201" t="str">
        <x:f>IF(MAX(N78,O78)&lt;='Decor Guide'!$F$5,'Decor Guide'!$E$5,IF(MAX(N78,O78)&lt;='Decor Guide'!$F$6,'Decor Guide'!$E$6,IF(MAX(N78,O78)&lt;='Decor Guide'!$F$7,'Decor Guide'!$E$7,'Decor Guide'!$E$8)))</x:f>
        <x:v>Large</x:v>
      </x:c>
      <x:c r="N78" s="236" t="n">
        <x:v>2.8</x:v>
      </x:c>
      <x:c r="O78" s="236" t="n">
        <x:v>2.6</x:v>
      </x:c>
      <x:c r="P78" s="192" t="str">
        <x:v>Midground</x:v>
      </x:c>
      <x:c r="Q78" s="192" t="str">
        <x:f>IF(H78&lt;='Decor Guide'!$B$12,"Launch (L1–40)",IF(H78&lt;='Decor Guide'!$B$13,"Wave 1 (L41–50)",IF(H78&lt;='Decor Guide'!$B$14,"Wave 2 (L51–60)","Wave 3 (L61–70)")))</x:f>
        <x:v>Launch (L1–40)</x:v>
      </x:c>
      <x:c r="R78" s="192" t="str">
        <x:v>None</x:v>
      </x:c>
      <x:c r="S78" s="192" t="str">
        <x:f>IF(R78="None","Always available after unlock",VLOOKUP(R78,'Decor Live Ops'!$A$5:$L$16,2,FALSE))</x:f>
        <x:v>Always available after unlock</x:v>
      </x:c>
      <x:c r="T78" s="203" t="str">
        <x:f>IF(AND(H78&gt;=1,H78&lt;='Decor Guide'!$B$15,J78&gt;0,MOD(J78,IF(I78="Coins",5,1))=0,K78&gt;='Decor Guide'!$B$7,K78&lt;='Decor Guide'!$B$8,L78&gt;0,N78&gt;0,O78&gt;0,MAX(N78,O78)&lt;='Decor Guide'!$F$8,OR(AND(F78="Coin",I78="Coins"),AND(F78="Premium",I78="Pearls"),AND(F78="Limited Edition",OR(I78="Coins",I78="Pearls"))),OR(AND(F78="Limited Edition",R78&lt;&gt;"None"),AND(F78&lt;&gt;"Limited Edition",R78="None"))),"OK","REVIEW")</x:f>
        <x:v>OK</x:v>
      </x:c>
    </x:row>
    <x:row r="79" ht="48" customHeight="1">
      <x:c r="A79" s="204" t="str">
        <x:v>PP-11</x:v>
      </x:c>
      <x:c r="B79" s="204" t="str">
        <x:v>Opal Lotus Bouquet</x:v>
      </x:c>
      <x:c r="C79" s="192" t="str">
        <x:v>Plant</x:v>
      </x:c>
      <x:c r="D79" s="192" t="str">
        <x:v>Lotus</x:v>
      </x:c>
      <x:c r="E79" s="192" t="str">
        <x:v>Prism Reef</x:v>
      </x:c>
      <x:c r="F79" s="192" t="str">
        <x:v>Premium</x:v>
      </x:c>
      <x:c r="G79" s="192" t="str">
        <x:v>Epic</x:v>
      </x:c>
      <x:c r="H79" s="198" t="n">
        <x:v>40</x:v>
      </x:c>
      <x:c r="I79" s="199" t="str">
        <x:v>Pearls</x:v>
      </x:c>
      <x:c r="J79" s="198" t="n">
        <x:v>14</x:v>
      </x:c>
      <x:c r="K79" s="200" t="n">
        <x:f>MIN('Decor Guide'!$B$8,MAX('Decor Guide'!$B$7,INT(INDEX('XP Curve'!$F$4:$F$73,MIN(H79+1,'Decor Guide'!$B$15))*'Decor Guide'!$B$9)),MAX('Decor Guide'!$B$7,ROUND(IF(I79="Coins",J79*'Decor Guide'!$B$5,J79*'Decor Guide'!$B$6),0)))</x:f>
        <x:v>120</x:v>
      </x:c>
      <x:c r="L79" s="200" t="n">
        <x:f>VLOOKUP(M79,'Decor Guide'!$E$5:$G$8,3,FALSE)</x:f>
        <x:v>35</x:v>
      </x:c>
      <x:c r="M79" s="201" t="str">
        <x:f>IF(MAX(N79,O79)&lt;='Decor Guide'!$F$5,'Decor Guide'!$E$5,IF(MAX(N79,O79)&lt;='Decor Guide'!$F$6,'Decor Guide'!$E$6,IF(MAX(N79,O79)&lt;='Decor Guide'!$F$7,'Decor Guide'!$E$7,'Decor Guide'!$E$8)))</x:f>
        <x:v>Large</x:v>
      </x:c>
      <x:c r="N79" s="236" t="n">
        <x:v>3.2</x:v>
      </x:c>
      <x:c r="O79" s="236" t="n">
        <x:v>3.2</x:v>
      </x:c>
      <x:c r="P79" s="192" t="str">
        <x:v>Background</x:v>
      </x:c>
      <x:c r="Q79" s="192" t="str">
        <x:f>IF(H79&lt;='Decor Guide'!$B$12,"Launch (L1–40)",IF(H79&lt;='Decor Guide'!$B$13,"Wave 1 (L41–50)",IF(H79&lt;='Decor Guide'!$B$14,"Wave 2 (L51–60)","Wave 3 (L61–70)")))</x:f>
        <x:v>Launch (L1–40)</x:v>
      </x:c>
      <x:c r="R79" s="192" t="str">
        <x:v>None</x:v>
      </x:c>
      <x:c r="S79" s="192" t="str">
        <x:f>IF(R79="None","Always available after unlock",VLOOKUP(R79,'Decor Live Ops'!$A$5:$L$16,2,FALSE))</x:f>
        <x:v>Always available after unlock</x:v>
      </x:c>
      <x:c r="T79" s="203" t="str">
        <x:f>IF(AND(H79&gt;=1,H79&lt;='Decor Guide'!$B$15,J79&gt;0,MOD(J79,IF(I79="Coins",5,1))=0,K79&gt;='Decor Guide'!$B$7,K79&lt;='Decor Guide'!$B$8,L79&gt;0,N79&gt;0,O79&gt;0,MAX(N79,O79)&lt;='Decor Guide'!$F$8,OR(AND(F79="Coin",I79="Coins"),AND(F79="Premium",I79="Pearls"),AND(F79="Limited Edition",OR(I79="Coins",I79="Pearls"))),OR(AND(F79="Limited Edition",R79&lt;&gt;"None"),AND(F79&lt;&gt;"Limited Edition",R79="None"))),"OK","REVIEW")</x:f>
        <x:v>OK</x:v>
      </x:c>
    </x:row>
    <x:row r="80" ht="48" customHeight="1">
      <x:c r="A80" s="204" t="str">
        <x:v>PP-12</x:v>
      </x:c>
      <x:c r="B80" s="204" t="str">
        <x:v>Moonbell Root Tree</x:v>
      </x:c>
      <x:c r="C80" s="192" t="str">
        <x:v>Plant</x:v>
      </x:c>
      <x:c r="D80" s="192" t="str">
        <x:v>Rooted Plant</x:v>
      </x:c>
      <x:c r="E80" s="192" t="str">
        <x:v>Moonlit Garden</x:v>
      </x:c>
      <x:c r="F80" s="192" t="str">
        <x:v>Premium</x:v>
      </x:c>
      <x:c r="G80" s="192" t="str">
        <x:v>Epic</x:v>
      </x:c>
      <x:c r="H80" s="198" t="n">
        <x:v>45</x:v>
      </x:c>
      <x:c r="I80" s="199" t="str">
        <x:v>Pearls</x:v>
      </x:c>
      <x:c r="J80" s="198" t="n">
        <x:v>16</x:v>
      </x:c>
      <x:c r="K80" s="200" t="n">
        <x:f>MIN('Decor Guide'!$B$8,MAX('Decor Guide'!$B$7,INT(INDEX('XP Curve'!$F$4:$F$73,MIN(H80+1,'Decor Guide'!$B$15))*'Decor Guide'!$B$9)),MAX('Decor Guide'!$B$7,ROUND(IF(I80="Coins",J80*'Decor Guide'!$B$5,J80*'Decor Guide'!$B$6),0)))</x:f>
        <x:v>120</x:v>
      </x:c>
      <x:c r="L80" s="200" t="n">
        <x:f>VLOOKUP(M80,'Decor Guide'!$E$5:$G$8,3,FALSE)</x:f>
        <x:v>50</x:v>
      </x:c>
      <x:c r="M80" s="201" t="str">
        <x:f>IF(MAX(N80,O80)&lt;='Decor Guide'!$F$5,'Decor Guide'!$E$5,IF(MAX(N80,O80)&lt;='Decor Guide'!$F$6,'Decor Guide'!$E$6,IF(MAX(N80,O80)&lt;='Decor Guide'!$F$7,'Decor Guide'!$E$7,'Decor Guide'!$E$8)))</x:f>
        <x:v>XL</x:v>
      </x:c>
      <x:c r="N80" s="236" t="n">
        <x:v>2.9</x:v>
      </x:c>
      <x:c r="O80" s="236" t="n">
        <x:v>3.7</x:v>
      </x:c>
      <x:c r="P80" s="192" t="str">
        <x:v>Background</x:v>
      </x:c>
      <x:c r="Q80" s="192" t="str">
        <x:f>IF(H80&lt;='Decor Guide'!$B$12,"Launch (L1–40)",IF(H80&lt;='Decor Guide'!$B$13,"Wave 1 (L41–50)",IF(H80&lt;='Decor Guide'!$B$14,"Wave 2 (L51–60)","Wave 3 (L61–70)")))</x:f>
        <x:v>Wave 1 (L41–50)</x:v>
      </x:c>
      <x:c r="R80" s="192" t="str">
        <x:v>None</x:v>
      </x:c>
      <x:c r="S80" s="192" t="str">
        <x:f>IF(R80="None","Always available after unlock",VLOOKUP(R80,'Decor Live Ops'!$A$5:$L$16,2,FALSE))</x:f>
        <x:v>Always available after unlock</x:v>
      </x:c>
      <x:c r="T80" s="203" t="str">
        <x:f>IF(AND(H80&gt;=1,H80&lt;='Decor Guide'!$B$15,J80&gt;0,MOD(J80,IF(I80="Coins",5,1))=0,K80&gt;='Decor Guide'!$B$7,K80&lt;='Decor Guide'!$B$8,L80&gt;0,N80&gt;0,O80&gt;0,MAX(N80,O80)&lt;='Decor Guide'!$F$8,OR(AND(F80="Coin",I80="Coins"),AND(F80="Premium",I80="Pearls"),AND(F80="Limited Edition",OR(I80="Coins",I80="Pearls"))),OR(AND(F80="Limited Edition",R80&lt;&gt;"None"),AND(F80&lt;&gt;"Limited Edition",R80="None"))),"OK","REVIEW")</x:f>
        <x:v>OK</x:v>
      </x:c>
    </x:row>
    <x:row r="81" ht="48" customHeight="1">
      <x:c r="A81" s="204" t="str">
        <x:v>PP-13</x:v>
      </x:c>
      <x:c r="B81" s="204" t="str">
        <x:v>Glowing Kelp Spiral</x:v>
      </x:c>
      <x:c r="C81" s="192" t="str">
        <x:v>Plant</x:v>
      </x:c>
      <x:c r="D81" s="192" t="str">
        <x:v>Ribbon Plant</x:v>
      </x:c>
      <x:c r="E81" s="192" t="str">
        <x:v>Deep Sea</x:v>
      </x:c>
      <x:c r="F81" s="192" t="str">
        <x:v>Premium</x:v>
      </x:c>
      <x:c r="G81" s="192" t="str">
        <x:v>Epic</x:v>
      </x:c>
      <x:c r="H81" s="198" t="n">
        <x:v>50</x:v>
      </x:c>
      <x:c r="I81" s="199" t="str">
        <x:v>Pearls</x:v>
      </x:c>
      <x:c r="J81" s="198" t="n">
        <x:v>18</x:v>
      </x:c>
      <x:c r="K81" s="200" t="n">
        <x:f>MIN('Decor Guide'!$B$8,MAX('Decor Guide'!$B$7,INT(INDEX('XP Curve'!$F$4:$F$73,MIN(H81+1,'Decor Guide'!$B$15))*'Decor Guide'!$B$9)),MAX('Decor Guide'!$B$7,ROUND(IF(I81="Coins",J81*'Decor Guide'!$B$5,J81*'Decor Guide'!$B$6),0)))</x:f>
        <x:v>120</x:v>
      </x:c>
      <x:c r="L81" s="200" t="n">
        <x:f>VLOOKUP(M81,'Decor Guide'!$E$5:$G$8,3,FALSE)</x:f>
        <x:v>50</x:v>
      </x:c>
      <x:c r="M81" s="201" t="str">
        <x:f>IF(MAX(N81,O81)&lt;='Decor Guide'!$F$5,'Decor Guide'!$E$5,IF(MAX(N81,O81)&lt;='Decor Guide'!$F$6,'Decor Guide'!$E$6,IF(MAX(N81,O81)&lt;='Decor Guide'!$F$7,'Decor Guide'!$E$7,'Decor Guide'!$E$8)))</x:f>
        <x:v>XL</x:v>
      </x:c>
      <x:c r="N81" s="236" t="n">
        <x:v>2.3</x:v>
      </x:c>
      <x:c r="O81" s="236" t="n">
        <x:v>3.8</x:v>
      </x:c>
      <x:c r="P81" s="192" t="str">
        <x:v>Background</x:v>
      </x:c>
      <x:c r="Q81" s="192" t="str">
        <x:f>IF(H81&lt;='Decor Guide'!$B$12,"Launch (L1–40)",IF(H81&lt;='Decor Guide'!$B$13,"Wave 1 (L41–50)",IF(H81&lt;='Decor Guide'!$B$14,"Wave 2 (L51–60)","Wave 3 (L61–70)")))</x:f>
        <x:v>Wave 1 (L41–50)</x:v>
      </x:c>
      <x:c r="R81" s="192" t="str">
        <x:v>None</x:v>
      </x:c>
      <x:c r="S81" s="192" t="str">
        <x:f>IF(R81="None","Always available after unlock",VLOOKUP(R81,'Decor Live Ops'!$A$5:$L$16,2,FALSE))</x:f>
        <x:v>Always available after unlock</x:v>
      </x:c>
      <x:c r="T81" s="203" t="str">
        <x:f>IF(AND(H81&gt;=1,H81&lt;='Decor Guide'!$B$15,J81&gt;0,MOD(J81,IF(I81="Coins",5,1))=0,K81&gt;='Decor Guide'!$B$7,K81&lt;='Decor Guide'!$B$8,L81&gt;0,N81&gt;0,O81&gt;0,MAX(N81,O81)&lt;='Decor Guide'!$F$8,OR(AND(F81="Coin",I81="Coins"),AND(F81="Premium",I81="Pearls"),AND(F81="Limited Edition",OR(I81="Coins",I81="Pearls"))),OR(AND(F81="Limited Edition",R81&lt;&gt;"None"),AND(F81&lt;&gt;"Limited Edition",R81="None"))),"OK","REVIEW")</x:f>
        <x:v>OK</x:v>
      </x:c>
    </x:row>
    <x:row r="82" ht="48" customHeight="1">
      <x:c r="A82" s="204" t="str">
        <x:v>PP-14</x:v>
      </x:c>
      <x:c r="B82" s="204" t="str">
        <x:v>Jade Dragonleaf</x:v>
      </x:c>
      <x:c r="C82" s="192" t="str">
        <x:v>Plant</x:v>
      </x:c>
      <x:c r="D82" s="192" t="str">
        <x:v>Fantasy Plant</x:v>
      </x:c>
      <x:c r="E82" s="192" t="str">
        <x:v>Zen Garden</x:v>
      </x:c>
      <x:c r="F82" s="192" t="str">
        <x:v>Premium</x:v>
      </x:c>
      <x:c r="G82" s="192" t="str">
        <x:v>Legendary</x:v>
      </x:c>
      <x:c r="H82" s="198" t="n">
        <x:v>55</x:v>
      </x:c>
      <x:c r="I82" s="199" t="str">
        <x:v>Pearls</x:v>
      </x:c>
      <x:c r="J82" s="198" t="n">
        <x:v>20</x:v>
      </x:c>
      <x:c r="K82" s="200" t="n">
        <x:f>MIN('Decor Guide'!$B$8,MAX('Decor Guide'!$B$7,INT(INDEX('XP Curve'!$F$4:$F$73,MIN(H82+1,'Decor Guide'!$B$15))*'Decor Guide'!$B$9)),MAX('Decor Guide'!$B$7,ROUND(IF(I82="Coins",J82*'Decor Guide'!$B$5,J82*'Decor Guide'!$B$6),0)))</x:f>
        <x:v>120</x:v>
      </x:c>
      <x:c r="L82" s="200" t="n">
        <x:f>VLOOKUP(M82,'Decor Guide'!$E$5:$G$8,3,FALSE)</x:f>
        <x:v>50</x:v>
      </x:c>
      <x:c r="M82" s="201" t="str">
        <x:f>IF(MAX(N82,O82)&lt;='Decor Guide'!$F$5,'Decor Guide'!$E$5,IF(MAX(N82,O82)&lt;='Decor Guide'!$F$6,'Decor Guide'!$E$6,IF(MAX(N82,O82)&lt;='Decor Guide'!$F$7,'Decor Guide'!$E$7,'Decor Guide'!$E$8)))</x:f>
        <x:v>XL</x:v>
      </x:c>
      <x:c r="N82" s="236" t="n">
        <x:v>3.3</x:v>
      </x:c>
      <x:c r="O82" s="236" t="n">
        <x:v>3.6</x:v>
      </x:c>
      <x:c r="P82" s="192" t="str">
        <x:v>Background</x:v>
      </x:c>
      <x:c r="Q82" s="192" t="str">
        <x:f>IF(H82&lt;='Decor Guide'!$B$12,"Launch (L1–40)",IF(H82&lt;='Decor Guide'!$B$13,"Wave 1 (L41–50)",IF(H82&lt;='Decor Guide'!$B$14,"Wave 2 (L51–60)","Wave 3 (L61–70)")))</x:f>
        <x:v>Wave 2 (L51–60)</x:v>
      </x:c>
      <x:c r="R82" s="192" t="str">
        <x:v>None</x:v>
      </x:c>
      <x:c r="S82" s="192" t="str">
        <x:f>IF(R82="None","Always available after unlock",VLOOKUP(R82,'Decor Live Ops'!$A$5:$L$16,2,FALSE))</x:f>
        <x:v>Always available after unlock</x:v>
      </x:c>
      <x:c r="T82" s="203" t="str">
        <x:f>IF(AND(H82&gt;=1,H82&lt;='Decor Guide'!$B$15,J82&gt;0,MOD(J82,IF(I82="Coins",5,1))=0,K82&gt;='Decor Guide'!$B$7,K82&lt;='Decor Guide'!$B$8,L82&gt;0,N82&gt;0,O82&gt;0,MAX(N82,O82)&lt;='Decor Guide'!$F$8,OR(AND(F82="Coin",I82="Coins"),AND(F82="Premium",I82="Pearls"),AND(F82="Limited Edition",OR(I82="Coins",I82="Pearls"))),OR(AND(F82="Limited Edition",R82&lt;&gt;"None"),AND(F82&lt;&gt;"Limited Edition",R82="None"))),"OK","REVIEW")</x:f>
        <x:v>OK</x:v>
      </x:c>
    </x:row>
    <x:row r="83" ht="48" customHeight="1">
      <x:c r="A83" s="204" t="str">
        <x:v>PP-15</x:v>
      </x:c>
      <x:c r="B83" s="204" t="str">
        <x:v>Celestial Lily Crown</x:v>
      </x:c>
      <x:c r="C83" s="192" t="str">
        <x:v>Plant</x:v>
      </x:c>
      <x:c r="D83" s="192" t="str">
        <x:v>Flowering Plant</x:v>
      </x:c>
      <x:c r="E83" s="192" t="str">
        <x:v>Moonlit Garden</x:v>
      </x:c>
      <x:c r="F83" s="192" t="str">
        <x:v>Premium</x:v>
      </x:c>
      <x:c r="G83" s="192" t="str">
        <x:v>Legendary</x:v>
      </x:c>
      <x:c r="H83" s="198" t="n">
        <x:v>60</x:v>
      </x:c>
      <x:c r="I83" s="199" t="str">
        <x:v>Pearls</x:v>
      </x:c>
      <x:c r="J83" s="198" t="n">
        <x:v>23</x:v>
      </x:c>
      <x:c r="K83" s="200" t="n">
        <x:f>MIN('Decor Guide'!$B$8,MAX('Decor Guide'!$B$7,INT(INDEX('XP Curve'!$F$4:$F$73,MIN(H83+1,'Decor Guide'!$B$15))*'Decor Guide'!$B$9)),MAX('Decor Guide'!$B$7,ROUND(IF(I83="Coins",J83*'Decor Guide'!$B$5,J83*'Decor Guide'!$B$6),0)))</x:f>
        <x:v>120</x:v>
      </x:c>
      <x:c r="L83" s="200" t="n">
        <x:f>VLOOKUP(M83,'Decor Guide'!$E$5:$G$8,3,FALSE)</x:f>
        <x:v>50</x:v>
      </x:c>
      <x:c r="M83" s="201" t="str">
        <x:f>IF(MAX(N83,O83)&lt;='Decor Guide'!$F$5,'Decor Guide'!$E$5,IF(MAX(N83,O83)&lt;='Decor Guide'!$F$6,'Decor Guide'!$E$6,IF(MAX(N83,O83)&lt;='Decor Guide'!$F$7,'Decor Guide'!$E$7,'Decor Guide'!$E$8)))</x:f>
        <x:v>XL</x:v>
      </x:c>
      <x:c r="N83" s="236" t="n">
        <x:v>3.6</x:v>
      </x:c>
      <x:c r="O83" s="236" t="n">
        <x:v>3.8</x:v>
      </x:c>
      <x:c r="P83" s="192" t="str">
        <x:v>Background</x:v>
      </x:c>
      <x:c r="Q83" s="192" t="str">
        <x:f>IF(H83&lt;='Decor Guide'!$B$12,"Launch (L1–40)",IF(H83&lt;='Decor Guide'!$B$13,"Wave 1 (L41–50)",IF(H83&lt;='Decor Guide'!$B$14,"Wave 2 (L51–60)","Wave 3 (L61–70)")))</x:f>
        <x:v>Wave 2 (L51–60)</x:v>
      </x:c>
      <x:c r="R83" s="192" t="str">
        <x:v>None</x:v>
      </x:c>
      <x:c r="S83" s="192" t="str">
        <x:f>IF(R83="None","Always available after unlock",VLOOKUP(R83,'Decor Live Ops'!$A$5:$L$16,2,FALSE))</x:f>
        <x:v>Always available after unlock</x:v>
      </x:c>
      <x:c r="T83" s="203" t="str">
        <x:f>IF(AND(H83&gt;=1,H83&lt;='Decor Guide'!$B$15,J83&gt;0,MOD(J83,IF(I83="Coins",5,1))=0,K83&gt;='Decor Guide'!$B$7,K83&lt;='Decor Guide'!$B$8,L83&gt;0,N83&gt;0,O83&gt;0,MAX(N83,O83)&lt;='Decor Guide'!$F$8,OR(AND(F83="Coin",I83="Coins"),AND(F83="Premium",I83="Pearls"),AND(F83="Limited Edition",OR(I83="Coins",I83="Pearls"))),OR(AND(F83="Limited Edition",R83&lt;&gt;"None"),AND(F83&lt;&gt;"Limited Edition",R83="None"))),"OK","REVIEW")</x:f>
        <x:v>OK</x:v>
      </x:c>
    </x:row>
    <x:row r="84" ht="48" customHeight="1">
      <x:c r="A84" s="204" t="str">
        <x:v>PP-16</x:v>
      </x:c>
      <x:c r="B84" s="204" t="str">
        <x:v>Aurora Worldroot</x:v>
      </x:c>
      <x:c r="C84" s="192" t="str">
        <x:v>Plant</x:v>
      </x:c>
      <x:c r="D84" s="192" t="str">
        <x:v>Rooted Plant</x:v>
      </x:c>
      <x:c r="E84" s="192" t="str">
        <x:v>Prism Reef</x:v>
      </x:c>
      <x:c r="F84" s="192" t="str">
        <x:v>Premium</x:v>
      </x:c>
      <x:c r="G84" s="192" t="str">
        <x:v>Legendary</x:v>
      </x:c>
      <x:c r="H84" s="198" t="n">
        <x:v>70</x:v>
      </x:c>
      <x:c r="I84" s="199" t="str">
        <x:v>Pearls</x:v>
      </x:c>
      <x:c r="J84" s="198" t="n">
        <x:v>28</x:v>
      </x:c>
      <x:c r="K84" s="200" t="n">
        <x:f>MIN('Decor Guide'!$B$8,MAX('Decor Guide'!$B$7,INT(INDEX('XP Curve'!$F$4:$F$73,MIN(H84+1,'Decor Guide'!$B$15))*'Decor Guide'!$B$9)),MAX('Decor Guide'!$B$7,ROUND(IF(I84="Coins",J84*'Decor Guide'!$B$5,J84*'Decor Guide'!$B$6),0)))</x:f>
        <x:v>120</x:v>
      </x:c>
      <x:c r="L84" s="200" t="n">
        <x:f>VLOOKUP(M84,'Decor Guide'!$E$5:$G$8,3,FALSE)</x:f>
        <x:v>50</x:v>
      </x:c>
      <x:c r="M84" s="201" t="str">
        <x:f>IF(MAX(N84,O84)&lt;='Decor Guide'!$F$5,'Decor Guide'!$E$5,IF(MAX(N84,O84)&lt;='Decor Guide'!$F$6,'Decor Guide'!$E$6,IF(MAX(N84,O84)&lt;='Decor Guide'!$F$7,'Decor Guide'!$E$7,'Decor Guide'!$E$8)))</x:f>
        <x:v>XL</x:v>
      </x:c>
      <x:c r="N84" s="236" t="n">
        <x:v>4</x:v>
      </x:c>
      <x:c r="O84" s="236" t="n">
        <x:v>4.2</x:v>
      </x:c>
      <x:c r="P84" s="192" t="str">
        <x:v>Background</x:v>
      </x:c>
      <x:c r="Q84" s="192" t="str">
        <x:f>IF(H84&lt;='Decor Guide'!$B$12,"Launch (L1–40)",IF(H84&lt;='Decor Guide'!$B$13,"Wave 1 (L41–50)",IF(H84&lt;='Decor Guide'!$B$14,"Wave 2 (L51–60)","Wave 3 (L61–70)")))</x:f>
        <x:v>Wave 3 (L61–70)</x:v>
      </x:c>
      <x:c r="R84" s="192" t="str">
        <x:v>None</x:v>
      </x:c>
      <x:c r="S84" s="192" t="str">
        <x:f>IF(R84="None","Always available after unlock",VLOOKUP(R84,'Decor Live Ops'!$A$5:$L$16,2,FALSE))</x:f>
        <x:v>Always available after unlock</x:v>
      </x:c>
      <x:c r="T84" s="203" t="str">
        <x:f>IF(AND(H84&gt;=1,H84&lt;='Decor Guide'!$B$15,J84&gt;0,MOD(J84,IF(I84="Coins",5,1))=0,K84&gt;='Decor Guide'!$B$7,K84&lt;='Decor Guide'!$B$8,L84&gt;0,N84&gt;0,O84&gt;0,MAX(N84,O84)&lt;='Decor Guide'!$F$8,OR(AND(F84="Coin",I84="Coins"),AND(F84="Premium",I84="Pearls"),AND(F84="Limited Edition",OR(I84="Coins",I84="Pearls"))),OR(AND(F84="Limited Edition",R84&lt;&gt;"None"),AND(F84&lt;&gt;"Limited Edition",R84="None"))),"OK","REVIEW")</x:f>
        <x:v>OK</x:v>
      </x:c>
    </x:row>
    <x:row r="85" ht="48" customHeight="1">
      <x:c r="A85" s="204" t="str">
        <x:v>PD-01</x:v>
      </x:c>
      <x:c r="B85" s="204" t="str">
        <x:v>Pearl Cradle Clam</x:v>
      </x:c>
      <x:c r="C85" s="192" t="str">
        <x:v>Decoration</x:v>
      </x:c>
      <x:c r="D85" s="192" t="str">
        <x:v>Shell Ornament</x:v>
      </x:c>
      <x:c r="E85" s="192" t="str">
        <x:v>Tropical Lagoon</x:v>
      </x:c>
      <x:c r="F85" s="192" t="str">
        <x:v>Premium</x:v>
      </x:c>
      <x:c r="G85" s="192" t="str">
        <x:v>Rare</x:v>
      </x:c>
      <x:c r="H85" s="198" t="n">
        <x:v>4</x:v>
      </x:c>
      <x:c r="I85" s="199" t="str">
        <x:v>Pearls</x:v>
      </x:c>
      <x:c r="J85" s="198" t="n">
        <x:v>3</x:v>
      </x:c>
      <x:c r="K85" s="200" t="n">
        <x:f>MIN('Decor Guide'!$B$8,MAX('Decor Guide'!$B$7,INT(INDEX('XP Curve'!$F$4:$F$73,MIN(H85+1,'Decor Guide'!$B$15))*'Decor Guide'!$B$9)),MAX('Decor Guide'!$B$7,ROUND(IF(I85="Coins",J85*'Decor Guide'!$B$5,J85*'Decor Guide'!$B$6),0)))</x:f>
        <x:v>5</x:v>
      </x:c>
      <x:c r="L85" s="200" t="n">
        <x:f>VLOOKUP(M85,'Decor Guide'!$E$5:$G$8,3,FALSE)</x:f>
        <x:v>20</x:v>
      </x:c>
      <x:c r="M85" s="201" t="str">
        <x:f>IF(MAX(N85,O85)&lt;='Decor Guide'!$F$5,'Decor Guide'!$E$5,IF(MAX(N85,O85)&lt;='Decor Guide'!$F$6,'Decor Guide'!$E$6,IF(MAX(N85,O85)&lt;='Decor Guide'!$F$7,'Decor Guide'!$E$7,'Decor Guide'!$E$8)))</x:f>
        <x:v>Medium</x:v>
      </x:c>
      <x:c r="N85" s="236" t="n">
        <x:v>1.6</x:v>
      </x:c>
      <x:c r="O85" s="236" t="n">
        <x:v>1.2</x:v>
      </x:c>
      <x:c r="P85" s="192" t="str">
        <x:v>Foreground</x:v>
      </x:c>
      <x:c r="Q85" s="192" t="str">
        <x:f>IF(H85&lt;='Decor Guide'!$B$12,"Launch (L1–40)",IF(H85&lt;='Decor Guide'!$B$13,"Wave 1 (L41–50)",IF(H85&lt;='Decor Guide'!$B$14,"Wave 2 (L51–60)","Wave 3 (L61–70)")))</x:f>
        <x:v>Launch (L1–40)</x:v>
      </x:c>
      <x:c r="R85" s="192" t="str">
        <x:v>None</x:v>
      </x:c>
      <x:c r="S85" s="192" t="str">
        <x:f>IF(R85="None","Always available after unlock",VLOOKUP(R85,'Decor Live Ops'!$A$5:$L$16,2,FALSE))</x:f>
        <x:v>Always available after unlock</x:v>
      </x:c>
      <x:c r="T85" s="203" t="str">
        <x:f>IF(AND(H85&gt;=1,H85&lt;='Decor Guide'!$B$15,J85&gt;0,MOD(J85,IF(I85="Coins",5,1))=0,K85&gt;='Decor Guide'!$B$7,K85&lt;='Decor Guide'!$B$8,L85&gt;0,N85&gt;0,O85&gt;0,MAX(N85,O85)&lt;='Decor Guide'!$F$8,OR(AND(F85="Coin",I85="Coins"),AND(F85="Premium",I85="Pearls"),AND(F85="Limited Edition",OR(I85="Coins",I85="Pearls"))),OR(AND(F85="Limited Edition",R85&lt;&gt;"None"),AND(F85&lt;&gt;"Limited Edition",R85="None"))),"OK","REVIEW")</x:f>
        <x:v>OK</x:v>
      </x:c>
    </x:row>
    <x:row r="86" ht="48" customHeight="1">
      <x:c r="A86" s="204" t="str">
        <x:v>PD-02</x:v>
      </x:c>
      <x:c r="B86" s="204" t="str">
        <x:v>Breathing Shell Lantern</x:v>
      </x:c>
      <x:c r="C86" s="192" t="str">
        <x:v>Decoration</x:v>
      </x:c>
      <x:c r="D86" s="192" t="str">
        <x:v>Light Ornament</x:v>
      </x:c>
      <x:c r="E86" s="192" t="str">
        <x:v>Moonlit Garden</x:v>
      </x:c>
      <x:c r="F86" s="192" t="str">
        <x:v>Premium</x:v>
      </x:c>
      <x:c r="G86" s="192" t="str">
        <x:v>Rare</x:v>
      </x:c>
      <x:c r="H86" s="198" t="n">
        <x:v>8</x:v>
      </x:c>
      <x:c r="I86" s="199" t="str">
        <x:v>Pearls</x:v>
      </x:c>
      <x:c r="J86" s="198" t="n">
        <x:v>4</x:v>
      </x:c>
      <x:c r="K86" s="200" t="n">
        <x:f>MIN('Decor Guide'!$B$8,MAX('Decor Guide'!$B$7,INT(INDEX('XP Curve'!$F$4:$F$73,MIN(H86+1,'Decor Guide'!$B$15))*'Decor Guide'!$B$9)),MAX('Decor Guide'!$B$7,ROUND(IF(I86="Coins",J86*'Decor Guide'!$B$5,J86*'Decor Guide'!$B$6),0)))</x:f>
        <x:v>17</x:v>
      </x:c>
      <x:c r="L86" s="200" t="n">
        <x:f>VLOOKUP(M86,'Decor Guide'!$E$5:$G$8,3,FALSE)</x:f>
        <x:v>20</x:v>
      </x:c>
      <x:c r="M86" s="201" t="str">
        <x:f>IF(MAX(N86,O86)&lt;='Decor Guide'!$F$5,'Decor Guide'!$E$5,IF(MAX(N86,O86)&lt;='Decor Guide'!$F$6,'Decor Guide'!$E$6,IF(MAX(N86,O86)&lt;='Decor Guide'!$F$7,'Decor Guide'!$E$7,'Decor Guide'!$E$8)))</x:f>
        <x:v>Medium</x:v>
      </x:c>
      <x:c r="N86" s="236" t="n">
        <x:v>1.5</x:v>
      </x:c>
      <x:c r="O86" s="236" t="n">
        <x:v>1.8</x:v>
      </x:c>
      <x:c r="P86" s="192" t="str">
        <x:v>Midground</x:v>
      </x:c>
      <x:c r="Q86" s="192" t="str">
        <x:f>IF(H86&lt;='Decor Guide'!$B$12,"Launch (L1–40)",IF(H86&lt;='Decor Guide'!$B$13,"Wave 1 (L41–50)",IF(H86&lt;='Decor Guide'!$B$14,"Wave 2 (L51–60)","Wave 3 (L61–70)")))</x:f>
        <x:v>Launch (L1–40)</x:v>
      </x:c>
      <x:c r="R86" s="192" t="str">
        <x:v>None</x:v>
      </x:c>
      <x:c r="S86" s="192" t="str">
        <x:f>IF(R86="None","Always available after unlock",VLOOKUP(R86,'Decor Live Ops'!$A$5:$L$16,2,FALSE))</x:f>
        <x:v>Always available after unlock</x:v>
      </x:c>
      <x:c r="T86" s="203" t="str">
        <x:f>IF(AND(H86&gt;=1,H86&lt;='Decor Guide'!$B$15,J86&gt;0,MOD(J86,IF(I86="Coins",5,1))=0,K86&gt;='Decor Guide'!$B$7,K86&lt;='Decor Guide'!$B$8,L86&gt;0,N86&gt;0,O86&gt;0,MAX(N86,O86)&lt;='Decor Guide'!$F$8,OR(AND(F86="Coin",I86="Coins"),AND(F86="Premium",I86="Pearls"),AND(F86="Limited Edition",OR(I86="Coins",I86="Pearls"))),OR(AND(F86="Limited Edition",R86&lt;&gt;"None"),AND(F86&lt;&gt;"Limited Edition",R86="None"))),"OK","REVIEW")</x:f>
        <x:v>OK</x:v>
      </x:c>
    </x:row>
    <x:row r="87" ht="48" customHeight="1">
      <x:c r="A87" s="204" t="str">
        <x:v>PD-03</x:v>
      </x:c>
      <x:c r="B87" s="204" t="str">
        <x:v>Bubble Chimney Rock</x:v>
      </x:c>
      <x:c r="C87" s="192" t="str">
        <x:v>Decoration</x:v>
      </x:c>
      <x:c r="D87" s="192" t="str">
        <x:v>Rock</x:v>
      </x:c>
      <x:c r="E87" s="192" t="str">
        <x:v>Deep Sea</x:v>
      </x:c>
      <x:c r="F87" s="192" t="str">
        <x:v>Premium</x:v>
      </x:c>
      <x:c r="G87" s="192" t="str">
        <x:v>Rare</x:v>
      </x:c>
      <x:c r="H87" s="198" t="n">
        <x:v>12</x:v>
      </x:c>
      <x:c r="I87" s="199" t="str">
        <x:v>Pearls</x:v>
      </x:c>
      <x:c r="J87" s="198" t="n">
        <x:v>5</x:v>
      </x:c>
      <x:c r="K87" s="200" t="n">
        <x:f>MIN('Decor Guide'!$B$8,MAX('Decor Guide'!$B$7,INT(INDEX('XP Curve'!$F$4:$F$73,MIN(H87+1,'Decor Guide'!$B$15))*'Decor Guide'!$B$9)),MAX('Decor Guide'!$B$7,ROUND(IF(I87="Coins",J87*'Decor Guide'!$B$5,J87*'Decor Guide'!$B$6),0)))</x:f>
        <x:v>46</x:v>
      </x:c>
      <x:c r="L87" s="200" t="n">
        <x:f>VLOOKUP(M87,'Decor Guide'!$E$5:$G$8,3,FALSE)</x:f>
        <x:v>35</x:v>
      </x:c>
      <x:c r="M87" s="201" t="str">
        <x:f>IF(MAX(N87,O87)&lt;='Decor Guide'!$F$5,'Decor Guide'!$E$5,IF(MAX(N87,O87)&lt;='Decor Guide'!$F$6,'Decor Guide'!$E$6,IF(MAX(N87,O87)&lt;='Decor Guide'!$F$7,'Decor Guide'!$E$7,'Decor Guide'!$E$8)))</x:f>
        <x:v>Large</x:v>
      </x:c>
      <x:c r="N87" s="236" t="n">
        <x:v>1.7</x:v>
      </x:c>
      <x:c r="O87" s="236" t="n">
        <x:v>2.1</x:v>
      </x:c>
      <x:c r="P87" s="192" t="str">
        <x:v>Midground</x:v>
      </x:c>
      <x:c r="Q87" s="192" t="str">
        <x:f>IF(H87&lt;='Decor Guide'!$B$12,"Launch (L1–40)",IF(H87&lt;='Decor Guide'!$B$13,"Wave 1 (L41–50)",IF(H87&lt;='Decor Guide'!$B$14,"Wave 2 (L51–60)","Wave 3 (L61–70)")))</x:f>
        <x:v>Launch (L1–40)</x:v>
      </x:c>
      <x:c r="R87" s="192" t="str">
        <x:v>None</x:v>
      </x:c>
      <x:c r="S87" s="192" t="str">
        <x:f>IF(R87="None","Always available after unlock",VLOOKUP(R87,'Decor Live Ops'!$A$5:$L$16,2,FALSE))</x:f>
        <x:v>Always available after unlock</x:v>
      </x:c>
      <x:c r="T87" s="203" t="str">
        <x:f>IF(AND(H87&gt;=1,H87&lt;='Decor Guide'!$B$15,J87&gt;0,MOD(J87,IF(I87="Coins",5,1))=0,K87&gt;='Decor Guide'!$B$7,K87&lt;='Decor Guide'!$B$8,L87&gt;0,N87&gt;0,O87&gt;0,MAX(N87,O87)&lt;='Decor Guide'!$F$8,OR(AND(F87="Coin",I87="Coins"),AND(F87="Premium",I87="Pearls"),AND(F87="Limited Edition",OR(I87="Coins",I87="Pearls"))),OR(AND(F87="Limited Edition",R87&lt;&gt;"None"),AND(F87&lt;&gt;"Limited Edition",R87="None"))),"OK","REVIEW")</x:f>
        <x:v>OK</x:v>
      </x:c>
    </x:row>
    <x:row r="88" ht="48" customHeight="1">
      <x:c r="A88" s="204" t="str">
        <x:v>PD-04</x:v>
      </x:c>
      <x:c r="B88" s="204" t="str">
        <x:v>Clockwork Crab Ornament</x:v>
      </x:c>
      <x:c r="C88" s="192" t="str">
        <x:v>Decoration</x:v>
      </x:c>
      <x:c r="D88" s="192" t="str">
        <x:v>Mechanical Toy</x:v>
      </x:c>
      <x:c r="E88" s="192" t="str">
        <x:v>Fantasy</x:v>
      </x:c>
      <x:c r="F88" s="192" t="str">
        <x:v>Premium</x:v>
      </x:c>
      <x:c r="G88" s="192" t="str">
        <x:v>Rare</x:v>
      </x:c>
      <x:c r="H88" s="198" t="n">
        <x:v>15</x:v>
      </x:c>
      <x:c r="I88" s="199" t="str">
        <x:v>Pearls</x:v>
      </x:c>
      <x:c r="J88" s="198" t="n">
        <x:v>6</x:v>
      </x:c>
      <x:c r="K88" s="200" t="n">
        <x:f>MIN('Decor Guide'!$B$8,MAX('Decor Guide'!$B$7,INT(INDEX('XP Curve'!$F$4:$F$73,MIN(H88+1,'Decor Guide'!$B$15))*'Decor Guide'!$B$9)),MAX('Decor Guide'!$B$7,ROUND(IF(I88="Coins",J88*'Decor Guide'!$B$5,J88*'Decor Guide'!$B$6),0)))</x:f>
        <x:v>83</x:v>
      </x:c>
      <x:c r="L88" s="200" t="n">
        <x:f>VLOOKUP(M88,'Decor Guide'!$E$5:$G$8,3,FALSE)</x:f>
        <x:v>20</x:v>
      </x:c>
      <x:c r="M88" s="201" t="str">
        <x:f>IF(MAX(N88,O88)&lt;='Decor Guide'!$F$5,'Decor Guide'!$E$5,IF(MAX(N88,O88)&lt;='Decor Guide'!$F$6,'Decor Guide'!$E$6,IF(MAX(N88,O88)&lt;='Decor Guide'!$F$7,'Decor Guide'!$E$7,'Decor Guide'!$E$8)))</x:f>
        <x:v>Medium</x:v>
      </x:c>
      <x:c r="N88" s="236" t="n">
        <x:v>1.9</x:v>
      </x:c>
      <x:c r="O88" s="236" t="n">
        <x:v>1.5</x:v>
      </x:c>
      <x:c r="P88" s="192" t="str">
        <x:v>Foreground</x:v>
      </x:c>
      <x:c r="Q88" s="192" t="str">
        <x:f>IF(H88&lt;='Decor Guide'!$B$12,"Launch (L1–40)",IF(H88&lt;='Decor Guide'!$B$13,"Wave 1 (L41–50)",IF(H88&lt;='Decor Guide'!$B$14,"Wave 2 (L51–60)","Wave 3 (L61–70)")))</x:f>
        <x:v>Launch (L1–40)</x:v>
      </x:c>
      <x:c r="R88" s="192" t="str">
        <x:v>None</x:v>
      </x:c>
      <x:c r="S88" s="192" t="str">
        <x:f>IF(R88="None","Always available after unlock",VLOOKUP(R88,'Decor Live Ops'!$A$5:$L$16,2,FALSE))</x:f>
        <x:v>Always available after unlock</x:v>
      </x:c>
      <x:c r="T88" s="203" t="str">
        <x:f>IF(AND(H88&gt;=1,H88&lt;='Decor Guide'!$B$15,J88&gt;0,MOD(J88,IF(I88="Coins",5,1))=0,K88&gt;='Decor Guide'!$B$7,K88&lt;='Decor Guide'!$B$8,L88&gt;0,N88&gt;0,O88&gt;0,MAX(N88,O88)&lt;='Decor Guide'!$F$8,OR(AND(F88="Coin",I88="Coins"),AND(F88="Premium",I88="Pearls"),AND(F88="Limited Edition",OR(I88="Coins",I88="Pearls"))),OR(AND(F88="Limited Edition",R88&lt;&gt;"None"),AND(F88&lt;&gt;"Limited Edition",R88="None"))),"OK","REVIEW")</x:f>
        <x:v>OK</x:v>
      </x:c>
    </x:row>
    <x:row r="89" ht="48" customHeight="1">
      <x:c r="A89" s="204" t="str">
        <x:v>PD-05</x:v>
      </x:c>
      <x:c r="B89" s="204" t="str">
        <x:v>Crystal Chime Arch</x:v>
      </x:c>
      <x:c r="C89" s="192" t="str">
        <x:v>Decoration</x:v>
      </x:c>
      <x:c r="D89" s="192" t="str">
        <x:v>Crystal</x:v>
      </x:c>
      <x:c r="E89" s="192" t="str">
        <x:v>Crystal Grotto</x:v>
      </x:c>
      <x:c r="F89" s="192" t="str">
        <x:v>Premium</x:v>
      </x:c>
      <x:c r="G89" s="192" t="str">
        <x:v>Rare</x:v>
      </x:c>
      <x:c r="H89" s="198" t="n">
        <x:v>18</x:v>
      </x:c>
      <x:c r="I89" s="199" t="str">
        <x:v>Pearls</x:v>
      </x:c>
      <x:c r="J89" s="198" t="n">
        <x:v>7</x:v>
      </x:c>
      <x:c r="K89" s="200" t="n">
        <x:f>MIN('Decor Guide'!$B$8,MAX('Decor Guide'!$B$7,INT(INDEX('XP Curve'!$F$4:$F$73,MIN(H89+1,'Decor Guide'!$B$15))*'Decor Guide'!$B$9)),MAX('Decor Guide'!$B$7,ROUND(IF(I89="Coins",J89*'Decor Guide'!$B$5,J89*'Decor Guide'!$B$6),0)))</x:f>
        <x:v>120</x:v>
      </x:c>
      <x:c r="L89" s="200" t="n">
        <x:f>VLOOKUP(M89,'Decor Guide'!$E$5:$G$8,3,FALSE)</x:f>
        <x:v>35</x:v>
      </x:c>
      <x:c r="M89" s="201" t="str">
        <x:f>IF(MAX(N89,O89)&lt;='Decor Guide'!$F$5,'Decor Guide'!$E$5,IF(MAX(N89,O89)&lt;='Decor Guide'!$F$6,'Decor Guide'!$E$6,IF(MAX(N89,O89)&lt;='Decor Guide'!$F$7,'Decor Guide'!$E$7,'Decor Guide'!$E$8)))</x:f>
        <x:v>Large</x:v>
      </x:c>
      <x:c r="N89" s="236" t="n">
        <x:v>2.3</x:v>
      </x:c>
      <x:c r="O89" s="236" t="n">
        <x:v>2.6</x:v>
      </x:c>
      <x:c r="P89" s="192" t="str">
        <x:v>Midground</x:v>
      </x:c>
      <x:c r="Q89" s="192" t="str">
        <x:f>IF(H89&lt;='Decor Guide'!$B$12,"Launch (L1–40)",IF(H89&lt;='Decor Guide'!$B$13,"Wave 1 (L41–50)",IF(H89&lt;='Decor Guide'!$B$14,"Wave 2 (L51–60)","Wave 3 (L61–70)")))</x:f>
        <x:v>Launch (L1–40)</x:v>
      </x:c>
      <x:c r="R89" s="192" t="str">
        <x:v>None</x:v>
      </x:c>
      <x:c r="S89" s="192" t="str">
        <x:f>IF(R89="None","Always available after unlock",VLOOKUP(R89,'Decor Live Ops'!$A$5:$L$16,2,FALSE))</x:f>
        <x:v>Always available after unlock</x:v>
      </x:c>
      <x:c r="T89" s="203" t="str">
        <x:f>IF(AND(H89&gt;=1,H89&lt;='Decor Guide'!$B$15,J89&gt;0,MOD(J89,IF(I89="Coins",5,1))=0,K89&gt;='Decor Guide'!$B$7,K89&lt;='Decor Guide'!$B$8,L89&gt;0,N89&gt;0,O89&gt;0,MAX(N89,O89)&lt;='Decor Guide'!$F$8,OR(AND(F89="Coin",I89="Coins"),AND(F89="Premium",I89="Pearls"),AND(F89="Limited Edition",OR(I89="Coins",I89="Pearls"))),OR(AND(F89="Limited Edition",R89&lt;&gt;"None"),AND(F89&lt;&gt;"Limited Edition",R89="None"))),"OK","REVIEW")</x:f>
        <x:v>OK</x:v>
      </x:c>
    </x:row>
    <x:row r="90" ht="48" customHeight="1">
      <x:c r="A90" s="204" t="str">
        <x:v>PD-06</x:v>
      </x:c>
      <x:c r="B90" s="204" t="str">
        <x:v>Kelp-sail Boat</x:v>
      </x:c>
      <x:c r="C90" s="192" t="str">
        <x:v>Decoration</x:v>
      </x:c>
      <x:c r="D90" s="192" t="str">
        <x:v>Nautical Relic</x:v>
      </x:c>
      <x:c r="E90" s="192" t="str">
        <x:v>Shipwreck</x:v>
      </x:c>
      <x:c r="F90" s="192" t="str">
        <x:v>Premium</x:v>
      </x:c>
      <x:c r="G90" s="192" t="str">
        <x:v>Rare</x:v>
      </x:c>
      <x:c r="H90" s="198" t="n">
        <x:v>22</x:v>
      </x:c>
      <x:c r="I90" s="199" t="str">
        <x:v>Pearls</x:v>
      </x:c>
      <x:c r="J90" s="198" t="n">
        <x:v>8</x:v>
      </x:c>
      <x:c r="K90" s="200" t="n">
        <x:f>MIN('Decor Guide'!$B$8,MAX('Decor Guide'!$B$7,INT(INDEX('XP Curve'!$F$4:$F$73,MIN(H90+1,'Decor Guide'!$B$15))*'Decor Guide'!$B$9)),MAX('Decor Guide'!$B$7,ROUND(IF(I90="Coins",J90*'Decor Guide'!$B$5,J90*'Decor Guide'!$B$6),0)))</x:f>
        <x:v>120</x:v>
      </x:c>
      <x:c r="L90" s="200" t="n">
        <x:f>VLOOKUP(M90,'Decor Guide'!$E$5:$G$8,3,FALSE)</x:f>
        <x:v>35</x:v>
      </x:c>
      <x:c r="M90" s="201" t="str">
        <x:f>IF(MAX(N90,O90)&lt;='Decor Guide'!$F$5,'Decor Guide'!$E$5,IF(MAX(N90,O90)&lt;='Decor Guide'!$F$6,'Decor Guide'!$E$6,IF(MAX(N90,O90)&lt;='Decor Guide'!$F$7,'Decor Guide'!$E$7,'Decor Guide'!$E$8)))</x:f>
        <x:v>Large</x:v>
      </x:c>
      <x:c r="N90" s="236" t="n">
        <x:v>2.5</x:v>
      </x:c>
      <x:c r="O90" s="236" t="n">
        <x:v>2.1</x:v>
      </x:c>
      <x:c r="P90" s="192" t="str">
        <x:v>Midground</x:v>
      </x:c>
      <x:c r="Q90" s="192" t="str">
        <x:f>IF(H90&lt;='Decor Guide'!$B$12,"Launch (L1–40)",IF(H90&lt;='Decor Guide'!$B$13,"Wave 1 (L41–50)",IF(H90&lt;='Decor Guide'!$B$14,"Wave 2 (L51–60)","Wave 3 (L61–70)")))</x:f>
        <x:v>Launch (L1–40)</x:v>
      </x:c>
      <x:c r="R90" s="192" t="str">
        <x:v>None</x:v>
      </x:c>
      <x:c r="S90" s="192" t="str">
        <x:f>IF(R90="None","Always available after unlock",VLOOKUP(R90,'Decor Live Ops'!$A$5:$L$16,2,FALSE))</x:f>
        <x:v>Always available after unlock</x:v>
      </x:c>
      <x:c r="T90" s="203" t="str">
        <x:f>IF(AND(H90&gt;=1,H90&lt;='Decor Guide'!$B$15,J90&gt;0,MOD(J90,IF(I90="Coins",5,1))=0,K90&gt;='Decor Guide'!$B$7,K90&lt;='Decor Guide'!$B$8,L90&gt;0,N90&gt;0,O90&gt;0,MAX(N90,O90)&lt;='Decor Guide'!$F$8,OR(AND(F90="Coin",I90="Coins"),AND(F90="Premium",I90="Pearls"),AND(F90="Limited Edition",OR(I90="Coins",I90="Pearls"))),OR(AND(F90="Limited Edition",R90&lt;&gt;"None"),AND(F90&lt;&gt;"Limited Edition",R90="None"))),"OK","REVIEW")</x:f>
        <x:v>OK</x:v>
      </x:c>
    </x:row>
    <x:row r="91" ht="48" customHeight="1">
      <x:c r="A91" s="204" t="str">
        <x:v>PD-07</x:v>
      </x:c>
      <x:c r="B91" s="204" t="str">
        <x:v>Seahorse Carousel</x:v>
      </x:c>
      <x:c r="C91" s="192" t="str">
        <x:v>Decoration</x:v>
      </x:c>
      <x:c r="D91" s="192" t="str">
        <x:v>Mechanical Toy</x:v>
      </x:c>
      <x:c r="E91" s="192" t="str">
        <x:v>Fantasy</x:v>
      </x:c>
      <x:c r="F91" s="192" t="str">
        <x:v>Premium</x:v>
      </x:c>
      <x:c r="G91" s="192" t="str">
        <x:v>Epic</x:v>
      </x:c>
      <x:c r="H91" s="198" t="n">
        <x:v>26</x:v>
      </x:c>
      <x:c r="I91" s="199" t="str">
        <x:v>Pearls</x:v>
      </x:c>
      <x:c r="J91" s="198" t="n">
        <x:v>9</x:v>
      </x:c>
      <x:c r="K91" s="200" t="n">
        <x:f>MIN('Decor Guide'!$B$8,MAX('Decor Guide'!$B$7,INT(INDEX('XP Curve'!$F$4:$F$73,MIN(H91+1,'Decor Guide'!$B$15))*'Decor Guide'!$B$9)),MAX('Decor Guide'!$B$7,ROUND(IF(I91="Coins",J91*'Decor Guide'!$B$5,J91*'Decor Guide'!$B$6),0)))</x:f>
        <x:v>120</x:v>
      </x:c>
      <x:c r="L91" s="200" t="n">
        <x:f>VLOOKUP(M91,'Decor Guide'!$E$5:$G$8,3,FALSE)</x:f>
        <x:v>35</x:v>
      </x:c>
      <x:c r="M91" s="201" t="str">
        <x:f>IF(MAX(N91,O91)&lt;='Decor Guide'!$F$5,'Decor Guide'!$E$5,IF(MAX(N91,O91)&lt;='Decor Guide'!$F$6,'Decor Guide'!$E$6,IF(MAX(N91,O91)&lt;='Decor Guide'!$F$7,'Decor Guide'!$E$7,'Decor Guide'!$E$8)))</x:f>
        <x:v>Large</x:v>
      </x:c>
      <x:c r="N91" s="236" t="n">
        <x:v>2.5</x:v>
      </x:c>
      <x:c r="O91" s="236" t="n">
        <x:v>2.8</x:v>
      </x:c>
      <x:c r="P91" s="192" t="str">
        <x:v>Midground</x:v>
      </x:c>
      <x:c r="Q91" s="192" t="str">
        <x:f>IF(H91&lt;='Decor Guide'!$B$12,"Launch (L1–40)",IF(H91&lt;='Decor Guide'!$B$13,"Wave 1 (L41–50)",IF(H91&lt;='Decor Guide'!$B$14,"Wave 2 (L51–60)","Wave 3 (L61–70)")))</x:f>
        <x:v>Launch (L1–40)</x:v>
      </x:c>
      <x:c r="R91" s="192" t="str">
        <x:v>None</x:v>
      </x:c>
      <x:c r="S91" s="192" t="str">
        <x:f>IF(R91="None","Always available after unlock",VLOOKUP(R91,'Decor Live Ops'!$A$5:$L$16,2,FALSE))</x:f>
        <x:v>Always available after unlock</x:v>
      </x:c>
      <x:c r="T91" s="203" t="str">
        <x:f>IF(AND(H91&gt;=1,H91&lt;='Decor Guide'!$B$15,J91&gt;0,MOD(J91,IF(I91="Coins",5,1))=0,K91&gt;='Decor Guide'!$B$7,K91&lt;='Decor Guide'!$B$8,L91&gt;0,N91&gt;0,O91&gt;0,MAX(N91,O91)&lt;='Decor Guide'!$F$8,OR(AND(F91="Coin",I91="Coins"),AND(F91="Premium",I91="Pearls"),AND(F91="Limited Edition",OR(I91="Coins",I91="Pearls"))),OR(AND(F91="Limited Edition",R91&lt;&gt;"None"),AND(F91&lt;&gt;"Limited Edition",R91="None"))),"OK","REVIEW")</x:f>
        <x:v>OK</x:v>
      </x:c>
    </x:row>
    <x:row r="92" ht="48" customHeight="1">
      <x:c r="A92" s="204" t="str">
        <x:v>PD-08</x:v>
      </x:c>
      <x:c r="B92" s="204" t="str">
        <x:v>Sleeping Volcano</x:v>
      </x:c>
      <x:c r="C92" s="192" t="str">
        <x:v>Decoration</x:v>
      </x:c>
      <x:c r="D92" s="192" t="str">
        <x:v>Rock</x:v>
      </x:c>
      <x:c r="E92" s="192" t="str">
        <x:v>Deep Sea</x:v>
      </x:c>
      <x:c r="F92" s="192" t="str">
        <x:v>Premium</x:v>
      </x:c>
      <x:c r="G92" s="192" t="str">
        <x:v>Epic</x:v>
      </x:c>
      <x:c r="H92" s="198" t="n">
        <x:v>30</x:v>
      </x:c>
      <x:c r="I92" s="199" t="str">
        <x:v>Pearls</x:v>
      </x:c>
      <x:c r="J92" s="198" t="n">
        <x:v>10</x:v>
      </x:c>
      <x:c r="K92" s="200" t="n">
        <x:f>MIN('Decor Guide'!$B$8,MAX('Decor Guide'!$B$7,INT(INDEX('XP Curve'!$F$4:$F$73,MIN(H92+1,'Decor Guide'!$B$15))*'Decor Guide'!$B$9)),MAX('Decor Guide'!$B$7,ROUND(IF(I92="Coins",J92*'Decor Guide'!$B$5,J92*'Decor Guide'!$B$6),0)))</x:f>
        <x:v>120</x:v>
      </x:c>
      <x:c r="L92" s="200" t="n">
        <x:f>VLOOKUP(M92,'Decor Guide'!$E$5:$G$8,3,FALSE)</x:f>
        <x:v>35</x:v>
      </x:c>
      <x:c r="M92" s="201" t="str">
        <x:f>IF(MAX(N92,O92)&lt;='Decor Guide'!$F$5,'Decor Guide'!$E$5,IF(MAX(N92,O92)&lt;='Decor Guide'!$F$6,'Decor Guide'!$E$6,IF(MAX(N92,O92)&lt;='Decor Guide'!$F$7,'Decor Guide'!$E$7,'Decor Guide'!$E$8)))</x:f>
        <x:v>Large</x:v>
      </x:c>
      <x:c r="N92" s="236" t="n">
        <x:v>2.5</x:v>
      </x:c>
      <x:c r="O92" s="236" t="n">
        <x:v>2.3</x:v>
      </x:c>
      <x:c r="P92" s="192" t="str">
        <x:v>Midground</x:v>
      </x:c>
      <x:c r="Q92" s="192" t="str">
        <x:f>IF(H92&lt;='Decor Guide'!$B$12,"Launch (L1–40)",IF(H92&lt;='Decor Guide'!$B$13,"Wave 1 (L41–50)",IF(H92&lt;='Decor Guide'!$B$14,"Wave 2 (L51–60)","Wave 3 (L61–70)")))</x:f>
        <x:v>Launch (L1–40)</x:v>
      </x:c>
      <x:c r="R92" s="192" t="str">
        <x:v>None</x:v>
      </x:c>
      <x:c r="S92" s="192" t="str">
        <x:f>IF(R92="None","Always available after unlock",VLOOKUP(R92,'Decor Live Ops'!$A$5:$L$16,2,FALSE))</x:f>
        <x:v>Always available after unlock</x:v>
      </x:c>
      <x:c r="T92" s="203" t="str">
        <x:f>IF(AND(H92&gt;=1,H92&lt;='Decor Guide'!$B$15,J92&gt;0,MOD(J92,IF(I92="Coins",5,1))=0,K92&gt;='Decor Guide'!$B$7,K92&lt;='Decor Guide'!$B$8,L92&gt;0,N92&gt;0,O92&gt;0,MAX(N92,O92)&lt;='Decor Guide'!$F$8,OR(AND(F92="Coin",I92="Coins"),AND(F92="Premium",I92="Pearls"),AND(F92="Limited Edition",OR(I92="Coins",I92="Pearls"))),OR(AND(F92="Limited Edition",R92&lt;&gt;"None"),AND(F92&lt;&gt;"Limited Edition",R92="None"))),"OK","REVIEW")</x:f>
        <x:v>OK</x:v>
      </x:c>
    </x:row>
    <x:row r="93" ht="48" customHeight="1">
      <x:c r="A93" s="204" t="str">
        <x:v>PD-09</x:v>
      </x:c>
      <x:c r="B93" s="204" t="str">
        <x:v>Moonstone Grotto</x:v>
      </x:c>
      <x:c r="C93" s="192" t="str">
        <x:v>Decoration</x:v>
      </x:c>
      <x:c r="D93" s="192" t="str">
        <x:v>Rock</x:v>
      </x:c>
      <x:c r="E93" s="192" t="str">
        <x:v>Moonlit Garden</x:v>
      </x:c>
      <x:c r="F93" s="192" t="str">
        <x:v>Premium</x:v>
      </x:c>
      <x:c r="G93" s="192" t="str">
        <x:v>Epic</x:v>
      </x:c>
      <x:c r="H93" s="198" t="n">
        <x:v>34</x:v>
      </x:c>
      <x:c r="I93" s="199" t="str">
        <x:v>Pearls</x:v>
      </x:c>
      <x:c r="J93" s="198" t="n">
        <x:v>12</x:v>
      </x:c>
      <x:c r="K93" s="200" t="n">
        <x:f>MIN('Decor Guide'!$B$8,MAX('Decor Guide'!$B$7,INT(INDEX('XP Curve'!$F$4:$F$73,MIN(H93+1,'Decor Guide'!$B$15))*'Decor Guide'!$B$9)),MAX('Decor Guide'!$B$7,ROUND(IF(I93="Coins",J93*'Decor Guide'!$B$5,J93*'Decor Guide'!$B$6),0)))</x:f>
        <x:v>120</x:v>
      </x:c>
      <x:c r="L93" s="200" t="n">
        <x:f>VLOOKUP(M93,'Decor Guide'!$E$5:$G$8,3,FALSE)</x:f>
        <x:v>35</x:v>
      </x:c>
      <x:c r="M93" s="201" t="str">
        <x:f>IF(MAX(N93,O93)&lt;='Decor Guide'!$F$5,'Decor Guide'!$E$5,IF(MAX(N93,O93)&lt;='Decor Guide'!$F$6,'Decor Guide'!$E$6,IF(MAX(N93,O93)&lt;='Decor Guide'!$F$7,'Decor Guide'!$E$7,'Decor Guide'!$E$8)))</x:f>
        <x:v>Large</x:v>
      </x:c>
      <x:c r="N93" s="236" t="n">
        <x:v>2.8</x:v>
      </x:c>
      <x:c r="O93" s="236" t="n">
        <x:v>2.8</x:v>
      </x:c>
      <x:c r="P93" s="192" t="str">
        <x:v>Midground</x:v>
      </x:c>
      <x:c r="Q93" s="192" t="str">
        <x:f>IF(H93&lt;='Decor Guide'!$B$12,"Launch (L1–40)",IF(H93&lt;='Decor Guide'!$B$13,"Wave 1 (L41–50)",IF(H93&lt;='Decor Guide'!$B$14,"Wave 2 (L51–60)","Wave 3 (L61–70)")))</x:f>
        <x:v>Launch (L1–40)</x:v>
      </x:c>
      <x:c r="R93" s="192" t="str">
        <x:v>None</x:v>
      </x:c>
      <x:c r="S93" s="192" t="str">
        <x:f>IF(R93="None","Always available after unlock",VLOOKUP(R93,'Decor Live Ops'!$A$5:$L$16,2,FALSE))</x:f>
        <x:v>Always available after unlock</x:v>
      </x:c>
      <x:c r="T93" s="203" t="str">
        <x:f>IF(AND(H93&gt;=1,H93&lt;='Decor Guide'!$B$15,J93&gt;0,MOD(J93,IF(I93="Coins",5,1))=0,K93&gt;='Decor Guide'!$B$7,K93&lt;='Decor Guide'!$B$8,L93&gt;0,N93&gt;0,O93&gt;0,MAX(N93,O93)&lt;='Decor Guide'!$F$8,OR(AND(F93="Coin",I93="Coins"),AND(F93="Premium",I93="Pearls"),AND(F93="Limited Edition",OR(I93="Coins",I93="Pearls"))),OR(AND(F93="Limited Edition",R93&lt;&gt;"None"),AND(F93&lt;&gt;"Limited Edition",R93="None"))),"OK","REVIEW")</x:f>
        <x:v>OK</x:v>
      </x:c>
    </x:row>
    <x:row r="94" ht="48" customHeight="1">
      <x:c r="A94" s="204" t="str">
        <x:v>PD-10</x:v>
      </x:c>
      <x:c r="B94" s="204" t="str">
        <x:v>Sunken Music Box</x:v>
      </x:c>
      <x:c r="C94" s="192" t="str">
        <x:v>Decoration</x:v>
      </x:c>
      <x:c r="D94" s="192" t="str">
        <x:v>Whimsical Object</x:v>
      </x:c>
      <x:c r="E94" s="192" t="str">
        <x:v>Fantasy</x:v>
      </x:c>
      <x:c r="F94" s="192" t="str">
        <x:v>Premium</x:v>
      </x:c>
      <x:c r="G94" s="192" t="str">
        <x:v>Epic</x:v>
      </x:c>
      <x:c r="H94" s="198" t="n">
        <x:v>38</x:v>
      </x:c>
      <x:c r="I94" s="199" t="str">
        <x:v>Pearls</x:v>
      </x:c>
      <x:c r="J94" s="198" t="n">
        <x:v>14</x:v>
      </x:c>
      <x:c r="K94" s="200" t="n">
        <x:f>MIN('Decor Guide'!$B$8,MAX('Decor Guide'!$B$7,INT(INDEX('XP Curve'!$F$4:$F$73,MIN(H94+1,'Decor Guide'!$B$15))*'Decor Guide'!$B$9)),MAX('Decor Guide'!$B$7,ROUND(IF(I94="Coins",J94*'Decor Guide'!$B$5,J94*'Decor Guide'!$B$6),0)))</x:f>
        <x:v>120</x:v>
      </x:c>
      <x:c r="L94" s="200" t="n">
        <x:f>VLOOKUP(M94,'Decor Guide'!$E$5:$G$8,3,FALSE)</x:f>
        <x:v>35</x:v>
      </x:c>
      <x:c r="M94" s="201" t="str">
        <x:f>IF(MAX(N94,O94)&lt;='Decor Guide'!$F$5,'Decor Guide'!$E$5,IF(MAX(N94,O94)&lt;='Decor Guide'!$F$6,'Decor Guide'!$E$6,IF(MAX(N94,O94)&lt;='Decor Guide'!$F$7,'Decor Guide'!$E$7,'Decor Guide'!$E$8)))</x:f>
        <x:v>Large</x:v>
      </x:c>
      <x:c r="N94" s="236" t="n">
        <x:v>2.7</x:v>
      </x:c>
      <x:c r="O94" s="236" t="n">
        <x:v>2.3</x:v>
      </x:c>
      <x:c r="P94" s="192" t="str">
        <x:v>Midground</x:v>
      </x:c>
      <x:c r="Q94" s="192" t="str">
        <x:f>IF(H94&lt;='Decor Guide'!$B$12,"Launch (L1–40)",IF(H94&lt;='Decor Guide'!$B$13,"Wave 1 (L41–50)",IF(H94&lt;='Decor Guide'!$B$14,"Wave 2 (L51–60)","Wave 3 (L61–70)")))</x:f>
        <x:v>Launch (L1–40)</x:v>
      </x:c>
      <x:c r="R94" s="192" t="str">
        <x:v>None</x:v>
      </x:c>
      <x:c r="S94" s="192" t="str">
        <x:f>IF(R94="None","Always available after unlock",VLOOKUP(R94,'Decor Live Ops'!$A$5:$L$16,2,FALSE))</x:f>
        <x:v>Always available after unlock</x:v>
      </x:c>
      <x:c r="T94" s="203" t="str">
        <x:f>IF(AND(H94&gt;=1,H94&lt;='Decor Guide'!$B$15,J94&gt;0,MOD(J94,IF(I94="Coins",5,1))=0,K94&gt;='Decor Guide'!$B$7,K94&lt;='Decor Guide'!$B$8,L94&gt;0,N94&gt;0,O94&gt;0,MAX(N94,O94)&lt;='Decor Guide'!$F$8,OR(AND(F94="Coin",I94="Coins"),AND(F94="Premium",I94="Pearls"),AND(F94="Limited Edition",OR(I94="Coins",I94="Pearls"))),OR(AND(F94="Limited Edition",R94&lt;&gt;"None"),AND(F94&lt;&gt;"Limited Edition",R94="None"))),"OK","REVIEW")</x:f>
        <x:v>OK</x:v>
      </x:c>
    </x:row>
    <x:row r="95" ht="48" customHeight="1">
      <x:c r="A95" s="204" t="str">
        <x:v>PD-11</x:v>
      </x:c>
      <x:c r="B95" s="204" t="str">
        <x:v>Jelly Lantern Pavilion</x:v>
      </x:c>
      <x:c r="C95" s="192" t="str">
        <x:v>Decoration</x:v>
      </x:c>
      <x:c r="D95" s="192" t="str">
        <x:v>Fantasy Architecture</x:v>
      </x:c>
      <x:c r="E95" s="192" t="str">
        <x:v>Moonlit Garden</x:v>
      </x:c>
      <x:c r="F95" s="192" t="str">
        <x:v>Premium</x:v>
      </x:c>
      <x:c r="G95" s="192" t="str">
        <x:v>Epic</x:v>
      </x:c>
      <x:c r="H95" s="198" t="n">
        <x:v>40</x:v>
      </x:c>
      <x:c r="I95" s="199" t="str">
        <x:v>Pearls</x:v>
      </x:c>
      <x:c r="J95" s="198" t="n">
        <x:v>16</x:v>
      </x:c>
      <x:c r="K95" s="200" t="n">
        <x:f>MIN('Decor Guide'!$B$8,MAX('Decor Guide'!$B$7,INT(INDEX('XP Curve'!$F$4:$F$73,MIN(H95+1,'Decor Guide'!$B$15))*'Decor Guide'!$B$9)),MAX('Decor Guide'!$B$7,ROUND(IF(I95="Coins",J95*'Decor Guide'!$B$5,J95*'Decor Guide'!$B$6),0)))</x:f>
        <x:v>120</x:v>
      </x:c>
      <x:c r="L95" s="200" t="n">
        <x:f>VLOOKUP(M95,'Decor Guide'!$E$5:$G$8,3,FALSE)</x:f>
        <x:v>35</x:v>
      </x:c>
      <x:c r="M95" s="201" t="str">
        <x:f>IF(MAX(N95,O95)&lt;='Decor Guide'!$F$5,'Decor Guide'!$E$5,IF(MAX(N95,O95)&lt;='Decor Guide'!$F$6,'Decor Guide'!$E$6,IF(MAX(N95,O95)&lt;='Decor Guide'!$F$7,'Decor Guide'!$E$7,'Decor Guide'!$E$8)))</x:f>
        <x:v>Large</x:v>
      </x:c>
      <x:c r="N95" s="236" t="n">
        <x:v>3</x:v>
      </x:c>
      <x:c r="O95" s="236" t="n">
        <x:v>3</x:v>
      </x:c>
      <x:c r="P95" s="192" t="str">
        <x:v>Background</x:v>
      </x:c>
      <x:c r="Q95" s="192" t="str">
        <x:f>IF(H95&lt;='Decor Guide'!$B$12,"Launch (L1–40)",IF(H95&lt;='Decor Guide'!$B$13,"Wave 1 (L41–50)",IF(H95&lt;='Decor Guide'!$B$14,"Wave 2 (L51–60)","Wave 3 (L61–70)")))</x:f>
        <x:v>Launch (L1–40)</x:v>
      </x:c>
      <x:c r="R95" s="192" t="str">
        <x:v>None</x:v>
      </x:c>
      <x:c r="S95" s="192" t="str">
        <x:f>IF(R95="None","Always available after unlock",VLOOKUP(R95,'Decor Live Ops'!$A$5:$L$16,2,FALSE))</x:f>
        <x:v>Always available after unlock</x:v>
      </x:c>
      <x:c r="T95" s="203" t="str">
        <x:f>IF(AND(H95&gt;=1,H95&lt;='Decor Guide'!$B$15,J95&gt;0,MOD(J95,IF(I95="Coins",5,1))=0,K95&gt;='Decor Guide'!$B$7,K95&lt;='Decor Guide'!$B$8,L95&gt;0,N95&gt;0,O95&gt;0,MAX(N95,O95)&lt;='Decor Guide'!$F$8,OR(AND(F95="Coin",I95="Coins"),AND(F95="Premium",I95="Pearls"),AND(F95="Limited Edition",OR(I95="Coins",I95="Pearls"))),OR(AND(F95="Limited Edition",R95&lt;&gt;"None"),AND(F95&lt;&gt;"Limited Edition",R95="None"))),"OK","REVIEW")</x:f>
        <x:v>OK</x:v>
      </x:c>
    </x:row>
    <x:row r="96" ht="48" customHeight="1">
      <x:c r="A96" s="204" t="str">
        <x:v>PD-12</x:v>
      </x:c>
      <x:c r="B96" s="204" t="str">
        <x:v>Tideglass Hourglass</x:v>
      </x:c>
      <x:c r="C96" s="192" t="str">
        <x:v>Decoration</x:v>
      </x:c>
      <x:c r="D96" s="192" t="str">
        <x:v>Whimsical Object</x:v>
      </x:c>
      <x:c r="E96" s="192" t="str">
        <x:v>Crystal Grotto</x:v>
      </x:c>
      <x:c r="F96" s="192" t="str">
        <x:v>Premium</x:v>
      </x:c>
      <x:c r="G96" s="192" t="str">
        <x:v>Epic</x:v>
      </x:c>
      <x:c r="H96" s="198" t="n">
        <x:v>43</x:v>
      </x:c>
      <x:c r="I96" s="199" t="str">
        <x:v>Pearls</x:v>
      </x:c>
      <x:c r="J96" s="198" t="n">
        <x:v>18</x:v>
      </x:c>
      <x:c r="K96" s="200" t="n">
        <x:f>MIN('Decor Guide'!$B$8,MAX('Decor Guide'!$B$7,INT(INDEX('XP Curve'!$F$4:$F$73,MIN(H96+1,'Decor Guide'!$B$15))*'Decor Guide'!$B$9)),MAX('Decor Guide'!$B$7,ROUND(IF(I96="Coins",J96*'Decor Guide'!$B$5,J96*'Decor Guide'!$B$6),0)))</x:f>
        <x:v>120</x:v>
      </x:c>
      <x:c r="L96" s="200" t="n">
        <x:f>VLOOKUP(M96,'Decor Guide'!$E$5:$G$8,3,FALSE)</x:f>
        <x:v>50</x:v>
      </x:c>
      <x:c r="M96" s="201" t="str">
        <x:f>IF(MAX(N96,O96)&lt;='Decor Guide'!$F$5,'Decor Guide'!$E$5,IF(MAX(N96,O96)&lt;='Decor Guide'!$F$6,'Decor Guide'!$E$6,IF(MAX(N96,O96)&lt;='Decor Guide'!$F$7,'Decor Guide'!$E$7,'Decor Guide'!$E$8)))</x:f>
        <x:v>XL</x:v>
      </x:c>
      <x:c r="N96" s="236" t="n">
        <x:v>2.3</x:v>
      </x:c>
      <x:c r="O96" s="236" t="n">
        <x:v>3.4</x:v>
      </x:c>
      <x:c r="P96" s="192" t="str">
        <x:v>Background</x:v>
      </x:c>
      <x:c r="Q96" s="192" t="str">
        <x:f>IF(H96&lt;='Decor Guide'!$B$12,"Launch (L1–40)",IF(H96&lt;='Decor Guide'!$B$13,"Wave 1 (L41–50)",IF(H96&lt;='Decor Guide'!$B$14,"Wave 2 (L51–60)","Wave 3 (L61–70)")))</x:f>
        <x:v>Wave 1 (L41–50)</x:v>
      </x:c>
      <x:c r="R96" s="192" t="str">
        <x:v>None</x:v>
      </x:c>
      <x:c r="S96" s="192" t="str">
        <x:f>IF(R96="None","Always available after unlock",VLOOKUP(R96,'Decor Live Ops'!$A$5:$L$16,2,FALSE))</x:f>
        <x:v>Always available after unlock</x:v>
      </x:c>
      <x:c r="T96" s="203" t="str">
        <x:f>IF(AND(H96&gt;=1,H96&lt;='Decor Guide'!$B$15,J96&gt;0,MOD(J96,IF(I96="Coins",5,1))=0,K96&gt;='Decor Guide'!$B$7,K96&lt;='Decor Guide'!$B$8,L96&gt;0,N96&gt;0,O96&gt;0,MAX(N96,O96)&lt;='Decor Guide'!$F$8,OR(AND(F96="Coin",I96="Coins"),AND(F96="Premium",I96="Pearls"),AND(F96="Limited Edition",OR(I96="Coins",I96="Pearls"))),OR(AND(F96="Limited Edition",R96&lt;&gt;"None"),AND(F96&lt;&gt;"Limited Edition",R96="None"))),"OK","REVIEW")</x:f>
        <x:v>OK</x:v>
      </x:c>
    </x:row>
    <x:row r="97" ht="48" customHeight="1">
      <x:c r="A97" s="204" t="str">
        <x:v>PD-13</x:v>
      </x:c>
      <x:c r="B97" s="204" t="str">
        <x:v>Opal Treasure Chest</x:v>
      </x:c>
      <x:c r="C97" s="192" t="str">
        <x:v>Decoration</x:v>
      </x:c>
      <x:c r="D97" s="192" t="str">
        <x:v>Nautical Relic</x:v>
      </x:c>
      <x:c r="E97" s="192" t="str">
        <x:v>Shipwreck</x:v>
      </x:c>
      <x:c r="F97" s="192" t="str">
        <x:v>Premium</x:v>
      </x:c>
      <x:c r="G97" s="192" t="str">
        <x:v>Epic</x:v>
      </x:c>
      <x:c r="H97" s="198" t="n">
        <x:v>48</x:v>
      </x:c>
      <x:c r="I97" s="199" t="str">
        <x:v>Pearls</x:v>
      </x:c>
      <x:c r="J97" s="198" t="n">
        <x:v>20</x:v>
      </x:c>
      <x:c r="K97" s="200" t="n">
        <x:f>MIN('Decor Guide'!$B$8,MAX('Decor Guide'!$B$7,INT(INDEX('XP Curve'!$F$4:$F$73,MIN(H97+1,'Decor Guide'!$B$15))*'Decor Guide'!$B$9)),MAX('Decor Guide'!$B$7,ROUND(IF(I97="Coins",J97*'Decor Guide'!$B$5,J97*'Decor Guide'!$B$6),0)))</x:f>
        <x:v>120</x:v>
      </x:c>
      <x:c r="L97" s="200" t="n">
        <x:f>VLOOKUP(M97,'Decor Guide'!$E$5:$G$8,3,FALSE)</x:f>
        <x:v>35</x:v>
      </x:c>
      <x:c r="M97" s="201" t="str">
        <x:f>IF(MAX(N97,O97)&lt;='Decor Guide'!$F$5,'Decor Guide'!$E$5,IF(MAX(N97,O97)&lt;='Decor Guide'!$F$6,'Decor Guide'!$E$6,IF(MAX(N97,O97)&lt;='Decor Guide'!$F$7,'Decor Guide'!$E$7,'Decor Guide'!$E$8)))</x:f>
        <x:v>Large</x:v>
      </x:c>
      <x:c r="N97" s="236" t="n">
        <x:v>3</x:v>
      </x:c>
      <x:c r="O97" s="236" t="n">
        <x:v>2.4</x:v>
      </x:c>
      <x:c r="P97" s="192" t="str">
        <x:v>Midground</x:v>
      </x:c>
      <x:c r="Q97" s="192" t="str">
        <x:f>IF(H97&lt;='Decor Guide'!$B$12,"Launch (L1–40)",IF(H97&lt;='Decor Guide'!$B$13,"Wave 1 (L41–50)",IF(H97&lt;='Decor Guide'!$B$14,"Wave 2 (L51–60)","Wave 3 (L61–70)")))</x:f>
        <x:v>Wave 1 (L41–50)</x:v>
      </x:c>
      <x:c r="R97" s="192" t="str">
        <x:v>None</x:v>
      </x:c>
      <x:c r="S97" s="192" t="str">
        <x:f>IF(R97="None","Always available after unlock",VLOOKUP(R97,'Decor Live Ops'!$A$5:$L$16,2,FALSE))</x:f>
        <x:v>Always available after unlock</x:v>
      </x:c>
      <x:c r="T97" s="203" t="str">
        <x:f>IF(AND(H97&gt;=1,H97&lt;='Decor Guide'!$B$15,J97&gt;0,MOD(J97,IF(I97="Coins",5,1))=0,K97&gt;='Decor Guide'!$B$7,K97&lt;='Decor Guide'!$B$8,L97&gt;0,N97&gt;0,O97&gt;0,MAX(N97,O97)&lt;='Decor Guide'!$F$8,OR(AND(F97="Coin",I97="Coins"),AND(F97="Premium",I97="Pearls"),AND(F97="Limited Edition",OR(I97="Coins",I97="Pearls"))),OR(AND(F97="Limited Edition",R97&lt;&gt;"None"),AND(F97&lt;&gt;"Limited Edition",R97="None"))),"OK","REVIEW")</x:f>
        <x:v>OK</x:v>
      </x:c>
    </x:row>
    <x:row r="98" ht="48" customHeight="1">
      <x:c r="A98" s="204" t="str">
        <x:v>PD-14</x:v>
      </x:c>
      <x:c r="B98" s="204" t="str">
        <x:v>Lunar Ring Portal</x:v>
      </x:c>
      <x:c r="C98" s="192" t="str">
        <x:v>Decoration</x:v>
      </x:c>
      <x:c r="D98" s="192" t="str">
        <x:v>Fantasy Architecture</x:v>
      </x:c>
      <x:c r="E98" s="192" t="str">
        <x:v>Moonlit Garden</x:v>
      </x:c>
      <x:c r="F98" s="192" t="str">
        <x:v>Premium</x:v>
      </x:c>
      <x:c r="G98" s="192" t="str">
        <x:v>Legendary</x:v>
      </x:c>
      <x:c r="H98" s="198" t="n">
        <x:v>53</x:v>
      </x:c>
      <x:c r="I98" s="199" t="str">
        <x:v>Pearls</x:v>
      </x:c>
      <x:c r="J98" s="198" t="n">
        <x:v>23</x:v>
      </x:c>
      <x:c r="K98" s="200" t="n">
        <x:f>MIN('Decor Guide'!$B$8,MAX('Decor Guide'!$B$7,INT(INDEX('XP Curve'!$F$4:$F$73,MIN(H98+1,'Decor Guide'!$B$15))*'Decor Guide'!$B$9)),MAX('Decor Guide'!$B$7,ROUND(IF(I98="Coins",J98*'Decor Guide'!$B$5,J98*'Decor Guide'!$B$6),0)))</x:f>
        <x:v>120</x:v>
      </x:c>
      <x:c r="L98" s="200" t="n">
        <x:f>VLOOKUP(M98,'Decor Guide'!$E$5:$G$8,3,FALSE)</x:f>
        <x:v>50</x:v>
      </x:c>
      <x:c r="M98" s="201" t="str">
        <x:f>IF(MAX(N98,O98)&lt;='Decor Guide'!$F$5,'Decor Guide'!$E$5,IF(MAX(N98,O98)&lt;='Decor Guide'!$F$6,'Decor Guide'!$E$6,IF(MAX(N98,O98)&lt;='Decor Guide'!$F$7,'Decor Guide'!$E$7,'Decor Guide'!$E$8)))</x:f>
        <x:v>XL</x:v>
      </x:c>
      <x:c r="N98" s="236" t="n">
        <x:v>3.2</x:v>
      </x:c>
      <x:c r="O98" s="236" t="n">
        <x:v>3.6</x:v>
      </x:c>
      <x:c r="P98" s="192" t="str">
        <x:v>Background</x:v>
      </x:c>
      <x:c r="Q98" s="192" t="str">
        <x:f>IF(H98&lt;='Decor Guide'!$B$12,"Launch (L1–40)",IF(H98&lt;='Decor Guide'!$B$13,"Wave 1 (L41–50)",IF(H98&lt;='Decor Guide'!$B$14,"Wave 2 (L51–60)","Wave 3 (L61–70)")))</x:f>
        <x:v>Wave 2 (L51–60)</x:v>
      </x:c>
      <x:c r="R98" s="192" t="str">
        <x:v>None</x:v>
      </x:c>
      <x:c r="S98" s="192" t="str">
        <x:f>IF(R98="None","Always available after unlock",VLOOKUP(R98,'Decor Live Ops'!$A$5:$L$16,2,FALSE))</x:f>
        <x:v>Always available after unlock</x:v>
      </x:c>
      <x:c r="T98" s="203" t="str">
        <x:f>IF(AND(H98&gt;=1,H98&lt;='Decor Guide'!$B$15,J98&gt;0,MOD(J98,IF(I98="Coins",5,1))=0,K98&gt;='Decor Guide'!$B$7,K98&lt;='Decor Guide'!$B$8,L98&gt;0,N98&gt;0,O98&gt;0,MAX(N98,O98)&lt;='Decor Guide'!$F$8,OR(AND(F98="Coin",I98="Coins"),AND(F98="Premium",I98="Pearls"),AND(F98="Limited Edition",OR(I98="Coins",I98="Pearls"))),OR(AND(F98="Limited Edition",R98&lt;&gt;"None"),AND(F98&lt;&gt;"Limited Edition",R98="None"))),"OK","REVIEW")</x:f>
        <x:v>OK</x:v>
      </x:c>
    </x:row>
    <x:row r="99" ht="48" customHeight="1">
      <x:c r="A99" s="204" t="str">
        <x:v>PD-15</x:v>
      </x:c>
      <x:c r="B99" s="204" t="str">
        <x:v>Crown of Atlantis</x:v>
      </x:c>
      <x:c r="C99" s="192" t="str">
        <x:v>Decoration</x:v>
      </x:c>
      <x:c r="D99" s="192" t="str">
        <x:v>Ancient Relic</x:v>
      </x:c>
      <x:c r="E99" s="192" t="str">
        <x:v>Ruins</x:v>
      </x:c>
      <x:c r="F99" s="192" t="str">
        <x:v>Premium</x:v>
      </x:c>
      <x:c r="G99" s="192" t="str">
        <x:v>Legendary</x:v>
      </x:c>
      <x:c r="H99" s="198" t="n">
        <x:v>62</x:v>
      </x:c>
      <x:c r="I99" s="199" t="str">
        <x:v>Pearls</x:v>
      </x:c>
      <x:c r="J99" s="198" t="n">
        <x:v>26</x:v>
      </x:c>
      <x:c r="K99" s="200" t="n">
        <x:f>MIN('Decor Guide'!$B$8,MAX('Decor Guide'!$B$7,INT(INDEX('XP Curve'!$F$4:$F$73,MIN(H99+1,'Decor Guide'!$B$15))*'Decor Guide'!$B$9)),MAX('Decor Guide'!$B$7,ROUND(IF(I99="Coins",J99*'Decor Guide'!$B$5,J99*'Decor Guide'!$B$6),0)))</x:f>
        <x:v>120</x:v>
      </x:c>
      <x:c r="L99" s="200" t="n">
        <x:f>VLOOKUP(M99,'Decor Guide'!$E$5:$G$8,3,FALSE)</x:f>
        <x:v>50</x:v>
      </x:c>
      <x:c r="M99" s="201" t="str">
        <x:f>IF(MAX(N99,O99)&lt;='Decor Guide'!$F$5,'Decor Guide'!$E$5,IF(MAX(N99,O99)&lt;='Decor Guide'!$F$6,'Decor Guide'!$E$6,IF(MAX(N99,O99)&lt;='Decor Guide'!$F$7,'Decor Guide'!$E$7,'Decor Guide'!$E$8)))</x:f>
        <x:v>XL</x:v>
      </x:c>
      <x:c r="N99" s="236" t="n">
        <x:v>3.8</x:v>
      </x:c>
      <x:c r="O99" s="236" t="n">
        <x:v>4</x:v>
      </x:c>
      <x:c r="P99" s="192" t="str">
        <x:v>Background</x:v>
      </x:c>
      <x:c r="Q99" s="192" t="str">
        <x:f>IF(H99&lt;='Decor Guide'!$B$12,"Launch (L1–40)",IF(H99&lt;='Decor Guide'!$B$13,"Wave 1 (L41–50)",IF(H99&lt;='Decor Guide'!$B$14,"Wave 2 (L51–60)","Wave 3 (L61–70)")))</x:f>
        <x:v>Wave 3 (L61–70)</x:v>
      </x:c>
      <x:c r="R99" s="192" t="str">
        <x:v>None</x:v>
      </x:c>
      <x:c r="S99" s="192" t="str">
        <x:f>IF(R99="None","Always available after unlock",VLOOKUP(R99,'Decor Live Ops'!$A$5:$L$16,2,FALSE))</x:f>
        <x:v>Always available after unlock</x:v>
      </x:c>
      <x:c r="T99" s="203" t="str">
        <x:f>IF(AND(H99&gt;=1,H99&lt;='Decor Guide'!$B$15,J99&gt;0,MOD(J99,IF(I99="Coins",5,1))=0,K99&gt;='Decor Guide'!$B$7,K99&lt;='Decor Guide'!$B$8,L99&gt;0,N99&gt;0,O99&gt;0,MAX(N99,O99)&lt;='Decor Guide'!$F$8,OR(AND(F99="Coin",I99="Coins"),AND(F99="Premium",I99="Pearls"),AND(F99="Limited Edition",OR(I99="Coins",I99="Pearls"))),OR(AND(F99="Limited Edition",R99&lt;&gt;"None"),AND(F99&lt;&gt;"Limited Edition",R99="None"))),"OK","REVIEW")</x:f>
        <x:v>OK</x:v>
      </x:c>
    </x:row>
    <x:row r="100" ht="48" customHeight="1">
      <x:c r="A100" s="204" t="str">
        <x:v>PD-16</x:v>
      </x:c>
      <x:c r="B100" s="204" t="str">
        <x:v>Starfall Lighthouse</x:v>
      </x:c>
      <x:c r="C100" s="192" t="str">
        <x:v>Decoration</x:v>
      </x:c>
      <x:c r="D100" s="192" t="str">
        <x:v>Fantasy Architecture</x:v>
      </x:c>
      <x:c r="E100" s="192" t="str">
        <x:v>Prism Reef</x:v>
      </x:c>
      <x:c r="F100" s="192" t="str">
        <x:v>Premium</x:v>
      </x:c>
      <x:c r="G100" s="192" t="str">
        <x:v>Legendary</x:v>
      </x:c>
      <x:c r="H100" s="198" t="n">
        <x:v>68</x:v>
      </x:c>
      <x:c r="I100" s="199" t="str">
        <x:v>Pearls</x:v>
      </x:c>
      <x:c r="J100" s="198" t="n">
        <x:v>30</x:v>
      </x:c>
      <x:c r="K100" s="200" t="n">
        <x:f>MIN('Decor Guide'!$B$8,MAX('Decor Guide'!$B$7,INT(INDEX('XP Curve'!$F$4:$F$73,MIN(H100+1,'Decor Guide'!$B$15))*'Decor Guide'!$B$9)),MAX('Decor Guide'!$B$7,ROUND(IF(I100="Coins",J100*'Decor Guide'!$B$5,J100*'Decor Guide'!$B$6),0)))</x:f>
        <x:v>120</x:v>
      </x:c>
      <x:c r="L100" s="200" t="n">
        <x:f>VLOOKUP(M100,'Decor Guide'!$E$5:$G$8,3,FALSE)</x:f>
        <x:v>50</x:v>
      </x:c>
      <x:c r="M100" s="201" t="str">
        <x:f>IF(MAX(N100,O100)&lt;='Decor Guide'!$F$5,'Decor Guide'!$E$5,IF(MAX(N100,O100)&lt;='Decor Guide'!$F$6,'Decor Guide'!$E$6,IF(MAX(N100,O100)&lt;='Decor Guide'!$F$7,'Decor Guide'!$E$7,'Decor Guide'!$E$8)))</x:f>
        <x:v>XL</x:v>
      </x:c>
      <x:c r="N100" s="236" t="n">
        <x:v>3</x:v>
      </x:c>
      <x:c r="O100" s="236" t="n">
        <x:v>4.2</x:v>
      </x:c>
      <x:c r="P100" s="192" t="str">
        <x:v>Background</x:v>
      </x:c>
      <x:c r="Q100" s="192" t="str">
        <x:f>IF(H100&lt;='Decor Guide'!$B$12,"Launch (L1–40)",IF(H100&lt;='Decor Guide'!$B$13,"Wave 1 (L41–50)",IF(H100&lt;='Decor Guide'!$B$14,"Wave 2 (L51–60)","Wave 3 (L61–70)")))</x:f>
        <x:v>Wave 3 (L61–70)</x:v>
      </x:c>
      <x:c r="R100" s="192" t="str">
        <x:v>None</x:v>
      </x:c>
      <x:c r="S100" s="192" t="str">
        <x:f>IF(R100="None","Always available after unlock",VLOOKUP(R100,'Decor Live Ops'!$A$5:$L$16,2,FALSE))</x:f>
        <x:v>Always available after unlock</x:v>
      </x:c>
      <x:c r="T100" s="203" t="str">
        <x:f>IF(AND(H100&gt;=1,H100&lt;='Decor Guide'!$B$15,J100&gt;0,MOD(J100,IF(I100="Coins",5,1))=0,K100&gt;='Decor Guide'!$B$7,K100&lt;='Decor Guide'!$B$8,L100&gt;0,N100&gt;0,O100&gt;0,MAX(N100,O100)&lt;='Decor Guide'!$F$8,OR(AND(F100="Coin",I100="Coins"),AND(F100="Premium",I100="Pearls"),AND(F100="Limited Edition",OR(I100="Coins",I100="Pearls"))),OR(AND(F100="Limited Edition",R100&lt;&gt;"None"),AND(F100&lt;&gt;"Limited Edition",R100="None"))),"OK","REVIEW")</x:f>
        <x:v>OK</x:v>
      </x:c>
    </x:row>
    <x:row r="101" ht="48" customHeight="1">
      <x:c r="A101" s="204" t="str">
        <x:v>CL-01</x:v>
      </x:c>
      <x:c r="B101" s="204" t="str">
        <x:v>Lucky Bamboo Knot</x:v>
      </x:c>
      <x:c r="C101" s="192" t="str">
        <x:v>Plant</x:v>
      </x:c>
      <x:c r="D101" s="192" t="str">
        <x:v>Stem Plant</x:v>
      </x:c>
      <x:c r="E101" s="192" t="str">
        <x:v>Lunar New Year</x:v>
      </x:c>
      <x:c r="F101" s="192" t="str">
        <x:v>Limited Edition</x:v>
      </x:c>
      <x:c r="G101" s="192" t="str">
        <x:v>Rare</x:v>
      </x:c>
      <x:c r="H101" s="198" t="n">
        <x:v>10</x:v>
      </x:c>
      <x:c r="I101" s="199" t="str">
        <x:v>Coins</x:v>
      </x:c>
      <x:c r="J101" s="198" t="n">
        <x:v>650</x:v>
      </x:c>
      <x:c r="K101" s="200" t="n">
        <x:f>MIN('Decor Guide'!$B$8,MAX('Decor Guide'!$B$7,INT(INDEX('XP Curve'!$F$4:$F$73,MIN(H101+1,'Decor Guide'!$B$15))*'Decor Guide'!$B$9)),MAX('Decor Guide'!$B$7,ROUND(IF(I101="Coins",J101*'Decor Guide'!$B$5,J101*'Decor Guide'!$B$6),0)))</x:f>
        <x:v>20</x:v>
      </x:c>
      <x:c r="L101" s="200" t="n">
        <x:f>VLOOKUP(M101,'Decor Guide'!$E$5:$G$8,3,FALSE)</x:f>
        <x:v>35</x:v>
      </x:c>
      <x:c r="M101" s="201" t="str">
        <x:f>IF(MAX(N101,O101)&lt;='Decor Guide'!$F$5,'Decor Guide'!$E$5,IF(MAX(N101,O101)&lt;='Decor Guide'!$F$6,'Decor Guide'!$E$6,IF(MAX(N101,O101)&lt;='Decor Guide'!$F$7,'Decor Guide'!$E$7,'Decor Guide'!$E$8)))</x:f>
        <x:v>Large</x:v>
      </x:c>
      <x:c r="N101" s="236" t="n">
        <x:v>1.7</x:v>
      </x:c>
      <x:c r="O101" s="236" t="n">
        <x:v>2.3</x:v>
      </x:c>
      <x:c r="P101" s="192" t="str">
        <x:v>Midground</x:v>
      </x:c>
      <x:c r="Q101" s="192" t="str">
        <x:f>IF(H101&lt;='Decor Guide'!$B$12,"Launch (L1–40)",IF(H101&lt;='Decor Guide'!$B$13,"Wave 1 (L41–50)",IF(H101&lt;='Decor Guide'!$B$14,"Wave 2 (L51–60)","Wave 3 (L61–70)")))</x:f>
        <x:v>Launch (L1–40)</x:v>
      </x:c>
      <x:c r="R101" s="192" t="str">
        <x:v>Lunar New Year</x:v>
      </x:c>
      <x:c r="S101" s="192" t="str">
        <x:f>IF(R101="None","Always available after unlock",VLOOKUP(R101,'Decor Live Ops'!$A$5:$L$16,2,FALSE))</x:f>
        <x:v>Jan 25–Feb 8 reference only; configure yearly</x:v>
      </x:c>
      <x:c r="T101" s="203" t="str">
        <x:f>IF(AND(H101&gt;=1,H101&lt;='Decor Guide'!$B$15,J101&gt;0,MOD(J101,IF(I101="Coins",5,1))=0,K101&gt;='Decor Guide'!$B$7,K101&lt;='Decor Guide'!$B$8,L101&gt;0,N101&gt;0,O101&gt;0,MAX(N101,O101)&lt;='Decor Guide'!$F$8,OR(AND(F101="Coin",I101="Coins"),AND(F101="Premium",I101="Pearls"),AND(F101="Limited Edition",OR(I101="Coins",I101="Pearls"))),OR(AND(F101="Limited Edition",R101&lt;&gt;"None"),AND(F101&lt;&gt;"Limited Edition",R101="None"))),"OK","REVIEW")</x:f>
        <x:v>OK</x:v>
      </x:c>
    </x:row>
    <x:row r="102" ht="48" customHeight="1">
      <x:c r="A102" s="204" t="str">
        <x:v>PL-01</x:v>
      </x:c>
      <x:c r="B102" s="204" t="str">
        <x:v>Festival Lantern Arch</x:v>
      </x:c>
      <x:c r="C102" s="192" t="str">
        <x:v>Decoration</x:v>
      </x:c>
      <x:c r="D102" s="192" t="str">
        <x:v>Garden Ornament</x:v>
      </x:c>
      <x:c r="E102" s="192" t="str">
        <x:v>Lunar New Year</x:v>
      </x:c>
      <x:c r="F102" s="192" t="str">
        <x:v>Limited Edition</x:v>
      </x:c>
      <x:c r="G102" s="192" t="str">
        <x:v>Epic</x:v>
      </x:c>
      <x:c r="H102" s="198" t="n">
        <x:v>10</x:v>
      </x:c>
      <x:c r="I102" s="199" t="str">
        <x:v>Pearls</x:v>
      </x:c>
      <x:c r="J102" s="198" t="n">
        <x:v>8</x:v>
      </x:c>
      <x:c r="K102" s="200" t="n">
        <x:f>MIN('Decor Guide'!$B$8,MAX('Decor Guide'!$B$7,INT(INDEX('XP Curve'!$F$4:$F$73,MIN(H102+1,'Decor Guide'!$B$15))*'Decor Guide'!$B$9)),MAX('Decor Guide'!$B$7,ROUND(IF(I102="Coins",J102*'Decor Guide'!$B$5,J102*'Decor Guide'!$B$6),0)))</x:f>
        <x:v>28</x:v>
      </x:c>
      <x:c r="L102" s="200" t="n">
        <x:f>VLOOKUP(M102,'Decor Guide'!$E$5:$G$8,3,FALSE)</x:f>
        <x:v>35</x:v>
      </x:c>
      <x:c r="M102" s="201" t="str">
        <x:f>IF(MAX(N102,O102)&lt;='Decor Guide'!$F$5,'Decor Guide'!$E$5,IF(MAX(N102,O102)&lt;='Decor Guide'!$F$6,'Decor Guide'!$E$6,IF(MAX(N102,O102)&lt;='Decor Guide'!$F$7,'Decor Guide'!$E$7,'Decor Guide'!$E$8)))</x:f>
        <x:v>Large</x:v>
      </x:c>
      <x:c r="N102" s="236" t="n">
        <x:v>2.5</x:v>
      </x:c>
      <x:c r="O102" s="236" t="n">
        <x:v>2.7</x:v>
      </x:c>
      <x:c r="P102" s="192" t="str">
        <x:v>Midground</x:v>
      </x:c>
      <x:c r="Q102" s="192" t="str">
        <x:f>IF(H102&lt;='Decor Guide'!$B$12,"Launch (L1–40)",IF(H102&lt;='Decor Guide'!$B$13,"Wave 1 (L41–50)",IF(H102&lt;='Decor Guide'!$B$14,"Wave 2 (L51–60)","Wave 3 (L61–70)")))</x:f>
        <x:v>Launch (L1–40)</x:v>
      </x:c>
      <x:c r="R102" s="192" t="str">
        <x:v>Lunar New Year</x:v>
      </x:c>
      <x:c r="S102" s="192" t="str">
        <x:f>IF(R102="None","Always available after unlock",VLOOKUP(R102,'Decor Live Ops'!$A$5:$L$16,2,FALSE))</x:f>
        <x:v>Jan 25–Feb 8 reference only; configure yearly</x:v>
      </x:c>
      <x:c r="T102" s="203" t="str">
        <x:f>IF(AND(H102&gt;=1,H102&lt;='Decor Guide'!$B$15,J102&gt;0,MOD(J102,IF(I102="Coins",5,1))=0,K102&gt;='Decor Guide'!$B$7,K102&lt;='Decor Guide'!$B$8,L102&gt;0,N102&gt;0,O102&gt;0,MAX(N102,O102)&lt;='Decor Guide'!$F$8,OR(AND(F102="Coin",I102="Coins"),AND(F102="Premium",I102="Pearls"),AND(F102="Limited Edition",OR(I102="Coins",I102="Pearls"))),OR(AND(F102="Limited Edition",R102&lt;&gt;"None"),AND(F102&lt;&gt;"Limited Edition",R102="None"))),"OK","REVIEW")</x:f>
        <x:v>OK</x:v>
      </x:c>
    </x:row>
    <x:row r="103" ht="48" customHeight="1">
      <x:c r="A103" s="204" t="str">
        <x:v>CL-02</x:v>
      </x:c>
      <x:c r="B103" s="204" t="str">
        <x:v>Heart Pebble Bench</x:v>
      </x:c>
      <x:c r="C103" s="192" t="str">
        <x:v>Decoration</x:v>
      </x:c>
      <x:c r="D103" s="192" t="str">
        <x:v>Garden Ornament</x:v>
      </x:c>
      <x:c r="E103" s="192" t="str">
        <x:v>Valentine's</x:v>
      </x:c>
      <x:c r="F103" s="192" t="str">
        <x:v>Limited Edition</x:v>
      </x:c>
      <x:c r="G103" s="192" t="str">
        <x:v>Uncommon</x:v>
      </x:c>
      <x:c r="H103" s="198" t="n">
        <x:v>5</x:v>
      </x:c>
      <x:c r="I103" s="199" t="str">
        <x:v>Coins</x:v>
      </x:c>
      <x:c r="J103" s="198" t="n">
        <x:v>300</x:v>
      </x:c>
      <x:c r="K103" s="200" t="n">
        <x:f>MIN('Decor Guide'!$B$8,MAX('Decor Guide'!$B$7,INT(INDEX('XP Curve'!$F$4:$F$73,MIN(H103+1,'Decor Guide'!$B$15))*'Decor Guide'!$B$9)),MAX('Decor Guide'!$B$7,ROUND(IF(I103="Coins",J103*'Decor Guide'!$B$5,J103*'Decor Guide'!$B$6),0)))</x:f>
        <x:v>6</x:v>
      </x:c>
      <x:c r="L103" s="200" t="n">
        <x:f>VLOOKUP(M103,'Decor Guide'!$E$5:$G$8,3,FALSE)</x:f>
        <x:v>20</x:v>
      </x:c>
      <x:c r="M103" s="201" t="str">
        <x:f>IF(MAX(N103,O103)&lt;='Decor Guide'!$F$5,'Decor Guide'!$E$5,IF(MAX(N103,O103)&lt;='Decor Guide'!$F$6,'Decor Guide'!$E$6,IF(MAX(N103,O103)&lt;='Decor Guide'!$F$7,'Decor Guide'!$E$7,'Decor Guide'!$E$8)))</x:f>
        <x:v>Medium</x:v>
      </x:c>
      <x:c r="N103" s="236" t="n">
        <x:v>1.8</x:v>
      </x:c>
      <x:c r="O103" s="236" t="n">
        <x:v>1</x:v>
      </x:c>
      <x:c r="P103" s="192" t="str">
        <x:v>Foreground</x:v>
      </x:c>
      <x:c r="Q103" s="192" t="str">
        <x:f>IF(H103&lt;='Decor Guide'!$B$12,"Launch (L1–40)",IF(H103&lt;='Decor Guide'!$B$13,"Wave 1 (L41–50)",IF(H103&lt;='Decor Guide'!$B$14,"Wave 2 (L51–60)","Wave 3 (L61–70)")))</x:f>
        <x:v>Launch (L1–40)</x:v>
      </x:c>
      <x:c r="R103" s="192" t="str">
        <x:v>Valentine's</x:v>
      </x:c>
      <x:c r="S103" s="192" t="str">
        <x:f>IF(R103="None","Always available after unlock",VLOOKUP(R103,'Decor Live Ops'!$A$5:$L$16,2,FALSE))</x:f>
        <x:v>Feb 7–21</x:v>
      </x:c>
      <x:c r="T103" s="203" t="str">
        <x:f>IF(AND(H103&gt;=1,H103&lt;='Decor Guide'!$B$15,J103&gt;0,MOD(J103,IF(I103="Coins",5,1))=0,K103&gt;='Decor Guide'!$B$7,K103&lt;='Decor Guide'!$B$8,L103&gt;0,N103&gt;0,O103&gt;0,MAX(N103,O103)&lt;='Decor Guide'!$F$8,OR(AND(F103="Coin",I103="Coins"),AND(F103="Premium",I103="Pearls"),AND(F103="Limited Edition",OR(I103="Coins",I103="Pearls"))),OR(AND(F103="Limited Edition",R103&lt;&gt;"None"),AND(F103&lt;&gt;"Limited Edition",R103="None"))),"OK","REVIEW")</x:f>
        <x:v>OK</x:v>
      </x:c>
    </x:row>
    <x:row r="104" ht="48" customHeight="1">
      <x:c r="A104" s="204" t="str">
        <x:v>PL-02</x:v>
      </x:c>
      <x:c r="B104" s="204" t="str">
        <x:v>Sweetheart Bloom</x:v>
      </x:c>
      <x:c r="C104" s="192" t="str">
        <x:v>Plant</x:v>
      </x:c>
      <x:c r="D104" s="192" t="str">
        <x:v>Flowering Plant</x:v>
      </x:c>
      <x:c r="E104" s="192" t="str">
        <x:v>Valentine's</x:v>
      </x:c>
      <x:c r="F104" s="192" t="str">
        <x:v>Limited Edition</x:v>
      </x:c>
      <x:c r="G104" s="192" t="str">
        <x:v>Rare</x:v>
      </x:c>
      <x:c r="H104" s="198" t="n">
        <x:v>5</x:v>
      </x:c>
      <x:c r="I104" s="199" t="str">
        <x:v>Pearls</x:v>
      </x:c>
      <x:c r="J104" s="198" t="n">
        <x:v>4</x:v>
      </x:c>
      <x:c r="K104" s="200" t="n">
        <x:f>MIN('Decor Guide'!$B$8,MAX('Decor Guide'!$B$7,INT(INDEX('XP Curve'!$F$4:$F$73,MIN(H104+1,'Decor Guide'!$B$15))*'Decor Guide'!$B$9)),MAX('Decor Guide'!$B$7,ROUND(IF(I104="Coins",J104*'Decor Guide'!$B$5,J104*'Decor Guide'!$B$6),0)))</x:f>
        <x:v>6</x:v>
      </x:c>
      <x:c r="L104" s="200" t="n">
        <x:f>VLOOKUP(M104,'Decor Guide'!$E$5:$G$8,3,FALSE)</x:f>
        <x:v>20</x:v>
      </x:c>
      <x:c r="M104" s="201" t="str">
        <x:f>IF(MAX(N104,O104)&lt;='Decor Guide'!$F$5,'Decor Guide'!$E$5,IF(MAX(N104,O104)&lt;='Decor Guide'!$F$6,'Decor Guide'!$E$6,IF(MAX(N104,O104)&lt;='Decor Guide'!$F$7,'Decor Guide'!$E$7,'Decor Guide'!$E$8)))</x:f>
        <x:v>Medium</x:v>
      </x:c>
      <x:c r="N104" s="236" t="n">
        <x:v>1.8</x:v>
      </x:c>
      <x:c r="O104" s="236" t="n">
        <x:v>2</x:v>
      </x:c>
      <x:c r="P104" s="192" t="str">
        <x:v>Midground</x:v>
      </x:c>
      <x:c r="Q104" s="192" t="str">
        <x:f>IF(H104&lt;='Decor Guide'!$B$12,"Launch (L1–40)",IF(H104&lt;='Decor Guide'!$B$13,"Wave 1 (L41–50)",IF(H104&lt;='Decor Guide'!$B$14,"Wave 2 (L51–60)","Wave 3 (L61–70)")))</x:f>
        <x:v>Launch (L1–40)</x:v>
      </x:c>
      <x:c r="R104" s="192" t="str">
        <x:v>Valentine's</x:v>
      </x:c>
      <x:c r="S104" s="192" t="str">
        <x:f>IF(R104="None","Always available after unlock",VLOOKUP(R104,'Decor Live Ops'!$A$5:$L$16,2,FALSE))</x:f>
        <x:v>Feb 7–21</x:v>
      </x:c>
      <x:c r="T104" s="203" t="str">
        <x:f>IF(AND(H104&gt;=1,H104&lt;='Decor Guide'!$B$15,J104&gt;0,MOD(J104,IF(I104="Coins",5,1))=0,K104&gt;='Decor Guide'!$B$7,K104&lt;='Decor Guide'!$B$8,L104&gt;0,N104&gt;0,O104&gt;0,MAX(N104,O104)&lt;='Decor Guide'!$F$8,OR(AND(F104="Coin",I104="Coins"),AND(F104="Premium",I104="Pearls"),AND(F104="Limited Edition",OR(I104="Coins",I104="Pearls"))),OR(AND(F104="Limited Edition",R104&lt;&gt;"None"),AND(F104&lt;&gt;"Limited Edition",R104="None"))),"OK","REVIEW")</x:f>
        <x:v>OK</x:v>
      </x:c>
    </x:row>
    <x:row r="105" ht="48" customHeight="1">
      <x:c r="A105" s="204" t="str">
        <x:v>CL-03</x:v>
      </x:c>
      <x:c r="B105" s="204" t="str">
        <x:v>Cloverleaf Carpet</x:v>
      </x:c>
      <x:c r="C105" s="192" t="str">
        <x:v>Plant</x:v>
      </x:c>
      <x:c r="D105" s="192" t="str">
        <x:v>Carpet Plant</x:v>
      </x:c>
      <x:c r="E105" s="192" t="str">
        <x:v>St. Patrick's</x:v>
      </x:c>
      <x:c r="F105" s="192" t="str">
        <x:v>Limited Edition</x:v>
      </x:c>
      <x:c r="G105" s="192" t="str">
        <x:v>Rare</x:v>
      </x:c>
      <x:c r="H105" s="198" t="n">
        <x:v>10</x:v>
      </x:c>
      <x:c r="I105" s="199" t="str">
        <x:v>Coins</x:v>
      </x:c>
      <x:c r="J105" s="198" t="n">
        <x:v>800</x:v>
      </x:c>
      <x:c r="K105" s="200" t="n">
        <x:f>MIN('Decor Guide'!$B$8,MAX('Decor Guide'!$B$7,INT(INDEX('XP Curve'!$F$4:$F$73,MIN(H105+1,'Decor Guide'!$B$15))*'Decor Guide'!$B$9)),MAX('Decor Guide'!$B$7,ROUND(IF(I105="Coins",J105*'Decor Guide'!$B$5,J105*'Decor Guide'!$B$6),0)))</x:f>
        <x:v>24</x:v>
      </x:c>
      <x:c r="L105" s="200" t="n">
        <x:f>VLOOKUP(M105,'Decor Guide'!$E$5:$G$8,3,FALSE)</x:f>
        <x:v>20</x:v>
      </x:c>
      <x:c r="M105" s="201" t="str">
        <x:f>IF(MAX(N105,O105)&lt;='Decor Guide'!$F$5,'Decor Guide'!$E$5,IF(MAX(N105,O105)&lt;='Decor Guide'!$F$6,'Decor Guide'!$E$6,IF(MAX(N105,O105)&lt;='Decor Guide'!$F$7,'Decor Guide'!$E$7,'Decor Guide'!$E$8)))</x:f>
        <x:v>Medium</x:v>
      </x:c>
      <x:c r="N105" s="236" t="n">
        <x:v>1.9</x:v>
      </x:c>
      <x:c r="O105" s="236" t="n">
        <x:v>1.2</x:v>
      </x:c>
      <x:c r="P105" s="192" t="str">
        <x:v>Foreground</x:v>
      </x:c>
      <x:c r="Q105" s="192" t="str">
        <x:f>IF(H105&lt;='Decor Guide'!$B$12,"Launch (L1–40)",IF(H105&lt;='Decor Guide'!$B$13,"Wave 1 (L41–50)",IF(H105&lt;='Decor Guide'!$B$14,"Wave 2 (L51–60)","Wave 3 (L61–70)")))</x:f>
        <x:v>Launch (L1–40)</x:v>
      </x:c>
      <x:c r="R105" s="192" t="str">
        <x:v>St. Patrick's</x:v>
      </x:c>
      <x:c r="S105" s="192" t="str">
        <x:f>IF(R105="None","Always available after unlock",VLOOKUP(R105,'Decor Live Ops'!$A$5:$L$16,2,FALSE))</x:f>
        <x:v>Mar 10–24</x:v>
      </x:c>
      <x:c r="T105" s="203" t="str">
        <x:f>IF(AND(H105&gt;=1,H105&lt;='Decor Guide'!$B$15,J105&gt;0,MOD(J105,IF(I105="Coins",5,1))=0,K105&gt;='Decor Guide'!$B$7,K105&lt;='Decor Guide'!$B$8,L105&gt;0,N105&gt;0,O105&gt;0,MAX(N105,O105)&lt;='Decor Guide'!$F$8,OR(AND(F105="Coin",I105="Coins"),AND(F105="Premium",I105="Pearls"),AND(F105="Limited Edition",OR(I105="Coins",I105="Pearls"))),OR(AND(F105="Limited Edition",R105&lt;&gt;"None"),AND(F105&lt;&gt;"Limited Edition",R105="None"))),"OK","REVIEW")</x:f>
        <x:v>OK</x:v>
      </x:c>
    </x:row>
    <x:row r="106" ht="48" customHeight="1">
      <x:c r="A106" s="204" t="str">
        <x:v>PL-03</x:v>
      </x:c>
      <x:c r="B106" s="204" t="str">
        <x:v>Emerald Wishing Well</x:v>
      </x:c>
      <x:c r="C106" s="192" t="str">
        <x:v>Decoration</x:v>
      </x:c>
      <x:c r="D106" s="192" t="str">
        <x:v>Garden Ornament</x:v>
      </x:c>
      <x:c r="E106" s="192" t="str">
        <x:v>St. Patrick's</x:v>
      </x:c>
      <x:c r="F106" s="192" t="str">
        <x:v>Limited Edition</x:v>
      </x:c>
      <x:c r="G106" s="192" t="str">
        <x:v>Epic</x:v>
      </x:c>
      <x:c r="H106" s="198" t="n">
        <x:v>10</x:v>
      </x:c>
      <x:c r="I106" s="199" t="str">
        <x:v>Pearls</x:v>
      </x:c>
      <x:c r="J106" s="198" t="n">
        <x:v>6</x:v>
      </x:c>
      <x:c r="K106" s="200" t="n">
        <x:f>MIN('Decor Guide'!$B$8,MAX('Decor Guide'!$B$7,INT(INDEX('XP Curve'!$F$4:$F$73,MIN(H106+1,'Decor Guide'!$B$15))*'Decor Guide'!$B$9)),MAX('Decor Guide'!$B$7,ROUND(IF(I106="Coins",J106*'Decor Guide'!$B$5,J106*'Decor Guide'!$B$6),0)))</x:f>
        <x:v>28</x:v>
      </x:c>
      <x:c r="L106" s="200" t="n">
        <x:f>VLOOKUP(M106,'Decor Guide'!$E$5:$G$8,3,FALSE)</x:f>
        <x:v>35</x:v>
      </x:c>
      <x:c r="M106" s="201" t="str">
        <x:f>IF(MAX(N106,O106)&lt;='Decor Guide'!$F$5,'Decor Guide'!$E$5,IF(MAX(N106,O106)&lt;='Decor Guide'!$F$6,'Decor Guide'!$E$6,IF(MAX(N106,O106)&lt;='Decor Guide'!$F$7,'Decor Guide'!$E$7,'Decor Guide'!$E$8)))</x:f>
        <x:v>Large</x:v>
      </x:c>
      <x:c r="N106" s="236" t="n">
        <x:v>2</x:v>
      </x:c>
      <x:c r="O106" s="236" t="n">
        <x:v>2.1</x:v>
      </x:c>
      <x:c r="P106" s="192" t="str">
        <x:v>Midground</x:v>
      </x:c>
      <x:c r="Q106" s="192" t="str">
        <x:f>IF(H106&lt;='Decor Guide'!$B$12,"Launch (L1–40)",IF(H106&lt;='Decor Guide'!$B$13,"Wave 1 (L41–50)",IF(H106&lt;='Decor Guide'!$B$14,"Wave 2 (L51–60)","Wave 3 (L61–70)")))</x:f>
        <x:v>Launch (L1–40)</x:v>
      </x:c>
      <x:c r="R106" s="192" t="str">
        <x:v>St. Patrick's</x:v>
      </x:c>
      <x:c r="S106" s="192" t="str">
        <x:f>IF(R106="None","Always available after unlock",VLOOKUP(R106,'Decor Live Ops'!$A$5:$L$16,2,FALSE))</x:f>
        <x:v>Mar 10–24</x:v>
      </x:c>
      <x:c r="T106" s="203" t="str">
        <x:f>IF(AND(H106&gt;=1,H106&lt;='Decor Guide'!$B$15,J106&gt;0,MOD(J106,IF(I106="Coins",5,1))=0,K106&gt;='Decor Guide'!$B$7,K106&lt;='Decor Guide'!$B$8,L106&gt;0,N106&gt;0,O106&gt;0,MAX(N106,O106)&lt;='Decor Guide'!$F$8,OR(AND(F106="Coin",I106="Coins"),AND(F106="Premium",I106="Pearls"),AND(F106="Limited Edition",OR(I106="Coins",I106="Pearls"))),OR(AND(F106="Limited Edition",R106&lt;&gt;"None"),AND(F106&lt;&gt;"Limited Edition",R106="None"))),"OK","REVIEW")</x:f>
        <x:v>OK</x:v>
      </x:c>
    </x:row>
    <x:row r="107" ht="48" customHeight="1">
      <x:c r="A107" s="204" t="str">
        <x:v>CL-04</x:v>
      </x:c>
      <x:c r="B107" s="204" t="str">
        <x:v>Sakura Stone Lantern</x:v>
      </x:c>
      <x:c r="C107" s="192" t="str">
        <x:v>Decoration</x:v>
      </x:c>
      <x:c r="D107" s="192" t="str">
        <x:v>Garden Ornament</x:v>
      </x:c>
      <x:c r="E107" s="192" t="str">
        <x:v>Spring Blossom</x:v>
      </x:c>
      <x:c r="F107" s="192" t="str">
        <x:v>Limited Edition</x:v>
      </x:c>
      <x:c r="G107" s="192" t="str">
        <x:v>Uncommon</x:v>
      </x:c>
      <x:c r="H107" s="198" t="n">
        <x:v>8</x:v>
      </x:c>
      <x:c r="I107" s="199" t="str">
        <x:v>Coins</x:v>
      </x:c>
      <x:c r="J107" s="198" t="n">
        <x:v>600</x:v>
      </x:c>
      <x:c r="K107" s="200" t="n">
        <x:f>MIN('Decor Guide'!$B$8,MAX('Decor Guide'!$B$7,INT(INDEX('XP Curve'!$F$4:$F$73,MIN(H107+1,'Decor Guide'!$B$15))*'Decor Guide'!$B$9)),MAX('Decor Guide'!$B$7,ROUND(IF(I107="Coins",J107*'Decor Guide'!$B$5,J107*'Decor Guide'!$B$6),0)))</x:f>
        <x:v>17</x:v>
      </x:c>
      <x:c r="L107" s="200" t="n">
        <x:f>VLOOKUP(M107,'Decor Guide'!$E$5:$G$8,3,FALSE)</x:f>
        <x:v>20</x:v>
      </x:c>
      <x:c r="M107" s="201" t="str">
        <x:f>IF(MAX(N107,O107)&lt;='Decor Guide'!$F$5,'Decor Guide'!$E$5,IF(MAX(N107,O107)&lt;='Decor Guide'!$F$6,'Decor Guide'!$E$6,IF(MAX(N107,O107)&lt;='Decor Guide'!$F$7,'Decor Guide'!$E$7,'Decor Guide'!$E$8)))</x:f>
        <x:v>Medium</x:v>
      </x:c>
      <x:c r="N107" s="236" t="n">
        <x:v>1.4</x:v>
      </x:c>
      <x:c r="O107" s="236" t="n">
        <x:v>1.8</x:v>
      </x:c>
      <x:c r="P107" s="192" t="str">
        <x:v>Midground</x:v>
      </x:c>
      <x:c r="Q107" s="192" t="str">
        <x:f>IF(H107&lt;='Decor Guide'!$B$12,"Launch (L1–40)",IF(H107&lt;='Decor Guide'!$B$13,"Wave 1 (L41–50)",IF(H107&lt;='Decor Guide'!$B$14,"Wave 2 (L51–60)","Wave 3 (L61–70)")))</x:f>
        <x:v>Launch (L1–40)</x:v>
      </x:c>
      <x:c r="R107" s="192" t="str">
        <x:v>Spring Blossom</x:v>
      </x:c>
      <x:c r="S107" s="192" t="str">
        <x:f>IF(R107="None","Always available after unlock",VLOOKUP(R107,'Decor Live Ops'!$A$5:$L$16,2,FALSE))</x:f>
        <x:v>Apr 1–21</x:v>
      </x:c>
      <x:c r="T107" s="203" t="str">
        <x:f>IF(AND(H107&gt;=1,H107&lt;='Decor Guide'!$B$15,J107&gt;0,MOD(J107,IF(I107="Coins",5,1))=0,K107&gt;='Decor Guide'!$B$7,K107&lt;='Decor Guide'!$B$8,L107&gt;0,N107&gt;0,O107&gt;0,MAX(N107,O107)&lt;='Decor Guide'!$F$8,OR(AND(F107="Coin",I107="Coins"),AND(F107="Premium",I107="Pearls"),AND(F107="Limited Edition",OR(I107="Coins",I107="Pearls"))),OR(AND(F107="Limited Edition",R107&lt;&gt;"None"),AND(F107&lt;&gt;"Limited Edition",R107="None"))),"OK","REVIEW")</x:f>
        <x:v>OK</x:v>
      </x:c>
    </x:row>
    <x:row r="108" ht="48" customHeight="1">
      <x:c r="A108" s="204" t="str">
        <x:v>PL-04</x:v>
      </x:c>
      <x:c r="B108" s="204" t="str">
        <x:v>Blossom Ribbon Tree</x:v>
      </x:c>
      <x:c r="C108" s="192" t="str">
        <x:v>Plant</x:v>
      </x:c>
      <x:c r="D108" s="192" t="str">
        <x:v>Flowering Plant</x:v>
      </x:c>
      <x:c r="E108" s="192" t="str">
        <x:v>Spring Blossom</x:v>
      </x:c>
      <x:c r="F108" s="192" t="str">
        <x:v>Limited Edition</x:v>
      </x:c>
      <x:c r="G108" s="192" t="str">
        <x:v>Epic</x:v>
      </x:c>
      <x:c r="H108" s="198" t="n">
        <x:v>8</x:v>
      </x:c>
      <x:c r="I108" s="199" t="str">
        <x:v>Pearls</x:v>
      </x:c>
      <x:c r="J108" s="198" t="n">
        <x:v>6</x:v>
      </x:c>
      <x:c r="K108" s="200" t="n">
        <x:f>MIN('Decor Guide'!$B$8,MAX('Decor Guide'!$B$7,INT(INDEX('XP Curve'!$F$4:$F$73,MIN(H108+1,'Decor Guide'!$B$15))*'Decor Guide'!$B$9)),MAX('Decor Guide'!$B$7,ROUND(IF(I108="Coins",J108*'Decor Guide'!$B$5,J108*'Decor Guide'!$B$6),0)))</x:f>
        <x:v>17</x:v>
      </x:c>
      <x:c r="L108" s="200" t="n">
        <x:f>VLOOKUP(M108,'Decor Guide'!$E$5:$G$8,3,FALSE)</x:f>
        <x:v>35</x:v>
      </x:c>
      <x:c r="M108" s="201" t="str">
        <x:f>IF(MAX(N108,O108)&lt;='Decor Guide'!$F$5,'Decor Guide'!$E$5,IF(MAX(N108,O108)&lt;='Decor Guide'!$F$6,'Decor Guide'!$E$6,IF(MAX(N108,O108)&lt;='Decor Guide'!$F$7,'Decor Guide'!$E$7,'Decor Guide'!$E$8)))</x:f>
        <x:v>Large</x:v>
      </x:c>
      <x:c r="N108" s="236" t="n">
        <x:v>2.4</x:v>
      </x:c>
      <x:c r="O108" s="236" t="n">
        <x:v>2.8</x:v>
      </x:c>
      <x:c r="P108" s="192" t="str">
        <x:v>Background</x:v>
      </x:c>
      <x:c r="Q108" s="192" t="str">
        <x:f>IF(H108&lt;='Decor Guide'!$B$12,"Launch (L1–40)",IF(H108&lt;='Decor Guide'!$B$13,"Wave 1 (L41–50)",IF(H108&lt;='Decor Guide'!$B$14,"Wave 2 (L51–60)","Wave 3 (L61–70)")))</x:f>
        <x:v>Launch (L1–40)</x:v>
      </x:c>
      <x:c r="R108" s="192" t="str">
        <x:v>Spring Blossom</x:v>
      </x:c>
      <x:c r="S108" s="192" t="str">
        <x:f>IF(R108="None","Always available after unlock",VLOOKUP(R108,'Decor Live Ops'!$A$5:$L$16,2,FALSE))</x:f>
        <x:v>Apr 1–21</x:v>
      </x:c>
      <x:c r="T108" s="203" t="str">
        <x:f>IF(AND(H108&gt;=1,H108&lt;='Decor Guide'!$B$15,J108&gt;0,MOD(J108,IF(I108="Coins",5,1))=0,K108&gt;='Decor Guide'!$B$7,K108&lt;='Decor Guide'!$B$8,L108&gt;0,N108&gt;0,O108&gt;0,MAX(N108,O108)&lt;='Decor Guide'!$F$8,OR(AND(F108="Coin",I108="Coins"),AND(F108="Premium",I108="Pearls"),AND(F108="Limited Edition",OR(I108="Coins",I108="Pearls"))),OR(AND(F108="Limited Edition",R108&lt;&gt;"None"),AND(F108&lt;&gt;"Limited Edition",R108="None"))),"OK","REVIEW")</x:f>
        <x:v>OK</x:v>
      </x:c>
    </x:row>
    <x:row r="109" ht="48" customHeight="1">
      <x:c r="A109" s="204" t="str">
        <x:v>CL-05</x:v>
      </x:c>
      <x:c r="B109" s="204" t="str">
        <x:v>River Reeds Basket</x:v>
      </x:c>
      <x:c r="C109" s="192" t="str">
        <x:v>Plant</x:v>
      </x:c>
      <x:c r="D109" s="192" t="str">
        <x:v>Reed Plant</x:v>
      </x:c>
      <x:c r="E109" s="192" t="str">
        <x:v>River Revival</x:v>
      </x:c>
      <x:c r="F109" s="192" t="str">
        <x:v>Limited Edition</x:v>
      </x:c>
      <x:c r="G109" s="192" t="str">
        <x:v>Rare</x:v>
      </x:c>
      <x:c r="H109" s="198" t="n">
        <x:v>12</x:v>
      </x:c>
      <x:c r="I109" s="199" t="str">
        <x:v>Coins</x:v>
      </x:c>
      <x:c r="J109" s="198" t="n">
        <x:v>1100</x:v>
      </x:c>
      <x:c r="K109" s="200" t="n">
        <x:f>MIN('Decor Guide'!$B$8,MAX('Decor Guide'!$B$7,INT(INDEX('XP Curve'!$F$4:$F$73,MIN(H109+1,'Decor Guide'!$B$15))*'Decor Guide'!$B$9)),MAX('Decor Guide'!$B$7,ROUND(IF(I109="Coins",J109*'Decor Guide'!$B$5,J109*'Decor Guide'!$B$6),0)))</x:f>
        <x:v>33</x:v>
      </x:c>
      <x:c r="L109" s="200" t="n">
        <x:f>VLOOKUP(M109,'Decor Guide'!$E$5:$G$8,3,FALSE)</x:f>
        <x:v>35</x:v>
      </x:c>
      <x:c r="M109" s="201" t="str">
        <x:f>IF(MAX(N109,O109)&lt;='Decor Guide'!$F$5,'Decor Guide'!$E$5,IF(MAX(N109,O109)&lt;='Decor Guide'!$F$6,'Decor Guide'!$E$6,IF(MAX(N109,O109)&lt;='Decor Guide'!$F$7,'Decor Guide'!$E$7,'Decor Guide'!$E$8)))</x:f>
        <x:v>Large</x:v>
      </x:c>
      <x:c r="N109" s="236" t="n">
        <x:v>1.8</x:v>
      </x:c>
      <x:c r="O109" s="236" t="n">
        <x:v>2.4</x:v>
      </x:c>
      <x:c r="P109" s="192" t="str">
        <x:v>Midground</x:v>
      </x:c>
      <x:c r="Q109" s="192" t="str">
        <x:f>IF(H109&lt;='Decor Guide'!$B$12,"Launch (L1–40)",IF(H109&lt;='Decor Guide'!$B$13,"Wave 1 (L41–50)",IF(H109&lt;='Decor Guide'!$B$14,"Wave 2 (L51–60)","Wave 3 (L61–70)")))</x:f>
        <x:v>Launch (L1–40)</x:v>
      </x:c>
      <x:c r="R109" s="192" t="str">
        <x:v>River Revival</x:v>
      </x:c>
      <x:c r="S109" s="192" t="str">
        <x:f>IF(R109="None","Always available after unlock",VLOOKUP(R109,'Decor Live Ops'!$A$5:$L$16,2,FALSE))</x:f>
        <x:v>May 10–24 (proposed)</x:v>
      </x:c>
      <x:c r="T109" s="203" t="str">
        <x:f>IF(AND(H109&gt;=1,H109&lt;='Decor Guide'!$B$15,J109&gt;0,MOD(J109,IF(I109="Coins",5,1))=0,K109&gt;='Decor Guide'!$B$7,K109&lt;='Decor Guide'!$B$8,L109&gt;0,N109&gt;0,O109&gt;0,MAX(N109,O109)&lt;='Decor Guide'!$F$8,OR(AND(F109="Coin",I109="Coins"),AND(F109="Premium",I109="Pearls"),AND(F109="Limited Edition",OR(I109="Coins",I109="Pearls"))),OR(AND(F109="Limited Edition",R109&lt;&gt;"None"),AND(F109&lt;&gt;"Limited Edition",R109="None"))),"OK","REVIEW")</x:f>
        <x:v>OK</x:v>
      </x:c>
    </x:row>
    <x:row r="110" ht="48" customHeight="1">
      <x:c r="A110" s="204" t="str">
        <x:v>PL-05</x:v>
      </x:c>
      <x:c r="B110" s="204" t="str">
        <x:v>Raincloud Watering Can</x:v>
      </x:c>
      <x:c r="C110" s="192" t="str">
        <x:v>Decoration</x:v>
      </x:c>
      <x:c r="D110" s="192" t="str">
        <x:v>Whimsical Object</x:v>
      </x:c>
      <x:c r="E110" s="192" t="str">
        <x:v>River Revival</x:v>
      </x:c>
      <x:c r="F110" s="192" t="str">
        <x:v>Limited Edition</x:v>
      </x:c>
      <x:c r="G110" s="192" t="str">
        <x:v>Epic</x:v>
      </x:c>
      <x:c r="H110" s="198" t="n">
        <x:v>12</x:v>
      </x:c>
      <x:c r="I110" s="199" t="str">
        <x:v>Pearls</x:v>
      </x:c>
      <x:c r="J110" s="198" t="n">
        <x:v>7</x:v>
      </x:c>
      <x:c r="K110" s="200" t="n">
        <x:f>MIN('Decor Guide'!$B$8,MAX('Decor Guide'!$B$7,INT(INDEX('XP Curve'!$F$4:$F$73,MIN(H110+1,'Decor Guide'!$B$15))*'Decor Guide'!$B$9)),MAX('Decor Guide'!$B$7,ROUND(IF(I110="Coins",J110*'Decor Guide'!$B$5,J110*'Decor Guide'!$B$6),0)))</x:f>
        <x:v>46</x:v>
      </x:c>
      <x:c r="L110" s="200" t="n">
        <x:f>VLOOKUP(M110,'Decor Guide'!$E$5:$G$8,3,FALSE)</x:f>
        <x:v>35</x:v>
      </x:c>
      <x:c r="M110" s="201" t="str">
        <x:f>IF(MAX(N110,O110)&lt;='Decor Guide'!$F$5,'Decor Guide'!$E$5,IF(MAX(N110,O110)&lt;='Decor Guide'!$F$6,'Decor Guide'!$E$6,IF(MAX(N110,O110)&lt;='Decor Guide'!$F$7,'Decor Guide'!$E$7,'Decor Guide'!$E$8)))</x:f>
        <x:v>Large</x:v>
      </x:c>
      <x:c r="N110" s="236" t="n">
        <x:v>2.2</x:v>
      </x:c>
      <x:c r="O110" s="236" t="n">
        <x:v>1.9</x:v>
      </x:c>
      <x:c r="P110" s="192" t="str">
        <x:v>Midground</x:v>
      </x:c>
      <x:c r="Q110" s="192" t="str">
        <x:f>IF(H110&lt;='Decor Guide'!$B$12,"Launch (L1–40)",IF(H110&lt;='Decor Guide'!$B$13,"Wave 1 (L41–50)",IF(H110&lt;='Decor Guide'!$B$14,"Wave 2 (L51–60)","Wave 3 (L61–70)")))</x:f>
        <x:v>Launch (L1–40)</x:v>
      </x:c>
      <x:c r="R110" s="192" t="str">
        <x:v>River Revival</x:v>
      </x:c>
      <x:c r="S110" s="192" t="str">
        <x:f>IF(R110="None","Always available after unlock",VLOOKUP(R110,'Decor Live Ops'!$A$5:$L$16,2,FALSE))</x:f>
        <x:v>May 10–24 (proposed)</x:v>
      </x:c>
      <x:c r="T110" s="203" t="str">
        <x:f>IF(AND(H110&gt;=1,H110&lt;='Decor Guide'!$B$15,J110&gt;0,MOD(J110,IF(I110="Coins",5,1))=0,K110&gt;='Decor Guide'!$B$7,K110&lt;='Decor Guide'!$B$8,L110&gt;0,N110&gt;0,O110&gt;0,MAX(N110,O110)&lt;='Decor Guide'!$F$8,OR(AND(F110="Coin",I110="Coins"),AND(F110="Premium",I110="Pearls"),AND(F110="Limited Edition",OR(I110="Coins",I110="Pearls"))),OR(AND(F110="Limited Edition",R110&lt;&gt;"None"),AND(F110&lt;&gt;"Limited Edition",R110="None"))),"OK","REVIEW")</x:f>
        <x:v>OK</x:v>
      </x:c>
    </x:row>
    <x:row r="111" ht="48" customHeight="1">
      <x:c r="A111" s="204" t="str">
        <x:v>CL-06</x:v>
      </x:c>
      <x:c r="B111" s="204" t="str">
        <x:v>Reef Rescue Plaque</x:v>
      </x:c>
      <x:c r="C111" s="192" t="str">
        <x:v>Decoration</x:v>
      </x:c>
      <x:c r="D111" s="192" t="str">
        <x:v>Ground Accent</x:v>
      </x:c>
      <x:c r="E111" s="192" t="str">
        <x:v>Ocean Week</x:v>
      </x:c>
      <x:c r="F111" s="192" t="str">
        <x:v>Limited Edition</x:v>
      </x:c>
      <x:c r="G111" s="192" t="str">
        <x:v>Rare</x:v>
      </x:c>
      <x:c r="H111" s="198" t="n">
        <x:v>15</x:v>
      </x:c>
      <x:c r="I111" s="199" t="str">
        <x:v>Coins</x:v>
      </x:c>
      <x:c r="J111" s="198" t="n">
        <x:v>1700</x:v>
      </x:c>
      <x:c r="K111" s="200" t="n">
        <x:f>MIN('Decor Guide'!$B$8,MAX('Decor Guide'!$B$7,INT(INDEX('XP Curve'!$F$4:$F$73,MIN(H111+1,'Decor Guide'!$B$15))*'Decor Guide'!$B$9)),MAX('Decor Guide'!$B$7,ROUND(IF(I111="Coins",J111*'Decor Guide'!$B$5,J111*'Decor Guide'!$B$6),0)))</x:f>
        <x:v>51</x:v>
      </x:c>
      <x:c r="L111" s="200" t="n">
        <x:f>VLOOKUP(M111,'Decor Guide'!$E$5:$G$8,3,FALSE)</x:f>
        <x:v>20</x:v>
      </x:c>
      <x:c r="M111" s="201" t="str">
        <x:f>IF(MAX(N111,O111)&lt;='Decor Guide'!$F$5,'Decor Guide'!$E$5,IF(MAX(N111,O111)&lt;='Decor Guide'!$F$6,'Decor Guide'!$E$6,IF(MAX(N111,O111)&lt;='Decor Guide'!$F$7,'Decor Guide'!$E$7,'Decor Guide'!$E$8)))</x:f>
        <x:v>Medium</x:v>
      </x:c>
      <x:c r="N111" s="236" t="n">
        <x:v>1.9</x:v>
      </x:c>
      <x:c r="O111" s="236" t="n">
        <x:v>1.4</x:v>
      </x:c>
      <x:c r="P111" s="192" t="str">
        <x:v>Foreground</x:v>
      </x:c>
      <x:c r="Q111" s="192" t="str">
        <x:f>IF(H111&lt;='Decor Guide'!$B$12,"Launch (L1–40)",IF(H111&lt;='Decor Guide'!$B$13,"Wave 1 (L41–50)",IF(H111&lt;='Decor Guide'!$B$14,"Wave 2 (L51–60)","Wave 3 (L61–70)")))</x:f>
        <x:v>Launch (L1–40)</x:v>
      </x:c>
      <x:c r="R111" s="192" t="str">
        <x:v>Ocean Week</x:v>
      </x:c>
      <x:c r="S111" s="192" t="str">
        <x:f>IF(R111="None","Always available after unlock",VLOOKUP(R111,'Decor Live Ops'!$A$5:$L$16,2,FALSE))</x:f>
        <x:v>Jun 1–14 (proposed)</x:v>
      </x:c>
      <x:c r="T111" s="203" t="str">
        <x:f>IF(AND(H111&gt;=1,H111&lt;='Decor Guide'!$B$15,J111&gt;0,MOD(J111,IF(I111="Coins",5,1))=0,K111&gt;='Decor Guide'!$B$7,K111&lt;='Decor Guide'!$B$8,L111&gt;0,N111&gt;0,O111&gt;0,MAX(N111,O111)&lt;='Decor Guide'!$F$8,OR(AND(F111="Coin",I111="Coins"),AND(F111="Premium",I111="Pearls"),AND(F111="Limited Edition",OR(I111="Coins",I111="Pearls"))),OR(AND(F111="Limited Edition",R111&lt;&gt;"None"),AND(F111&lt;&gt;"Limited Edition",R111="None"))),"OK","REVIEW")</x:f>
        <x:v>OK</x:v>
      </x:c>
    </x:row>
    <x:row r="112" ht="48" customHeight="1">
      <x:c r="A112" s="204" t="str">
        <x:v>PL-06</x:v>
      </x:c>
      <x:c r="B112" s="204" t="str">
        <x:v>Coral-pink Seagrass Fan</x:v>
      </x:c>
      <x:c r="C112" s="192" t="str">
        <x:v>Plant</x:v>
      </x:c>
      <x:c r="D112" s="192" t="str">
        <x:v>Fantasy Plant</x:v>
      </x:c>
      <x:c r="E112" s="192" t="str">
        <x:v>Ocean Week</x:v>
      </x:c>
      <x:c r="F112" s="192" t="str">
        <x:v>Limited Edition</x:v>
      </x:c>
      <x:c r="G112" s="192" t="str">
        <x:v>Epic</x:v>
      </x:c>
      <x:c r="H112" s="198" t="n">
        <x:v>15</x:v>
      </x:c>
      <x:c r="I112" s="199" t="str">
        <x:v>Pearls</x:v>
      </x:c>
      <x:c r="J112" s="198" t="n">
        <x:v>7</x:v>
      </x:c>
      <x:c r="K112" s="200" t="n">
        <x:f>MIN('Decor Guide'!$B$8,MAX('Decor Guide'!$B$7,INT(INDEX('XP Curve'!$F$4:$F$73,MIN(H112+1,'Decor Guide'!$B$15))*'Decor Guide'!$B$9)),MAX('Decor Guide'!$B$7,ROUND(IF(I112="Coins",J112*'Decor Guide'!$B$5,J112*'Decor Guide'!$B$6),0)))</x:f>
        <x:v>83</x:v>
      </x:c>
      <x:c r="L112" s="200" t="n">
        <x:f>VLOOKUP(M112,'Decor Guide'!$E$5:$G$8,3,FALSE)</x:f>
        <x:v>35</x:v>
      </x:c>
      <x:c r="M112" s="201" t="str">
        <x:f>IF(MAX(N112,O112)&lt;='Decor Guide'!$F$5,'Decor Guide'!$E$5,IF(MAX(N112,O112)&lt;='Decor Guide'!$F$6,'Decor Guide'!$E$6,IF(MAX(N112,O112)&lt;='Decor Guide'!$F$7,'Decor Guide'!$E$7,'Decor Guide'!$E$8)))</x:f>
        <x:v>Large</x:v>
      </x:c>
      <x:c r="N112" s="236" t="n">
        <x:v>2.2</x:v>
      </x:c>
      <x:c r="O112" s="236" t="n">
        <x:v>2.8</x:v>
      </x:c>
      <x:c r="P112" s="192" t="str">
        <x:v>Background</x:v>
      </x:c>
      <x:c r="Q112" s="192" t="str">
        <x:f>IF(H112&lt;='Decor Guide'!$B$12,"Launch (L1–40)",IF(H112&lt;='Decor Guide'!$B$13,"Wave 1 (L41–50)",IF(H112&lt;='Decor Guide'!$B$14,"Wave 2 (L51–60)","Wave 3 (L61–70)")))</x:f>
        <x:v>Launch (L1–40)</x:v>
      </x:c>
      <x:c r="R112" s="192" t="str">
        <x:v>Ocean Week</x:v>
      </x:c>
      <x:c r="S112" s="192" t="str">
        <x:f>IF(R112="None","Always available after unlock",VLOOKUP(R112,'Decor Live Ops'!$A$5:$L$16,2,FALSE))</x:f>
        <x:v>Jun 1–14 (proposed)</x:v>
      </x:c>
      <x:c r="T112" s="203" t="str">
        <x:f>IF(AND(H112&gt;=1,H112&lt;='Decor Guide'!$B$15,J112&gt;0,MOD(J112,IF(I112="Coins",5,1))=0,K112&gt;='Decor Guide'!$B$7,K112&lt;='Decor Guide'!$B$8,L112&gt;0,N112&gt;0,O112&gt;0,MAX(N112,O112)&lt;='Decor Guide'!$F$8,OR(AND(F112="Coin",I112="Coins"),AND(F112="Premium",I112="Pearls"),AND(F112="Limited Edition",OR(I112="Coins",I112="Pearls"))),OR(AND(F112="Limited Edition",R112&lt;&gt;"None"),AND(F112&lt;&gt;"Limited Edition",R112="None"))),"OK","REVIEW")</x:f>
        <x:v>OK</x:v>
      </x:c>
    </x:row>
    <x:row r="113" ht="48" customHeight="1">
      <x:c r="A113" s="204" t="str">
        <x:v>CL-07</x:v>
      </x:c>
      <x:c r="B113" s="204" t="str">
        <x:v>Sunburst Reed Rosette</x:v>
      </x:c>
      <x:c r="C113" s="192" t="str">
        <x:v>Plant</x:v>
      </x:c>
      <x:c r="D113" s="192" t="str">
        <x:v>Rosette Plant</x:v>
      </x:c>
      <x:c r="E113" s="192" t="str">
        <x:v>Summer Festival</x:v>
      </x:c>
      <x:c r="F113" s="192" t="str">
        <x:v>Limited Edition</x:v>
      </x:c>
      <x:c r="G113" s="192" t="str">
        <x:v>Rare</x:v>
      </x:c>
      <x:c r="H113" s="198" t="n">
        <x:v>10</x:v>
      </x:c>
      <x:c r="I113" s="199" t="str">
        <x:v>Coins</x:v>
      </x:c>
      <x:c r="J113" s="198" t="n">
        <x:v>900</x:v>
      </x:c>
      <x:c r="K113" s="200" t="n">
        <x:f>MIN('Decor Guide'!$B$8,MAX('Decor Guide'!$B$7,INT(INDEX('XP Curve'!$F$4:$F$73,MIN(H113+1,'Decor Guide'!$B$15))*'Decor Guide'!$B$9)),MAX('Decor Guide'!$B$7,ROUND(IF(I113="Coins",J113*'Decor Guide'!$B$5,J113*'Decor Guide'!$B$6),0)))</x:f>
        <x:v>27</x:v>
      </x:c>
      <x:c r="L113" s="200" t="n">
        <x:f>VLOOKUP(M113,'Decor Guide'!$E$5:$G$8,3,FALSE)</x:f>
        <x:v>20</x:v>
      </x:c>
      <x:c r="M113" s="201" t="str">
        <x:f>IF(MAX(N113,O113)&lt;='Decor Guide'!$F$5,'Decor Guide'!$E$5,IF(MAX(N113,O113)&lt;='Decor Guide'!$F$6,'Decor Guide'!$E$6,IF(MAX(N113,O113)&lt;='Decor Guide'!$F$7,'Decor Guide'!$E$7,'Decor Guide'!$E$8)))</x:f>
        <x:v>Medium</x:v>
      </x:c>
      <x:c r="N113" s="236" t="n">
        <x:v>2</x:v>
      </x:c>
      <x:c r="O113" s="236" t="n">
        <x:v>1.8</x:v>
      </x:c>
      <x:c r="P113" s="192" t="str">
        <x:v>Midground</x:v>
      </x:c>
      <x:c r="Q113" s="192" t="str">
        <x:f>IF(H113&lt;='Decor Guide'!$B$12,"Launch (L1–40)",IF(H113&lt;='Decor Guide'!$B$13,"Wave 1 (L41–50)",IF(H113&lt;='Decor Guide'!$B$14,"Wave 2 (L51–60)","Wave 3 (L61–70)")))</x:f>
        <x:v>Launch (L1–40)</x:v>
      </x:c>
      <x:c r="R113" s="192" t="str">
        <x:v>Summer Festival</x:v>
      </x:c>
      <x:c r="S113" s="192" t="str">
        <x:f>IF(R113="None","Always available after unlock",VLOOKUP(R113,'Decor Live Ops'!$A$5:$L$16,2,FALSE))</x:f>
        <x:v>Jul 1–14</x:v>
      </x:c>
      <x:c r="T113" s="203" t="str">
        <x:f>IF(AND(H113&gt;=1,H113&lt;='Decor Guide'!$B$15,J113&gt;0,MOD(J113,IF(I113="Coins",5,1))=0,K113&gt;='Decor Guide'!$B$7,K113&lt;='Decor Guide'!$B$8,L113&gt;0,N113&gt;0,O113&gt;0,MAX(N113,O113)&lt;='Decor Guide'!$F$8,OR(AND(F113="Coin",I113="Coins"),AND(F113="Premium",I113="Pearls"),AND(F113="Limited Edition",OR(I113="Coins",I113="Pearls"))),OR(AND(F113="Limited Edition",R113&lt;&gt;"None"),AND(F113&lt;&gt;"Limited Edition",R113="None"))),"OK","REVIEW")</x:f>
        <x:v>OK</x:v>
      </x:c>
    </x:row>
    <x:row r="114" ht="48" customHeight="1">
      <x:c r="A114" s="204" t="str">
        <x:v>PL-07</x:v>
      </x:c>
      <x:c r="B114" s="204" t="str">
        <x:v>Festival Pinwheel</x:v>
      </x:c>
      <x:c r="C114" s="192" t="str">
        <x:v>Decoration</x:v>
      </x:c>
      <x:c r="D114" s="192" t="str">
        <x:v>Mechanical Toy</x:v>
      </x:c>
      <x:c r="E114" s="192" t="str">
        <x:v>Summer Festival</x:v>
      </x:c>
      <x:c r="F114" s="192" t="str">
        <x:v>Limited Edition</x:v>
      </x:c>
      <x:c r="G114" s="192" t="str">
        <x:v>Epic</x:v>
      </x:c>
      <x:c r="H114" s="198" t="n">
        <x:v>10</x:v>
      </x:c>
      <x:c r="I114" s="199" t="str">
        <x:v>Pearls</x:v>
      </x:c>
      <x:c r="J114" s="198" t="n">
        <x:v>6</x:v>
      </x:c>
      <x:c r="K114" s="200" t="n">
        <x:f>MIN('Decor Guide'!$B$8,MAX('Decor Guide'!$B$7,INT(INDEX('XP Curve'!$F$4:$F$73,MIN(H114+1,'Decor Guide'!$B$15))*'Decor Guide'!$B$9)),MAX('Decor Guide'!$B$7,ROUND(IF(I114="Coins",J114*'Decor Guide'!$B$5,J114*'Decor Guide'!$B$6),0)))</x:f>
        <x:v>28</x:v>
      </x:c>
      <x:c r="L114" s="200" t="n">
        <x:f>VLOOKUP(M114,'Decor Guide'!$E$5:$G$8,3,FALSE)</x:f>
        <x:v>35</x:v>
      </x:c>
      <x:c r="M114" s="201" t="str">
        <x:f>IF(MAX(N114,O114)&lt;='Decor Guide'!$F$5,'Decor Guide'!$E$5,IF(MAX(N114,O114)&lt;='Decor Guide'!$F$6,'Decor Guide'!$E$6,IF(MAX(N114,O114)&lt;='Decor Guide'!$F$7,'Decor Guide'!$E$7,'Decor Guide'!$E$8)))</x:f>
        <x:v>Large</x:v>
      </x:c>
      <x:c r="N114" s="236" t="n">
        <x:v>1.9</x:v>
      </x:c>
      <x:c r="O114" s="236" t="n">
        <x:v>2.5</x:v>
      </x:c>
      <x:c r="P114" s="192" t="str">
        <x:v>Midground</x:v>
      </x:c>
      <x:c r="Q114" s="192" t="str">
        <x:f>IF(H114&lt;='Decor Guide'!$B$12,"Launch (L1–40)",IF(H114&lt;='Decor Guide'!$B$13,"Wave 1 (L41–50)",IF(H114&lt;='Decor Guide'!$B$14,"Wave 2 (L51–60)","Wave 3 (L61–70)")))</x:f>
        <x:v>Launch (L1–40)</x:v>
      </x:c>
      <x:c r="R114" s="192" t="str">
        <x:v>Summer Festival</x:v>
      </x:c>
      <x:c r="S114" s="192" t="str">
        <x:f>IF(R114="None","Always available after unlock",VLOOKUP(R114,'Decor Live Ops'!$A$5:$L$16,2,FALSE))</x:f>
        <x:v>Jul 1–14</x:v>
      </x:c>
      <x:c r="T114" s="203" t="str">
        <x:f>IF(AND(H114&gt;=1,H114&lt;='Decor Guide'!$B$15,J114&gt;0,MOD(J114,IF(I114="Coins",5,1))=0,K114&gt;='Decor Guide'!$B$7,K114&lt;='Decor Guide'!$B$8,L114&gt;0,N114&gt;0,O114&gt;0,MAX(N114,O114)&lt;='Decor Guide'!$F$8,OR(AND(F114="Coin",I114="Coins"),AND(F114="Premium",I114="Pearls"),AND(F114="Limited Edition",OR(I114="Coins",I114="Pearls"))),OR(AND(F114="Limited Edition",R114&lt;&gt;"None"),AND(F114&lt;&gt;"Limited Edition",R114="None"))),"OK","REVIEW")</x:f>
        <x:v>OK</x:v>
      </x:c>
    </x:row>
    <x:row r="115" ht="48" customHeight="1">
      <x:c r="A115" s="204" t="str">
        <x:v>CL-08</x:v>
      </x:c>
      <x:c r="B115" s="204" t="str">
        <x:v>Monsoon Frog Pot</x:v>
      </x:c>
      <x:c r="C115" s="192" t="str">
        <x:v>Decoration</x:v>
      </x:c>
      <x:c r="D115" s="192" t="str">
        <x:v>Pottery</x:v>
      </x:c>
      <x:c r="E115" s="192" t="str">
        <x:v>Monsoon Garden</x:v>
      </x:c>
      <x:c r="F115" s="192" t="str">
        <x:v>Limited Edition</x:v>
      </x:c>
      <x:c r="G115" s="192" t="str">
        <x:v>Rare</x:v>
      </x:c>
      <x:c r="H115" s="198" t="n">
        <x:v>18</x:v>
      </x:c>
      <x:c r="I115" s="199" t="str">
        <x:v>Coins</x:v>
      </x:c>
      <x:c r="J115" s="198" t="n">
        <x:v>2300</x:v>
      </x:c>
      <x:c r="K115" s="200" t="n">
        <x:f>MIN('Decor Guide'!$B$8,MAX('Decor Guide'!$B$7,INT(INDEX('XP Curve'!$F$4:$F$73,MIN(H115+1,'Decor Guide'!$B$15))*'Decor Guide'!$B$9)),MAX('Decor Guide'!$B$7,ROUND(IF(I115="Coins",J115*'Decor Guide'!$B$5,J115*'Decor Guide'!$B$6),0)))</x:f>
        <x:v>69</x:v>
      </x:c>
      <x:c r="L115" s="200" t="n">
        <x:f>VLOOKUP(M115,'Decor Guide'!$E$5:$G$8,3,FALSE)</x:f>
        <x:v>20</x:v>
      </x:c>
      <x:c r="M115" s="201" t="str">
        <x:f>IF(MAX(N115,O115)&lt;='Decor Guide'!$F$5,'Decor Guide'!$E$5,IF(MAX(N115,O115)&lt;='Decor Guide'!$F$6,'Decor Guide'!$E$6,IF(MAX(N115,O115)&lt;='Decor Guide'!$F$7,'Decor Guide'!$E$7,'Decor Guide'!$E$8)))</x:f>
        <x:v>Medium</x:v>
      </x:c>
      <x:c r="N115" s="236" t="n">
        <x:v>1.8</x:v>
      </x:c>
      <x:c r="O115" s="236" t="n">
        <x:v>1.6</x:v>
      </x:c>
      <x:c r="P115" s="192" t="str">
        <x:v>Midground</x:v>
      </x:c>
      <x:c r="Q115" s="192" t="str">
        <x:f>IF(H115&lt;='Decor Guide'!$B$12,"Launch (L1–40)",IF(H115&lt;='Decor Guide'!$B$13,"Wave 1 (L41–50)",IF(H115&lt;='Decor Guide'!$B$14,"Wave 2 (L51–60)","Wave 3 (L61–70)")))</x:f>
        <x:v>Launch (L1–40)</x:v>
      </x:c>
      <x:c r="R115" s="192" t="str">
        <x:v>Monsoon Garden</x:v>
      </x:c>
      <x:c r="S115" s="192" t="str">
        <x:f>IF(R115="None","Always available after unlock",VLOOKUP(R115,'Decor Live Ops'!$A$5:$L$16,2,FALSE))</x:f>
        <x:v>Aug 10–24 (proposed)</x:v>
      </x:c>
      <x:c r="T115" s="203" t="str">
        <x:f>IF(AND(H115&gt;=1,H115&lt;='Decor Guide'!$B$15,J115&gt;0,MOD(J115,IF(I115="Coins",5,1))=0,K115&gt;='Decor Guide'!$B$7,K115&lt;='Decor Guide'!$B$8,L115&gt;0,N115&gt;0,O115&gt;0,MAX(N115,O115)&lt;='Decor Guide'!$F$8,OR(AND(F115="Coin",I115="Coins"),AND(F115="Premium",I115="Pearls"),AND(F115="Limited Edition",OR(I115="Coins",I115="Pearls"))),OR(AND(F115="Limited Edition",R115&lt;&gt;"None"),AND(F115&lt;&gt;"Limited Edition",R115="None"))),"OK","REVIEW")</x:f>
        <x:v>OK</x:v>
      </x:c>
    </x:row>
    <x:row r="116" ht="48" customHeight="1">
      <x:c r="A116" s="204" t="str">
        <x:v>PL-08</x:v>
      </x:c>
      <x:c r="B116" s="204" t="str">
        <x:v>Raindrop Lotus</x:v>
      </x:c>
      <x:c r="C116" s="192" t="str">
        <x:v>Plant</x:v>
      </x:c>
      <x:c r="D116" s="192" t="str">
        <x:v>Lotus</x:v>
      </x:c>
      <x:c r="E116" s="192" t="str">
        <x:v>Monsoon Garden</x:v>
      </x:c>
      <x:c r="F116" s="192" t="str">
        <x:v>Limited Edition</x:v>
      </x:c>
      <x:c r="G116" s="192" t="str">
        <x:v>Epic</x:v>
      </x:c>
      <x:c r="H116" s="198" t="n">
        <x:v>18</x:v>
      </x:c>
      <x:c r="I116" s="199" t="str">
        <x:v>Pearls</x:v>
      </x:c>
      <x:c r="J116" s="198" t="n">
        <x:v>8</x:v>
      </x:c>
      <x:c r="K116" s="200" t="n">
        <x:f>MIN('Decor Guide'!$B$8,MAX('Decor Guide'!$B$7,INT(INDEX('XP Curve'!$F$4:$F$73,MIN(H116+1,'Decor Guide'!$B$15))*'Decor Guide'!$B$9)),MAX('Decor Guide'!$B$7,ROUND(IF(I116="Coins",J116*'Decor Guide'!$B$5,J116*'Decor Guide'!$B$6),0)))</x:f>
        <x:v>120</x:v>
      </x:c>
      <x:c r="L116" s="200" t="n">
        <x:f>VLOOKUP(M116,'Decor Guide'!$E$5:$G$8,3,FALSE)</x:f>
        <x:v>35</x:v>
      </x:c>
      <x:c r="M116" s="201" t="str">
        <x:f>IF(MAX(N116,O116)&lt;='Decor Guide'!$F$5,'Decor Guide'!$E$5,IF(MAX(N116,O116)&lt;='Decor Guide'!$F$6,'Decor Guide'!$E$6,IF(MAX(N116,O116)&lt;='Decor Guide'!$F$7,'Decor Guide'!$E$7,'Decor Guide'!$E$8)))</x:f>
        <x:v>Large</x:v>
      </x:c>
      <x:c r="N116" s="236" t="n">
        <x:v>2.2</x:v>
      </x:c>
      <x:c r="O116" s="236" t="n">
        <x:v>2.3</x:v>
      </x:c>
      <x:c r="P116" s="192" t="str">
        <x:v>Midground</x:v>
      </x:c>
      <x:c r="Q116" s="192" t="str">
        <x:f>IF(H116&lt;='Decor Guide'!$B$12,"Launch (L1–40)",IF(H116&lt;='Decor Guide'!$B$13,"Wave 1 (L41–50)",IF(H116&lt;='Decor Guide'!$B$14,"Wave 2 (L51–60)","Wave 3 (L61–70)")))</x:f>
        <x:v>Launch (L1–40)</x:v>
      </x:c>
      <x:c r="R116" s="192" t="str">
        <x:v>Monsoon Garden</x:v>
      </x:c>
      <x:c r="S116" s="192" t="str">
        <x:f>IF(R116="None","Always available after unlock",VLOOKUP(R116,'Decor Live Ops'!$A$5:$L$16,2,FALSE))</x:f>
        <x:v>Aug 10–24 (proposed)</x:v>
      </x:c>
      <x:c r="T116" s="203" t="str">
        <x:f>IF(AND(H116&gt;=1,H116&lt;='Decor Guide'!$B$15,J116&gt;0,MOD(J116,IF(I116="Coins",5,1))=0,K116&gt;='Decor Guide'!$B$7,K116&lt;='Decor Guide'!$B$8,L116&gt;0,N116&gt;0,O116&gt;0,MAX(N116,O116)&lt;='Decor Guide'!$F$8,OR(AND(F116="Coin",I116="Coins"),AND(F116="Premium",I116="Pearls"),AND(F116="Limited Edition",OR(I116="Coins",I116="Pearls"))),OR(AND(F116="Limited Edition",R116&lt;&gt;"None"),AND(F116&lt;&gt;"Limited Edition",R116="None"))),"OK","REVIEW")</x:f>
        <x:v>OK</x:v>
      </x:c>
    </x:row>
    <x:row r="117" ht="48" customHeight="1">
      <x:c r="A117" s="204" t="str">
        <x:v>CL-09</x:v>
      </x:c>
      <x:c r="B117" s="204" t="str">
        <x:v>Amber Seed Wreath</x:v>
      </x:c>
      <x:c r="C117" s="192" t="str">
        <x:v>Plant</x:v>
      </x:c>
      <x:c r="D117" s="192" t="str">
        <x:v>Fantasy Plant</x:v>
      </x:c>
      <x:c r="E117" s="192" t="str">
        <x:v>Harvest Moon</x:v>
      </x:c>
      <x:c r="F117" s="192" t="str">
        <x:v>Limited Edition</x:v>
      </x:c>
      <x:c r="G117" s="192" t="str">
        <x:v>Rare</x:v>
      </x:c>
      <x:c r="H117" s="198" t="n">
        <x:v>20</x:v>
      </x:c>
      <x:c r="I117" s="199" t="str">
        <x:v>Coins</x:v>
      </x:c>
      <x:c r="J117" s="198" t="n">
        <x:v>2800</x:v>
      </x:c>
      <x:c r="K117" s="200" t="n">
        <x:f>MIN('Decor Guide'!$B$8,MAX('Decor Guide'!$B$7,INT(INDEX('XP Curve'!$F$4:$F$73,MIN(H117+1,'Decor Guide'!$B$15))*'Decor Guide'!$B$9)),MAX('Decor Guide'!$B$7,ROUND(IF(I117="Coins",J117*'Decor Guide'!$B$5,J117*'Decor Guide'!$B$6),0)))</x:f>
        <x:v>84</x:v>
      </x:c>
      <x:c r="L117" s="200" t="n">
        <x:f>VLOOKUP(M117,'Decor Guide'!$E$5:$G$8,3,FALSE)</x:f>
        <x:v>35</x:v>
      </x:c>
      <x:c r="M117" s="201" t="str">
        <x:f>IF(MAX(N117,O117)&lt;='Decor Guide'!$F$5,'Decor Guide'!$E$5,IF(MAX(N117,O117)&lt;='Decor Guide'!$F$6,'Decor Guide'!$E$6,IF(MAX(N117,O117)&lt;='Decor Guide'!$F$7,'Decor Guide'!$E$7,'Decor Guide'!$E$8)))</x:f>
        <x:v>Large</x:v>
      </x:c>
      <x:c r="N117" s="236" t="n">
        <x:v>2.2</x:v>
      </x:c>
      <x:c r="O117" s="236" t="n">
        <x:v>2.2</x:v>
      </x:c>
      <x:c r="P117" s="192" t="str">
        <x:v>Midground</x:v>
      </x:c>
      <x:c r="Q117" s="192" t="str">
        <x:f>IF(H117&lt;='Decor Guide'!$B$12,"Launch (L1–40)",IF(H117&lt;='Decor Guide'!$B$13,"Wave 1 (L41–50)",IF(H117&lt;='Decor Guide'!$B$14,"Wave 2 (L51–60)","Wave 3 (L61–70)")))</x:f>
        <x:v>Launch (L1–40)</x:v>
      </x:c>
      <x:c r="R117" s="192" t="str">
        <x:v>Harvest Moon</x:v>
      </x:c>
      <x:c r="S117" s="192" t="str">
        <x:f>IF(R117="None","Always available after unlock",VLOOKUP(R117,'Decor Live Ops'!$A$5:$L$16,2,FALSE))</x:f>
        <x:v>Sep 10–24 (proposed)</x:v>
      </x:c>
      <x:c r="T117" s="203" t="str">
        <x:f>IF(AND(H117&gt;=1,H117&lt;='Decor Guide'!$B$15,J117&gt;0,MOD(J117,IF(I117="Coins",5,1))=0,K117&gt;='Decor Guide'!$B$7,K117&lt;='Decor Guide'!$B$8,L117&gt;0,N117&gt;0,O117&gt;0,MAX(N117,O117)&lt;='Decor Guide'!$F$8,OR(AND(F117="Coin",I117="Coins"),AND(F117="Premium",I117="Pearls"),AND(F117="Limited Edition",OR(I117="Coins",I117="Pearls"))),OR(AND(F117="Limited Edition",R117&lt;&gt;"None"),AND(F117&lt;&gt;"Limited Edition",R117="None"))),"OK","REVIEW")</x:f>
        <x:v>OK</x:v>
      </x:c>
    </x:row>
    <x:row r="118" ht="48" customHeight="1">
      <x:c r="A118" s="204" t="str">
        <x:v>PL-09</x:v>
      </x:c>
      <x:c r="B118" s="204" t="str">
        <x:v>Harvest Moon Arch</x:v>
      </x:c>
      <x:c r="C118" s="192" t="str">
        <x:v>Decoration</x:v>
      </x:c>
      <x:c r="D118" s="192" t="str">
        <x:v>Garden Ornament</x:v>
      </x:c>
      <x:c r="E118" s="192" t="str">
        <x:v>Harvest Moon</x:v>
      </x:c>
      <x:c r="F118" s="192" t="str">
        <x:v>Limited Edition</x:v>
      </x:c>
      <x:c r="G118" s="192" t="str">
        <x:v>Epic</x:v>
      </x:c>
      <x:c r="H118" s="198" t="n">
        <x:v>20</x:v>
      </x:c>
      <x:c r="I118" s="199" t="str">
        <x:v>Pearls</x:v>
      </x:c>
      <x:c r="J118" s="198" t="n">
        <x:v>9</x:v>
      </x:c>
      <x:c r="K118" s="200" t="n">
        <x:f>MIN('Decor Guide'!$B$8,MAX('Decor Guide'!$B$7,INT(INDEX('XP Curve'!$F$4:$F$73,MIN(H118+1,'Decor Guide'!$B$15))*'Decor Guide'!$B$9)),MAX('Decor Guide'!$B$7,ROUND(IF(I118="Coins",J118*'Decor Guide'!$B$5,J118*'Decor Guide'!$B$6),0)))</x:f>
        <x:v>120</x:v>
      </x:c>
      <x:c r="L118" s="200" t="n">
        <x:f>VLOOKUP(M118,'Decor Guide'!$E$5:$G$8,3,FALSE)</x:f>
        <x:v>35</x:v>
      </x:c>
      <x:c r="M118" s="201" t="str">
        <x:f>IF(MAX(N118,O118)&lt;='Decor Guide'!$F$5,'Decor Guide'!$E$5,IF(MAX(N118,O118)&lt;='Decor Guide'!$F$6,'Decor Guide'!$E$6,IF(MAX(N118,O118)&lt;='Decor Guide'!$F$7,'Decor Guide'!$E$7,'Decor Guide'!$E$8)))</x:f>
        <x:v>Large</x:v>
      </x:c>
      <x:c r="N118" s="236" t="n">
        <x:v>2.8</x:v>
      </x:c>
      <x:c r="O118" s="236" t="n">
        <x:v>2.9</x:v>
      </x:c>
      <x:c r="P118" s="192" t="str">
        <x:v>Background</x:v>
      </x:c>
      <x:c r="Q118" s="192" t="str">
        <x:f>IF(H118&lt;='Decor Guide'!$B$12,"Launch (L1–40)",IF(H118&lt;='Decor Guide'!$B$13,"Wave 1 (L41–50)",IF(H118&lt;='Decor Guide'!$B$14,"Wave 2 (L51–60)","Wave 3 (L61–70)")))</x:f>
        <x:v>Launch (L1–40)</x:v>
      </x:c>
      <x:c r="R118" s="192" t="str">
        <x:v>Harvest Moon</x:v>
      </x:c>
      <x:c r="S118" s="192" t="str">
        <x:f>IF(R118="None","Always available after unlock",VLOOKUP(R118,'Decor Live Ops'!$A$5:$L$16,2,FALSE))</x:f>
        <x:v>Sep 10–24 (proposed)</x:v>
      </x:c>
      <x:c r="T118" s="203" t="str">
        <x:f>IF(AND(H118&gt;=1,H118&lt;='Decor Guide'!$B$15,J118&gt;0,MOD(J118,IF(I118="Coins",5,1))=0,K118&gt;='Decor Guide'!$B$7,K118&lt;='Decor Guide'!$B$8,L118&gt;0,N118&gt;0,O118&gt;0,MAX(N118,O118)&lt;='Decor Guide'!$F$8,OR(AND(F118="Coin",I118="Coins"),AND(F118="Premium",I118="Pearls"),AND(F118="Limited Edition",OR(I118="Coins",I118="Pearls"))),OR(AND(F118="Limited Edition",R118&lt;&gt;"None"),AND(F118&lt;&gt;"Limited Edition",R118="None"))),"OK","REVIEW")</x:f>
        <x:v>OK</x:v>
      </x:c>
    </x:row>
    <x:row r="119" ht="48" customHeight="1">
      <x:c r="A119" s="204" t="str">
        <x:v>CL-10</x:v>
      </x:c>
      <x:c r="B119" s="204" t="str">
        <x:v>Pumpkin Shell House</x:v>
      </x:c>
      <x:c r="C119" s="192" t="str">
        <x:v>Decoration</x:v>
      </x:c>
      <x:c r="D119" s="192" t="str">
        <x:v>Fantasy Architecture</x:v>
      </x:c>
      <x:c r="E119" s="192" t="str">
        <x:v>Halloween</x:v>
      </x:c>
      <x:c r="F119" s="192" t="str">
        <x:v>Limited Edition</x:v>
      </x:c>
      <x:c r="G119" s="192" t="str">
        <x:v>Rare</x:v>
      </x:c>
      <x:c r="H119" s="198" t="n">
        <x:v>12</x:v>
      </x:c>
      <x:c r="I119" s="199" t="str">
        <x:v>Coins</x:v>
      </x:c>
      <x:c r="J119" s="198" t="n">
        <x:v>1200</x:v>
      </x:c>
      <x:c r="K119" s="200" t="n">
        <x:f>MIN('Decor Guide'!$B$8,MAX('Decor Guide'!$B$7,INT(INDEX('XP Curve'!$F$4:$F$73,MIN(H119+1,'Decor Guide'!$B$15))*'Decor Guide'!$B$9)),MAX('Decor Guide'!$B$7,ROUND(IF(I119="Coins",J119*'Decor Guide'!$B$5,J119*'Decor Guide'!$B$6),0)))</x:f>
        <x:v>36</x:v>
      </x:c>
      <x:c r="L119" s="200" t="n">
        <x:f>VLOOKUP(M119,'Decor Guide'!$E$5:$G$8,3,FALSE)</x:f>
        <x:v>20</x:v>
      </x:c>
      <x:c r="M119" s="201" t="str">
        <x:f>IF(MAX(N119,O119)&lt;='Decor Guide'!$F$5,'Decor Guide'!$E$5,IF(MAX(N119,O119)&lt;='Decor Guide'!$F$6,'Decor Guide'!$E$6,IF(MAX(N119,O119)&lt;='Decor Guide'!$F$7,'Decor Guide'!$E$7,'Decor Guide'!$E$8)))</x:f>
        <x:v>Medium</x:v>
      </x:c>
      <x:c r="N119" s="236" t="n">
        <x:v>1.9</x:v>
      </x:c>
      <x:c r="O119" s="236" t="n">
        <x:v>1.8</x:v>
      </x:c>
      <x:c r="P119" s="192" t="str">
        <x:v>Midground</x:v>
      </x:c>
      <x:c r="Q119" s="192" t="str">
        <x:f>IF(H119&lt;='Decor Guide'!$B$12,"Launch (L1–40)",IF(H119&lt;='Decor Guide'!$B$13,"Wave 1 (L41–50)",IF(H119&lt;='Decor Guide'!$B$14,"Wave 2 (L51–60)","Wave 3 (L61–70)")))</x:f>
        <x:v>Launch (L1–40)</x:v>
      </x:c>
      <x:c r="R119" s="192" t="str">
        <x:v>Halloween</x:v>
      </x:c>
      <x:c r="S119" s="192" t="str">
        <x:f>IF(R119="None","Always available after unlock",VLOOKUP(R119,'Decor Live Ops'!$A$5:$L$16,2,FALSE))</x:f>
        <x:v>Oct 17–Nov 2</x:v>
      </x:c>
      <x:c r="T119" s="203" t="str">
        <x:f>IF(AND(H119&gt;=1,H119&lt;='Decor Guide'!$B$15,J119&gt;0,MOD(J119,IF(I119="Coins",5,1))=0,K119&gt;='Decor Guide'!$B$7,K119&lt;='Decor Guide'!$B$8,L119&gt;0,N119&gt;0,O119&gt;0,MAX(N119,O119)&lt;='Decor Guide'!$F$8,OR(AND(F119="Coin",I119="Coins"),AND(F119="Premium",I119="Pearls"),AND(F119="Limited Edition",OR(I119="Coins",I119="Pearls"))),OR(AND(F119="Limited Edition",R119&lt;&gt;"None"),AND(F119&lt;&gt;"Limited Edition",R119="None"))),"OK","REVIEW")</x:f>
        <x:v>OK</x:v>
      </x:c>
    </x:row>
    <x:row r="120" ht="48" customHeight="1">
      <x:c r="A120" s="204" t="str">
        <x:v>PL-10</x:v>
      </x:c>
      <x:c r="B120" s="204" t="str">
        <x:v>Mooncap Bloom</x:v>
      </x:c>
      <x:c r="C120" s="192" t="str">
        <x:v>Plant</x:v>
      </x:c>
      <x:c r="D120" s="192" t="str">
        <x:v>Fantasy Flower</x:v>
      </x:c>
      <x:c r="E120" s="192" t="str">
        <x:v>Halloween</x:v>
      </x:c>
      <x:c r="F120" s="192" t="str">
        <x:v>Limited Edition</x:v>
      </x:c>
      <x:c r="G120" s="192" t="str">
        <x:v>Epic</x:v>
      </x:c>
      <x:c r="H120" s="198" t="n">
        <x:v>12</x:v>
      </x:c>
      <x:c r="I120" s="199" t="str">
        <x:v>Pearls</x:v>
      </x:c>
      <x:c r="J120" s="198" t="n">
        <x:v>7</x:v>
      </x:c>
      <x:c r="K120" s="200" t="n">
        <x:f>MIN('Decor Guide'!$B$8,MAX('Decor Guide'!$B$7,INT(INDEX('XP Curve'!$F$4:$F$73,MIN(H120+1,'Decor Guide'!$B$15))*'Decor Guide'!$B$9)),MAX('Decor Guide'!$B$7,ROUND(IF(I120="Coins",J120*'Decor Guide'!$B$5,J120*'Decor Guide'!$B$6),0)))</x:f>
        <x:v>46</x:v>
      </x:c>
      <x:c r="L120" s="200" t="n">
        <x:f>VLOOKUP(M120,'Decor Guide'!$E$5:$G$8,3,FALSE)</x:f>
        <x:v>35</x:v>
      </x:c>
      <x:c r="M120" s="201" t="str">
        <x:f>IF(MAX(N120,O120)&lt;='Decor Guide'!$F$5,'Decor Guide'!$E$5,IF(MAX(N120,O120)&lt;='Decor Guide'!$F$6,'Decor Guide'!$E$6,IF(MAX(N120,O120)&lt;='Decor Guide'!$F$7,'Decor Guide'!$E$7,'Decor Guide'!$E$8)))</x:f>
        <x:v>Large</x:v>
      </x:c>
      <x:c r="N120" s="236" t="n">
        <x:v>2</x:v>
      </x:c>
      <x:c r="O120" s="236" t="n">
        <x:v>2.3</x:v>
      </x:c>
      <x:c r="P120" s="192" t="str">
        <x:v>Midground</x:v>
      </x:c>
      <x:c r="Q120" s="192" t="str">
        <x:f>IF(H120&lt;='Decor Guide'!$B$12,"Launch (L1–40)",IF(H120&lt;='Decor Guide'!$B$13,"Wave 1 (L41–50)",IF(H120&lt;='Decor Guide'!$B$14,"Wave 2 (L51–60)","Wave 3 (L61–70)")))</x:f>
        <x:v>Launch (L1–40)</x:v>
      </x:c>
      <x:c r="R120" s="192" t="str">
        <x:v>Halloween</x:v>
      </x:c>
      <x:c r="S120" s="192" t="str">
        <x:f>IF(R120="None","Always available after unlock",VLOOKUP(R120,'Decor Live Ops'!$A$5:$L$16,2,FALSE))</x:f>
        <x:v>Oct 17–Nov 2</x:v>
      </x:c>
      <x:c r="T120" s="203" t="str">
        <x:f>IF(AND(H120&gt;=1,H120&lt;='Decor Guide'!$B$15,J120&gt;0,MOD(J120,IF(I120="Coins",5,1))=0,K120&gt;='Decor Guide'!$B$7,K120&lt;='Decor Guide'!$B$8,L120&gt;0,N120&gt;0,O120&gt;0,MAX(N120,O120)&lt;='Decor Guide'!$F$8,OR(AND(F120="Coin",I120="Coins"),AND(F120="Premium",I120="Pearls"),AND(F120="Limited Edition",OR(I120="Coins",I120="Pearls"))),OR(AND(F120="Limited Edition",R120&lt;&gt;"None"),AND(F120&lt;&gt;"Limited Edition",R120="None"))),"OK","REVIEW")</x:f>
        <x:v>OK</x:v>
      </x:c>
    </x:row>
    <x:row r="121" ht="48" customHeight="1">
      <x:c r="A121" s="204" t="str">
        <x:v>CL-11</x:v>
      </x:c>
      <x:c r="B121" s="204" t="str">
        <x:v>Frost Fern</x:v>
      </x:c>
      <x:c r="C121" s="192" t="str">
        <x:v>Plant</x:v>
      </x:c>
      <x:c r="D121" s="192" t="str">
        <x:v>Fern</x:v>
      </x:c>
      <x:c r="E121" s="192" t="str">
        <x:v>Winterfest</x:v>
      </x:c>
      <x:c r="F121" s="192" t="str">
        <x:v>Limited Edition</x:v>
      </x:c>
      <x:c r="G121" s="192" t="str">
        <x:v>Uncommon</x:v>
      </x:c>
      <x:c r="H121" s="198" t="n">
        <x:v>5</x:v>
      </x:c>
      <x:c r="I121" s="199" t="str">
        <x:v>Coins</x:v>
      </x:c>
      <x:c r="J121" s="198" t="n">
        <x:v>400</x:v>
      </x:c>
      <x:c r="K121" s="200" t="n">
        <x:f>MIN('Decor Guide'!$B$8,MAX('Decor Guide'!$B$7,INT(INDEX('XP Curve'!$F$4:$F$73,MIN(H121+1,'Decor Guide'!$B$15))*'Decor Guide'!$B$9)),MAX('Decor Guide'!$B$7,ROUND(IF(I121="Coins",J121*'Decor Guide'!$B$5,J121*'Decor Guide'!$B$6),0)))</x:f>
        <x:v>6</x:v>
      </x:c>
      <x:c r="L121" s="200" t="n">
        <x:f>VLOOKUP(M121,'Decor Guide'!$E$5:$G$8,3,FALSE)</x:f>
        <x:v>20</x:v>
      </x:c>
      <x:c r="M121" s="201" t="str">
        <x:f>IF(MAX(N121,O121)&lt;='Decor Guide'!$F$5,'Decor Guide'!$E$5,IF(MAX(N121,O121)&lt;='Decor Guide'!$F$6,'Decor Guide'!$E$6,IF(MAX(N121,O121)&lt;='Decor Guide'!$F$7,'Decor Guide'!$E$7,'Decor Guide'!$E$8)))</x:f>
        <x:v>Medium</x:v>
      </x:c>
      <x:c r="N121" s="236" t="n">
        <x:v>1.6</x:v>
      </x:c>
      <x:c r="O121" s="236" t="n">
        <x:v>1.8</x:v>
      </x:c>
      <x:c r="P121" s="192" t="str">
        <x:v>Midground</x:v>
      </x:c>
      <x:c r="Q121" s="192" t="str">
        <x:f>IF(H121&lt;='Decor Guide'!$B$12,"Launch (L1–40)",IF(H121&lt;='Decor Guide'!$B$13,"Wave 1 (L41–50)",IF(H121&lt;='Decor Guide'!$B$14,"Wave 2 (L51–60)","Wave 3 (L61–70)")))</x:f>
        <x:v>Launch (L1–40)</x:v>
      </x:c>
      <x:c r="R121" s="192" t="str">
        <x:v>Winterfest</x:v>
      </x:c>
      <x:c r="S121" s="192" t="str">
        <x:f>IF(R121="None","Always available after unlock",VLOOKUP(R121,'Decor Live Ops'!$A$5:$L$16,2,FALSE))</x:f>
        <x:v>Dec 10–Jan 6</x:v>
      </x:c>
      <x:c r="T121" s="203" t="str">
        <x:f>IF(AND(H121&gt;=1,H121&lt;='Decor Guide'!$B$15,J121&gt;0,MOD(J121,IF(I121="Coins",5,1))=0,K121&gt;='Decor Guide'!$B$7,K121&lt;='Decor Guide'!$B$8,L121&gt;0,N121&gt;0,O121&gt;0,MAX(N121,O121)&lt;='Decor Guide'!$F$8,OR(AND(F121="Coin",I121="Coins"),AND(F121="Premium",I121="Pearls"),AND(F121="Limited Edition",OR(I121="Coins",I121="Pearls"))),OR(AND(F121="Limited Edition",R121&lt;&gt;"None"),AND(F121&lt;&gt;"Limited Edition",R121="None"))),"OK","REVIEW")</x:f>
        <x:v>OK</x:v>
      </x:c>
    </x:row>
    <x:row r="122" ht="48" customHeight="1">
      <x:c r="A122" s="204" t="str">
        <x:v>PL-11</x:v>
      </x:c>
      <x:c r="B122" s="204" t="str">
        <x:v>Snowglobe Grotto</x:v>
      </x:c>
      <x:c r="C122" s="192" t="str">
        <x:v>Decoration</x:v>
      </x:c>
      <x:c r="D122" s="192" t="str">
        <x:v>Whimsical Object</x:v>
      </x:c>
      <x:c r="E122" s="192" t="str">
        <x:v>Winterfest</x:v>
      </x:c>
      <x:c r="F122" s="192" t="str">
        <x:v>Limited Edition</x:v>
      </x:c>
      <x:c r="G122" s="192" t="str">
        <x:v>Epic</x:v>
      </x:c>
      <x:c r="H122" s="198" t="n">
        <x:v>15</x:v>
      </x:c>
      <x:c r="I122" s="199" t="str">
        <x:v>Pearls</x:v>
      </x:c>
      <x:c r="J122" s="198" t="n">
        <x:v>8</x:v>
      </x:c>
      <x:c r="K122" s="200" t="n">
        <x:f>MIN('Decor Guide'!$B$8,MAX('Decor Guide'!$B$7,INT(INDEX('XP Curve'!$F$4:$F$73,MIN(H122+1,'Decor Guide'!$B$15))*'Decor Guide'!$B$9)),MAX('Decor Guide'!$B$7,ROUND(IF(I122="Coins",J122*'Decor Guide'!$B$5,J122*'Decor Guide'!$B$6),0)))</x:f>
        <x:v>83</x:v>
      </x:c>
      <x:c r="L122" s="200" t="n">
        <x:f>VLOOKUP(M122,'Decor Guide'!$E$5:$G$8,3,FALSE)</x:f>
        <x:v>35</x:v>
      </x:c>
      <x:c r="M122" s="201" t="str">
        <x:f>IF(MAX(N122,O122)&lt;='Decor Guide'!$F$5,'Decor Guide'!$E$5,IF(MAX(N122,O122)&lt;='Decor Guide'!$F$6,'Decor Guide'!$E$6,IF(MAX(N122,O122)&lt;='Decor Guide'!$F$7,'Decor Guide'!$E$7,'Decor Guide'!$E$8)))</x:f>
        <x:v>Large</x:v>
      </x:c>
      <x:c r="N122" s="236" t="n">
        <x:v>2.3</x:v>
      </x:c>
      <x:c r="O122" s="236" t="n">
        <x:v>2.6</x:v>
      </x:c>
      <x:c r="P122" s="192" t="str">
        <x:v>Midground</x:v>
      </x:c>
      <x:c r="Q122" s="192" t="str">
        <x:f>IF(H122&lt;='Decor Guide'!$B$12,"Launch (L1–40)",IF(H122&lt;='Decor Guide'!$B$13,"Wave 1 (L41–50)",IF(H122&lt;='Decor Guide'!$B$14,"Wave 2 (L51–60)","Wave 3 (L61–70)")))</x:f>
        <x:v>Launch (L1–40)</x:v>
      </x:c>
      <x:c r="R122" s="192" t="str">
        <x:v>Winterfest</x:v>
      </x:c>
      <x:c r="S122" s="192" t="str">
        <x:f>IF(R122="None","Always available after unlock",VLOOKUP(R122,'Decor Live Ops'!$A$5:$L$16,2,FALSE))</x:f>
        <x:v>Dec 10–Jan 6</x:v>
      </x:c>
      <x:c r="T122" s="203" t="str">
        <x:f>IF(AND(H122&gt;=1,H122&lt;='Decor Guide'!$B$15,J122&gt;0,MOD(J122,IF(I122="Coins",5,1))=0,K122&gt;='Decor Guide'!$B$7,K122&lt;='Decor Guide'!$B$8,L122&gt;0,N122&gt;0,O122&gt;0,MAX(N122,O122)&lt;='Decor Guide'!$F$8,OR(AND(F122="Coin",I122="Coins"),AND(F122="Premium",I122="Pearls"),AND(F122="Limited Edition",OR(I122="Coins",I122="Pearls"))),OR(AND(F122="Limited Edition",R122&lt;&gt;"None"),AND(F122&lt;&gt;"Limited Edition",R122="None"))),"OK","REVIEW")</x:f>
        <x:v>OK</x:v>
      </x:c>
    </x:row>
    <x:row r="123" ht="48" customHeight="1">
      <x:c r="A123" s="204" t="str">
        <x:v>CL-12</x:v>
      </x:c>
      <x:c r="B123" s="204" t="str">
        <x:v>Founder's Shell Plinth</x:v>
      </x:c>
      <x:c r="C123" s="192" t="str">
        <x:v>Decoration</x:v>
      </x:c>
      <x:c r="D123" s="192" t="str">
        <x:v>Commemorative Ornament</x:v>
      </x:c>
      <x:c r="E123" s="192" t="str">
        <x:v>Game Anniversary</x:v>
      </x:c>
      <x:c r="F123" s="192" t="str">
        <x:v>Limited Edition</x:v>
      </x:c>
      <x:c r="G123" s="192" t="str">
        <x:v>Uncommon</x:v>
      </x:c>
      <x:c r="H123" s="198" t="n">
        <x:v>1</x:v>
      </x:c>
      <x:c r="I123" s="199" t="str">
        <x:v>Coins</x:v>
      </x:c>
      <x:c r="J123" s="198" t="n">
        <x:v>100</x:v>
      </x:c>
      <x:c r="K123" s="200" t="n">
        <x:f>MIN('Decor Guide'!$B$8,MAX('Decor Guide'!$B$7,INT(INDEX('XP Curve'!$F$4:$F$73,MIN(H123+1,'Decor Guide'!$B$15))*'Decor Guide'!$B$9)),MAX('Decor Guide'!$B$7,ROUND(IF(I123="Coins",J123*'Decor Guide'!$B$5,J123*'Decor Guide'!$B$6),0)))</x:f>
        <x:v>1</x:v>
      </x:c>
      <x:c r="L123" s="200" t="n">
        <x:f>VLOOKUP(M123,'Decor Guide'!$E$5:$G$8,3,FALSE)</x:f>
        <x:v>20</x:v>
      </x:c>
      <x:c r="M123" s="201" t="str">
        <x:f>IF(MAX(N123,O123)&lt;='Decor Guide'!$F$5,'Decor Guide'!$E$5,IF(MAX(N123,O123)&lt;='Decor Guide'!$F$6,'Decor Guide'!$E$6,IF(MAX(N123,O123)&lt;='Decor Guide'!$F$7,'Decor Guide'!$E$7,'Decor Guide'!$E$8)))</x:f>
        <x:v>Medium</x:v>
      </x:c>
      <x:c r="N123" s="236" t="n">
        <x:v>1.4</x:v>
      </x:c>
      <x:c r="O123" s="236" t="n">
        <x:v>1.3</x:v>
      </x:c>
      <x:c r="P123" s="192" t="str">
        <x:v>Foreground</x:v>
      </x:c>
      <x:c r="Q123" s="192" t="str">
        <x:f>IF(H123&lt;='Decor Guide'!$B$12,"Launch (L1–40)",IF(H123&lt;='Decor Guide'!$B$13,"Wave 1 (L41–50)",IF(H123&lt;='Decor Guide'!$B$14,"Wave 2 (L51–60)","Wave 3 (L61–70)")))</x:f>
        <x:v>Launch (L1–40)</x:v>
      </x:c>
      <x:c r="R123" s="192" t="str">
        <x:v>Game Anniversary</x:v>
      </x:c>
      <x:c r="S123" s="192" t="str">
        <x:f>IF(R123="None","Always available after unlock",VLOOKUP(R123,'Decor Live Ops'!$A$5:$L$16,2,FALSE))</x:f>
        <x:v>7 days around launch anniversary; dates TBD</x:v>
      </x:c>
      <x:c r="T123" s="203" t="str">
        <x:f>IF(AND(H123&gt;=1,H123&lt;='Decor Guide'!$B$15,J123&gt;0,MOD(J123,IF(I123="Coins",5,1))=0,K123&gt;='Decor Guide'!$B$7,K123&lt;='Decor Guide'!$B$8,L123&gt;0,N123&gt;0,O123&gt;0,MAX(N123,O123)&lt;='Decor Guide'!$F$8,OR(AND(F123="Coin",I123="Coins"),AND(F123="Premium",I123="Pearls"),AND(F123="Limited Edition",OR(I123="Coins",I123="Pearls"))),OR(AND(F123="Limited Edition",R123&lt;&gt;"None"),AND(F123&lt;&gt;"Limited Edition",R123="None"))),"OK","REVIEW")</x:f>
        <x:v>OK</x:v>
      </x:c>
    </x:row>
    <x:row r="124" ht="48" customHeight="1">
      <x:c r="A124" s="204" t="str">
        <x:v>PL-12</x:v>
      </x:c>
      <x:c r="B124" s="204" t="str">
        <x:v>Celebration Lotus</x:v>
      </x:c>
      <x:c r="C124" s="192" t="str">
        <x:v>Plant</x:v>
      </x:c>
      <x:c r="D124" s="192" t="str">
        <x:v>Lotus</x:v>
      </x:c>
      <x:c r="E124" s="192" t="str">
        <x:v>Game Anniversary</x:v>
      </x:c>
      <x:c r="F124" s="192" t="str">
        <x:v>Limited Edition</x:v>
      </x:c>
      <x:c r="G124" s="192" t="str">
        <x:v>Epic</x:v>
      </x:c>
      <x:c r="H124" s="198" t="n">
        <x:v>5</x:v>
      </x:c>
      <x:c r="I124" s="199" t="str">
        <x:v>Pearls</x:v>
      </x:c>
      <x:c r="J124" s="198" t="n">
        <x:v>5</x:v>
      </x:c>
      <x:c r="K124" s="200" t="n">
        <x:f>MIN('Decor Guide'!$B$8,MAX('Decor Guide'!$B$7,INT(INDEX('XP Curve'!$F$4:$F$73,MIN(H124+1,'Decor Guide'!$B$15))*'Decor Guide'!$B$9)),MAX('Decor Guide'!$B$7,ROUND(IF(I124="Coins",J124*'Decor Guide'!$B$5,J124*'Decor Guide'!$B$6),0)))</x:f>
        <x:v>6</x:v>
      </x:c>
      <x:c r="L124" s="200" t="n">
        <x:f>VLOOKUP(M124,'Decor Guide'!$E$5:$G$8,3,FALSE)</x:f>
        <x:v>35</x:v>
      </x:c>
      <x:c r="M124" s="201" t="str">
        <x:f>IF(MAX(N124,O124)&lt;='Decor Guide'!$F$5,'Decor Guide'!$E$5,IF(MAX(N124,O124)&lt;='Decor Guide'!$F$6,'Decor Guide'!$E$6,IF(MAX(N124,O124)&lt;='Decor Guide'!$F$7,'Decor Guide'!$E$7,'Decor Guide'!$E$8)))</x:f>
        <x:v>Large</x:v>
      </x:c>
      <x:c r="N124" s="236" t="n">
        <x:v>2.2</x:v>
      </x:c>
      <x:c r="O124" s="236" t="n">
        <x:v>2.2</x:v>
      </x:c>
      <x:c r="P124" s="192" t="str">
        <x:v>Midground</x:v>
      </x:c>
      <x:c r="Q124" s="192" t="str">
        <x:f>IF(H124&lt;='Decor Guide'!$B$12,"Launch (L1–40)",IF(H124&lt;='Decor Guide'!$B$13,"Wave 1 (L41–50)",IF(H124&lt;='Decor Guide'!$B$14,"Wave 2 (L51–60)","Wave 3 (L61–70)")))</x:f>
        <x:v>Launch (L1–40)</x:v>
      </x:c>
      <x:c r="R124" s="192" t="str">
        <x:v>Game Anniversary</x:v>
      </x:c>
      <x:c r="S124" s="192" t="str">
        <x:f>IF(R124="None","Always available after unlock",VLOOKUP(R124,'Decor Live Ops'!$A$5:$L$16,2,FALSE))</x:f>
        <x:v>7 days around launch anniversary; dates TBD</x:v>
      </x:c>
      <x:c r="T124" s="203" t="str">
        <x:f>IF(AND(H124&gt;=1,H124&lt;='Decor Guide'!$B$15,J124&gt;0,MOD(J124,IF(I124="Coins",5,1))=0,K124&gt;='Decor Guide'!$B$7,K124&lt;='Decor Guide'!$B$8,L124&gt;0,N124&gt;0,O124&gt;0,MAX(N124,O124)&lt;='Decor Guide'!$F$8,OR(AND(F124="Coin",I124="Coins"),AND(F124="Premium",I124="Pearls"),AND(F124="Limited Edition",OR(I124="Coins",I124="Pearls"))),OR(AND(F124="Limited Edition",R124&lt;&gt;"None"),AND(F124&lt;&gt;"Limited Edition",R124="None"))),"OK","REVIEW")</x:f>
        <x:v>OK</x:v>
      </x:c>
    </x:row>
  </x:sheetData>
  <x:mergeCells>
    <x:mergeCell ref="A1:T1"/>
    <x:mergeCell ref="A2:T2"/>
  </x:mergeCells>
  <x:conditionalFormatting sqref="G5:G124">
    <x:cfRule type="expression" dxfId="8" priority="1">
      <x:formula>G5="Common"</x:formula>
    </x:cfRule>
    <x:cfRule type="expression" dxfId="9" priority="2">
      <x:formula>G5="Uncommon"</x:formula>
    </x:cfRule>
    <x:cfRule type="expression" dxfId="10" priority="3">
      <x:formula>G5="Rare"</x:formula>
    </x:cfRule>
    <x:cfRule type="expression" dxfId="11" priority="4">
      <x:formula>G5="Epic"</x:formula>
    </x:cfRule>
    <x:cfRule type="expression" dxfId="12" priority="5">
      <x:formula>G5="Legendary"</x:formula>
    </x:cfRule>
  </x:conditionalFormatting>
  <x:conditionalFormatting sqref="F5:F124">
    <x:cfRule type="expression" dxfId="13" priority="6">
      <x:formula>F5="Coin"</x:formula>
    </x:cfRule>
    <x:cfRule type="expression" dxfId="14" priority="7">
      <x:formula>F5="Premium"</x:formula>
    </x:cfRule>
    <x:cfRule type="expression" dxfId="15" priority="8">
      <x:formula>F5="Limited Edition"</x:formula>
    </x:cfRule>
  </x:conditionalFormatting>
  <x:conditionalFormatting sqref="T5:T124">
    <x:cfRule type="expression" dxfId="16" priority="9">
      <x:formula>T5="OK"</x:formula>
    </x:cfRule>
    <x:cfRule type="expression" dxfId="17" priority="10">
      <x:formula>T5="REVIEW"</x:formula>
    </x:cfRule>
  </x:conditionalFormatting>
  <x:dataValidations count="5">
    <x:dataValidation type="list" sqref="C5:C124">
      <x:formula1>"Plant,Decoration"</x:formula1>
    </x:dataValidation>
    <x:dataValidation type="list" sqref="F5:F124">
      <x:formula1>"Coin,Premium,Limited Edition"</x:formula1>
    </x:dataValidation>
    <x:dataValidation type="list" sqref="G5:G124">
      <x:formula1>"Common,Uncommon,Rare,Epic,Legendary"</x:formula1>
    </x:dataValidation>
    <x:dataValidation type="list" sqref="I5:I124">
      <x:formula1>"Coins,Pearls"</x:formula1>
    </x:dataValidation>
    <x:dataValidation type="list" sqref="P5:P124">
      <x:formula1>"Foreground,Midground,Background"</x:formula1>
    </x:dataValidation>
  </x:dataValidations>
  <x:pageMargins left="0.7" right="0.7" top="0.75" bottom="0.75" header="0.3" footer="0.3"/>
  <x:tableParts count="1">
    <x:tablePart xmlns:r="http://schemas.openxmlformats.org/officeDocument/2006/relationships" r:id="Rc9e9d823cd6c4fed"/>
  </x:tableParts>
</x:worksheet>
</file>

<file path=xl/worksheets/sheet20.xml><?xml version="1.0" encoding="utf-8"?>
<x:worksheet xmlns:x="http://schemas.openxmlformats.org/spreadsheetml/2006/main">
  <x:sheetFormatPr defaultRowHeight="15"/>
  <x:cols>
    <x:col min="1" max="1" width="12" hidden="0" customWidth="1"/>
    <x:col min="2" max="2" width="28" hidden="0" customWidth="1"/>
    <x:col min="3" max="3" width="40" hidden="0" customWidth="1"/>
    <x:col min="4" max="4" width="29" hidden="0" customWidth="1"/>
    <x:col min="5" max="5" width="36" hidden="0" customWidth="1"/>
    <x:col min="6" max="6" width="25" hidden="0" customWidth="1"/>
    <x:col min="7" max="7" width="40" hidden="0" customWidth="1"/>
    <x:col min="8" max="8" width="40" hidden="0" customWidth="1"/>
    <x:col min="9" max="9" width="15" hidden="0" customWidth="1"/>
    <x:col min="10" max="10" width="36" hidden="0" customWidth="1"/>
    <x:col min="11" max="11" width="36" hidden="0" customWidth="1"/>
    <x:col min="12" max="12" width="40" hidden="0" customWidth="1"/>
  </x:cols>
  <x:sheetData>
    <x:row r="1" ht="32" customHeight="1">
      <x:c r="A1" s="177" t="str">
        <x:v>PLANTS &amp; DECORATIONS — PRODUCTION ART BRIEFS</x:v>
      </x:c>
      <x:c r="B1" s="177"/>
      <x:c r="C1" s="177"/>
      <x:c r="D1" s="177"/>
      <x:c r="E1" s="177"/>
      <x:c r="F1" s="177"/>
      <x:c r="G1" s="177"/>
      <x:c r="H1" s="177"/>
      <x:c r="I1" s="177"/>
      <x:c r="J1" s="177"/>
      <x:c r="K1" s="177"/>
      <x:c r="L1" s="177"/>
    </x:row>
    <x:row r="2" ht="34" customHeight="1">
      <x:c r="A2" s="180" t="str">
        <x:v>Colorful chunky 2D • matte cel shading • clean dark-teal outlines • isolated transparent assets • dimensions use the Decor Guide scale</x:v>
      </x:c>
      <x:c r="B2" s="180"/>
      <x:c r="C2" s="180"/>
      <x:c r="D2" s="180"/>
      <x:c r="E2" s="180"/>
      <x:c r="F2" s="180"/>
      <x:c r="G2" s="180"/>
      <x:c r="H2" s="180"/>
      <x:c r="I2" s="180"/>
      <x:c r="J2" s="180"/>
      <x:c r="K2" s="180"/>
      <x:c r="L2" s="180"/>
    </x:row>
    <x:row r="4" ht="38" customHeight="1">
      <x:c r="A4" s="184" t="str">
        <x:v>ID</x:v>
      </x:c>
      <x:c r="B4" s="184" t="str">
        <x:v>Item</x:v>
      </x:c>
      <x:c r="C4" s="184" t="str">
        <x:v>Shape &amp; Silhouette</x:v>
      </x:c>
      <x:c r="D4" s="184" t="str">
        <x:v>Palette</x:v>
      </x:c>
      <x:c r="E4" s="184" t="str">
        <x:v>Materials &amp; Finish</x:v>
      </x:c>
      <x:c r="F4" s="184" t="str">
        <x:v>Size / Footprint</x:v>
      </x:c>
      <x:c r="G4" s="184" t="str">
        <x:v>Placement &amp; Layering</x:v>
      </x:c>
      <x:c r="H4" s="184" t="str">
        <x:v>Animation Brief</x:v>
      </x:c>
      <x:c r="I4" s="184" t="str">
        <x:v>Motion Class</x:v>
      </x:c>
      <x:c r="J4" s="184" t="str">
        <x:v>Reduced-motion Still</x:v>
      </x:c>
      <x:c r="K4" s="184" t="str">
        <x:v>Mobile Read / Distinctive Hook</x:v>
      </x:c>
      <x:c r="L4" s="184" t="str">
        <x:v>Asset Construction</x:v>
      </x:c>
    </x:row>
    <x:row r="5" ht="108" customHeight="1">
      <x:c r="A5" s="204" t="str">
        <x:f>'Decor Catalog'!A5</x:f>
        <x:v>CP-01</x:v>
      </x:c>
      <x:c r="B5" s="204" t="str">
        <x:f>'Decor Catalog'!B5</x:f>
        <x:v>Pebble Moss Tuft</x:v>
      </x:c>
      <x:c r="C5" s="192" t="str">
        <x:v>Three rounded moss humps nestle around one exposed oval pebble; the tallest hump leans gently right.</x:v>
      </x:c>
      <x:c r="D5" s="192" t="str">
        <x:v>Fresh lime and pine green; warm dove-grey pebble; one pale mint edge.</x:v>
      </x:c>
      <x:c r="E5" s="192" t="str">
        <x:v>Velvety moss rendered as broad matte clumps; smooth river stone with a single cel-shaded side.</x:v>
      </x:c>
      <x:c r="F5" s="192" t="str">
        <x:f>'Decor Catalog'!M5&amp;" | "&amp;TEXT('Decor Catalog'!N5,"0.0#")&amp;" W × "&amp;TEXT('Decor Catalog'!O5,"0.0#")&amp;" H U"</x:f>
        <x:v>Small | 0.9 W × 0.65 H U</x:v>
      </x:c>
      <x:c r="G5" s="192" t="str">
        <x:f>'Decor Catalog'!P5&amp;" — Rest flat on gravel near either front corner; leave the central feeding area clear."</x:f>
        <x:v>Foreground — Rest flat on gravel near either front corner; leave the central feeding area clear.</x:v>
      </x:c>
      <x:c r="H5" s="192" t="str">
        <x:v>Static idle. No particles, glow, movement or changing footprint.</x:v>
      </x:c>
      <x:c r="I5" s="192" t="str">
        <x:v>Static</x:v>
      </x:c>
      <x:c r="J5" s="192" t="str">
        <x:v>Use the finished base sprite with no glow or particles.</x:v>
      </x:c>
      <x:c r="K5" s="192" t="str">
        <x:v>Three-lobed mound and visible pebble remain legible at 64 px.</x:v>
      </x:c>
      <x:c r="L5" s="192" t="str">
        <x:v>Single transparent sprite; bottom-centre pivot; separate icon crop.</x:v>
      </x:c>
    </x:row>
    <x:row r="6" ht="108" customHeight="1">
      <x:c r="A6" s="204" t="str">
        <x:f>'Decor Catalog'!A6</x:f>
        <x:v>CP-02</x:v>
      </x:c>
      <x:c r="B6" s="204" t="str">
        <x:f>'Decor Catalog'!B6</x:f>
        <x:v>Dwarf Hairgrass Patch</x:v>
      </x:c>
      <x:c r="C6" s="192" t="str">
        <x:v>A shallow crescent of thick tapered grass blades, grouped into five fans with a low clean base.</x:v>
      </x:c>
      <x:c r="D6" s="192" t="str">
        <x:v>Spring green blades, deep teal roots and a restrained yellow-green rim.</x:v>
      </x:c>
      <x:c r="E6" s="192" t="str">
        <x:v>Soft matte leaf ribbons; a narrow dark root mat, not a separate soil tile.</x:v>
      </x:c>
      <x:c r="F6" s="192" t="str">
        <x:f>'Decor Catalog'!M6&amp;" | "&amp;TEXT('Decor Catalog'!N6,"0.0#")&amp;" W × "&amp;TEXT('Decor Catalog'!O6,"0.0#")&amp;" H U"</x:f>
        <x:v>Small | 1.2 W × 0.8 H U</x:v>
      </x:c>
      <x:c r="G6" s="192" t="str">
        <x:f>'Decor Catalog'!P6&amp;" — Place along the front edge in loose clusters; do not form an opaque wall across fish."</x:f>
        <x:v>Foreground — Place along the front edge in loose clusters; do not form an opaque wall across fish.</x:v>
      </x:c>
      <x:c r="H6" s="192" t="str">
        <x:v>Static idle. No particles, glow, movement or changing footprint.</x:v>
      </x:c>
      <x:c r="I6" s="192" t="str">
        <x:v>Static</x:v>
      </x:c>
      <x:c r="J6" s="192" t="str">
        <x:v>Use the finished base sprite with no glow or particles.</x:v>
      </x:c>
      <x:c r="K6" s="192" t="str">
        <x:v>Five clear blade fans rather than many hair-thin strands.</x:v>
      </x:c>
      <x:c r="L6" s="192" t="str">
        <x:v>Single transparent sprite; bottom-centre pivot; separate icon crop.</x:v>
      </x:c>
    </x:row>
    <x:row r="7" ht="108" customHeight="1">
      <x:c r="A7" s="204" t="str">
        <x:f>'Decor Catalog'!A7</x:f>
        <x:v>CP-03</x:v>
      </x:c>
      <x:c r="B7" s="204" t="str">
        <x:f>'Decor Catalog'!B7</x:f>
        <x:v>Anubias Petite</x:v>
      </x:c>
      <x:c r="C7" s="192" t="str">
        <x:v>Five plump heart-shaped leaves rise on short curved stalks from a visible knuckled rhizome.</x:v>
      </x:c>
      <x:c r="D7" s="192" t="str">
        <x:v>Emerald leaf tops, blue-green shaded undersides and a cocoa-brown rhizome.</x:v>
      </x:c>
      <x:c r="E7" s="192" t="str">
        <x:v>Thick leathery leaves with one simplified centre vein each; dry-looking matte finish.</x:v>
      </x:c>
      <x:c r="F7" s="192" t="str">
        <x:f>'Decor Catalog'!M7&amp;" | "&amp;TEXT('Decor Catalog'!N7,"0.0#")&amp;" W × "&amp;TEXT('Decor Catalog'!O7,"0.0#")&amp;" H U"</x:f>
        <x:v>Small | 1.1 W × 1.05 H U</x:v>
      </x:c>
      <x:c r="G7" s="192" t="str">
        <x:f>'Decor Catalog'!P7&amp;" — Anchor on gravel or against a small rock in front; keep all leaf tips inside the safe play area."</x:f>
        <x:v>Foreground — Anchor on gravel or against a small rock in front; keep all leaf tips inside the safe play area.</x:v>
      </x:c>
      <x:c r="H7" s="192" t="str">
        <x:v>Static idle. No particles, glow, movement or changing footprint.</x:v>
      </x:c>
      <x:c r="I7" s="192" t="str">
        <x:v>Static</x:v>
      </x:c>
      <x:c r="J7" s="192" t="str">
        <x:v>Use the finished base sprite with no glow or particles.</x:v>
      </x:c>
      <x:c r="K7" s="192" t="str">
        <x:v>Low heart-leaf rosette is distinct from grass and moss.</x:v>
      </x:c>
      <x:c r="L7" s="192" t="str">
        <x:v>Single transparent sprite; bottom-centre pivot; separate icon crop.</x:v>
      </x:c>
    </x:row>
    <x:row r="8" ht="108" customHeight="1">
      <x:c r="A8" s="204" t="str">
        <x:f>'Decor Catalog'!A8</x:f>
        <x:v>CP-04</x:v>
      </x:c>
      <x:c r="B8" s="204" t="str">
        <x:f>'Decor Catalog'!B8</x:f>
        <x:v>Java Fern Fan</x:v>
      </x:c>
      <x:c r="C8" s="192" t="str">
        <x:v>Seven long lance leaves spread from a tight root knot; two shorter leaves interrupt the outer fan.</x:v>
      </x:c>
      <x:c r="D8" s="192" t="str">
        <x:v>Olive and bottle green with yellow-green central veins.</x:v>
      </x:c>
      <x:c r="E8" s="192" t="str">
        <x:v>Slightly rippled matte leaf surfaces; wiry roots simplified into three thick arcs.</x:v>
      </x:c>
      <x:c r="F8" s="192" t="str">
        <x:f>'Decor Catalog'!M8&amp;" | "&amp;TEXT('Decor Catalog'!N8,"0.0#")&amp;" W × "&amp;TEXT('Decor Catalog'!O8,"0.0#")&amp;" H U"</x:f>
        <x:v>Medium | 1.5 W × 1.9 H U</x:v>
      </x:c>
      <x:c r="G8" s="192" t="str">
        <x:f>'Decor Catalog'!P8&amp;" — Seat beside a rear rock or log; fan outward toward a side, leaving a gap behind the centre leaves."</x:f>
        <x:v>Midground — Seat beside a rear rock or log; fan outward toward a side, leaving a gap behind the centre leaves.</x:v>
      </x:c>
      <x:c r="H8" s="192" t="str">
        <x:v>Static idle. No particles, glow, movement or changing footprint.</x:v>
      </x:c>
      <x:c r="I8" s="192" t="str">
        <x:v>Static</x:v>
      </x:c>
      <x:c r="J8" s="192" t="str">
        <x:v>Use the finished base sprite with no glow or particles.</x:v>
      </x:c>
      <x:c r="K8" s="192" t="str">
        <x:v>Wide spear-leaf fan with uneven but deliberate leaf lengths.</x:v>
      </x:c>
      <x:c r="L8" s="192" t="str">
        <x:v>Single transparent sprite; bottom-centre pivot; separate icon crop.</x:v>
      </x:c>
    </x:row>
    <x:row r="9" ht="108" customHeight="1">
      <x:c r="A9" s="204" t="str">
        <x:f>'Decor Catalog'!A9</x:f>
        <x:v>CP-05</x:v>
      </x:c>
      <x:c r="B9" s="204" t="str">
        <x:f>'Decor Catalog'!B9</x:f>
        <x:v>Bacopa Bubbleleaf</x:v>
      </x:c>
      <x:c r="C9" s="192" t="str">
        <x:v>Three upright stems carry paired oval leaves like stacked little paddles; the middle stem is tallest.</x:v>
      </x:c>
      <x:c r="D9" s="192" t="str">
        <x:v>Apple green pads, soft jade shadows and pale chartreuse young tips.</x:v>
      </x:c>
      <x:c r="E9" s="192" t="str">
        <x:v>Rounded succulent-like leaves and flexible green stems, all softly cel-shaded.</x:v>
      </x:c>
      <x:c r="F9" s="192" t="str">
        <x:f>'Decor Catalog'!M9&amp;" | "&amp;TEXT('Decor Catalog'!N9,"0.0#")&amp;" W × "&amp;TEXT('Decor Catalog'!O9,"0.0#")&amp;" H U"</x:f>
        <x:v>Medium | 1.2 W × 1.8 H U</x:v>
      </x:c>
      <x:c r="G9" s="192" t="str">
        <x:f>'Decor Catalog'!P9&amp;" — Group at the rear-left of a small ornament; keep the stepped top silhouette visible."</x:f>
        <x:v>Midground — Group at the rear-left of a small ornament; keep the stepped top silhouette visible.</x:v>
      </x:c>
      <x:c r="H9" s="192" t="str">
        <x:v>Static idle. No particles, glow, movement or changing footprint.</x:v>
      </x:c>
      <x:c r="I9" s="192" t="str">
        <x:v>Static</x:v>
      </x:c>
      <x:c r="J9" s="192" t="str">
        <x:v>Use the finished base sprite with no glow or particles.</x:v>
      </x:c>
      <x:c r="K9" s="192" t="str">
        <x:v>Paired coin-shaped leaves create a readable ladder rhythm.</x:v>
      </x:c>
      <x:c r="L9" s="192" t="str">
        <x:v>Single transparent sprite; bottom-centre pivot; separate icon crop.</x:v>
      </x:c>
    </x:row>
    <x:row r="10" ht="108" customHeight="1">
      <x:c r="A10" s="204" t="str">
        <x:f>'Decor Catalog'!A10</x:f>
        <x:v>CP-06</x:v>
      </x:c>
      <x:c r="B10" s="204" t="str">
        <x:f>'Decor Catalog'!B10</x:f>
        <x:v>Cryptocoryne Bronze</x:v>
      </x:c>
      <x:c r="C10" s="192" t="str">
        <x:v>A squat starburst of broad wavy leaves curls away from a tight centre, exposing two turned undersides.</x:v>
      </x:c>
      <x:c r="D10" s="192" t="str">
        <x:v>Bronze olive, muted copper, aubergine shadows and a small sage-green centre.</x:v>
      </x:c>
      <x:c r="E10" s="192" t="str">
        <x:v>Puckered leaf texture reduced to two broad folds per leaf; no noisy veins.</x:v>
      </x:c>
      <x:c r="F10" s="192" t="str">
        <x:f>'Decor Catalog'!M10&amp;" | "&amp;TEXT('Decor Catalog'!N10,"0.0#")&amp;" W × "&amp;TEXT('Decor Catalog'!O10,"0.0#")&amp;" H U"</x:f>
        <x:v>Medium | 1.55 W × 1.35 H U</x:v>
      </x:c>
      <x:c r="G10" s="192" t="str">
        <x:f>'Decor Catalog'!P10&amp;" — Plant between grey stones in the lower midground; use as a warm counterpoint to green foliage."</x:f>
        <x:v>Midground — Plant between grey stones in the lower midground; use as a warm counterpoint to green foliage.</x:v>
      </x:c>
      <x:c r="H10" s="192" t="str">
        <x:v>Static idle. No particles, glow, movement or changing footprint.</x:v>
      </x:c>
      <x:c r="I10" s="192" t="str">
        <x:v>Static</x:v>
      </x:c>
      <x:c r="J10" s="192" t="str">
        <x:v>Use the finished base sprite with no glow or particles.</x:v>
      </x:c>
      <x:c r="K10" s="192" t="str">
        <x:v>Copper ruffled starburst breaks up the cool green plant collection.</x:v>
      </x:c>
      <x:c r="L10" s="192" t="str">
        <x:v>Single transparent sprite; bottom-centre pivot; separate icon crop.</x:v>
      </x:c>
    </x:row>
    <x:row r="11" ht="108" customHeight="1">
      <x:c r="A11" s="204" t="str">
        <x:f>'Decor Catalog'!A11</x:f>
        <x:v>CP-07</x:v>
      </x:c>
      <x:c r="B11" s="204" t="str">
        <x:f>'Decor Catalog'!B11</x:f>
        <x:v>Marimo Trio</x:v>
      </x:c>
      <x:c r="C11" s="192" t="str">
        <x:v>Three unequal moss balls overlap in a triangular grouping; a small ball sits slightly forward.</x:v>
      </x:c>
      <x:c r="D11" s="192" t="str">
        <x:v>Forest green, mint-green upper planes and deep petrol lower edges.</x:v>
      </x:c>
      <x:c r="E11" s="192" t="str">
        <x:v>Soft felt-like moss shown with a few broad scallops, not individual hairs.</x:v>
      </x:c>
      <x:c r="F11" s="192" t="str">
        <x:f>'Decor Catalog'!M11&amp;" | "&amp;TEXT('Decor Catalog'!N11,"0.0#")&amp;" W × "&amp;TEXT('Decor Catalog'!O11,"0.0#")&amp;" H U"</x:f>
        <x:v>Medium | 1.8 W × 1.1 H U</x:v>
      </x:c>
      <x:c r="G11" s="192" t="str">
        <x:f>'Decor Catalog'!P11&amp;" — Sit on open front gravel beside a low ornament; keep the three balls separate in the silhouette."</x:f>
        <x:v>Foreground — Sit on open front gravel beside a low ornament; keep the three balls separate in the silhouette.</x:v>
      </x:c>
      <x:c r="H11" s="192" t="str">
        <x:v>Static idle. No particles, glow, movement or changing footprint.</x:v>
      </x:c>
      <x:c r="I11" s="192" t="str">
        <x:v>Static</x:v>
      </x:c>
      <x:c r="J11" s="192" t="str">
        <x:v>Use the finished base sprite with no glow or particles.</x:v>
      </x:c>
      <x:c r="K11" s="192" t="str">
        <x:v>A clear large-medium-small trio; no eyes or creature features.</x:v>
      </x:c>
      <x:c r="L11" s="192" t="str">
        <x:v>Single transparent sprite; bottom-centre pivot; separate icon crop.</x:v>
      </x:c>
    </x:row>
    <x:row r="12" ht="108" customHeight="1">
      <x:c r="A12" s="204" t="str">
        <x:f>'Decor Catalog'!A12</x:f>
        <x:v>CP-08</x:v>
      </x:c>
      <x:c r="B12" s="204" t="str">
        <x:f>'Decor Catalog'!B12</x:f>
        <x:v>Corkscrew Vallisneria</x:v>
      </x:c>
      <x:c r="C12" s="192" t="str">
        <x:v>Four broad ribbon leaves twist in open corkscrews from a compact base, with different spiral heights.</x:v>
      </x:c>
      <x:c r="D12" s="192" t="str">
        <x:v>Bright grass green faces, teal shaded backs and pale lime edges.</x:v>
      </x:c>
      <x:c r="E12" s="192" t="str">
        <x:v>Matte flexible ribbons with clean alternating front and back colour planes.</x:v>
      </x:c>
      <x:c r="F12" s="192" t="str">
        <x:f>'Decor Catalog'!M12&amp;" | "&amp;TEXT('Decor Catalog'!N12,"0.0#")&amp;" W × "&amp;TEXT('Decor Catalog'!O12,"0.0#")&amp;" H U"</x:f>
        <x:v>Large | 1.2 W × 2.7 H U</x:v>
      </x:c>
      <x:c r="G12" s="192" t="str">
        <x:f>'Decor Catalog'!P12&amp;" — Root at a back corner; orient the highest spiral toward the tank wall, not the centre."</x:f>
        <x:v>Background — Root at a back corner; orient the highest spiral toward the tank wall, not the centre.</x:v>
      </x:c>
      <x:c r="H12" s="192" t="str">
        <x:v>Static idle. No particles, glow, movement or changing footprint.</x:v>
      </x:c>
      <x:c r="I12" s="192" t="str">
        <x:v>Static</x:v>
      </x:c>
      <x:c r="J12" s="192" t="str">
        <x:v>Use the finished base sprite with no glow or particles.</x:v>
      </x:c>
      <x:c r="K12" s="192" t="str">
        <x:v>Large open spirals avoid the unreadable spaghetti look.</x:v>
      </x:c>
      <x:c r="L12" s="192" t="str">
        <x:v>Single transparent sprite; bottom-centre pivot; separate icon crop.</x:v>
      </x:c>
    </x:row>
    <x:row r="13" ht="108" customHeight="1">
      <x:c r="A13" s="204" t="str">
        <x:f>'Decor Catalog'!A13</x:f>
        <x:v>CP-09</x:v>
      </x:c>
      <x:c r="B13" s="204" t="str">
        <x:f>'Decor Catalog'!B13</x:f>
        <x:v>Water Wisteria</x:v>
      </x:c>
      <x:c r="C13" s="192" t="str">
        <x:v>Two main stalks branch into layered fern-like sprays, forming a broad triangular bush.</x:v>
      </x:c>
      <x:c r="D13" s="192" t="str">
        <x:v>Lime, spearmint and rich green, with dark teal gaps between sprays.</x:v>
      </x:c>
      <x:c r="E13" s="192" t="str">
        <x:v>Delicate foliage simplified into chunky lobed paddles; opaque matte leaf clusters.</x:v>
      </x:c>
      <x:c r="F13" s="192" t="str">
        <x:f>'Decor Catalog'!M13&amp;" | "&amp;TEXT('Decor Catalog'!N13,"0.0#")&amp;" W × "&amp;TEXT('Decor Catalog'!O13,"0.0#")&amp;" H U"</x:f>
        <x:v>Large | 1.8 W × 2.4 H U</x:v>
      </x:c>
      <x:c r="G13" s="192" t="str">
        <x:f>'Decor Catalog'!P13&amp;" — Place behind low decor along a side; preserve open negative space between the two main stalks."</x:f>
        <x:v>Background — Place behind low decor along a side; preserve open negative space between the two main stalks.</x:v>
      </x:c>
      <x:c r="H13" s="192" t="str">
        <x:v>Static idle. No particles, glow, movement or changing footprint.</x:v>
      </x:c>
      <x:c r="I13" s="192" t="str">
        <x:v>Static</x:v>
      </x:c>
      <x:c r="J13" s="192" t="str">
        <x:v>Use the finished base sprite with no glow or particles.</x:v>
      </x:c>
      <x:c r="K13" s="192" t="str">
        <x:v>A triangular lace-bush silhouette built from just six major sprays.</x:v>
      </x:c>
      <x:c r="L13" s="192" t="str">
        <x:v>Single transparent sprite; bottom-centre pivot; separate icon crop.</x:v>
      </x:c>
    </x:row>
    <x:row r="14" ht="108" customHeight="1">
      <x:c r="A14" s="204" t="str">
        <x:f>'Decor Catalog'!A14</x:f>
        <x:v>CP-10</x:v>
      </x:c>
      <x:c r="B14" s="204" t="str">
        <x:f>'Decor Catalog'!B14</x:f>
        <x:v>Ludwigia Ruby</x:v>
      </x:c>
      <x:c r="C14" s="192" t="str">
        <x:v>Four arcing stems carry pointed oval leaves; the tallest stem bends outward with a red leaf crown.</x:v>
      </x:c>
      <x:c r="D14" s="192" t="str">
        <x:v>Wine red, watermelon pink, muted orange tips and dark plum stems.</x:v>
      </x:c>
      <x:c r="E14" s="192" t="str">
        <x:v>Smooth waxy-looking leaves translated into restrained matte cel shading without white shine.</x:v>
      </x:c>
      <x:c r="F14" s="192" t="str">
        <x:f>'Decor Catalog'!M14&amp;" | "&amp;TEXT('Decor Catalog'!N14,"0.0#")&amp;" W × "&amp;TEXT('Decor Catalog'!O14,"0.0#")&amp;" H U"</x:f>
        <x:v>Large | 1.5 W × 2.2 H U</x:v>
      </x:c>
      <x:c r="G14" s="192" t="str">
        <x:f>'Decor Catalog'!P14&amp;" — Use as a midground colour accent beside pale rock; avoid hiding it behind taller green plants."</x:f>
        <x:v>Midground — Use as a midground colour accent beside pale rock; avoid hiding it behind taller green plants.</x:v>
      </x:c>
      <x:c r="H14" s="192" t="str">
        <x:v>Static idle. No particles, glow, movement or changing footprint.</x:v>
      </x:c>
      <x:c r="I14" s="192" t="str">
        <x:v>Static</x:v>
      </x:c>
      <x:c r="J14" s="192" t="str">
        <x:v>Use the finished base sprite with no glow or particles.</x:v>
      </x:c>
      <x:c r="K14" s="192" t="str">
        <x:v>Bold red oval leaves with a gently hooked top.</x:v>
      </x:c>
      <x:c r="L14" s="192" t="str">
        <x:v>Single transparent sprite; bottom-centre pivot; separate icon crop.</x:v>
      </x:c>
    </x:row>
    <x:row r="15" ht="108" customHeight="1">
      <x:c r="A15" s="204" t="str">
        <x:f>'Decor Catalog'!A15</x:f>
        <x:v>CP-11</x:v>
      </x:c>
      <x:c r="B15" s="204" t="str">
        <x:f>'Decor Catalog'!B15</x:f>
        <x:v>Rotala Sunset</x:v>
      </x:c>
      <x:c r="C15" s="192" t="str">
        <x:v>A narrow bouquet of five stems widens into layered small leaf fans at the top.</x:v>
      </x:c>
      <x:c r="D15" s="192" t="str">
        <x:v>Apricot upper leaves shift to coral pink and moss green near the roots.</x:v>
      </x:c>
      <x:c r="E15" s="192" t="str">
        <x:v>Fine leaves grouped into large readable sprays; thin stems remain secondary.</x:v>
      </x:c>
      <x:c r="F15" s="192" t="str">
        <x:f>'Decor Catalog'!M15&amp;" | "&amp;TEXT('Decor Catalog'!N15,"0.0#")&amp;" W × "&amp;TEXT('Decor Catalog'!O15,"0.0#")&amp;" H U"</x:f>
        <x:v>Large | 1.6 W × 2.6 H U</x:v>
      </x:c>
      <x:c r="G15" s="192" t="str">
        <x:f>'Decor Catalog'!P15&amp;" — Anchor along the rear third; overlap only the base of an adjacent plant for a soft hedge."</x:f>
        <x:v>Background — Anchor along the rear third; overlap only the base of an adjacent plant for a soft hedge.</x:v>
      </x:c>
      <x:c r="H15" s="192" t="str">
        <x:v>Static idle. No particles, glow, movement or changing footprint.</x:v>
      </x:c>
      <x:c r="I15" s="192" t="str">
        <x:v>Static</x:v>
      </x:c>
      <x:c r="J15" s="192" t="str">
        <x:v>Use the finished base sprite with no glow or particles.</x:v>
      </x:c>
      <x:c r="K15" s="192" t="str">
        <x:v>Warm top-to-bottom colour bands read as sunset, not an emitted glow.</x:v>
      </x:c>
      <x:c r="L15" s="192" t="str">
        <x:v>Single transparent sprite; bottom-centre pivot; separate icon crop.</x:v>
      </x:c>
    </x:row>
    <x:row r="16" ht="108" customHeight="1">
      <x:c r="A16" s="204" t="str">
        <x:f>'Decor Catalog'!A16</x:f>
        <x:v>CP-12</x:v>
      </x:c>
      <x:c r="B16" s="204" t="str">
        <x:f>'Decor Catalog'!B16</x:f>
        <x:v>Amazon Sword</x:v>
      </x:c>
      <x:c r="C16" s="192" t="str">
        <x:v>A commanding rosette of seven broad sword leaves curves upward, with one leaf bowing low to the side.</x:v>
      </x:c>
      <x:c r="D16" s="192" t="str">
        <x:v>Deep emerald blades, fresh lime centre growth and cool blue-green shadows.</x:v>
      </x:c>
      <x:c r="E16" s="192" t="str">
        <x:v>Firm broad leaves with a single thick centre fold and softly rounded tips.</x:v>
      </x:c>
      <x:c r="F16" s="192" t="str">
        <x:f>'Decor Catalog'!M16&amp;" | "&amp;TEXT('Decor Catalog'!N16,"0.0#")&amp;" W × "&amp;TEXT('Decor Catalog'!O16,"0.0#")&amp;" H U"</x:f>
        <x:v>Large | 2.5 W × 3.0 H U</x:v>
      </x:c>
      <x:c r="G16" s="192" t="str">
        <x:f>'Decor Catalog'!P16&amp;" — Use as a back-corner anchor behind a small rock; keep its lower leaf arch open to fish silhouettes."</x:f>
        <x:v>Background — Use as a back-corner anchor behind a small rock; keep its lower leaf arch open to fish silhouettes.</x:v>
      </x:c>
      <x:c r="H16" s="192" t="str">
        <x:v>Static idle. No particles, glow, movement or changing footprint.</x:v>
      </x:c>
      <x:c r="I16" s="192" t="str">
        <x:v>Static</x:v>
      </x:c>
      <x:c r="J16" s="192" t="str">
        <x:v>Use the finished base sprite with no glow or particles.</x:v>
      </x:c>
      <x:c r="K16" s="192" t="str">
        <x:v>A broad sword-shaped crown, heavier and taller than Java Fern.</x:v>
      </x:c>
      <x:c r="L16" s="192" t="str">
        <x:v>Single transparent sprite; bottom-centre pivot; separate icon crop.</x:v>
      </x:c>
    </x:row>
    <x:row r="17" ht="108" customHeight="1">
      <x:c r="A17" s="204" t="str">
        <x:f>'Decor Catalog'!A17</x:f>
        <x:v>CP-13</x:v>
      </x:c>
      <x:c r="B17" s="204" t="str">
        <x:f>'Decor Catalog'!B17</x:f>
        <x:v>Red Tiger Lotus</x:v>
      </x:c>
      <x:c r="C17" s="192" t="str">
        <x:v>Four round shield leaves on curved stalks overlap above a squat bulb; one leaf tilts to show its underside.</x:v>
      </x:c>
      <x:c r="D17" s="192" t="str">
        <x:v>Burgundy red leaves with large russet patches, rose undersides and a dark brown bulb.</x:v>
      </x:c>
      <x:c r="E17" s="192" t="str">
        <x:v>Soft matte leaf discs; tiger markings are a handful of broad organic patches.</x:v>
      </x:c>
      <x:c r="F17" s="192" t="str">
        <x:f>'Decor Catalog'!M17&amp;" | "&amp;TEXT('Decor Catalog'!N17,"0.0#")&amp;" W × "&amp;TEXT('Decor Catalog'!O17,"0.0#")&amp;" H U"</x:f>
        <x:v>Large | 2.2 W × 2.0 H U</x:v>
      </x:c>
      <x:c r="G17" s="192" t="str">
        <x:f>'Decor Catalog'!P17&amp;" — Keep fully submerged in the side midground; no leaf is drawn as a tank-wide floating surface."</x:f>
        <x:v>Midground — Keep fully submerged in the side midground; no leaf is drawn as a tank-wide floating surface.</x:v>
      </x:c>
      <x:c r="H17" s="192" t="str">
        <x:v>Static idle. No particles, glow, movement or changing footprint.</x:v>
      </x:c>
      <x:c r="I17" s="192" t="str">
        <x:v>Static</x:v>
      </x:c>
      <x:c r="J17" s="192" t="str">
        <x:v>Use the finished base sprite with no glow or particles.</x:v>
      </x:c>
      <x:c r="K17" s="192" t="str">
        <x:v>Round red shields with coarse tiger patches, unlike pointed stem plants.</x:v>
      </x:c>
      <x:c r="L17" s="192" t="str">
        <x:v>Single transparent sprite; bottom-centre pivot; separate icon crop.</x:v>
      </x:c>
    </x:row>
    <x:row r="18" ht="108" customHeight="1">
      <x:c r="A18" s="204" t="str">
        <x:f>'Decor Catalog'!A18</x:f>
        <x:v>CP-14</x:v>
      </x:c>
      <x:c r="B18" s="204" t="str">
        <x:f>'Decor Catalog'!B18</x:f>
        <x:v>Water Sprite Canopy</x:v>
      </x:c>
      <x:c r="C18" s="192" t="str">
        <x:v>A slender central stem opens into a loose umbrella of branching finger-shaped fronds.</x:v>
      </x:c>
      <x:c r="D18" s="192" t="str">
        <x:v>Mint, pale celadon and medium jade with deep green at the root.</x:v>
      </x:c>
      <x:c r="E18" s="192" t="str">
        <x:v>Feathery leaves simplified into broad forked strips; airy gaps do most of the detailing.</x:v>
      </x:c>
      <x:c r="F18" s="192" t="str">
        <x:f>'Decor Catalog'!M18&amp;" | "&amp;TEXT('Decor Catalog'!N18,"0.0#")&amp;" W × "&amp;TEXT('Decor Catalog'!O18,"0.0#")&amp;" H U"</x:f>
        <x:v>Large | 2.4 W × 2.7 H U</x:v>
      </x:c>
      <x:c r="G18" s="192" t="str">
        <x:f>'Decor Catalog'!P18&amp;" — Set behind a compact ornament near a rear corner; keep the underside of the canopy visually open."</x:f>
        <x:v>Background — Set behind a compact ornament near a rear corner; keep the underside of the canopy visually open.</x:v>
      </x:c>
      <x:c r="H18" s="192" t="str">
        <x:v>Static idle. No particles, glow, movement or changing footprint.</x:v>
      </x:c>
      <x:c r="I18" s="192" t="str">
        <x:v>Static</x:v>
      </x:c>
      <x:c r="J18" s="192" t="str">
        <x:v>Use the finished base sprite with no glow or particles.</x:v>
      </x:c>
      <x:c r="K18" s="192" t="str">
        <x:v>Pale umbrella canopy with forked fingers and a visible trunk.</x:v>
      </x:c>
      <x:c r="L18" s="192" t="str">
        <x:v>Single transparent sprite; bottom-centre pivot; separate icon crop.</x:v>
      </x:c>
    </x:row>
    <x:row r="19" ht="108" customHeight="1">
      <x:c r="A19" s="204" t="str">
        <x:f>'Decor Catalog'!A19</x:f>
        <x:v>CP-15</x:v>
      </x:c>
      <x:c r="B19" s="204" t="str">
        <x:f>'Decor Catalog'!B19</x:f>
        <x:v>Pogostemon Star Cluster</x:v>
      </x:c>
      <x:c r="C19" s="192" t="str">
        <x:v>Three compact star rosettes have deeply ruffled, chunky leaves curling upward at their tips.</x:v>
      </x:c>
      <x:c r="D19" s="192" t="str">
        <x:v>Electric lime balanced by cool jade recesses and a subdued olive base.</x:v>
      </x:c>
      <x:c r="E19" s="192" t="str">
        <x:v>Crisp folded leaves with two broad zigzag ridges each; no fine serration noise.</x:v>
      </x:c>
      <x:c r="F19" s="192" t="str">
        <x:f>'Decor Catalog'!M19&amp;" | "&amp;TEXT('Decor Catalog'!N19,"0.0#")&amp;" W × "&amp;TEXT('Decor Catalog'!O19,"0.0#")&amp;" H U"</x:f>
        <x:v>Medium | 1.8 W × 1.3 H U</x:v>
      </x:c>
      <x:c r="G19" s="192" t="str">
        <x:f>'Decor Catalog'!P19&amp;" — Plant as a foreground accent between low stones; leave space around each star silhouette."</x:f>
        <x:v>Foreground — Plant as a foreground accent between low stones; leave space around each star silhouette.</x:v>
      </x:c>
      <x:c r="H19" s="192" t="str">
        <x:v>Static idle. No particles, glow, movement or changing footprint.</x:v>
      </x:c>
      <x:c r="I19" s="192" t="str">
        <x:v>Static</x:v>
      </x:c>
      <x:c r="J19" s="192" t="str">
        <x:v>Use the finished base sprite with no glow or particles.</x:v>
      </x:c>
      <x:c r="K19" s="192" t="str">
        <x:v>A ruffled three-star carpet, not another smooth moss mound.</x:v>
      </x:c>
      <x:c r="L19" s="192" t="str">
        <x:v>Single transparent sprite; bottom-centre pivot; separate icon crop.</x:v>
      </x:c>
    </x:row>
    <x:row r="20" ht="108" customHeight="1">
      <x:c r="A20" s="204" t="str">
        <x:f>'Decor Catalog'!A20</x:f>
        <x:v>CP-16</x:v>
      </x:c>
      <x:c r="B20" s="204" t="str">
        <x:f>'Decor Catalog'!B20</x:f>
        <x:v>Banana Root Rosette</x:v>
      </x:c>
      <x:c r="C20" s="192" t="str">
        <x:v>A small fan of round leaves rises above five thick banana-shaped root tubers grouped at the base.</x:v>
      </x:c>
      <x:c r="D20" s="192" t="str">
        <x:v>Kelly green leaves, golden-olive tubers and pale aqua shaded undersides.</x:v>
      </x:c>
      <x:c r="E20" s="192" t="str">
        <x:v>Smooth matte leaves and gently ribbed, fleshy-looking roots with simplified rounded ends.</x:v>
      </x:c>
      <x:c r="F20" s="192" t="str">
        <x:f>'Decor Catalog'!M20&amp;" | "&amp;TEXT('Decor Catalog'!N20,"0.0#")&amp;" W × "&amp;TEXT('Decor Catalog'!O20,"0.0#")&amp;" H U"</x:f>
        <x:v>Medium | 1.8 W × 1.6 H U</x:v>
      </x:c>
      <x:c r="G20" s="192" t="str">
        <x:f>'Decor Catalog'!P20&amp;" — Seat on a small open gravel patch so the unusual root cluster stays visible."</x:f>
        <x:v>Midground — Seat on a small open gravel patch so the unusual root cluster stays visible.</x:v>
      </x:c>
      <x:c r="H20" s="192" t="str">
        <x:v>Static idle. No particles, glow, movement or changing footprint.</x:v>
      </x:c>
      <x:c r="I20" s="192" t="str">
        <x:v>Static</x:v>
      </x:c>
      <x:c r="J20" s="192" t="str">
        <x:v>Use the finished base sprite with no glow or particles.</x:v>
      </x:c>
      <x:c r="K20" s="192" t="str">
        <x:v>Exposed finger-like tubers are the collectible's defining feature.</x:v>
      </x:c>
      <x:c r="L20" s="192" t="str">
        <x:v>Single transparent sprite; bottom-centre pivot; separate icon crop.</x:v>
      </x:c>
    </x:row>
    <x:row r="21" ht="108" customHeight="1">
      <x:c r="A21" s="204" t="str">
        <x:f>'Decor Catalog'!A21</x:f>
        <x:v>CP-17</x:v>
      </x:c>
      <x:c r="B21" s="204" t="str">
        <x:f>'Decor Catalog'!B21</x:f>
        <x:v>Christmas Moss Log</x:v>
      </x:c>
      <x:c r="C21" s="192" t="str">
        <x:v>A short diagonal branch carries three tiers of moss shaped like miniature evergreen boughs.</x:v>
      </x:c>
      <x:c r="D21" s="192" t="str">
        <x:v>Pine and fresh green foliage; chestnut wood with a sandy cut end.</x:v>
      </x:c>
      <x:c r="E21" s="192" t="str">
        <x:v>Matte bark with two broad grooves; moss forms flat layered chevrons.</x:v>
      </x:c>
      <x:c r="F21" s="192" t="str">
        <x:f>'Decor Catalog'!M21&amp;" | "&amp;TEXT('Decor Catalog'!N21,"0.0#")&amp;" W × "&amp;TEXT('Decor Catalog'!O21,"0.0#")&amp;" H U"</x:f>
        <x:v>Large | 2.4 W × 1.4 H U</x:v>
      </x:c>
      <x:c r="G21" s="192" t="str">
        <x:f>'Decor Catalog'!P21&amp;" — Lay horizontally beside a side wall; leave the hollow beneath the angled branch unobscured."</x:f>
        <x:v>Midground — Lay horizontally beside a side wall; leave the hollow beneath the angled branch unobscured.</x:v>
      </x:c>
      <x:c r="H21" s="192" t="str">
        <x:v>Static idle. No particles, glow, movement or changing footprint.</x:v>
      </x:c>
      <x:c r="I21" s="192" t="str">
        <x:v>Static</x:v>
      </x:c>
      <x:c r="J21" s="192" t="str">
        <x:v>Use the finished base sprite with no glow or particles.</x:v>
      </x:c>
      <x:c r="K21" s="192" t="str">
        <x:v>Tiered evergreen moss on a diagonal log; not a holiday prop.</x:v>
      </x:c>
      <x:c r="L21" s="192" t="str">
        <x:v>Single transparent sprite; bottom-centre pivot; separate icon crop.</x:v>
      </x:c>
    </x:row>
    <x:row r="22" ht="108" customHeight="1">
      <x:c r="A22" s="204" t="str">
        <x:f>'Decor Catalog'!A22</x:f>
        <x:v>CP-18</x:v>
      </x:c>
      <x:c r="B22" s="204" t="str">
        <x:f>'Decor Catalog'!B22</x:f>
        <x:v>Pearlweed Pillow</x:v>
      </x:c>
      <x:c r="C22" s="192" t="str">
        <x:v>A broad low cushion of six rounded leafy lobes has one shallow notch along its front edge.</x:v>
      </x:c>
      <x:c r="D22" s="192" t="str">
        <x:v>Pistachio, pale lime and deep leaf green in large overlapping clumps.</x:v>
      </x:c>
      <x:c r="E22" s="192" t="str">
        <x:v>Tiny leaf idea conveyed through paired scalloped masses rather than individual speckles.</x:v>
      </x:c>
      <x:c r="F22" s="192" t="str">
        <x:f>'Decor Catalog'!M22&amp;" | "&amp;TEXT('Decor Catalog'!N22,"0.0#")&amp;" W × "&amp;TEXT('Decor Catalog'!O22,"0.0#")&amp;" H U"</x:f>
        <x:v>Large | 2.8 W × 1.4 H U</x:v>
      </x:c>
      <x:c r="G22" s="192" t="str">
        <x:f>'Decor Catalog'!P22&amp;" — Use as a short front-side border; do not stretch or tile it into a solid wall."</x:f>
        <x:v>Foreground — Use as a short front-side border; do not stretch or tile it into a solid wall.</x:v>
      </x:c>
      <x:c r="H22" s="192" t="str">
        <x:v>Static idle. No particles, glow, movement or changing footprint.</x:v>
      </x:c>
      <x:c r="I22" s="192" t="str">
        <x:v>Static</x:v>
      </x:c>
      <x:c r="J22" s="192" t="str">
        <x:v>Use the finished base sprite with no glow or particles.</x:v>
      </x:c>
      <x:c r="K22" s="192" t="str">
        <x:v>A pillowy scalloped hedge with a distinctive centre notch.</x:v>
      </x:c>
      <x:c r="L22" s="192" t="str">
        <x:v>Single transparent sprite; bottom-centre pivot; separate icon crop.</x:v>
      </x:c>
    </x:row>
    <x:row r="23" ht="108" customHeight="1">
      <x:c r="A23" s="204" t="str">
        <x:f>'Decor Catalog'!A23</x:f>
        <x:v>CP-19</x:v>
      </x:c>
      <x:c r="B23" s="204" t="str">
        <x:f>'Decor Catalog'!B23</x:f>
        <x:v>Laceleaf Aponogeton</x:v>
      </x:c>
      <x:c r="C23" s="192" t="str">
        <x:v>Five tall ribbon leaves form an open fan; each has a few oversized lattice openings.</x:v>
      </x:c>
      <x:c r="D23" s="192" t="str">
        <x:v>Sea green mesh edges, mint centres and dark turquoise stalks.</x:v>
      </x:c>
      <x:c r="E23" s="192" t="str">
        <x:v>Thin lace-like leaves with bold, sparse cutouts that remain transparent at mobile size.</x:v>
      </x:c>
      <x:c r="F23" s="192" t="str">
        <x:f>'Decor Catalog'!M23&amp;" | "&amp;TEXT('Decor Catalog'!N23,"0.0#")&amp;" W × "&amp;TEXT('Decor Catalog'!O23,"0.0#")&amp;" H U"</x:f>
        <x:v>Large | 2.2 W × 3.0 H U</x:v>
      </x:c>
      <x:c r="G23" s="192" t="str">
        <x:f>'Decor Catalog'!P23&amp;" — Place at a rear side so fish can remain visible through the large leaf openings."</x:f>
        <x:v>Background — Place at a rear side so fish can remain visible through the large leaf openings.</x:v>
      </x:c>
      <x:c r="H23" s="192" t="str">
        <x:v>Static idle. No particles, glow, movement or changing footprint.</x:v>
      </x:c>
      <x:c r="I23" s="192" t="str">
        <x:v>Static</x:v>
      </x:c>
      <x:c r="J23" s="192" t="str">
        <x:v>Use the finished base sprite with no glow or particles.</x:v>
      </x:c>
      <x:c r="K23" s="192" t="str">
        <x:v>Real transparent lattice windows, not texture painted onto solid leaves.</x:v>
      </x:c>
      <x:c r="L23" s="192" t="str">
        <x:v>Single transparent sprite; bottom-centre pivot; separate icon crop.</x:v>
      </x:c>
    </x:row>
    <x:row r="24" ht="108" customHeight="1">
      <x:c r="A24" s="204" t="str">
        <x:f>'Decor Catalog'!A24</x:f>
        <x:v>CP-20</x:v>
      </x:c>
      <x:c r="B24" s="204" t="str">
        <x:f>'Decor Catalog'!B24</x:f>
        <x:v>Ruffled Ribbon Plant</x:v>
      </x:c>
      <x:c r="C24" s="192" t="str">
        <x:v>Five narrow straps rise from a small bulb, undulating in broad S-curves with exaggerated rippled edges.</x:v>
      </x:c>
      <x:c r="D24" s="192" t="str">
        <x:v>Deep blue-green, olive highlights and a warm beige bulb.</x:v>
      </x:c>
      <x:c r="E24" s="192" t="str">
        <x:v>Leathery matte ribbons; ruffles rendered as alternating broad light and dark folds.</x:v>
      </x:c>
      <x:c r="F24" s="192" t="str">
        <x:f>'Decor Catalog'!M24&amp;" | "&amp;TEXT('Decor Catalog'!N24,"0.0#")&amp;" W × "&amp;TEXT('Decor Catalog'!O24,"0.0#")&amp;" H U"</x:f>
        <x:v>Large | 1.7 W × 3.1 H U</x:v>
      </x:c>
      <x:c r="G24" s="192" t="str">
        <x:f>'Decor Catalog'!P24&amp;" — Root at the back edge beside a low stone; direct the longest ribbons toward the outside."</x:f>
        <x:v>Background — Root at the back edge beside a low stone; direct the longest ribbons toward the outside.</x:v>
      </x:c>
      <x:c r="H24" s="192" t="str">
        <x:v>Static idle. No particles, glow, movement or changing footprint.</x:v>
      </x:c>
      <x:c r="I24" s="192" t="str">
        <x:v>Static</x:v>
      </x:c>
      <x:c r="J24" s="192" t="str">
        <x:v>Use the finished base sprite with no glow or particles.</x:v>
      </x:c>
      <x:c r="K24" s="192" t="str">
        <x:v>Tall narrow S-curves with ruffled edges, distinct from corkscrew spirals.</x:v>
      </x:c>
      <x:c r="L24" s="192" t="str">
        <x:v>Single transparent sprite; bottom-centre pivot; separate icon crop.</x:v>
      </x:c>
    </x:row>
    <x:row r="25" ht="108" customHeight="1">
      <x:c r="A25" s="204" t="str">
        <x:f>'Decor Catalog'!A25</x:f>
        <x:v>CP-21</x:v>
      </x:c>
      <x:c r="B25" s="204" t="str">
        <x:f>'Decor Catalog'!B25</x:f>
        <x:v>Bolbitis River Fern</x:v>
      </x:c>
      <x:c r="C25" s="192" t="str">
        <x:v>Three arched stems support widely spaced paired fern lobes, making an open asymmetric fountain.</x:v>
      </x:c>
      <x:c r="D25" s="192" t="str">
        <x:v>Bottle green, cool moss and pale emerald tips; dark cocoa roots.</x:v>
      </x:c>
      <x:c r="E25" s="192" t="str">
        <x:v>Thin leathery fronds with broad lobes and one central vein per stem.</x:v>
      </x:c>
      <x:c r="F25" s="192" t="str">
        <x:f>'Decor Catalog'!M25&amp;" | "&amp;TEXT('Decor Catalog'!N25,"0.0#")&amp;" W × "&amp;TEXT('Decor Catalog'!O25,"0.0#")&amp;" H U"</x:f>
        <x:v>Large | 2.5 W × 2.6 H U</x:v>
      </x:c>
      <x:c r="G25" s="192" t="str">
        <x:f>'Decor Catalog'!P25&amp;" — Anchor to a rear log or rock; leave visible gaps between the three frond arches."</x:f>
        <x:v>Background — Anchor to a rear log or rock; leave visible gaps between the three frond arches.</x:v>
      </x:c>
      <x:c r="H25" s="192" t="str">
        <x:v>Static idle. No particles, glow, movement or changing footprint.</x:v>
      </x:c>
      <x:c r="I25" s="192" t="str">
        <x:v>Static</x:v>
      </x:c>
      <x:c r="J25" s="192" t="str">
        <x:v>Use the finished base sprite with no glow or particles.</x:v>
      </x:c>
      <x:c r="K25" s="192" t="str">
        <x:v>A dark, open fountain of paired lobes with no bushy fill.</x:v>
      </x:c>
      <x:c r="L25" s="192" t="str">
        <x:v>Single transparent sprite; bottom-centre pivot; separate icon crop.</x:v>
      </x:c>
    </x:row>
    <x:row r="26" ht="108" customHeight="1">
      <x:c r="A26" s="204" t="str">
        <x:f>'Decor Catalog'!A26</x:f>
        <x:v>CP-22</x:v>
      </x:c>
      <x:c r="B26" s="204" t="str">
        <x:f>'Decor Catalog'!B26</x:f>
        <x:v>Bucephalandra Velvet</x:v>
      </x:c>
      <x:c r="C26" s="192" t="str">
        <x:v>A compact cluster of broad oval leaves rises from a twisting rhizome; two leaves curl like shallow spoons.</x:v>
      </x:c>
      <x:c r="D26" s="192" t="str">
        <x:v>Peacock teal, indigo shadow planes and a muted cranberry underside.</x:v>
      </x:c>
      <x:c r="E26" s="192" t="str">
        <x:v>Velvety matte leaf faces with subtle coloured edges; no iridescent sparkle animation.</x:v>
      </x:c>
      <x:c r="F26" s="192" t="str">
        <x:f>'Decor Catalog'!M26&amp;" | "&amp;TEXT('Decor Catalog'!N26,"0.0#")&amp;" W × "&amp;TEXT('Decor Catalog'!O26,"0.0#")&amp;" H U"</x:f>
        <x:v>Medium | 1.8 W × 1.4 H U</x:v>
      </x:c>
      <x:c r="G26" s="192" t="str">
        <x:f>'Decor Catalog'!P26&amp;" — Perch against a pale stone at a side focal point; keep the curled leaves uncovered."</x:f>
        <x:v>Midground — Perch against a pale stone at a side focal point; keep the curled leaves uncovered.</x:v>
      </x:c>
      <x:c r="H26" s="192" t="str">
        <x:v>Static idle. No particles, glow, movement or changing footprint.</x:v>
      </x:c>
      <x:c r="I26" s="192" t="str">
        <x:v>Static</x:v>
      </x:c>
      <x:c r="J26" s="192" t="str">
        <x:v>Use the finished base sprite with no glow or particles.</x:v>
      </x:c>
      <x:c r="K26" s="192" t="str">
        <x:v>Low jewel-toned spoon leaves provide luxury without luminous effects.</x:v>
      </x:c>
      <x:c r="L26" s="192" t="str">
        <x:v>Single transparent sprite; bottom-centre pivot; separate icon crop.</x:v>
      </x:c>
    </x:row>
    <x:row r="27" ht="108" customHeight="1">
      <x:c r="A27" s="204" t="str">
        <x:f>'Decor Catalog'!A27</x:f>
        <x:v>CP-23</x:v>
      </x:c>
      <x:c r="B27" s="204" t="str">
        <x:f>'Decor Catalog'!B27</x:f>
        <x:v>Scarlet Temple Bush</x:v>
      </x:c>
      <x:c r="C27" s="192" t="str">
        <x:v>A dense but sculpted bouquet of pointed leaves grows in three ascending tiers from a narrow stem base.</x:v>
      </x:c>
      <x:c r="D27" s="192" t="str">
        <x:v>Scarlet, berry red and peach upper planes with dark plum interior gaps.</x:v>
      </x:c>
      <x:c r="E27" s="192" t="str">
        <x:v>Firm matte leaves; broad colour planes replace detailed vein networks.</x:v>
      </x:c>
      <x:c r="F27" s="192" t="str">
        <x:f>'Decor Catalog'!M27&amp;" | "&amp;TEXT('Decor Catalog'!N27,"0.0#")&amp;" W × "&amp;TEXT('Decor Catalog'!O27,"0.0#")&amp;" H U"</x:f>
        <x:v>Large | 2.8 W × 3.0 H U</x:v>
      </x:c>
      <x:c r="G27" s="192" t="str">
        <x:f>'Decor Catalog'!P27&amp;" — Use as a single rear-side statement plant with open water above the lowest tier."</x:f>
        <x:v>Background — Use as a single rear-side statement plant with open water above the lowest tier.</x:v>
      </x:c>
      <x:c r="H27" s="192" t="str">
        <x:v>Static idle. No particles, glow, movement or changing footprint.</x:v>
      </x:c>
      <x:c r="I27" s="192" t="str">
        <x:v>Static</x:v>
      </x:c>
      <x:c r="J27" s="192" t="str">
        <x:v>Use the finished base sprite with no glow or particles.</x:v>
      </x:c>
      <x:c r="K27" s="192" t="str">
        <x:v>Three stepped red crowns create a recognisable flame-shaped mass.</x:v>
      </x:c>
      <x:c r="L27" s="192" t="str">
        <x:v>Single transparent sprite; bottom-centre pivot; separate icon crop.</x:v>
      </x:c>
    </x:row>
    <x:row r="28" ht="108" customHeight="1">
      <x:c r="A28" s="204" t="str">
        <x:f>'Decor Catalog'!A28</x:f>
        <x:v>CP-24</x:v>
      </x:c>
      <x:c r="B28" s="204" t="str">
        <x:f>'Decor Catalog'!B28</x:f>
        <x:v>Willow Hygrophila</x:v>
      </x:c>
      <x:c r="C28" s="192" t="str">
        <x:v>A sturdy stem splits into three airy sprays of long narrow leaves that droop like a miniature willow.</x:v>
      </x:c>
      <x:c r="D28" s="192" t="str">
        <x:v>Chartreuse tips, soft sage and deep olive stems.</x:v>
      </x:c>
      <x:c r="E28" s="192" t="str">
        <x:v>Matte ribbon leaves with smooth edges; clusters are separated by generous transparent gaps.</x:v>
      </x:c>
      <x:c r="F28" s="192" t="str">
        <x:f>'Decor Catalog'!M28&amp;" | "&amp;TEXT('Decor Catalog'!N28,"0.0#")&amp;" W × "&amp;TEXT('Decor Catalog'!O28,"0.0#")&amp;" H U"</x:f>
        <x:v>Large | 2.8 W × 3.2 H U</x:v>
      </x:c>
      <x:c r="G28" s="192" t="str">
        <x:f>'Decor Catalog'!P28&amp;" — Set behind a small ornament at the back right or left; keep the drooping tips outside the main swim lane."</x:f>
        <x:v>Background — Set behind a small ornament at the back right or left; keep the drooping tips outside the main swim lane.</x:v>
      </x:c>
      <x:c r="H28" s="192" t="str">
        <x:v>Static idle. No particles, glow, movement or changing footprint.</x:v>
      </x:c>
      <x:c r="I28" s="192" t="str">
        <x:v>Static</x:v>
      </x:c>
      <x:c r="J28" s="192" t="str">
        <x:v>Use the finished base sprite with no glow or particles.</x:v>
      </x:c>
      <x:c r="K28" s="192" t="str">
        <x:v>An airy willow silhouette with a visible central fork.</x:v>
      </x:c>
      <x:c r="L28" s="192" t="str">
        <x:v>Single transparent sprite; bottom-centre pivot; separate icon crop.</x:v>
      </x:c>
    </x:row>
    <x:row r="29" ht="108" customHeight="1">
      <x:c r="A29" s="204" t="str">
        <x:f>'Decor Catalog'!A29</x:f>
        <x:v>CP-25</x:v>
      </x:c>
      <x:c r="B29" s="204" t="str">
        <x:f>'Decor Catalog'!B29</x:f>
        <x:v>Mangrove Root Sapling</x:v>
      </x:c>
      <x:c r="C29" s="192" t="str">
        <x:v>Three stilt roots form an open tripod below a short curved trunk and a compact crown of thick oval leaves.</x:v>
      </x:c>
      <x:c r="D29" s="192" t="str">
        <x:v>Walnut brown roots, terracotta bark accents and glossy-green colour rendered matte on leaves.</x:v>
      </x:c>
      <x:c r="E29" s="192" t="str">
        <x:v>Rounded wood ridges, knotted root joints and thick leathery leaf shapes.</x:v>
      </x:c>
      <x:c r="F29" s="192" t="str">
        <x:f>'Decor Catalog'!M29&amp;" | "&amp;TEXT('Decor Catalog'!N29,"0.0#")&amp;" W × "&amp;TEXT('Decor Catalog'!O29,"0.0#")&amp;" H U"</x:f>
        <x:v>XL | 3.0 W × 3.5 H U</x:v>
      </x:c>
      <x:c r="G29" s="192" t="str">
        <x:f>'Decor Catalog'!P29&amp;" — Use as a back-corner landmark wholly within the tank view; roots frame open negative space, not a fish tunnel mechanic."</x:f>
        <x:v>Background — Use as a back-corner landmark wholly within the tank view; roots frame open negative space, not a fish tunnel mechanic.</x:v>
      </x:c>
      <x:c r="H29" s="192" t="str">
        <x:v>Static idle. No particles, glow, movement or changing footprint.</x:v>
      </x:c>
      <x:c r="I29" s="192" t="str">
        <x:v>Static</x:v>
      </x:c>
      <x:c r="J29" s="192" t="str">
        <x:v>Use the finished base sprite with no glow or particles.</x:v>
      </x:c>
      <x:c r="K29" s="192" t="str">
        <x:v>Open stilt-root tripod distinguishes it from every other plant.</x:v>
      </x:c>
      <x:c r="L29" s="192" t="str">
        <x:v>Single transparent sprite; bottom-centre pivot; separate icon crop.</x:v>
      </x:c>
    </x:row>
    <x:row r="30" ht="108" customHeight="1">
      <x:c r="A30" s="204" t="str">
        <x:f>'Decor Catalog'!A30</x:f>
        <x:v>CP-26</x:v>
      </x:c>
      <x:c r="B30" s="204" t="str">
        <x:f>'Decor Catalog'!B30</x:f>
        <x:v>Crystalgrass Crescent</x:v>
      </x:c>
      <x:c r="C30" s="192" t="str">
        <x:v>A crescent of six faceted leaf blades steps upward toward one side like a small botanical crystal fan.</x:v>
      </x:c>
      <x:c r="D30" s="192" t="str">
        <x:v>Icy aqua, glacier blue and pale lilac faces with dark cyan bases.</x:v>
      </x:c>
      <x:c r="E30" s="192" t="str">
        <x:v>Imaginary rigid translucent-looking leaves, painted as flat matte facets without glass reflections.</x:v>
      </x:c>
      <x:c r="F30" s="192" t="str">
        <x:f>'Decor Catalog'!M30&amp;" | "&amp;TEXT('Decor Catalog'!N30,"0.0#")&amp;" W × "&amp;TEXT('Decor Catalog'!O30,"0.0#")&amp;" H U"</x:f>
        <x:v>Large | 2.4 W × 2.2 H U</x:v>
      </x:c>
      <x:c r="G30" s="192" t="str">
        <x:f>'Decor Catalog'!P30&amp;" — Place against a darker rear-side area; angle the highest blades away from the screen centre."</x:f>
        <x:v>Midground — Place against a darker rear-side area; angle the highest blades away from the screen centre.</x:v>
      </x:c>
      <x:c r="H30" s="192" t="str">
        <x:v>Static idle. No particles, glow, movement or changing footprint.</x:v>
      </x:c>
      <x:c r="I30" s="192" t="str">
        <x:v>Static</x:v>
      </x:c>
      <x:c r="J30" s="192" t="str">
        <x:v>Use the finished base sprite with no glow or particles.</x:v>
      </x:c>
      <x:c r="K30" s="192" t="str">
        <x:v>A one-sided faceted crescent; no glow is required to read it.</x:v>
      </x:c>
      <x:c r="L30" s="192" t="str">
        <x:v>Single transparent sprite; bottom-centre pivot; separate icon crop.</x:v>
      </x:c>
    </x:row>
    <x:row r="31" ht="108" customHeight="1">
      <x:c r="A31" s="204" t="str">
        <x:f>'Decor Catalog'!A31</x:f>
        <x:v>CP-27</x:v>
      </x:c>
      <x:c r="B31" s="204" t="str">
        <x:f>'Decor Catalog'!B31</x:f>
        <x:v>Sapphire Fanleaf</x:v>
      </x:c>
      <x:c r="C31" s="192" t="str">
        <x:v>Three broad scalloped fan leaves rise from separate thick stalks, with a smaller fan tucked between them.</x:v>
      </x:c>
      <x:c r="D31" s="192" t="str">
        <x:v>Cobalt, turquoise and midnight-blue valleys with pale blue ribs.</x:v>
      </x:c>
      <x:c r="E31" s="192" t="str">
        <x:v>Thick matte leaf fans; only five oversized radiating ribs per leaf.</x:v>
      </x:c>
      <x:c r="F31" s="192" t="str">
        <x:f>'Decor Catalog'!M31&amp;" | "&amp;TEXT('Decor Catalog'!N31,"0.0#")&amp;" W × "&amp;TEXT('Decor Catalog'!O31,"0.0#")&amp;" H U"</x:f>
        <x:v>Large | 2.7 W × 3.0 H U</x:v>
      </x:c>
      <x:c r="G31" s="192" t="str">
        <x:f>'Decor Catalog'!P31&amp;" — Use as a rear-side cool-colour anchor beside warm stone or wood."</x:f>
        <x:v>Background — Use as a rear-side cool-colour anchor beside warm stone or wood.</x:v>
      </x:c>
      <x:c r="H31" s="192" t="str">
        <x:v>Static idle. No particles, glow, movement or changing footprint.</x:v>
      </x:c>
      <x:c r="I31" s="192" t="str">
        <x:v>Static</x:v>
      </x:c>
      <x:c r="J31" s="192" t="str">
        <x:v>Use the finished base sprite with no glow or particles.</x:v>
      </x:c>
      <x:c r="K31" s="192" t="str">
        <x:v>Four blue shell-like leaf fans remain clearly botanical through visible stalks.</x:v>
      </x:c>
      <x:c r="L31" s="192" t="str">
        <x:v>Single transparent sprite; bottom-centre pivot; separate icon crop.</x:v>
      </x:c>
    </x:row>
    <x:row r="32" ht="108" customHeight="1">
      <x:c r="A32" s="204" t="str">
        <x:f>'Decor Catalog'!A32</x:f>
        <x:v>CP-28</x:v>
      </x:c>
      <x:c r="B32" s="204" t="str">
        <x:f>'Decor Catalog'!B32</x:f>
        <x:v>Amber Reed Cluster</x:v>
      </x:c>
      <x:c r="C32" s="192" t="str">
        <x:v>Five upright reeds have broad almond-shaped seed heads and two curling strap leaves at the base.</x:v>
      </x:c>
      <x:c r="D32" s="192" t="str">
        <x:v>Honey ochre, warm apricot and russet stems balanced by olive leaves.</x:v>
      </x:c>
      <x:c r="E32" s="192" t="str">
        <x:v>Papery seed heads and smooth reed stems rendered with broad matte bands.</x:v>
      </x:c>
      <x:c r="F32" s="192" t="str">
        <x:f>'Decor Catalog'!M32&amp;" | "&amp;TEXT('Decor Catalog'!N32,"0.0#")&amp;" W × "&amp;TEXT('Decor Catalog'!O32,"0.0#")&amp;" H U"</x:f>
        <x:v>XL | 2.0 W × 3.4 H U</x:v>
      </x:c>
      <x:c r="G32" s="192" t="str">
        <x:f>'Decor Catalog'!P32&amp;" — Root along a back edge; keep the tallest seed head inside the top safe margin."</x:f>
        <x:v>Background — Root along a back edge; keep the tallest seed head inside the top safe margin.</x:v>
      </x:c>
      <x:c r="H32" s="192" t="str">
        <x:v>Static idle. No particles, glow, movement or changing footprint.</x:v>
      </x:c>
      <x:c r="I32" s="192" t="str">
        <x:v>Static</x:v>
      </x:c>
      <x:c r="J32" s="192" t="str">
        <x:v>Use the finished base sprite with no glow or particles.</x:v>
      </x:c>
      <x:c r="K32" s="192" t="str">
        <x:v>Large amber seed heads create a warm vertical rhythm.</x:v>
      </x:c>
      <x:c r="L32" s="192" t="str">
        <x:v>Single transparent sprite; bottom-centre pivot; separate icon crop.</x:v>
      </x:c>
    </x:row>
    <x:row r="33" ht="108" customHeight="1">
      <x:c r="A33" s="204" t="str">
        <x:f>'Decor Catalog'!A33</x:f>
        <x:v>CP-29</x:v>
      </x:c>
      <x:c r="B33" s="204" t="str">
        <x:f>'Decor Catalog'!B33</x:f>
        <x:v>Silver Lace Grove</x:v>
      </x:c>
      <x:c r="C33" s="192" t="str">
        <x:v>Three slim trunks branch into oval lace leaves with large teardrop holes and gracefully alternating heights.</x:v>
      </x:c>
      <x:c r="D33" s="192" t="str">
        <x:v>Moonstone grey, sage silver and slate-blue shadows; subdued lilac stems.</x:v>
      </x:c>
      <x:c r="E33" s="192" t="str">
        <x:v>Papery silver leaves with clean transparent cutouts and no metallic shine.</x:v>
      </x:c>
      <x:c r="F33" s="192" t="str">
        <x:f>'Decor Catalog'!M33&amp;" | "&amp;TEXT('Decor Catalog'!N33,"0.0#")&amp;" W × "&amp;TEXT('Decor Catalog'!O33,"0.0#")&amp;" H U"</x:f>
        <x:v>XL | 3.1 W × 3.4 H U</x:v>
      </x:c>
      <x:c r="G33" s="192" t="str">
        <x:f>'Decor Catalog'!P33&amp;" — Place along a darker back-side zone; use its holes to keep the composition airy."</x:f>
        <x:v>Background — Place along a darker back-side zone; use its holes to keep the composition airy.</x:v>
      </x:c>
      <x:c r="H33" s="192" t="str">
        <x:v>Static idle. No particles, glow, movement or changing footprint.</x:v>
      </x:c>
      <x:c r="I33" s="192" t="str">
        <x:v>Static</x:v>
      </x:c>
      <x:c r="J33" s="192" t="str">
        <x:v>Use the finished base sprite with no glow or particles.</x:v>
      </x:c>
      <x:c r="K33" s="192" t="str">
        <x:v>Pale perforated leaf grove, unlike the green strap-shaped Laceleaf Aponogeton.</x:v>
      </x:c>
      <x:c r="L33" s="192" t="str">
        <x:v>Single transparent sprite; bottom-centre pivot; separate icon crop.</x:v>
      </x:c>
    </x:row>
    <x:row r="34" ht="108" customHeight="1">
      <x:c r="A34" s="204" t="str">
        <x:f>'Decor Catalog'!A34</x:f>
        <x:v>CP-30</x:v>
      </x:c>
      <x:c r="B34" s="204" t="str">
        <x:f>'Decor Catalog'!B34</x:f>
        <x:v>Giant Lotus Canopy</x:v>
      </x:c>
      <x:c r="C34" s="192" t="str">
        <x:v>A sweeping arch of thick stems supports three oversized round leaves and one closed flower bud.</x:v>
      </x:c>
      <x:c r="D34" s="192" t="str">
        <x:v>Jade leaf plates, dusky rose bud and muted mint undersides.</x:v>
      </x:c>
      <x:c r="E34" s="192" t="str">
        <x:v>Rubbery matte leaf discs with a single radial notch; smooth rounded stems.</x:v>
      </x:c>
      <x:c r="F34" s="192" t="str">
        <x:f>'Decor Catalog'!M34&amp;" | "&amp;TEXT('Decor Catalog'!N34,"0.0#")&amp;" W × "&amp;TEXT('Decor Catalog'!O34,"0.0#")&amp;" H U"</x:f>
        <x:v>XL | 3.8 W × 3.4 H U</x:v>
      </x:c>
      <x:c r="G34" s="192" t="str">
        <x:f>'Decor Catalog'!P34&amp;" — Anchor at a rear corner and curve the canopy outward; never cover the full top waterline."</x:f>
        <x:v>Background — Anchor at a rear corner and curve the canopy outward; never cover the full top waterline.</x:v>
      </x:c>
      <x:c r="H34" s="192" t="str">
        <x:v>Static idle. No particles, glow, movement or changing footprint.</x:v>
      </x:c>
      <x:c r="I34" s="192" t="str">
        <x:v>Static</x:v>
      </x:c>
      <x:c r="J34" s="192" t="str">
        <x:v>Use the finished base sprite with no glow or particles.</x:v>
      </x:c>
      <x:c r="K34" s="192" t="str">
        <x:v>Three giant notched discs and one closed bud form a clear late-game landmark.</x:v>
      </x:c>
      <x:c r="L34" s="192" t="str">
        <x:v>Single transparent sprite; bottom-centre pivot; separate icon crop.</x:v>
      </x:c>
    </x:row>
    <x:row r="35" ht="108" customHeight="1">
      <x:c r="A35" s="204" t="str">
        <x:f>'Decor Catalog'!A35</x:f>
        <x:v>CP-31</x:v>
      </x:c>
      <x:c r="B35" s="204" t="str">
        <x:f>'Decor Catalog'!B35</x:f>
        <x:v>Ancient Root Garden</x:v>
      </x:c>
      <x:c r="C35" s="192" t="str">
        <x:v>A hollow old root twists into a low arch, carrying three separate crowns of miniature round-leaf growth.</x:v>
      </x:c>
      <x:c r="D35" s="192" t="str">
        <x:v>Aged umber, warm grey wood, fresh emerald crowns and restrained moss green.</x:v>
      </x:c>
      <x:c r="E35" s="192" t="str">
        <x:v>Matte weathered wood with oversized knots; soft compact foliage, no tiny hanging vines.</x:v>
      </x:c>
      <x:c r="F35" s="192" t="str">
        <x:f>'Decor Catalog'!M35&amp;" | "&amp;TEXT('Decor Catalog'!N35,"0.0#")&amp;" W × "&amp;TEXT('Decor Catalog'!O35,"0.0#")&amp;" H U"</x:f>
        <x:v>XL | 3.8 W × 3.5 H U</x:v>
      </x:c>
      <x:c r="G35" s="192" t="str">
        <x:f>'Decor Catalog'!P35&amp;" — Place against the rear side; keep the root arch transparent and leave fish interaction unchanged."</x:f>
        <x:v>Background — Place against the rear side; keep the root arch transparent and leave fish interaction unchanged.</x:v>
      </x:c>
      <x:c r="H35" s="192" t="str">
        <x:v>Static idle. No particles, glow, movement or changing footprint.</x:v>
      </x:c>
      <x:c r="I35" s="192" t="str">
        <x:v>Static</x:v>
      </x:c>
      <x:c r="J35" s="192" t="str">
        <x:v>Use the finished base sprite with no glow or particles.</x:v>
      </x:c>
      <x:c r="K35" s="192" t="str">
        <x:v>A living root arch with three uneven crowns, not a tree scene.</x:v>
      </x:c>
      <x:c r="L35" s="192" t="str">
        <x:v>Single transparent sprite; bottom-centre pivot; separate icon crop.</x:v>
      </x:c>
    </x:row>
    <x:row r="36" ht="108" customHeight="1">
      <x:c r="A36" s="204" t="str">
        <x:f>'Decor Catalog'!A36</x:f>
        <x:v>CP-32</x:v>
      </x:c>
      <x:c r="B36" s="204" t="str">
        <x:f>'Decor Catalog'!B36</x:f>
        <x:v>Rainbow Ribbon Grove</x:v>
      </x:c>
      <x:c r="C36" s="192" t="str">
        <x:v>Seven broad ribbons curve in alternating S-shapes from a shared root fan; each ends in a rounded split tip.</x:v>
      </x:c>
      <x:c r="D36" s="192" t="str">
        <x:v>Controlled bands of coral, amber, mint, aqua and lavender; deep teal at the base.</x:v>
      </x:c>
      <x:c r="E36" s="192" t="str">
        <x:v>Soft matte leaf ribbons with one colour per leaf and a single shaded fold.</x:v>
      </x:c>
      <x:c r="F36" s="192" t="str">
        <x:f>'Decor Catalog'!M36&amp;" | "&amp;TEXT('Decor Catalog'!N36,"0.0#")&amp;" W × "&amp;TEXT('Decor Catalog'!O36,"0.0#")&amp;" H U"</x:f>
        <x:v>XL | 3.4 W × 4.0 H U</x:v>
      </x:c>
      <x:c r="G36" s="192" t="str">
        <x:f>'Decor Catalog'!P36&amp;" — Use as one rear-corner capstone; keep the central half of the tank unobstructed."</x:f>
        <x:v>Background — Use as one rear-corner capstone; keep the central half of the tank unobstructed.</x:v>
      </x:c>
      <x:c r="H36" s="192" t="str">
        <x:v>Static idle. No particles, glow, movement or changing footprint.</x:v>
      </x:c>
      <x:c r="I36" s="192" t="str">
        <x:v>Static</x:v>
      </x:c>
      <x:c r="J36" s="192" t="str">
        <x:v>Use the finished base sprite with no glow or particles.</x:v>
      </x:c>
      <x:c r="K36" s="192" t="str">
        <x:v>A rainbow of separated chunky ribbons, not a gradient-filled blob.</x:v>
      </x:c>
      <x:c r="L36" s="192" t="str">
        <x:v>Single transparent sprite; bottom-centre pivot; separate icon crop.</x:v>
      </x:c>
    </x:row>
    <x:row r="37" ht="108" customHeight="1">
      <x:c r="A37" s="204" t="str">
        <x:f>'Decor Catalog'!A37</x:f>
        <x:v>CD-01</x:v>
      </x:c>
      <x:c r="B37" s="204" t="str">
        <x:f>'Decor Catalog'!B37</x:f>
        <x:v>River Pebble Pair</x:v>
      </x:c>
      <x:c r="C37" s="192" t="str">
        <x:v>Two overlapping smooth stones, one flat and broad and the other upright like a rounded egg.</x:v>
      </x:c>
      <x:c r="D37" s="192" t="str">
        <x:v>Warm grey, dusty blue and a tiny moss-green accent.</x:v>
      </x:c>
      <x:c r="E37" s="192" t="str">
        <x:v>Matte river stone with one broad shadow plane and no realistic grain.</x:v>
      </x:c>
      <x:c r="F37" s="192" t="str">
        <x:f>'Decor Catalog'!M37&amp;" | "&amp;TEXT('Decor Catalog'!N37,"0.0#")&amp;" W × "&amp;TEXT('Decor Catalog'!O37,"0.0#")&amp;" H U"</x:f>
        <x:v>Small | 1.1 W × 0.65 H U</x:v>
      </x:c>
      <x:c r="G37" s="192" t="str">
        <x:f>'Decor Catalog'!P37&amp;" — Rest on front-side gravel beside a small plant; preserve the two-stone outline."</x:f>
        <x:v>Foreground — Rest on front-side gravel beside a small plant; preserve the two-stone outline.</x:v>
      </x:c>
      <x:c r="H37" s="192" t="str">
        <x:v>Static idle. No particles, glow, movement or changing footprint.</x:v>
      </x:c>
      <x:c r="I37" s="192" t="str">
        <x:v>Static</x:v>
      </x:c>
      <x:c r="J37" s="192" t="str">
        <x:v>Use the finished base sprite with no glow or particles.</x:v>
      </x:c>
      <x:c r="K37" s="192" t="str">
        <x:v>An asymmetric two-stone pair rather than a generic rock pile.</x:v>
      </x:c>
      <x:c r="L37" s="192" t="str">
        <x:v>Single transparent sprite; bottom-centre pivot; separate icon crop.</x:v>
      </x:c>
    </x:row>
    <x:row r="38" ht="108" customHeight="1">
      <x:c r="A38" s="204" t="str">
        <x:f>'Decor Catalog'!A38</x:f>
        <x:v>CD-02</x:v>
      </x:c>
      <x:c r="B38" s="204" t="str">
        <x:f>'Decor Catalog'!B38</x:f>
        <x:v>Spiral Shell</x:v>
      </x:c>
      <x:c r="C38" s="192" t="str">
        <x:v>A chubby spiral shell lies on its side with a wide open lip and a clear central curl.</x:v>
      </x:c>
      <x:c r="D38" s="192" t="str">
        <x:v>Cream, peach and soft coral stripes with a plum-pink opening.</x:v>
      </x:c>
      <x:c r="E38" s="192" t="str">
        <x:v>Dry-looking matte shell; three thick growth bands instead of fine ridges.</x:v>
      </x:c>
      <x:c r="F38" s="192" t="str">
        <x:f>'Decor Catalog'!M38&amp;" | "&amp;TEXT('Decor Catalog'!N38,"0.0#")&amp;" W × "&amp;TEXT('Decor Catalog'!O38,"0.0#")&amp;" H U"</x:f>
        <x:v>Small | 0.95 W × 0.8 H U</x:v>
      </x:c>
      <x:c r="G38" s="192" t="str">
        <x:f>'Decor Catalog'!P38&amp;" — Nestle on open front gravel with the spiral facing the viewer."</x:f>
        <x:v>Foreground — Nestle on open front gravel with the spiral facing the viewer.</x:v>
      </x:c>
      <x:c r="H38" s="192" t="str">
        <x:v>Static idle. No particles, glow, movement or changing footprint.</x:v>
      </x:c>
      <x:c r="I38" s="192" t="str">
        <x:v>Static</x:v>
      </x:c>
      <x:c r="J38" s="192" t="str">
        <x:v>Use the finished base sprite with no glow or particles.</x:v>
      </x:c>
      <x:c r="K38" s="192" t="str">
        <x:v>One oversized spiral and a coral mouth identify it at icon size.</x:v>
      </x:c>
      <x:c r="L38" s="192" t="str">
        <x:v>Single transparent sprite; bottom-centre pivot; separate icon crop.</x:v>
      </x:c>
    </x:row>
    <x:row r="39" ht="108" customHeight="1">
      <x:c r="A39" s="204" t="str">
        <x:f>'Decor Catalog'!A39</x:f>
        <x:v>CD-03</x:v>
      </x:c>
      <x:c r="B39" s="204" t="str">
        <x:f>'Decor Catalog'!B39</x:f>
        <x:v>Terracotta Plant Pot</x:v>
      </x:c>
      <x:c r="C39" s="192" t="str">
        <x:v>A squat flowerpot tips slightly sideways; a small chip interrupts its thick rounded rim.</x:v>
      </x:c>
      <x:c r="D39" s="192" t="str">
        <x:v>Burnt orange clay, apricot rim and dark reddish-brown interior.</x:v>
      </x:c>
      <x:c r="E39" s="192" t="str">
        <x:v>Unglazed matte ceramic with one simple surface nick and no debris scatter.</x:v>
      </x:c>
      <x:c r="F39" s="192" t="str">
        <x:f>'Decor Catalog'!M39&amp;" | "&amp;TEXT('Decor Catalog'!N39,"0.0#")&amp;" W × "&amp;TEXT('Decor Catalog'!O39,"0.0#")&amp;" H U"</x:f>
        <x:v>Small | 1.0 W × 1.0 H U</x:v>
      </x:c>
      <x:c r="G39" s="192" t="str">
        <x:f>'Decor Catalog'!P39&amp;" — Set near a front corner with the opening angled toward the central swim area."</x:f>
        <x:v>Foreground — Set near a front corner with the opening angled toward the central swim area.</x:v>
      </x:c>
      <x:c r="H39" s="192" t="str">
        <x:v>Static idle. No particles, glow, movement or changing footprint.</x:v>
      </x:c>
      <x:c r="I39" s="192" t="str">
        <x:v>Static</x:v>
      </x:c>
      <x:c r="J39" s="192" t="str">
        <x:v>Use the finished base sprite with no glow or particles.</x:v>
      </x:c>
      <x:c r="K39" s="192" t="str">
        <x:v>Tilted pot and chipped rim; no plants included in this standalone ornament.</x:v>
      </x:c>
      <x:c r="L39" s="192" t="str">
        <x:v>Single transparent sprite; bottom-centre pivot; separate icon crop.</x:v>
      </x:c>
    </x:row>
    <x:row r="40" ht="108" customHeight="1">
      <x:c r="A40" s="204" t="str">
        <x:f>'Decor Catalog'!A40</x:f>
        <x:v>CD-04</x:v>
      </x:c>
      <x:c r="B40" s="204" t="str">
        <x:f>'Decor Catalog'!B40</x:f>
        <x:v>Driftwood Fork</x:v>
      </x:c>
      <x:c r="C40" s="192" t="str">
        <x:v>A short Y-shaped branch rests on one arm, with rounded ends and a large knot near the fork.</x:v>
      </x:c>
      <x:c r="D40" s="192" t="str">
        <x:v>Cinnamon brown, cocoa shadows and sandy cut ends.</x:v>
      </x:c>
      <x:c r="E40" s="192" t="str">
        <x:v>Matte weathered wood; two broad grain grooves follow the branching shape.</x:v>
      </x:c>
      <x:c r="F40" s="192" t="str">
        <x:f>'Decor Catalog'!M40&amp;" | "&amp;TEXT('Decor Catalog'!N40,"0.0#")&amp;" W × "&amp;TEXT('Decor Catalog'!O40,"0.0#")&amp;" H U"</x:f>
        <x:v>Medium | 1.8 W × 1.2 H U</x:v>
      </x:c>
      <x:c r="G40" s="192" t="str">
        <x:f>'Decor Catalog'!P40&amp;" — Lay diagonally against a side plant, leaving a clear triangular gap beneath the upper arm."</x:f>
        <x:v>Midground — Lay diagonally against a side plant, leaving a clear triangular gap beneath the upper arm.</x:v>
      </x:c>
      <x:c r="H40" s="192" t="str">
        <x:v>Static idle. No particles, glow, movement or changing footprint.</x:v>
      </x:c>
      <x:c r="I40" s="192" t="str">
        <x:v>Static</x:v>
      </x:c>
      <x:c r="J40" s="192" t="str">
        <x:v>Use the finished base sprite with no glow or particles.</x:v>
      </x:c>
      <x:c r="K40" s="192" t="str">
        <x:v>A readable Y-fork and one knot, not a tangle of fine branches.</x:v>
      </x:c>
      <x:c r="L40" s="192" t="str">
        <x:v>Single transparent sprite; bottom-centre pivot; separate icon crop.</x:v>
      </x:c>
    </x:row>
    <x:row r="41" ht="108" customHeight="1">
      <x:c r="A41" s="204" t="str">
        <x:f>'Decor Catalog'!A41</x:f>
        <x:v>CD-05</x:v>
      </x:c>
      <x:c r="B41" s="204" t="str">
        <x:f>'Decor Catalog'!B41</x:f>
        <x:v>Painted Pebble Cairn</x:v>
      </x:c>
      <x:c r="C41" s="192" t="str">
        <x:v>Four rounded stones balance in a gently leaning stack, shrinking toward a tiny capstone.</x:v>
      </x:c>
      <x:c r="D41" s="192" t="str">
        <x:v>Slate blue, warm sand, muted turquoise and one terracotta stone.</x:v>
      </x:c>
      <x:c r="E41" s="192" t="str">
        <x:v>Smooth matte stone with restrained mineral-colour blocks rather than painted symbols.</x:v>
      </x:c>
      <x:c r="F41" s="192" t="str">
        <x:f>'Decor Catalog'!M41&amp;" | "&amp;TEXT('Decor Catalog'!N41,"0.0#")&amp;" W × "&amp;TEXT('Decor Catalog'!O41,"0.0#")&amp;" H U"</x:f>
        <x:v>Medium | 1.1 W × 1.4 H U</x:v>
      </x:c>
      <x:c r="G41" s="192" t="str">
        <x:f>'Decor Catalog'!P41&amp;" — Stand beside a low moss patch in the lower midground; keep the leaning outline unobscured."</x:f>
        <x:v>Midground — Stand beside a low moss patch in the lower midground; keep the leaning outline unobscured.</x:v>
      </x:c>
      <x:c r="H41" s="192" t="str">
        <x:v>Static idle. No particles, glow, movement or changing footprint.</x:v>
      </x:c>
      <x:c r="I41" s="192" t="str">
        <x:v>Static</x:v>
      </x:c>
      <x:c r="J41" s="192" t="str">
        <x:v>Use the finished base sprite with no glow or particles.</x:v>
      </x:c>
      <x:c r="K41" s="192" t="str">
        <x:v>A four-stone taper with a warm centre band.</x:v>
      </x:c>
      <x:c r="L41" s="192" t="str">
        <x:v>Single transparent sprite; bottom-centre pivot; separate icon crop.</x:v>
      </x:c>
    </x:row>
    <x:row r="42" ht="108" customHeight="1">
      <x:c r="A42" s="204" t="str">
        <x:f>'Decor Catalog'!A42</x:f>
        <x:v>CD-06</x:v>
      </x:c>
      <x:c r="B42" s="204" t="str">
        <x:f>'Decor Catalog'!B42</x:f>
        <x:v>Shell Arch</x:v>
      </x:c>
      <x:c r="C42" s="192" t="str">
        <x:v>Three thick scallop-shell halves lean together to form a small rounded arch with a wide opening.</x:v>
      </x:c>
      <x:c r="D42" s="192" t="str">
        <x:v>Ivory, soft salmon and buttery yellow with lavender inner shadows.</x:v>
      </x:c>
      <x:c r="E42" s="192" t="str">
        <x:v>Matte shell ridges simplified into four broad ribs per half.</x:v>
      </x:c>
      <x:c r="F42" s="192" t="str">
        <x:f>'Decor Catalog'!M42&amp;" | "&amp;TEXT('Decor Catalog'!N42,"0.0#")&amp;" W × "&amp;TEXT('Decor Catalog'!O42,"0.0#")&amp;" H U"</x:f>
        <x:v>Medium | 1.8 W × 1.3 H U</x:v>
      </x:c>
      <x:c r="G42" s="192" t="str">
        <x:f>'Decor Catalog'!P42&amp;" — Place against the lower side of the tank; leave the arch opening transparent."</x:f>
        <x:v>Midground — Place against the lower side of the tank; leave the arch opening transparent.</x:v>
      </x:c>
      <x:c r="H42" s="192" t="str">
        <x:v>Static idle. No particles, glow, movement or changing footprint.</x:v>
      </x:c>
      <x:c r="I42" s="192" t="str">
        <x:v>Static</x:v>
      </x:c>
      <x:c r="J42" s="192" t="str">
        <x:v>Use the finished base sprite with no glow or particles.</x:v>
      </x:c>
      <x:c r="K42" s="192" t="str">
        <x:v>Scalloped ribs frame a single clean arch; no fish-path or shelter mechanic.</x:v>
      </x:c>
      <x:c r="L42" s="192" t="str">
        <x:v>Single transparent sprite; bottom-centre pivot; separate icon crop.</x:v>
      </x:c>
    </x:row>
    <x:row r="43" ht="108" customHeight="1">
      <x:c r="A43" s="204" t="str">
        <x:f>'Decor Catalog'!A43</x:f>
        <x:v>CD-07</x:v>
      </x:c>
      <x:c r="B43" s="204" t="str">
        <x:f>'Decor Catalog'!B43</x:f>
        <x:v>Peach Coral Cluster</x:v>
      </x:c>
      <x:c r="C43" s="192" t="str">
        <x:v>Five rounded finger-like coral branches rise at uneven heights from one compact low base.</x:v>
      </x:c>
      <x:c r="D43" s="192" t="str">
        <x:v>Peach, apricot and muted pink with deep coral creases.</x:v>
      </x:c>
      <x:c r="E43" s="192" t="str">
        <x:v>Sculpted matte aquarium-safe resin; a few large dimple marks imply coral.</x:v>
      </x:c>
      <x:c r="F43" s="192" t="str">
        <x:f>'Decor Catalog'!M43&amp;" | "&amp;TEXT('Decor Catalog'!N43,"0.0#")&amp;" W × "&amp;TEXT('Decor Catalog'!O43,"0.0#")&amp;" H U"</x:f>
        <x:v>Medium | 1.5 W × 1.4 H U</x:v>
      </x:c>
      <x:c r="G43" s="192" t="str">
        <x:f>'Decor Catalog'!P43&amp;" — Anchor beside cool-coloured plants at the front of the midground."</x:f>
        <x:v>Midground — Anchor beside cool-coloured plants at the front of the midground.</x:v>
      </x:c>
      <x:c r="H43" s="192" t="str">
        <x:v>Static idle. No particles, glow, movement or changing footprint.</x:v>
      </x:c>
      <x:c r="I43" s="192" t="str">
        <x:v>Static</x:v>
      </x:c>
      <x:c r="J43" s="192" t="str">
        <x:v>Use the finished base sprite with no glow or particles.</x:v>
      </x:c>
      <x:c r="K43" s="192" t="str">
        <x:v>Five plump peach fingers form a chunky coral silhouette; not a live animal system.</x:v>
      </x:c>
      <x:c r="L43" s="192" t="str">
        <x:v>Single transparent sprite; bottom-centre pivot; separate icon crop.</x:v>
      </x:c>
    </x:row>
    <x:row r="44" ht="108" customHeight="1">
      <x:c r="A44" s="204" t="str">
        <x:f>'Decor Catalog'!A44</x:f>
        <x:v>CD-08</x:v>
      </x:c>
      <x:c r="B44" s="204" t="str">
        <x:f>'Decor Catalog'!B44</x:f>
        <x:v>Sunken Clay Amphora</x:v>
      </x:c>
      <x:c r="C44" s="192" t="str">
        <x:v>A pear-shaped jar leans on its side with two loop handles, a short neck and one broken shoulder.</x:v>
      </x:c>
      <x:c r="D44" s="192" t="str">
        <x:v>Rust clay, sandy cream bands and dark umber inside the mouth.</x:v>
      </x:c>
      <x:c r="E44" s="192" t="str">
        <x:v>Unglazed matte pottery with two broad worn painted bands, no writing.</x:v>
      </x:c>
      <x:c r="F44" s="192" t="str">
        <x:f>'Decor Catalog'!M44&amp;" | "&amp;TEXT('Decor Catalog'!N44,"0.0#")&amp;" W × "&amp;TEXT('Decor Catalog'!O44,"0.0#")&amp;" H U"</x:f>
        <x:v>Medium | 1.4 W × 1.8 H U</x:v>
      </x:c>
      <x:c r="G44" s="192" t="str">
        <x:f>'Decor Catalog'!P44&amp;" — Set against a rear-side rock with the handles and broken shoulder visible."</x:f>
        <x:v>Midground — Set against a rear-side rock with the handles and broken shoulder visible.</x:v>
      </x:c>
      <x:c r="H44" s="192" t="str">
        <x:v>Static idle. No particles, glow, movement or changing footprint.</x:v>
      </x:c>
      <x:c r="I44" s="192" t="str">
        <x:v>Static</x:v>
      </x:c>
      <x:c r="J44" s="192" t="str">
        <x:v>Use the finished base sprite with no glow or particles.</x:v>
      </x:c>
      <x:c r="K44" s="192" t="str">
        <x:v>Paired loop handles and a wide belly distinguish it from the starter pot.</x:v>
      </x:c>
      <x:c r="L44" s="192" t="str">
        <x:v>Single transparent sprite; bottom-centre pivot; separate icon crop.</x:v>
      </x:c>
    </x:row>
    <x:row r="45" ht="108" customHeight="1">
      <x:c r="A45" s="204" t="str">
        <x:f>'Decor Catalog'!A45</x:f>
        <x:v>CD-09</x:v>
      </x:c>
      <x:c r="B45" s="204" t="str">
        <x:f>'Decor Catalog'!B45</x:f>
        <x:v>Smooth Stone Cave</x:v>
      </x:c>
      <x:c r="C45" s="192" t="str">
        <x:v>A rounded low boulder has a large off-centre doorway and a smaller shallow notch on its roof.</x:v>
      </x:c>
      <x:c r="D45" s="192" t="str">
        <x:v>Cool slate, pale blue-grey upper plane and deep teal interior.</x:v>
      </x:c>
      <x:c r="E45" s="192" t="str">
        <x:v>Smooth matte stone with softened edges and two broad cracks.</x:v>
      </x:c>
      <x:c r="F45" s="192" t="str">
        <x:f>'Decor Catalog'!M45&amp;" | "&amp;TEXT('Decor Catalog'!N45,"0.0#")&amp;" W × "&amp;TEXT('Decor Catalog'!O45,"0.0#")&amp;" H U"</x:f>
        <x:v>Medium | 2.0 W × 1.4 H U</x:v>
      </x:c>
      <x:c r="G45" s="192" t="str">
        <x:f>'Decor Catalog'!P45&amp;" — Seat at a side of the lower tank; treat the doorway as visual negative space only."</x:f>
        <x:v>Midground — Seat at a side of the lower tank; treat the doorway as visual negative space only.</x:v>
      </x:c>
      <x:c r="H45" s="192" t="str">
        <x:v>Static idle. No particles, glow, movement or changing footprint.</x:v>
      </x:c>
      <x:c r="I45" s="192" t="str">
        <x:v>Static</x:v>
      </x:c>
      <x:c r="J45" s="192" t="str">
        <x:v>Use the finished base sprite with no glow or particles.</x:v>
      </x:c>
      <x:c r="K45" s="192" t="str">
        <x:v>One oversized off-centre opening in a soft, squat boulder.</x:v>
      </x:c>
      <x:c r="L45" s="192" t="str">
        <x:v>Single transparent sprite; bottom-centre pivot; separate icon crop.</x:v>
      </x:c>
    </x:row>
    <x:row r="46" ht="108" customHeight="1">
      <x:c r="A46" s="204" t="str">
        <x:f>'Decor Catalog'!A46</x:f>
        <x:v>CD-10</x:v>
      </x:c>
      <x:c r="B46" s="204" t="str">
        <x:f>'Decor Catalog'!B46</x:f>
        <x:v>Mini Stone Bridge</x:v>
      </x:c>
      <x:c r="C46" s="192" t="str">
        <x:v>A humpback footbridge has a single arch, three chunky parapet blocks and low rounded end posts.</x:v>
      </x:c>
      <x:c r="D46" s="192" t="str">
        <x:v>Warm sandstone, ivory top faces and desaturated blue-grey joints.</x:v>
      </x:c>
      <x:c r="E46" s="192" t="str">
        <x:v>Carved matte stone with oversized masonry blocks and soft worn edges.</x:v>
      </x:c>
      <x:c r="F46" s="192" t="str">
        <x:f>'Decor Catalog'!M46&amp;" | "&amp;TEXT('Decor Catalog'!N46,"0.0#")&amp;" W × "&amp;TEXT('Decor Catalog'!O46,"0.0#")&amp;" H U"</x:f>
        <x:v>Large | 2.4 W × 1.4 H U</x:v>
      </x:c>
      <x:c r="G46" s="192" t="str">
        <x:f>'Decor Catalog'!P46&amp;" — Place along the lower rear-side area; keep both end posts inside the placement footprint."</x:f>
        <x:v>Midground — Place along the lower rear-side area; keep both end posts inside the placement footprint.</x:v>
      </x:c>
      <x:c r="H46" s="192" t="str">
        <x:v>Static idle. No particles, glow, movement or changing footprint.</x:v>
      </x:c>
      <x:c r="I46" s="192" t="str">
        <x:v>Static</x:v>
      </x:c>
      <x:c r="J46" s="192" t="str">
        <x:v>Use the finished base sprite with no glow or particles.</x:v>
      </x:c>
      <x:c r="K46" s="192" t="str">
        <x:v>A simple humpback arch with three clear parapet steps.</x:v>
      </x:c>
      <x:c r="L46" s="192" t="str">
        <x:v>Single transparent sprite; bottom-centre pivot; separate icon crop.</x:v>
      </x:c>
    </x:row>
    <x:row r="47" ht="108" customHeight="1">
      <x:c r="A47" s="204" t="str">
        <x:f>'Decor Catalog'!A47</x:f>
        <x:v>CD-11</x:v>
      </x:c>
      <x:c r="B47" s="204" t="str">
        <x:f>'Decor Catalog'!B47</x:f>
        <x:v>Sea-glass Mosaic Tile</x:v>
      </x:c>
      <x:c r="C47" s="192" t="str">
        <x:v>A low oval plaque contains five large irregular inlaid pieces arranged like a simple wave.</x:v>
      </x:c>
      <x:c r="D47" s="192" t="str">
        <x:v>Seafoam, turquoise, pale aqua and one amber piece in cream grout.</x:v>
      </x:c>
      <x:c r="E47" s="192" t="str">
        <x:v>Frosted glass-like colours with a matte finish; thick sandy ceramic border.</x:v>
      </x:c>
      <x:c r="F47" s="192" t="str">
        <x:f>'Decor Catalog'!M47&amp;" | "&amp;TEXT('Decor Catalog'!N47,"0.0#")&amp;" W × "&amp;TEXT('Decor Catalog'!O47,"0.0#")&amp;" H U"</x:f>
        <x:v>Medium | 1.8 W × 0.7 H U</x:v>
      </x:c>
      <x:c r="G47" s="192" t="str">
        <x:f>'Decor Catalog'!P47&amp;" — Lay flat on front-side gravel at a shallow three-quarter angle; do not turn it into a full floor skin."</x:f>
        <x:v>Foreground — Lay flat on front-side gravel at a shallow three-quarter angle; do not turn it into a full floor skin.</x:v>
      </x:c>
      <x:c r="H47" s="192" t="str">
        <x:v>Static idle. No particles, glow, movement or changing footprint.</x:v>
      </x:c>
      <x:c r="I47" s="192" t="str">
        <x:v>Static</x:v>
      </x:c>
      <x:c r="J47" s="192" t="str">
        <x:v>Use the finished base sprite with no glow or particles.</x:v>
      </x:c>
      <x:c r="K47" s="192" t="str">
        <x:v>Five broad mosaic pieces and an oval outline remain readable on mobile.</x:v>
      </x:c>
      <x:c r="L47" s="192" t="str">
        <x:v>Single transparent sprite; bottom-centre pivot; separate icon crop.</x:v>
      </x:c>
    </x:row>
    <x:row r="48" ht="108" customHeight="1">
      <x:c r="A48" s="204" t="str">
        <x:f>'Decor Catalog'!A48</x:f>
        <x:v>CD-12</x:v>
      </x:c>
      <x:c r="B48" s="204" t="str">
        <x:f>'Decor Catalog'!B48</x:f>
        <x:v>Anchor &amp; Rope</x:v>
      </x:c>
      <x:c r="C48" s="192" t="str">
        <x:v>A broad fluked anchor leans slightly right with one thick rope loop draped over its crossbar.</x:v>
      </x:c>
      <x:c r="D48" s="192" t="str">
        <x:v>Muted navy iron, russet corrosion accents and ochre rope.</x:v>
      </x:c>
      <x:c r="E48" s="192" t="str">
        <x:v>Matte worn metal with broad rust patches; rope twist shown in just four large sections.</x:v>
      </x:c>
      <x:c r="F48" s="192" t="str">
        <x:f>'Decor Catalog'!M48&amp;" | "&amp;TEXT('Decor Catalog'!N48,"0.0#")&amp;" W × "&amp;TEXT('Decor Catalog'!O48,"0.0#")&amp;" H U"</x:f>
        <x:v>Medium | 1.9 W × 2.0 H U</x:v>
      </x:c>
      <x:c r="G48" s="192" t="str">
        <x:f>'Decor Catalog'!P48&amp;" — Stand at the rear side against a low rock; keep both flukes visible."</x:f>
        <x:v>Midground — Stand at the rear side against a low rock; keep both flukes visible.</x:v>
      </x:c>
      <x:c r="H48" s="192" t="str">
        <x:v>Static idle. No particles, glow, movement or changing footprint.</x:v>
      </x:c>
      <x:c r="I48" s="192" t="str">
        <x:v>Static</x:v>
      </x:c>
      <x:c r="J48" s="192" t="str">
        <x:v>Use the finished base sprite with no glow or particles.</x:v>
      </x:c>
      <x:c r="K48" s="192" t="str">
        <x:v>Heavy anchor silhouette with one clear rope loop, no loose spaghetti strands.</x:v>
      </x:c>
      <x:c r="L48" s="192" t="str">
        <x:v>Single transparent sprite; bottom-centre pivot; separate icon crop.</x:v>
      </x:c>
    </x:row>
    <x:row r="49" ht="108" customHeight="1">
      <x:c r="A49" s="204" t="str">
        <x:f>'Decor Catalog'!A49</x:f>
        <x:v>CD-13</x:v>
      </x:c>
      <x:c r="B49" s="204" t="str">
        <x:f>'Decor Catalog'!B49</x:f>
        <x:v>Barrel Hideout</x:v>
      </x:c>
      <x:c r="C49" s="192" t="str">
        <x:v>A squat wooden barrel lies diagonally with one open end and two oversized hoops.</x:v>
      </x:c>
      <x:c r="D49" s="192" t="str">
        <x:v>Chestnut staves, dark blue iron bands and warm beige wood ends.</x:v>
      </x:c>
      <x:c r="E49" s="192" t="str">
        <x:v>Matte plank faces with broad stave divisions; rounded, worn metal edges.</x:v>
      </x:c>
      <x:c r="F49" s="192" t="str">
        <x:f>'Decor Catalog'!M49&amp;" | "&amp;TEXT('Decor Catalog'!N49,"0.0#")&amp;" W × "&amp;TEXT('Decor Catalog'!O49,"0.0#")&amp;" H U"</x:f>
        <x:v>Medium | 1.8 W × 1.8 H U</x:v>
      </x:c>
      <x:c r="G49" s="192" t="str">
        <x:f>'Decor Catalog'!P49&amp;" — Place beside side foliage; the opening remains decorative and does not alter fish behaviour."</x:f>
        <x:v>Midground — Place beside side foliage; the opening remains decorative and does not alter fish behaviour.</x:v>
      </x:c>
      <x:c r="H49" s="192" t="str">
        <x:v>Static idle. No particles, glow, movement or changing footprint.</x:v>
      </x:c>
      <x:c r="I49" s="192" t="str">
        <x:v>Static</x:v>
      </x:c>
      <x:c r="J49" s="192" t="str">
        <x:v>Use the finished base sprite with no glow or particles.</x:v>
      </x:c>
      <x:c r="K49" s="192" t="str">
        <x:v>Two large bands and an open oval mouth make a strong icon.</x:v>
      </x:c>
      <x:c r="L49" s="192" t="str">
        <x:v>Single transparent sprite; bottom-centre pivot; separate icon crop.</x:v>
      </x:c>
    </x:row>
    <x:row r="50" ht="108" customHeight="1">
      <x:c r="A50" s="204" t="str">
        <x:f>'Decor Catalog'!A50</x:f>
        <x:v>CD-14</x:v>
      </x:c>
      <x:c r="B50" s="204" t="str">
        <x:f>'Decor Catalog'!B50</x:f>
        <x:v>Fan Coral Sculpture</x:v>
      </x:c>
      <x:c r="C50" s="192" t="str">
        <x:v>A scalloped fan rises from a short trunk with five thick branching ribs and generous open gaps.</x:v>
      </x:c>
      <x:c r="D50" s="192" t="str">
        <x:v>Dusty magenta, coral pink and muted violet recesses.</x:v>
      </x:c>
      <x:c r="E50" s="192" t="str">
        <x:v>Matte resin with softened branch edges; no fine lace webbing.</x:v>
      </x:c>
      <x:c r="F50" s="192" t="str">
        <x:f>'Decor Catalog'!M50&amp;" | "&amp;TEXT('Decor Catalog'!N50,"0.0#")&amp;" W × "&amp;TEXT('Decor Catalog'!O50,"0.0#")&amp;" H U"</x:f>
        <x:v>Large | 2.3 W × 2.7 H U</x:v>
      </x:c>
      <x:c r="G50" s="192" t="str">
        <x:f>'Decor Catalog'!P50&amp;" — Set toward a rear corner where its cutout gaps remain visible against the water."</x:f>
        <x:v>Background — Set toward a rear corner where its cutout gaps remain visible against the water.</x:v>
      </x:c>
      <x:c r="H50" s="192" t="str">
        <x:v>Static idle. No particles, glow, movement or changing footprint.</x:v>
      </x:c>
      <x:c r="I50" s="192" t="str">
        <x:v>Static</x:v>
      </x:c>
      <x:c r="J50" s="192" t="str">
        <x:v>Use the finished base sprite with no glow or particles.</x:v>
      </x:c>
      <x:c r="K50" s="192" t="str">
        <x:v>A magenta scalloped fan with five open branch channels.</x:v>
      </x:c>
      <x:c r="L50" s="192" t="str">
        <x:v>Single transparent sprite; bottom-centre pivot; separate icon crop.</x:v>
      </x:c>
    </x:row>
    <x:row r="51" ht="108" customHeight="1">
      <x:c r="A51" s="204" t="str">
        <x:f>'Decor Catalog'!A51</x:f>
        <x:v>CD-15</x:v>
      </x:c>
      <x:c r="B51" s="204" t="str">
        <x:f>'Decor Catalog'!B51</x:f>
        <x:v>Bamboo Water Wheel</x:v>
      </x:c>
      <x:c r="C51" s="192" t="str">
        <x:v>A chunky six-spoke wheel sits in a low A-frame, with one short decorative bamboo spout beside it.</x:v>
      </x:c>
      <x:c r="D51" s="192" t="str">
        <x:v>Honey bamboo, moss green binding and dark walnut axle.</x:v>
      </x:c>
      <x:c r="E51" s="192" t="str">
        <x:v>Matte bamboo cylinders with a few broad node rings; carved wood spokes.</x:v>
      </x:c>
      <x:c r="F51" s="192" t="str">
        <x:f>'Decor Catalog'!M51&amp;" | "&amp;TEXT('Decor Catalog'!N51,"0.0#")&amp;" W × "&amp;TEXT('Decor Catalog'!O51,"0.0#")&amp;" H U"</x:f>
        <x:v>Large | 2.5 W × 2.5 H U</x:v>
      </x:c>
      <x:c r="G51" s="192" t="str">
        <x:f>'Decor Catalog'!P51&amp;" — Place in a rear-side arrangement; keep the wheel fully visible and entirely underwater."</x:f>
        <x:v>Midground — Place in a rear-side arrangement; keep the wheel fully visible and entirely underwater.</x:v>
      </x:c>
      <x:c r="H51" s="192" t="str">
        <x:v>Static idle. No particles, glow, movement or changing footprint.</x:v>
      </x:c>
      <x:c r="I51" s="192" t="str">
        <x:v>Static</x:v>
      </x:c>
      <x:c r="J51" s="192" t="str">
        <x:v>Use the finished base sprite with no glow or particles.</x:v>
      </x:c>
      <x:c r="K51" s="192" t="str">
        <x:v>Six broad spokes and bamboo frame; static ornament, not working machinery.</x:v>
      </x:c>
      <x:c r="L51" s="192" t="str">
        <x:v>Single transparent sprite; bottom-centre pivot; separate icon crop.</x:v>
      </x:c>
    </x:row>
    <x:row r="52" ht="108" customHeight="1">
      <x:c r="A52" s="204" t="str">
        <x:f>'Decor Catalog'!A52</x:f>
        <x:v>CD-16</x:v>
      </x:c>
      <x:c r="B52" s="204" t="str">
        <x:f>'Decor Catalog'!B52</x:f>
        <x:v>Broken Column Pair</x:v>
      </x:c>
      <x:c r="C52" s="192" t="str">
        <x:v>One tall fluted column stump and one fallen drum sit together, both with rounded chipped edges.</x:v>
      </x:c>
      <x:c r="D52" s="192" t="str">
        <x:v>Warm limestone, pale cream upper planes and sage-grey recesses.</x:v>
      </x:c>
      <x:c r="E52" s="192" t="str">
        <x:v>Matte carved stone with four deep flutes and broad fractured faces.</x:v>
      </x:c>
      <x:c r="F52" s="192" t="str">
        <x:f>'Decor Catalog'!M52&amp;" | "&amp;TEXT('Decor Catalog'!N52,"0.0#")&amp;" W × "&amp;TEXT('Decor Catalog'!O52,"0.0#")&amp;" H U"</x:f>
        <x:v>Large | 2.5 W × 2.3 H U</x:v>
      </x:c>
      <x:c r="G52" s="192" t="str">
        <x:f>'Decor Catalog'!P52&amp;" — Place behind a low plant on either side; leave an open gap between the standing and fallen pieces."</x:f>
        <x:v>Midground — Place behind a low plant on either side; leave an open gap between the standing and fallen pieces.</x:v>
      </x:c>
      <x:c r="H52" s="192" t="str">
        <x:v>Static idle. No particles, glow, movement or changing footprint.</x:v>
      </x:c>
      <x:c r="I52" s="192" t="str">
        <x:v>Static</x:v>
      </x:c>
      <x:c r="J52" s="192" t="str">
        <x:v>Use the finished base sprite with no glow or particles.</x:v>
      </x:c>
      <x:c r="K52" s="192" t="str">
        <x:v>Standing stump plus horizontal drum create a clear ruin silhouette.</x:v>
      </x:c>
      <x:c r="L52" s="192" t="str">
        <x:v>Single transparent sprite; bottom-centre pivot; separate icon crop.</x:v>
      </x:c>
    </x:row>
    <x:row r="53" ht="108" customHeight="1">
      <x:c r="A53" s="204" t="str">
        <x:f>'Decor Catalog'!A53</x:f>
        <x:v>CD-17</x:v>
      </x:c>
      <x:c r="B53" s="204" t="str">
        <x:f>'Decor Catalog'!B53</x:f>
        <x:v>Turtle Garden Statue</x:v>
      </x:c>
      <x:c r="C53" s="192" t="str">
        <x:v>A plump stone turtle rests on a low plinth, with tucked feet, a broad shell and a softly curved neck.</x:v>
      </x:c>
      <x:c r="D53" s="192" t="str">
        <x:v>Sage-grey stone, pale moss accents and dark teal carved grooves.</x:v>
      </x:c>
      <x:c r="E53" s="192" t="str">
        <x:v>Clearly inanimate matte stone; the shell uses five large hexagonal panels.</x:v>
      </x:c>
      <x:c r="F53" s="192" t="str">
        <x:f>'Decor Catalog'!M53&amp;" | "&amp;TEXT('Decor Catalog'!N53,"0.0#")&amp;" W × "&amp;TEXT('Decor Catalog'!O53,"0.0#")&amp;" H U"</x:f>
        <x:v>Medium | 1.9 W × 1.2 H U</x:v>
      </x:c>
      <x:c r="G53" s="192" t="str">
        <x:f>'Decor Catalog'!P53&amp;" — Set near a front-side moss garden; keep it smaller than a living fish focal group."</x:f>
        <x:v>Foreground — Set near a front-side moss garden; keep it smaller than a living fish focal group.</x:v>
      </x:c>
      <x:c r="H53" s="192" t="str">
        <x:v>Static idle. No particles, glow, movement or changing footprint.</x:v>
      </x:c>
      <x:c r="I53" s="192" t="str">
        <x:v>Static</x:v>
      </x:c>
      <x:c r="J53" s="192" t="str">
        <x:v>Use the finished base sprite with no glow or particles.</x:v>
      </x:c>
      <x:c r="K53" s="192" t="str">
        <x:v>A quiet rounded turtle statue; no eyes blinking or live-creature motion.</x:v>
      </x:c>
      <x:c r="L53" s="192" t="str">
        <x:v>Single transparent sprite; bottom-centre pivot; separate icon crop.</x:v>
      </x:c>
    </x:row>
    <x:row r="54" ht="108" customHeight="1">
      <x:c r="A54" s="204" t="str">
        <x:f>'Decor Catalog'!A54</x:f>
        <x:v>CD-18</x:v>
      </x:c>
      <x:c r="B54" s="204" t="str">
        <x:f>'Decor Catalog'!B54</x:f>
        <x:v>Ship's Wheel Stand</x:v>
      </x:c>
      <x:c r="C54" s="192" t="str">
        <x:v>An eight-handled wheel tilts on a short broken post above two compact wooden feet.</x:v>
      </x:c>
      <x:c r="D54" s="192" t="str">
        <x:v>Walnut, warm amber spoke faces and a muted brass centre cap.</x:v>
      </x:c>
      <x:c r="E54" s="192" t="str">
        <x:v>Matte wood and dulled metal; no wet highlights or fine splinters.</x:v>
      </x:c>
      <x:c r="F54" s="192" t="str">
        <x:f>'Decor Catalog'!M54&amp;" | "&amp;TEXT('Decor Catalog'!N54,"0.0#")&amp;" W × "&amp;TEXT('Decor Catalog'!O54,"0.0#")&amp;" H U"</x:f>
        <x:v>Large | 2.3 W × 2.5 H U</x:v>
      </x:c>
      <x:c r="G54" s="192" t="str">
        <x:f>'Decor Catalog'!P54&amp;" — Anchor to a rear side with a small plant below; keep all eight handles inside the footprint."</x:f>
        <x:v>Midground — Anchor to a rear side with a small plant below; keep all eight handles inside the footprint.</x:v>
      </x:c>
      <x:c r="H54" s="192" t="str">
        <x:v>Static idle. No particles, glow, movement or changing footprint.</x:v>
      </x:c>
      <x:c r="I54" s="192" t="str">
        <x:v>Static</x:v>
      </x:c>
      <x:c r="J54" s="192" t="str">
        <x:v>Use the finished base sprite with no glow or particles.</x:v>
      </x:c>
      <x:c r="K54" s="192" t="str">
        <x:v>Eight thick handles and a tilted circular outline, unlike the bamboo wheel.</x:v>
      </x:c>
      <x:c r="L54" s="192" t="str">
        <x:v>Single transparent sprite; bottom-centre pivot; separate icon crop.</x:v>
      </x:c>
    </x:row>
    <x:row r="55" ht="108" customHeight="1">
      <x:c r="A55" s="204" t="str">
        <x:f>'Decor Catalog'!A55</x:f>
        <x:v>CD-19</x:v>
      </x:c>
      <x:c r="B55" s="204" t="str">
        <x:f>'Decor Catalog'!B55</x:f>
        <x:v>Mushroom Cottage</x:v>
      </x:c>
      <x:c r="C55" s="192" t="str">
        <x:v>A squat cottage sits beneath one oversized domed mushroom cap; a round doorway and two small windows face front.</x:v>
      </x:c>
      <x:c r="D55" s="192" t="str">
        <x:v>Toadstool coral cap, cream walls, teal door and a few large pale cap spots.</x:v>
      </x:c>
      <x:c r="E55" s="192" t="str">
        <x:v>Matte sculpted resin with soft rounded edges and simple inset openings.</x:v>
      </x:c>
      <x:c r="F55" s="192" t="str">
        <x:f>'Decor Catalog'!M55&amp;" | "&amp;TEXT('Decor Catalog'!N55,"0.0#")&amp;" W × "&amp;TEXT('Decor Catalog'!O55,"0.0#")&amp;" H U"</x:f>
        <x:v>Large | 2.3 W × 2.7 H U</x:v>
      </x:c>
      <x:c r="G55" s="192" t="str">
        <x:f>'Decor Catalog'!P55&amp;" — Place at a side focal point; keep it a single ornament, not a whole village or backdrop."</x:f>
        <x:v>Midground — Place at a side focal point; keep it a single ornament, not a whole village or backdrop.</x:v>
      </x:c>
      <x:c r="H55" s="192" t="str">
        <x:v>Static idle. No particles, glow, movement or changing footprint.</x:v>
      </x:c>
      <x:c r="I55" s="192" t="str">
        <x:v>Static</x:v>
      </x:c>
      <x:c r="J55" s="192" t="str">
        <x:v>Use the finished base sprite with no glow or particles.</x:v>
      </x:c>
      <x:c r="K55" s="192" t="str">
        <x:v>One huge spotted cap over a cream body; no text or embedded characters.</x:v>
      </x:c>
      <x:c r="L55" s="192" t="str">
        <x:v>Single transparent sprite; bottom-centre pivot; separate icon crop.</x:v>
      </x:c>
    </x:row>
    <x:row r="56" ht="108" customHeight="1">
      <x:c r="A56" s="204" t="str">
        <x:f>'Decor Catalog'!A56</x:f>
        <x:v>CD-20</x:v>
      </x:c>
      <x:c r="B56" s="204" t="str">
        <x:f>'Decor Catalog'!B56</x:f>
        <x:v>Basalt Stair Terrace</x:v>
      </x:c>
      <x:c r="C56" s="192" t="str">
        <x:v>Five chunky hexagonal basalt columns step upward in a compact crescent with a flat central ledge.</x:v>
      </x:c>
      <x:c r="D56" s="192" t="str">
        <x:v>Charcoal violet, slate blue and cool grey top faces.</x:v>
      </x:c>
      <x:c r="E56" s="192" t="str">
        <x:v>Matte volcanic stone with broad hexagonal planes and softened edges.</x:v>
      </x:c>
      <x:c r="F56" s="192" t="str">
        <x:f>'Decor Catalog'!M56&amp;" | "&amp;TEXT('Decor Catalog'!N56,"0.0#")&amp;" W × "&amp;TEXT('Decor Catalog'!O56,"0.0#")&amp;" H U"</x:f>
        <x:v>Large | 2.8 W × 2.1 H U</x:v>
      </x:c>
      <x:c r="G56" s="192" t="str">
        <x:f>'Decor Catalog'!P56&amp;" — Place against a rear-side plant group; use the lower ledge for visual overlap only."</x:f>
        <x:v>Midground — Place against a rear-side plant group; use the lower ledge for visual overlap only.</x:v>
      </x:c>
      <x:c r="H56" s="192" t="str">
        <x:v>Static idle. No particles, glow, movement or changing footprint.</x:v>
      </x:c>
      <x:c r="I56" s="192" t="str">
        <x:v>Static</x:v>
      </x:c>
      <x:c r="J56" s="192" t="str">
        <x:v>Use the finished base sprite with no glow or particles.</x:v>
      </x:c>
      <x:c r="K56" s="192" t="str">
        <x:v>A five-column hexagonal staircase without tiny rock rubble.</x:v>
      </x:c>
      <x:c r="L56" s="192" t="str">
        <x:v>Single transparent sprite; bottom-centre pivot; separate icon crop.</x:v>
      </x:c>
    </x:row>
    <x:row r="57" ht="108" customHeight="1">
      <x:c r="A57" s="204" t="str">
        <x:f>'Decor Catalog'!A57</x:f>
        <x:v>CD-21</x:v>
      </x:c>
      <x:c r="B57" s="204" t="str">
        <x:f>'Decor Catalog'!B57</x:f>
        <x:v>Nautilus Alcove</x:v>
      </x:c>
      <x:c r="C57" s="192" t="str">
        <x:v>A thick spiral stone frame surrounds a shallow arched niche, standing on a simple two-step base.</x:v>
      </x:c>
      <x:c r="D57" s="192" t="str">
        <x:v>Sandy limestone, muted seafoam inlays and dark blue-grey cavity.</x:v>
      </x:c>
      <x:c r="E57" s="192" t="str">
        <x:v>Matte carved stone with an oversized spiral relief; no glyphs or readable inscription.</x:v>
      </x:c>
      <x:c r="F57" s="192" t="str">
        <x:f>'Decor Catalog'!M57&amp;" | "&amp;TEXT('Decor Catalog'!N57,"0.0#")&amp;" W × "&amp;TEXT('Decor Catalog'!O57,"0.0#")&amp;" H U"</x:f>
        <x:v>Large | 2.7 W × 2.6 H U</x:v>
      </x:c>
      <x:c r="G57" s="192" t="str">
        <x:f>'Decor Catalog'!P57&amp;" — Set at a rear side; keep the niche and spiral open to the viewer."</x:f>
        <x:v>Midground — Set at a rear side; keep the niche and spiral open to the viewer.</x:v>
      </x:c>
      <x:c r="H57" s="192" t="str">
        <x:v>Static idle. No particles, glow, movement or changing footprint.</x:v>
      </x:c>
      <x:c r="I57" s="192" t="str">
        <x:v>Static</x:v>
      </x:c>
      <x:c r="J57" s="192" t="str">
        <x:v>Use the finished base sprite with no glow or particles.</x:v>
      </x:c>
      <x:c r="K57" s="192" t="str">
        <x:v>Architectural spiral alcove, clearly carved rather than a living shell.</x:v>
      </x:c>
      <x:c r="L57" s="192" t="str">
        <x:v>Single transparent sprite; bottom-centre pivot; separate icon crop.</x:v>
      </x:c>
    </x:row>
    <x:row r="58" ht="108" customHeight="1">
      <x:c r="A58" s="204" t="str">
        <x:f>'Decor Catalog'!A58</x:f>
        <x:v>CD-22</x:v>
      </x:c>
      <x:c r="B58" s="204" t="str">
        <x:f>'Decor Catalog'!B58</x:f>
        <x:v>Sunken Teacup</x:v>
      </x:c>
      <x:c r="C58" s="192" t="str">
        <x:v>An oversized tilted teacup rests on a scalloped saucer; its thick loop handle points upward.</x:v>
      </x:c>
      <x:c r="D58" s="192" t="str">
        <x:v>Powder blue ceramic, buttercream bands and a warm apricot interior.</x:v>
      </x:c>
      <x:c r="E58" s="192" t="str">
        <x:v>Matte glazed-ceramic look with restrained cel shading; a single broad chip in the saucer.</x:v>
      </x:c>
      <x:c r="F58" s="192" t="str">
        <x:f>'Decor Catalog'!M58&amp;" | "&amp;TEXT('Decor Catalog'!N58,"0.0#")&amp;" W × "&amp;TEXT('Decor Catalog'!O58,"0.0#")&amp;" H U"</x:f>
        <x:v>Large | 2.5 W × 1.8 H U</x:v>
      </x:c>
      <x:c r="G58" s="192" t="str">
        <x:f>'Decor Catalog'!P58&amp;" — Place near side foliage with the handle clear; no tea, fish or plant is baked inside."</x:f>
        <x:v>Midground — Place near side foliage with the handle clear; no tea, fish or plant is baked inside.</x:v>
      </x:c>
      <x:c r="H58" s="192" t="str">
        <x:v>Static idle. No particles, glow, movement or changing footprint.</x:v>
      </x:c>
      <x:c r="I58" s="192" t="str">
        <x:v>Static</x:v>
      </x:c>
      <x:c r="J58" s="192" t="str">
        <x:v>Use the finished base sprite with no glow or particles.</x:v>
      </x:c>
      <x:c r="K58" s="192" t="str">
        <x:v>A huge loop handle and scalloped saucer make a playful collector silhouette.</x:v>
      </x:c>
      <x:c r="L58" s="192" t="str">
        <x:v>Single transparent sprite; bottom-centre pivot; separate icon crop.</x:v>
      </x:c>
    </x:row>
    <x:row r="59" ht="108" customHeight="1">
      <x:c r="A59" s="204" t="str">
        <x:f>'Decor Catalog'!A59</x:f>
        <x:v>CD-23</x:v>
      </x:c>
      <x:c r="B59" s="204" t="str">
        <x:f>'Decor Catalog'!B59</x:f>
        <x:v>Ruined Moon Gate</x:v>
      </x:c>
      <x:c r="C59" s="192" t="str">
        <x:v>A circular garden doorway rises from two low stone shoulders, with a missing wedge near the top.</x:v>
      </x:c>
      <x:c r="D59" s="192" t="str">
        <x:v>Pale sand, moss-grey mortar and a dusty turquoise inset rim.</x:v>
      </x:c>
      <x:c r="E59" s="192" t="str">
        <x:v>Matte dressed stone in large blocks, with rounded worn corners.</x:v>
      </x:c>
      <x:c r="F59" s="192" t="str">
        <x:f>'Decor Catalog'!M59&amp;" | "&amp;TEXT('Decor Catalog'!N59,"0.0#")&amp;" W × "&amp;TEXT('Decor Catalog'!O59,"0.0#")&amp;" H U"</x:f>
        <x:v>Large | 3.0 W × 3.1 H U</x:v>
      </x:c>
      <x:c r="G59" s="192" t="str">
        <x:f>'Decor Catalog'!P59&amp;" — Place near a rear corner and keep the circular opening unobstructed; no collision or pathing effect."</x:f>
        <x:v>Background — Place near a rear corner and keep the circular opening unobstructed; no collision or pathing effect.</x:v>
      </x:c>
      <x:c r="H59" s="192" t="str">
        <x:v>Static idle. No particles, glow, movement or changing footprint.</x:v>
      </x:c>
      <x:c r="I59" s="192" t="str">
        <x:v>Static</x:v>
      </x:c>
      <x:c r="J59" s="192" t="str">
        <x:v>Use the finished base sprite with no glow or particles.</x:v>
      </x:c>
      <x:c r="K59" s="192" t="str">
        <x:v>A nearly complete circle with one missing top wedge.</x:v>
      </x:c>
      <x:c r="L59" s="192" t="str">
        <x:v>Single transparent sprite; bottom-centre pivot; separate icon crop.</x:v>
      </x:c>
    </x:row>
    <x:row r="60" ht="108" customHeight="1">
      <x:c r="A60" s="204" t="str">
        <x:f>'Decor Catalog'!A60</x:f>
        <x:v>CD-24</x:v>
      </x:c>
      <x:c r="B60" s="204" t="str">
        <x:f>'Decor Catalog'!B60</x:f>
        <x:v>Fossil Spiral Slab</x:v>
      </x:c>
      <x:c r="C60" s="192" t="str">
        <x:v>A broad leaning slab holds one large spiral fossil relief, with a small broken corner at its foot.</x:v>
      </x:c>
      <x:c r="D60" s="192" t="str">
        <x:v>Warm ochre stone, cream fossil ridges and muted brown crevices.</x:v>
      </x:c>
      <x:c r="E60" s="192" t="str">
        <x:v>Matte sedimentary stone; fossil chambers are eight large raised segments.</x:v>
      </x:c>
      <x:c r="F60" s="192" t="str">
        <x:f>'Decor Catalog'!M60&amp;" | "&amp;TEXT('Decor Catalog'!N60,"0.0#")&amp;" W × "&amp;TEXT('Decor Catalog'!O60,"0.0#")&amp;" H U"</x:f>
        <x:v>Large | 2.8 W × 2.4 H U</x:v>
      </x:c>
      <x:c r="G60" s="192" t="str">
        <x:f>'Decor Catalog'!P60&amp;" — Lean visually against rear-side gravel; keep the spiral facing three-quarter front."</x:f>
        <x:v>Midground — Lean visually against rear-side gravel; keep the spiral facing three-quarter front.</x:v>
      </x:c>
      <x:c r="H60" s="192" t="str">
        <x:v>Static idle. No particles, glow, movement or changing footprint.</x:v>
      </x:c>
      <x:c r="I60" s="192" t="str">
        <x:v>Static</x:v>
      </x:c>
      <x:c r="J60" s="192" t="str">
        <x:v>Use the finished base sprite with no glow or particles.</x:v>
      </x:c>
      <x:c r="K60" s="192" t="str">
        <x:v>One oversized fossil on an angular slab, not a freestanding shell.</x:v>
      </x:c>
      <x:c r="L60" s="192" t="str">
        <x:v>Single transparent sprite; bottom-centre pivot; separate icon crop.</x:v>
      </x:c>
    </x:row>
    <x:row r="61" ht="108" customHeight="1">
      <x:c r="A61" s="204" t="str">
        <x:f>'Decor Catalog'!A61</x:f>
        <x:v>CD-25</x:v>
      </x:c>
      <x:c r="B61" s="204" t="str">
        <x:f>'Decor Catalog'!B61</x:f>
        <x:v>Grand Driftwood Arch</x:v>
      </x:c>
      <x:c r="C61" s="192" t="str">
        <x:v>A thick twisted root curves into an asymmetric arch with one forked top and two chunky planted feet.</x:v>
      </x:c>
      <x:c r="D61" s="192" t="str">
        <x:v>Deep chestnut, cinnamon upper ridges and soft grey worn ends.</x:v>
      </x:c>
      <x:c r="E61" s="192" t="str">
        <x:v>Matte weathered timber with three broad grooves and one hollow knot.</x:v>
      </x:c>
      <x:c r="F61" s="192" t="str">
        <x:f>'Decor Catalog'!M61&amp;" | "&amp;TEXT('Decor Catalog'!N61,"0.0#")&amp;" W × "&amp;TEXT('Decor Catalog'!O61,"0.0#")&amp;" H U"</x:f>
        <x:v>XL | 3.5 W × 2.6 H U</x:v>
      </x:c>
      <x:c r="G61" s="192" t="str">
        <x:f>'Decor Catalog'!P61&amp;" — Anchor along the rear side; keep the arch transparent and leave central fish clear."</x:f>
        <x:v>Background — Anchor along the rear side; keep the arch transparent and leave central fish clear.</x:v>
      </x:c>
      <x:c r="H61" s="192" t="str">
        <x:v>Static idle. No particles, glow, movement or changing footprint.</x:v>
      </x:c>
      <x:c r="I61" s="192" t="str">
        <x:v>Static</x:v>
      </x:c>
      <x:c r="J61" s="192" t="str">
        <x:v>Use the finished base sprite with no glow or particles.</x:v>
      </x:c>
      <x:c r="K61" s="192" t="str">
        <x:v>One big twisted arch with a forked crest; no leaves baked in.</x:v>
      </x:c>
      <x:c r="L61" s="192" t="str">
        <x:v>Single transparent sprite; bottom-centre pivot; separate icon crop.</x:v>
      </x:c>
    </x:row>
    <x:row r="62" ht="108" customHeight="1">
      <x:c r="A62" s="204" t="str">
        <x:f>'Decor Catalog'!A62</x:f>
        <x:v>CD-26</x:v>
      </x:c>
      <x:c r="B62" s="204" t="str">
        <x:f>'Decor Catalog'!B62</x:f>
        <x:v>Star Crystal Cluster</x:v>
      </x:c>
      <x:c r="C62" s="192" t="str">
        <x:v>Five blunt crystals radiate from a low star-shaped base, with a tall centre shard and two tilted side shards.</x:v>
      </x:c>
      <x:c r="D62" s="192" t="str">
        <x:v>Lavender, pale aqua and muted periwinkle facets with deep indigo gaps.</x:v>
      </x:c>
      <x:c r="E62" s="192" t="str">
        <x:v>Opaque matte crystal planes; no real refraction, white glints or emitted light.</x:v>
      </x:c>
      <x:c r="F62" s="192" t="str">
        <x:f>'Decor Catalog'!M62&amp;" | "&amp;TEXT('Decor Catalog'!N62,"0.0#")&amp;" W × "&amp;TEXT('Decor Catalog'!O62,"0.0#")&amp;" H U"</x:f>
        <x:v>Large | 2.8 W × 3.0 H U</x:v>
      </x:c>
      <x:c r="G62" s="192" t="str">
        <x:f>'Decor Catalog'!P62&amp;" — Place beside dark rear-side foliage to show the faceted outline."</x:f>
        <x:v>Midground — Place beside dark rear-side foliage to show the faceted outline.</x:v>
      </x:c>
      <x:c r="H62" s="192" t="str">
        <x:v>Static idle. No particles, glow, movement or changing footprint.</x:v>
      </x:c>
      <x:c r="I62" s="192" t="str">
        <x:v>Static</x:v>
      </x:c>
      <x:c r="J62" s="192" t="str">
        <x:v>Use the finished base sprite with no glow or particles.</x:v>
      </x:c>
      <x:c r="K62" s="192" t="str">
        <x:v>Blunt starburst crystal geometry; static and clearly distinct from glowing premium crystals.</x:v>
      </x:c>
      <x:c r="L62" s="192" t="str">
        <x:v>Single transparent sprite; bottom-centre pivot; separate icon crop.</x:v>
      </x:c>
    </x:row>
    <x:row r="63" ht="108" customHeight="1">
      <x:c r="A63" s="204" t="str">
        <x:f>'Decor Catalog'!A63</x:f>
        <x:v>CD-27</x:v>
      </x:c>
      <x:c r="B63" s="204" t="str">
        <x:f>'Decor Catalog'!B63</x:f>
        <x:v>Sandstone Palace Ruin</x:v>
      </x:c>
      <x:c r="C63" s="192" t="str">
        <x:v>A compact ruin has two unequal domed towers joined by a single wide arch and a broken parapet.</x:v>
      </x:c>
      <x:c r="D63" s="192" t="str">
        <x:v>Golden sandstone, pale peach faces and turquoise ceramic accent bands.</x:v>
      </x:c>
      <x:c r="E63" s="192" t="str">
        <x:v>Matte carved stone with broad block joints and dulled ceramic inlays.</x:v>
      </x:c>
      <x:c r="F63" s="192" t="str">
        <x:f>'Decor Catalog'!M63&amp;" | "&amp;TEXT('Decor Catalog'!N63,"0.0#")&amp;" W × "&amp;TEXT('Decor Catalog'!O63,"0.0#")&amp;" H U"</x:f>
        <x:v>XL | 3.6 W × 3.4 H U</x:v>
      </x:c>
      <x:c r="G63" s="192" t="str">
        <x:f>'Decor Catalog'!P63&amp;" — Use as one rear-corner landmark; the arch stays transparent and the centre lane stays open."</x:f>
        <x:v>Background — Use as one rear-corner landmark; the arch stays transparent and the centre lane stays open.</x:v>
      </x:c>
      <x:c r="H63" s="192" t="str">
        <x:v>Static idle. No particles, glow, movement or changing footprint.</x:v>
      </x:c>
      <x:c r="I63" s="192" t="str">
        <x:v>Static</x:v>
      </x:c>
      <x:c r="J63" s="192" t="str">
        <x:v>Use the finished base sprite with no glow or particles.</x:v>
      </x:c>
      <x:c r="K63" s="192" t="str">
        <x:v>Two unequal domes and one arch, not a tank-wide city scene.</x:v>
      </x:c>
      <x:c r="L63" s="192" t="str">
        <x:v>Single transparent sprite; bottom-centre pivot; separate icon crop.</x:v>
      </x:c>
    </x:row>
    <x:row r="64" ht="108" customHeight="1">
      <x:c r="A64" s="204" t="str">
        <x:f>'Decor Catalog'!A64</x:f>
        <x:v>CD-28</x:v>
      </x:c>
      <x:c r="B64" s="204" t="str">
        <x:f>'Decor Catalog'!B64</x:f>
        <x:v>Shipwreck Bow</x:v>
      </x:c>
      <x:c r="C64" s="192" t="str">
        <x:v>The front section of a small ship tilts upward, with a curved prow, broken deck edge and one short mast stump.</x:v>
      </x:c>
      <x:c r="D64" s="192" t="str">
        <x:v>Walnut planks, dark blue ribs and muted ochre rail details.</x:v>
      </x:c>
      <x:c r="E64" s="192" t="str">
        <x:v>Matte weathered wood; plank breaks are chunky, with no sharp splinter clutter.</x:v>
      </x:c>
      <x:c r="F64" s="192" t="str">
        <x:f>'Decor Catalog'!M64&amp;" | "&amp;TEXT('Decor Catalog'!N64,"0.0#")&amp;" W × "&amp;TEXT('Decor Catalog'!O64,"0.0#")&amp;" H U"</x:f>
        <x:v>XL | 3.9 W × 3.0 H U</x:v>
      </x:c>
      <x:c r="G64" s="192" t="str">
        <x:f>'Decor Catalog'!P64&amp;" — Anchor against the rear-left or rear-right gravel; keep only a compact bow section, not a whole vessel."</x:f>
        <x:v>Background — Anchor against the rear-left or rear-right gravel; keep only a compact bow section, not a whole vessel.</x:v>
      </x:c>
      <x:c r="H64" s="192" t="str">
        <x:v>Static idle. No particles, glow, movement or changing footprint.</x:v>
      </x:c>
      <x:c r="I64" s="192" t="str">
        <x:v>Static</x:v>
      </x:c>
      <x:c r="J64" s="192" t="str">
        <x:v>Use the finished base sprite with no glow or particles.</x:v>
      </x:c>
      <x:c r="K64" s="192" t="str">
        <x:v>A rising curved prow with exposed ribs creates a readable shipwreck icon.</x:v>
      </x:c>
      <x:c r="L64" s="192" t="str">
        <x:v>Single transparent sprite; bottom-centre pivot; separate icon crop.</x:v>
      </x:c>
    </x:row>
    <x:row r="65" ht="108" customHeight="1">
      <x:c r="A65" s="204" t="str">
        <x:f>'Decor Catalog'!A65</x:f>
        <x:v>CD-29</x:v>
      </x:c>
      <x:c r="B65" s="204" t="str">
        <x:f>'Decor Catalog'!B65</x:f>
        <x:v>Overgrown Observatory</x:v>
      </x:c>
      <x:c r="C65" s="192" t="str">
        <x:v>A round tower stump carries an open crescent roof frame and a short fixed telescope-like stone tube.</x:v>
      </x:c>
      <x:c r="D65" s="192" t="str">
        <x:v>Sage-grey stone, dusty bronze frame and small moss-green caps.</x:v>
      </x:c>
      <x:c r="E65" s="192" t="str">
        <x:v>Matte carved stone and aged metal, with moss restricted to three broad patches.</x:v>
      </x:c>
      <x:c r="F65" s="192" t="str">
        <x:f>'Decor Catalog'!M65&amp;" | "&amp;TEXT('Decor Catalog'!N65,"0.0#")&amp;" W × "&amp;TEXT('Decor Catalog'!O65,"0.0#")&amp;" H U"</x:f>
        <x:v>XL | 3.4 W × 3.8 H U</x:v>
      </x:c>
      <x:c r="G65" s="192" t="str">
        <x:f>'Decor Catalog'!P65&amp;" — Place in a rear corner; aim the fixed tube outward so it does not overlap the main swim area."</x:f>
        <x:v>Background — Place in a rear corner; aim the fixed tube outward so it does not overlap the main swim area.</x:v>
      </x:c>
      <x:c r="H65" s="192" t="str">
        <x:v>Static idle. No particles, glow, movement or changing footprint.</x:v>
      </x:c>
      <x:c r="I65" s="192" t="str">
        <x:v>Static</x:v>
      </x:c>
      <x:c r="J65" s="192" t="str">
        <x:v>Use the finished base sprite with no glow or particles.</x:v>
      </x:c>
      <x:c r="K65" s="192" t="str">
        <x:v>Round tower, open crescent roof and outward tube create one strong silhouette.</x:v>
      </x:c>
      <x:c r="L65" s="192" t="str">
        <x:v>Single transparent sprite; bottom-centre pivot; separate icon crop.</x:v>
      </x:c>
    </x:row>
    <x:row r="66" ht="108" customHeight="1">
      <x:c r="A66" s="204" t="str">
        <x:f>'Decor Catalog'!A66</x:f>
        <x:v>CD-30</x:v>
      </x:c>
      <x:c r="B66" s="204" t="str">
        <x:f>'Decor Catalog'!B66</x:f>
        <x:v>Giant Conch Pavilion</x:v>
      </x:c>
      <x:c r="C66" s="192" t="str">
        <x:v>A monumental conch shell stands on its side with a broad flared opening and three rounded spires.</x:v>
      </x:c>
      <x:c r="D66" s="192" t="str">
        <x:v>Ivory, soft peach, rose interior and subdued turquoise mineral bands.</x:v>
      </x:c>
      <x:c r="E66" s="192" t="str">
        <x:v>Matte shell with broad curved ridges; the interior is a simple dark-to-light cel-shaded cavity.</x:v>
      </x:c>
      <x:c r="F66" s="192" t="str">
        <x:f>'Decor Catalog'!M66&amp;" | "&amp;TEXT('Decor Catalog'!N66,"0.0#")&amp;" W × "&amp;TEXT('Decor Catalog'!O66,"0.0#")&amp;" H U"</x:f>
        <x:v>XL | 4.0 W × 3.4 H U</x:v>
      </x:c>
      <x:c r="G66" s="192" t="str">
        <x:f>'Decor Catalog'!P66&amp;" — Use as a rear-side landmark, opening toward the middle but not covering it."</x:f>
        <x:v>Background — Use as a rear-side landmark, opening toward the middle but not covering it.</x:v>
      </x:c>
      <x:c r="H66" s="192" t="str">
        <x:v>Static idle. No particles, glow, movement or changing footprint.</x:v>
      </x:c>
      <x:c r="I66" s="192" t="str">
        <x:v>Static</x:v>
      </x:c>
      <x:c r="J66" s="192" t="str">
        <x:v>Use the finished base sprite with no glow or particles.</x:v>
      </x:c>
      <x:c r="K66" s="192" t="str">
        <x:v>Three soft spires and one huge rose opening; remains a static ornament.</x:v>
      </x:c>
      <x:c r="L66" s="192" t="str">
        <x:v>Single transparent sprite; bottom-centre pivot; separate icon crop.</x:v>
      </x:c>
    </x:row>
    <x:row r="67" ht="108" customHeight="1">
      <x:c r="A67" s="204" t="str">
        <x:f>'Decor Catalog'!A67</x:f>
        <x:v>CD-31</x:v>
      </x:c>
      <x:c r="B67" s="204" t="str">
        <x:f>'Decor Catalog'!B67</x:f>
        <x:v>Deep-sea Monolith</x:v>
      </x:c>
      <x:c r="C67" s="192" t="str">
        <x:v>A tapered stone pillar has a floating-looking but attached ring carved around its upper third and a broad split base.</x:v>
      </x:c>
      <x:c r="D67" s="192" t="str">
        <x:v>Midnight teal, slate indigo and muted cyan engraved channels.</x:v>
      </x:c>
      <x:c r="E67" s="192" t="str">
        <x:v>Matte basalt; the ring is visibly supported by two stone bridges, with no hovering animation.</x:v>
      </x:c>
      <x:c r="F67" s="192" t="str">
        <x:f>'Decor Catalog'!M67&amp;" | "&amp;TEXT('Decor Catalog'!N67,"0.0#")&amp;" W × "&amp;TEXT('Decor Catalog'!O67,"0.0#")&amp;" H U"</x:f>
        <x:v>XL | 2.6 W × 4.0 H U</x:v>
      </x:c>
      <x:c r="G67" s="192" t="str">
        <x:f>'Decor Catalog'!P67&amp;" — Stand at the extreme rear side; preserve open water around the ring and below its upper section."</x:f>
        <x:v>Background — Stand at the extreme rear side; preserve open water around the ring and below its upper section.</x:v>
      </x:c>
      <x:c r="H67" s="192" t="str">
        <x:v>Static idle. No particles, glow, movement or changing footprint.</x:v>
      </x:c>
      <x:c r="I67" s="192" t="str">
        <x:v>Static</x:v>
      </x:c>
      <x:c r="J67" s="192" t="str">
        <x:v>Use the finished base sprite with no glow or particles.</x:v>
      </x:c>
      <x:c r="K67" s="192" t="str">
        <x:v>A tall tapered pillar with an attached carved ring; no glowing glyphs.</x:v>
      </x:c>
      <x:c r="L67" s="192" t="str">
        <x:v>Single transparent sprite; bottom-centre pivot; separate icon crop.</x:v>
      </x:c>
    </x:row>
    <x:row r="68" ht="108" customHeight="1">
      <x:c r="A68" s="204" t="str">
        <x:f>'Decor Catalog'!A68</x:f>
        <x:v>CD-32</x:v>
      </x:c>
      <x:c r="B68" s="204" t="str">
        <x:f>'Decor Catalog'!B68</x:f>
        <x:v>Coral Crown Castle</x:v>
      </x:c>
      <x:c r="C68" s="192" t="str">
        <x:v>A compact coral-inspired castle has three rounded turrets, scalloped battlements and one central arched doorway.</x:v>
      </x:c>
      <x:c r="D68" s="192" t="str">
        <x:v>Warm coral pink, buttercream towers, lilac recesses and a restrained teal door rim.</x:v>
      </x:c>
      <x:c r="E68" s="192" t="str">
        <x:v>Matte sculpted resin shaped like coral and stone; no live polyps or tiny windows.</x:v>
      </x:c>
      <x:c r="F68" s="192" t="str">
        <x:f>'Decor Catalog'!M68&amp;" | "&amp;TEXT('Decor Catalog'!N68,"0.0#")&amp;" W × "&amp;TEXT('Decor Catalog'!O68,"0.0#")&amp;" H U"</x:f>
        <x:v>XL | 4.2 W × 4.1 H U</x:v>
      </x:c>
      <x:c r="G68" s="192" t="str">
        <x:f>'Decor Catalog'!P68&amp;" — Reserve one rear corner for this capstone; keep the asset at roughly one-third of the reference tank width."</x:f>
        <x:v>Background — Reserve one rear corner for this capstone; keep the asset at roughly one-third of the reference tank width.</x:v>
      </x:c>
      <x:c r="H68" s="192" t="str">
        <x:v>Static idle. No particles, glow, movement or changing footprint.</x:v>
      </x:c>
      <x:c r="I68" s="192" t="str">
        <x:v>Static</x:v>
      </x:c>
      <x:c r="J68" s="192" t="str">
        <x:v>Use the finished base sprite with no glow or particles.</x:v>
      </x:c>
      <x:c r="K68" s="192" t="str">
        <x:v>Three rounded turrets and scalloped crown silhouette; no surrounding scenery.</x:v>
      </x:c>
      <x:c r="L68" s="192" t="str">
        <x:v>Single transparent sprite; bottom-centre pivot; separate icon crop.</x:v>
      </x:c>
    </x:row>
    <x:row r="69" ht="108" customHeight="1">
      <x:c r="A69" s="204" t="str">
        <x:f>'Decor Catalog'!A69</x:f>
        <x:v>PP-01</x:v>
      </x:c>
      <x:c r="B69" s="204" t="str">
        <x:f>'Decor Catalog'!B69</x:f>
        <x:v>Moon-tip Anubias</x:v>
      </x:c>
      <x:c r="C69" s="192" t="str">
        <x:v>Five thick heart leaves cradle one new curled shoot; the upper three tips point in different directions.</x:v>
      </x:c>
      <x:c r="D69" s="192" t="str">
        <x:v>Deep jade leaves, powder-mint tips and soft lilac undersides.</x:v>
      </x:c>
      <x:c r="E69" s="192" t="str">
        <x:v>Velvety matte leaves with pale tip inlays; light stays on the painted tips, not as an outer halo.</x:v>
      </x:c>
      <x:c r="F69" s="192" t="str">
        <x:f>'Decor Catalog'!M69&amp;" | "&amp;TEXT('Decor Catalog'!N69,"0.0#")&amp;" W × "&amp;TEXT('Decor Catalog'!O69,"0.0#")&amp;" H U"</x:f>
        <x:v>Medium | 1.5 W × 1.4 H U</x:v>
      </x:c>
      <x:c r="G69" s="192" t="str">
        <x:f>'Decor Catalog'!P69&amp;" — Anchor beside a pale lower-side stone; leave the three luminous tips unobscured."</x:f>
        <x:v>Midground — Anchor beside a pale lower-side stone; leave the three luminous tips unobscured.</x:v>
      </x:c>
      <x:c r="H69" s="192" t="str">
        <x:v>Upper leaves sway ±2° on a 7 s offset loop; three tip masks brighten softly by 12% over 9 s. No particles.</x:v>
      </x:c>
      <x:c r="I69" s="192" t="str">
        <x:v>Ambient</x:v>
      </x:c>
      <x:c r="J69" s="192" t="str">
        <x:v>Rest with leaves fanned apart and tips at their dim mint colour.</x:v>
      </x:c>
      <x:c r="K69" s="192" t="str">
        <x:v>Three pale heart-leaf tips above a dark low rosette.</x:v>
      </x:c>
      <x:c r="L69" s="192" t="str">
        <x:v>Base/rhizome + three grouped leaf sprites + one tip mask; root pivots stay fixed.</x:v>
      </x:c>
    </x:row>
    <x:row r="70" ht="108" customHeight="1">
      <x:c r="A70" s="204" t="str">
        <x:f>'Decor Catalog'!A70</x:f>
        <x:v>PP-02</x:v>
      </x:c>
      <x:c r="B70" s="204" t="str">
        <x:f>'Decor Catalog'!B70</x:f>
        <x:v>Silken Ribbon Fern</x:v>
      </x:c>
      <x:c r="C70" s="192" t="str">
        <x:v>Four wide ribbons rise in elegant C-curves, with folded split tips and one low curled leaf.</x:v>
      </x:c>
      <x:c r="D70" s="192" t="str">
        <x:v>Aqua faces, dusty lavender backs and pale celadon folds.</x:v>
      </x:c>
      <x:c r="E70" s="192" t="str">
        <x:v>Silk-like leaf folds expressed through matte two-tone shading; no glossy cloth shine.</x:v>
      </x:c>
      <x:c r="F70" s="192" t="str">
        <x:f>'Decor Catalog'!M70&amp;" | "&amp;TEXT('Decor Catalog'!N70,"0.0#")&amp;" W × "&amp;TEXT('Decor Catalog'!O70,"0.0#")&amp;" H U"</x:f>
        <x:v>Large | 1.4 W × 2.3 H U</x:v>
      </x:c>
      <x:c r="G70" s="192" t="str">
        <x:f>'Decor Catalog'!P70&amp;" — Place at a rear side with the ribbons bending outward from the centre lane."</x:f>
        <x:v>Background — Place at a rear side with the ribbons bending outward from the centre lane.</x:v>
      </x:c>
      <x:c r="H70" s="192" t="str">
        <x:v>Three leaf groups bend ±3° in a slow 8 s staggered loop; the low curl follows half a second later. No glow or particles.</x:v>
      </x:c>
      <x:c r="I70" s="192" t="str">
        <x:v>Ambient</x:v>
      </x:c>
      <x:c r="J70" s="192" t="str">
        <x:v>Keep the ribbons in their open C-curves with no additional effects.</x:v>
      </x:c>
      <x:c r="K70" s="192" t="str">
        <x:v>Four broad folded ribbons, distinct from thin spirals or grass blades.</x:v>
      </x:c>
      <x:c r="L70" s="192" t="str">
        <x:v>Static root + three leaf groups; simple two-joint bend per group, not a full simulation.</x:v>
      </x:c>
    </x:row>
    <x:row r="71" ht="108" customHeight="1">
      <x:c r="A71" s="204" t="str">
        <x:f>'Decor Catalog'!A71</x:f>
        <x:v>PP-03</x:v>
      </x:c>
      <x:c r="B71" s="204" t="str">
        <x:f>'Decor Catalog'!B71</x:f>
        <x:v>Lantern Bud Stem</x:v>
      </x:c>
      <x:c r="C71" s="192" t="str">
        <x:v>A forked stem carries three downward bell buds above two broad protective leaves.</x:v>
      </x:c>
      <x:c r="D71" s="192" t="str">
        <x:v>Moss-green stem, buttery yellow buds and peach-orange bud rims.</x:v>
      </x:c>
      <x:c r="E71" s="192" t="str">
        <x:v>Papery matte petals shaped like tiny closed lanterns; soft colour fill inside each bud.</x:v>
      </x:c>
      <x:c r="F71" s="192" t="str">
        <x:f>'Decor Catalog'!M71&amp;" | "&amp;TEXT('Decor Catalog'!N71,"0.0#")&amp;" W × "&amp;TEXT('Decor Catalog'!O71,"0.0#")&amp;" H U"</x:f>
        <x:v>Large | 1.6 W × 2.2 H U</x:v>
      </x:c>
      <x:c r="G71" s="192" t="str">
        <x:f>'Decor Catalog'!P71&amp;" — Set at a side focal point where all three hanging bells can be seen separately."</x:f>
        <x:v>Midground — Set at a side focal point where all three hanging bells can be seen separately.</x:v>
      </x:c>
      <x:c r="H71" s="192" t="str">
        <x:v>Buds rock ±2° over 6 s; their inner colour warms by 10% over 10 s, out of phase. Buds never detach.</x:v>
      </x:c>
      <x:c r="I71" s="192" t="str">
        <x:v>Ambient</x:v>
      </x:c>
      <x:c r="J71" s="192" t="str">
        <x:v>Show buds slightly angled outward with a constant muted yellow interior.</x:v>
      </x:c>
      <x:c r="K71" s="192" t="str">
        <x:v>Three hanging yellow bells over two broad green leaves.</x:v>
      </x:c>
      <x:c r="L71" s="192" t="str">
        <x:v>Stem/leaves + three bud sprites + one shared interior light mask.</x:v>
      </x:c>
    </x:row>
    <x:row r="72" ht="108" customHeight="1">
      <x:c r="A72" s="204" t="str">
        <x:f>'Decor Catalog'!A72</x:f>
        <x:v>PP-04</x:v>
      </x:c>
      <x:c r="B72" s="204" t="str">
        <x:f>'Decor Catalog'!B72</x:f>
        <x:v>Pearldrop Lotus</x:v>
      </x:c>
      <x:c r="C72" s="192" t="str">
        <x:v>Two notched round leaves support a layered cup flower with one small pearl-like ceramic bead at its centre.</x:v>
      </x:c>
      <x:c r="D72" s="192" t="str">
        <x:v>Rose pink petals, cream centre bead, sage leaves and muted plum recesses.</x:v>
      </x:c>
      <x:c r="E72" s="192" t="str">
        <x:v>Soft matte petals and leaves; the decorative bead has a broad pale plane rather than a shiny currency icon.</x:v>
      </x:c>
      <x:c r="F72" s="192" t="str">
        <x:f>'Decor Catalog'!M72&amp;" | "&amp;TEXT('Decor Catalog'!N72,"0.0#")&amp;" W × "&amp;TEXT('Decor Catalog'!O72,"0.0#")&amp;" H U"</x:f>
        <x:v>Medium | 2.0 W × 2.0 H U</x:v>
      </x:c>
      <x:c r="G72" s="192" t="str">
        <x:f>'Decor Catalog'!P72&amp;" — Place just off-centre at the lower side; keep the cup open toward the viewer."</x:f>
        <x:v>Midground — Place just off-centre at the lower side; keep the cup open toward the viewer.</x:v>
      </x:c>
      <x:c r="H72" s="192" t="str">
        <x:v>Flower opens 6° wider for 2 s every 18–24 s, then closes to its half-open rest; leaves rock ±1°. No collectible pearl spawns.</x:v>
      </x:c>
      <x:c r="I72" s="192" t="str">
        <x:v>Ambient</x:v>
      </x:c>
      <x:c r="J72" s="192" t="str">
        <x:v>Use the half-open flower with a fixed cream centre bead.</x:v>
      </x:c>
      <x:c r="K72" s="192" t="str">
        <x:v>One pink cup flower and two notched green discs.</x:v>
      </x:c>
      <x:c r="L72" s="192" t="str">
        <x:v>Leaf/base sprite + three petal groups + fixed bead; petal hinges hidden inside cup.</x:v>
      </x:c>
    </x:row>
    <x:row r="73" ht="108" customHeight="1">
      <x:c r="A73" s="204" t="str">
        <x:f>'Decor Catalog'!A73</x:f>
        <x:v>PP-05</x:v>
      </x:c>
      <x:c r="B73" s="204" t="str">
        <x:f>'Decor Catalog'!B73</x:f>
        <x:v>Aurora Rotala</x:v>
      </x:c>
      <x:c r="C73" s="192" t="str">
        <x:v>Five arcing stems form a feathered plume, with large paired leaves grouped into three clear crowns.</x:v>
      </x:c>
      <x:c r="D73" s="192" t="str">
        <x:v>Mint lower leaves, mauve middle leaves and apricot tips; dark violet stems.</x:v>
      </x:c>
      <x:c r="E73" s="192" t="str">
        <x:v>Smooth matte leaves with stable colour bands; effects add only a gentle local luminance change.</x:v>
      </x:c>
      <x:c r="F73" s="192" t="str">
        <x:f>'Decor Catalog'!M73&amp;" | "&amp;TEXT('Decor Catalog'!N73,"0.0#")&amp;" W × "&amp;TEXT('Decor Catalog'!O73,"0.0#")&amp;" H U"</x:f>
        <x:v>Large | 1.8 W × 2.6 H U</x:v>
      </x:c>
      <x:c r="G73" s="192" t="str">
        <x:f>'Decor Catalog'!P73&amp;" — Set behind a low cool-coloured ornament on a side; leave gaps between the three crowns."</x:f>
        <x:v>Background — Set behind a low cool-coloured ornament on a side; leave gaps between the three crowns.</x:v>
      </x:c>
      <x:c r="H73" s="192" t="str">
        <x:v>Three crowns sway ±2° on a 9 s loop; a very soft brightness wave passes up the tips every 14 s. No hue cycling.</x:v>
      </x:c>
      <x:c r="I73" s="192" t="str">
        <x:v>Ambient</x:v>
      </x:c>
      <x:c r="J73" s="192" t="str">
        <x:v>Hold the crowns open with the original fixed mint–mauve–apricot palette.</x:v>
      </x:c>
      <x:c r="K73" s="192" t="str">
        <x:v>A three-crown pastel plume with a visible warm-to-cool gradient.</x:v>
      </x:c>
      <x:c r="L73" s="192" t="str">
        <x:v>Static roots/stems + three crown groups + one soft tip mask.</x:v>
      </x:c>
    </x:row>
    <x:row r="74" ht="108" customHeight="1">
      <x:c r="A74" s="204" t="str">
        <x:f>'Decor Catalog'!A74</x:f>
        <x:v>PP-06</x:v>
      </x:c>
      <x:c r="B74" s="204" t="str">
        <x:f>'Decor Catalog'!B74</x:f>
        <x:v>Firefly Moss Cushion</x:v>
      </x:c>
      <x:c r="C74" s="192" t="str">
        <x:v>A low oval moss pillow has three raised lobes and three embedded seed-like light nodes.</x:v>
      </x:c>
      <x:c r="D74" s="192" t="str">
        <x:v>Forest green, muted teal shadows and pale yellow-green nodes.</x:v>
      </x:c>
      <x:c r="E74" s="192" t="str">
        <x:v>Velvety matte moss; the nodes look like smooth botanical seeds, not loose insects or currency.</x:v>
      </x:c>
      <x:c r="F74" s="192" t="str">
        <x:f>'Decor Catalog'!M74&amp;" | "&amp;TEXT('Decor Catalog'!N74,"0.0#")&amp;" W × "&amp;TEXT('Decor Catalog'!O74,"0.0#")&amp;" H U"</x:f>
        <x:v>Medium | 1.8 W × 1.0 H U</x:v>
      </x:c>
      <x:c r="G74" s="192" t="str">
        <x:f>'Decor Catalog'!P74&amp;" — Place at a front-side edge away from HUD buttons; keep all three seed nodes inside the moss outline."</x:f>
        <x:v>Foreground — Place at a front-side edge away from HUD buttons; keep all three seed nodes inside the moss outline.</x:v>
      </x:c>
      <x:c r="H74" s="192" t="str">
        <x:v>Three fixed nodes brighten gently in a staggered 11 s sequence, maximum 15% change; moss itself stays still. Nothing flies out.</x:v>
      </x:c>
      <x:c r="I74" s="192" t="str">
        <x:v>Ambient</x:v>
      </x:c>
      <x:c r="J74" s="192" t="str">
        <x:v>Show the moss pillow with three muted lime seed spots and no halo.</x:v>
      </x:c>
      <x:c r="K74" s="192" t="str">
        <x:v>Three large seed lights on a dark, low moss cushion.</x:v>
      </x:c>
      <x:c r="L74" s="192" t="str">
        <x:v>Single moss sprite + one three-node emissive mask; no particle system.</x:v>
      </x:c>
    </x:row>
    <x:row r="75" ht="108" customHeight="1">
      <x:c r="A75" s="204" t="str">
        <x:f>'Decor Catalog'!A75</x:f>
        <x:v>PP-07</x:v>
      </x:c>
      <x:c r="B75" s="204" t="str">
        <x:f>'Decor Catalog'!B75</x:f>
        <x:v>Crystal-tip Seagrass</x:v>
      </x:c>
      <x:c r="C75" s="192" t="str">
        <x:v>Five narrow leaves arc from a tight root fan and end in blunt diamond-shaped tips.</x:v>
      </x:c>
      <x:c r="D75" s="192" t="str">
        <x:v>Teal blades, ice-blue tip facets and restrained lilac undersides.</x:v>
      </x:c>
      <x:c r="E75" s="192" t="str">
        <x:v>Flexible matte leaves with rigid crystal-like caps; opaque facets avoid glass reflection noise.</x:v>
      </x:c>
      <x:c r="F75" s="192" t="str">
        <x:f>'Decor Catalog'!M75&amp;" | "&amp;TEXT('Decor Catalog'!N75,"0.0#")&amp;" W × "&amp;TEXT('Decor Catalog'!O75,"0.0#")&amp;" H U"</x:f>
        <x:v>Large | 1.6 W × 2.7 H U</x:v>
      </x:c>
      <x:c r="G75" s="192" t="str">
        <x:f>'Decor Catalog'!P75&amp;" — Root beside a dark rear-side stone; keep the five diamond tips separated."</x:f>
        <x:v>Background — Root beside a dark rear-side stone; keep the five diamond tips separated.</x:v>
      </x:c>
      <x:c r="H75" s="192" t="str">
        <x:v>Leaves sway ±2° over 8 s; two tip facets brighten in sequence every 12–16 s. No sparkle bursts or moving glints.</x:v>
      </x:c>
      <x:c r="I75" s="192" t="str">
        <x:v>Ambient</x:v>
      </x:c>
      <x:c r="J75" s="192" t="str">
        <x:v>Keep tips in their normal ice-blue facet colours with leaves evenly spaced.</x:v>
      </x:c>
      <x:c r="K75" s="192" t="str">
        <x:v>A grass fan capped by five large icy diamonds.</x:v>
      </x:c>
      <x:c r="L75" s="192" t="str">
        <x:v>Root + three grouped blade sprites + one tip-facet mask.</x:v>
      </x:c>
    </x:row>
    <x:row r="76" ht="108" customHeight="1">
      <x:c r="A76" s="204" t="str">
        <x:f>'Decor Catalog'!A76</x:f>
        <x:v>PP-08</x:v>
      </x:c>
      <x:c r="B76" s="204" t="str">
        <x:f>'Decor Catalog'!B76</x:f>
        <x:v>Coral Bells Vine</x:v>
      </x:c>
      <x:c r="C76" s="192" t="str">
        <x:v>A single rooted vine forms a broad hook, carrying four hanging trumpet flowers and two large arrow leaves.</x:v>
      </x:c>
      <x:c r="D76" s="192" t="str">
        <x:v>Coral-pink blooms, apricot mouths and deep turquoise foliage.</x:v>
      </x:c>
      <x:c r="E76" s="192" t="str">
        <x:v>Soft matte tubular petals and rounded vine segments; no thin tangled tendrils.</x:v>
      </x:c>
      <x:c r="F76" s="192" t="str">
        <x:f>'Decor Catalog'!M76&amp;" | "&amp;TEXT('Decor Catalog'!N76,"0.0#")&amp;" W × "&amp;TEXT('Decor Catalog'!O76,"0.0#")&amp;" H U"</x:f>
        <x:v>Large | 2.5 W × 2.6 H U</x:v>
      </x:c>
      <x:c r="G76" s="192" t="str">
        <x:f>'Decor Catalog'!P76&amp;" — Place on a rear-side arc with the hanging flowers inside the play area and the centre left open."</x:f>
        <x:v>Midground — Place on a rear-side arc with the hanging flowers inside the play area and the centre left open.</x:v>
      </x:c>
      <x:c r="H76" s="192" t="str">
        <x:v>Two paired flower groups nod ±3° on alternating 7 s loops; the hook flexes only at its upper bend. No emitted particles.</x:v>
      </x:c>
      <x:c r="I76" s="192" t="str">
        <x:v>Ambient</x:v>
      </x:c>
      <x:c r="J76" s="192" t="str">
        <x:v>Hold trumpets at slightly different natural angles; no changing light.</x:v>
      </x:c>
      <x:c r="K76" s="192" t="str">
        <x:v>A hooked vine with four clear pink trumpets.</x:v>
      </x:c>
      <x:c r="L76" s="192" t="str">
        <x:v>Rooted vine/leaf base + upper bend + two paired flower groups.</x:v>
      </x:c>
    </x:row>
    <x:row r="77" ht="108" customHeight="1">
      <x:c r="A77" s="204" t="str">
        <x:f>'Decor Catalog'!A77</x:f>
        <x:v>PP-09</x:v>
      </x:c>
      <x:c r="B77" s="204" t="str">
        <x:f>'Decor Catalog'!B77</x:f>
        <x:v>Starlight Lace Fern</x:v>
      </x:c>
      <x:c r="C77" s="192" t="str">
        <x:v>Three arching fern fronds contain broad star-like cutouts between thick leaf lobes.</x:v>
      </x:c>
      <x:c r="D77" s="192" t="str">
        <x:v>Midnight teal leaves, silver-sage borders and faint periwinkle tips.</x:v>
      </x:c>
      <x:c r="E77" s="192" t="str">
        <x:v>Matte leathery fronds with clean transparent cutouts; pale edges are painted, not a sticker border.</x:v>
      </x:c>
      <x:c r="F77" s="192" t="str">
        <x:f>'Decor Catalog'!M77&amp;" | "&amp;TEXT('Decor Catalog'!N77,"0.0#")&amp;" W × "&amp;TEXT('Decor Catalog'!O77,"0.0#")&amp;" H U"</x:f>
        <x:v>Large | 2.6 W × 3.0 H U</x:v>
      </x:c>
      <x:c r="G77" s="192" t="str">
        <x:f>'Decor Catalog'!P77&amp;" — Use against a darker rear-side background so the large openings and pale edges remain visible."</x:f>
        <x:v>Background — Use against a darker rear-side background so the large openings and pale edges remain visible.</x:v>
      </x:c>
      <x:c r="H77" s="192" t="str">
        <x:v>Fronds sway ±1.5° on 10 s phase-offset loops; only the terminal tips warm by 10% once every 14 s.</x:v>
      </x:c>
      <x:c r="I77" s="192" t="str">
        <x:v>Ambient</x:v>
      </x:c>
      <x:c r="J77" s="192" t="str">
        <x:v>Use three open fronds with fixed silver-sage edge colours.</x:v>
      </x:c>
      <x:c r="K77" s="192" t="str">
        <x:v>Three airy fronds with broad star-shaped negative spaces.</x:v>
      </x:c>
      <x:c r="L77" s="192" t="str">
        <x:v>Root + three frond groups + one local tip mask; preserve transparent cutouts.</x:v>
      </x:c>
    </x:row>
    <x:row r="78" ht="108" customHeight="1">
      <x:c r="A78" s="204" t="str">
        <x:f>'Decor Catalog'!A78</x:f>
        <x:v>PP-10</x:v>
      </x:c>
      <x:c r="B78" s="204" t="str">
        <x:f>'Decor Catalog'!B78</x:f>
        <x:v>Velvet Fan Bloom</x:v>
      </x:c>
      <x:c r="C78" s="192" t="str">
        <x:v>A wide scalloped flower fan opens above three curled spoon leaves, with a small folded bud at one side.</x:v>
      </x:c>
      <x:c r="D78" s="192" t="str">
        <x:v>Dusty plum, magenta inner folds, muted peach edges and petrol-green leaves.</x:v>
      </x:c>
      <x:c r="E78" s="192" t="str">
        <x:v>Velvety matte petals with four bold radiating folds; thick softly curled leaves.</x:v>
      </x:c>
      <x:c r="F78" s="192" t="str">
        <x:f>'Decor Catalog'!M78&amp;" | "&amp;TEXT('Decor Catalog'!N78,"0.0#")&amp;" W × "&amp;TEXT('Decor Catalog'!O78,"0.0#")&amp;" H U"</x:f>
        <x:v>Large | 2.8 W × 2.6 H U</x:v>
      </x:c>
      <x:c r="G78" s="192" t="str">
        <x:f>'Decor Catalog'!P78&amp;" — Set at a side focal point with dark space behind the peach-edged fan."</x:f>
        <x:v>Midground — Set at a side focal point with dark space behind the peach-edged fan.</x:v>
      </x:c>
      <x:c r="H78" s="192" t="str">
        <x:v>Main fan opens by 5° and relaxes every 16 s; the side bud rocks ±2° over 8 s. No glow.</x:v>
      </x:c>
      <x:c r="I78" s="192" t="str">
        <x:v>Ambient</x:v>
      </x:c>
      <x:c r="J78" s="192" t="str">
        <x:v>Show the fan at its broad half-open pose and the bud tilted outward.</x:v>
      </x:c>
      <x:c r="K78" s="192" t="str">
        <x:v>One oversized scalloped purple fan and a separate folded side bud.</x:v>
      </x:c>
      <x:c r="L78" s="192" t="str">
        <x:v>Static leaves + three petal fan sections + one bud sprite.</x:v>
      </x:c>
    </x:row>
    <x:row r="79" ht="108" customHeight="1">
      <x:c r="A79" s="204" t="str">
        <x:f>'Decor Catalog'!A79</x:f>
        <x:v>PP-11</x:v>
      </x:c>
      <x:c r="B79" s="204" t="str">
        <x:f>'Decor Catalog'!B79</x:f>
        <x:v>Opal Lotus Bouquet</x:v>
      </x:c>
      <x:c r="C79" s="192" t="str">
        <x:v>Three cup flowers of descending heights rise above overlapping round leaves; the centre flower is the broadest.</x:v>
      </x:c>
      <x:c r="D79" s="192" t="str">
        <x:v>Ivory petals with pale peach, mint and lavender planes; jade leaf discs.</x:v>
      </x:c>
      <x:c r="E79" s="192" t="str">
        <x:v>Matte opal-like colour facets on soft petals; no mirror sheen or rainbow shimmer across the tank.</x:v>
      </x:c>
      <x:c r="F79" s="192" t="str">
        <x:f>'Decor Catalog'!M79&amp;" | "&amp;TEXT('Decor Catalog'!N79,"0.0#")&amp;" W × "&amp;TEXT('Decor Catalog'!O79,"0.0#")&amp;" H U"</x:f>
        <x:v>Large | 3.2 W × 3.2 H U</x:v>
      </x:c>
      <x:c r="G79" s="192" t="str">
        <x:f>'Decor Catalog'!P79&amp;" — Anchor near a rear corner and turn the smallest bloom toward the centre without blocking it."</x:f>
        <x:v>Background — Anchor near a rear corner and turn the smallest bloom toward the centre without blocking it.</x:v>
      </x:c>
      <x:c r="H79" s="192" t="str">
        <x:v>Flowers sway ±1° over 10 s; the centre flower opens 4° for 3 s every 22 s. A petal mask shifts brightness by at most 8%.</x:v>
      </x:c>
      <x:c r="I79" s="192" t="str">
        <x:v>Ambient</x:v>
      </x:c>
      <x:c r="J79" s="192" t="str">
        <x:v>Keep all three cups half-open with fixed pastel petal planes.</x:v>
      </x:c>
      <x:c r="K79" s="192" t="str">
        <x:v>A three-height bouquet of pale cups over bold green discs.</x:v>
      </x:c>
      <x:c r="L79" s="192" t="str">
        <x:v>Leaf/base sprite + three flower groups + one centre petal group + one mask.</x:v>
      </x:c>
    </x:row>
    <x:row r="80" ht="108" customHeight="1">
      <x:c r="A80" s="204" t="str">
        <x:f>'Decor Catalog'!A80</x:f>
        <x:v>PP-12</x:v>
      </x:c>
      <x:c r="B80" s="204" t="str">
        <x:f>'Decor Catalog'!B80</x:f>
        <x:v>Moonbell Root Tree</x:v>
      </x:c>
      <x:c r="C80" s="192" t="str">
        <x:v>An arching root trunk splits into two rounded leaf crowns with three large bell-shaped flowers hanging below.</x:v>
      </x:c>
      <x:c r="D80" s="192" t="str">
        <x:v>Walnut and dusty violet trunk, blue-green leaves and soft cream bells.</x:v>
      </x:c>
      <x:c r="E80" s="192" t="str">
        <x:v>Matte knotted wood with compact leathery leaf masses and papery flower cups.</x:v>
      </x:c>
      <x:c r="F80" s="192" t="str">
        <x:f>'Decor Catalog'!M80&amp;" | "&amp;TEXT('Decor Catalog'!N80,"0.0#")&amp;" W × "&amp;TEXT('Decor Catalog'!O80,"0.0#")&amp;" H U"</x:f>
        <x:v>XL | 2.9 W × 3.7 H U</x:v>
      </x:c>
      <x:c r="G80" s="192" t="str">
        <x:f>'Decor Catalog'!P80&amp;" — Place in a back corner; use the trunk arch as visual negative space and keep the bells out of the central lane."</x:f>
        <x:v>Background — Place in a back corner; use the trunk arch as visual negative space and keep the bells out of the central lane.</x:v>
      </x:c>
      <x:c r="H80" s="192" t="str">
        <x:v>Two crown groups sway ±1° on a 12 s loop; bell group follows ±2° with a short delay. Bells warm gently once every 18 s.</x:v>
      </x:c>
      <x:c r="I80" s="192" t="str">
        <x:v>Ambient</x:v>
      </x:c>
      <x:c r="J80" s="192" t="str">
        <x:v>Show the bells as pale cream cups without emitted light.</x:v>
      </x:c>
      <x:c r="K80" s="192" t="str">
        <x:v>An open rooted arch below two crowns and three hanging cream bells.</x:v>
      </x:c>
      <x:c r="L80" s="192" t="str">
        <x:v>Root/trunk + two crowns + two bell groups + one local bell mask.</x:v>
      </x:c>
    </x:row>
    <x:row r="81" ht="108" customHeight="1">
      <x:c r="A81" s="204" t="str">
        <x:f>'Decor Catalog'!A81</x:f>
        <x:v>PP-13</x:v>
      </x:c>
      <x:c r="B81" s="204" t="str">
        <x:f>'Decor Catalog'!B81</x:f>
        <x:v>Glowing Kelp Spiral</x:v>
      </x:c>
      <x:c r="C81" s="192" t="str">
        <x:v>A thick ribbon stem curls upward in two open turns, with four broad leaf paddles attached on the outside.</x:v>
      </x:c>
      <x:c r="D81" s="192" t="str">
        <x:v>Dark turquoise, cobalt shaded backs and pale cyan leaf-tip bands.</x:v>
      </x:c>
      <x:c r="E81" s="192" t="str">
        <x:v>Rubbery matte kelp forms with softly rounded edges; glow is confined to terminal leaf bands.</x:v>
      </x:c>
      <x:c r="F81" s="192" t="str">
        <x:f>'Decor Catalog'!M81&amp;" | "&amp;TEXT('Decor Catalog'!N81,"0.0#")&amp;" W × "&amp;TEXT('Decor Catalog'!O81,"0.0#")&amp;" H U"</x:f>
        <x:v>XL | 2.3 W × 3.8 H U</x:v>
      </x:c>
      <x:c r="G81" s="192" t="str">
        <x:f>'Decor Catalog'!P81&amp;" — Root at the extreme rear side so the tall coil frames rather than covers swimming fish."</x:f>
        <x:v>Background — Root at the extreme rear side so the tall coil frames rather than covers swimming fish.</x:v>
      </x:c>
      <x:c r="H81" s="192" t="str">
        <x:v>Upper coil bends ±1.5° over 12 s; tip bands brighten sequentially every 16 s, no travelling particle or full-body neon outline.</x:v>
      </x:c>
      <x:c r="I81" s="192" t="str">
        <x:v>Ambient</x:v>
      </x:c>
      <x:c r="J81" s="192" t="str">
        <x:v>Use the open spiral with tips at their dim cyan rest colour.</x:v>
      </x:c>
      <x:c r="K81" s="192" t="str">
        <x:v>Two broad open kelp turns with four outer paddles.</x:v>
      </x:c>
      <x:c r="L81" s="192" t="str">
        <x:v>Static root/lower coil + upper coil + two leaf groups + one tip mask.</x:v>
      </x:c>
    </x:row>
    <x:row r="82" ht="108" customHeight="1">
      <x:c r="A82" s="204" t="str">
        <x:f>'Decor Catalog'!A82</x:f>
        <x:v>PP-14</x:v>
      </x:c>
      <x:c r="B82" s="204" t="str">
        <x:f>'Decor Catalog'!B82</x:f>
        <x:v>Jade Dragonleaf</x:v>
      </x:c>
      <x:c r="C82" s="192" t="str">
        <x:v>Three broad serpentine leaves curve upward with rounded serrated crests, framing one rolled central shoot.</x:v>
      </x:c>
      <x:c r="D82" s="192" t="str">
        <x:v>Imperial jade, blue-green shaded folds and muted gold-green crest tips.</x:v>
      </x:c>
      <x:c r="E82" s="192" t="str">
        <x:v>Thick matte botanical leaves; dragon-like shapes stay abstract, with no face or animal anatomy.</x:v>
      </x:c>
      <x:c r="F82" s="192" t="str">
        <x:f>'Decor Catalog'!M82&amp;" | "&amp;TEXT('Decor Catalog'!N82,"0.0#")&amp;" W × "&amp;TEXT('Decor Catalog'!O82,"0.0#")&amp;" H U"</x:f>
        <x:v>XL | 3.3 W × 3.6 H U</x:v>
      </x:c>
      <x:c r="G82" s="192" t="str">
        <x:f>'Decor Catalog'!P82&amp;" — Place as a back-side statement plant; leave the central opening between the three leaves visible."</x:f>
        <x:v>Background — Place as a back-side statement plant; leave the central opening between the three leaves visible.</x:v>
      </x:c>
      <x:c r="H82" s="192" t="str">
        <x:v>Leaves breathe outward by 2° on a 12 s loop; the rolled shoot unfurls a few degrees every 24 s, then returns. No particles.</x:v>
      </x:c>
      <x:c r="I82" s="192" t="str">
        <x:v>Ambient</x:v>
      </x:c>
      <x:c r="J82" s="192" t="str">
        <x:v>Keep the three leaves open and the centre shoot rolled.</x:v>
      </x:c>
      <x:c r="K82" s="192" t="str">
        <x:v>Three crest-edged S-leaves encircle one rolled shoot.</x:v>
      </x:c>
      <x:c r="L82" s="192" t="str">
        <x:v>Root base + three large leaves + one central shoot; single-joint leaf bends.</x:v>
      </x:c>
    </x:row>
    <x:row r="83" ht="108" customHeight="1">
      <x:c r="A83" s="204" t="str">
        <x:f>'Decor Catalog'!A83</x:f>
        <x:v>PP-15</x:v>
      </x:c>
      <x:c r="B83" s="204" t="str">
        <x:f>'Decor Catalog'!B83</x:f>
        <x:v>Celestial Lily Crown</x:v>
      </x:c>
      <x:c r="C83" s="192" t="str">
        <x:v>Five broad pointed petals form a crown-shaped lily above three long arching leaves and a stout stem.</x:v>
      </x:c>
      <x:c r="D83" s="192" t="str">
        <x:v>Periwinkle, powder blue and cream petal centres; deep indigo-green foliage.</x:v>
      </x:c>
      <x:c r="E83" s="192" t="str">
        <x:v>Matte satiny petal planes with gentle central colour fill; no sharp white glints.</x:v>
      </x:c>
      <x:c r="F83" s="192" t="str">
        <x:f>'Decor Catalog'!M83&amp;" | "&amp;TEXT('Decor Catalog'!N83,"0.0#")&amp;" W × "&amp;TEXT('Decor Catalog'!O83,"0.0#")&amp;" H U"</x:f>
        <x:v>XL | 3.6 W × 3.8 H U</x:v>
      </x:c>
      <x:c r="G83" s="192" t="str">
        <x:f>'Decor Catalog'!P83&amp;" — Use as a single rear-side floral landmark; keep the crown within the upper safe margin."</x:f>
        <x:v>Background — Use as a single rear-side floral landmark; keep the crown within the upper safe margin.</x:v>
      </x:c>
      <x:c r="H83" s="192" t="str">
        <x:v>Petal crown opens by 4° on a 16 s loop; centre brightness rises by 10% for 2 s every 24 s. Leaves rock no more than 1°.</x:v>
      </x:c>
      <x:c r="I83" s="192" t="str">
        <x:v>Ambient</x:v>
      </x:c>
      <x:c r="J83" s="192" t="str">
        <x:v>Hold the flower half-open with its centre at a fixed cream tone.</x:v>
      </x:c>
      <x:c r="K83" s="192" t="str">
        <x:v>A five-point lily crown with a clear cream centre and three arched leaves.</x:v>
      </x:c>
      <x:c r="L83" s="192" t="str">
        <x:v>Stem/leaves + three paired/single petal groups + centre mask; maximum five moving groups.</x:v>
      </x:c>
    </x:row>
    <x:row r="84" ht="108" customHeight="1">
      <x:c r="A84" s="204" t="str">
        <x:f>'Decor Catalog'!A84</x:f>
        <x:v>PP-16</x:v>
      </x:c>
      <x:c r="B84" s="204" t="str">
        <x:f>'Decor Catalog'!B84</x:f>
        <x:v>Aurora Worldroot</x:v>
      </x:c>
      <x:c r="C84" s="192" t="str">
        <x:v>A sculptural hollow root trunk supports three sweeping canopies of broad ribbon leaves with open space between each tier.</x:v>
      </x:c>
      <x:c r="D84" s="192" t="str">
        <x:v>Warm umber roots, mint lower crown, lavender middle crown and coral-peach upper crown.</x:v>
      </x:c>
      <x:c r="E84" s="192" t="str">
        <x:v>Matte old wood and soft ribbon leaves; three controlled pastel masses, no glitter texture.</x:v>
      </x:c>
      <x:c r="F84" s="192" t="str">
        <x:f>'Decor Catalog'!M84&amp;" | "&amp;TEXT('Decor Catalog'!N84,"0.0#")&amp;" W × "&amp;TEXT('Decor Catalog'!O84,"0.0#")&amp;" H U"</x:f>
        <x:v>XL | 4.0 W × 4.2 H U</x:v>
      </x:c>
      <x:c r="G84" s="192" t="str">
        <x:f>'Decor Catalog'!P84&amp;" — Reserve one rear corner; retain a wide open root arch and keep the centre swim lane unobstructed."</x:f>
        <x:v>Background — Reserve one rear corner; retain a wide open root arch and keep the centre swim lane unobstructed.</x:v>
      </x:c>
      <x:c r="H84" s="192" t="str">
        <x:v>Three canopy groups sway ±1° in a 14 s staggered loop; a local tip mask brightens by 8% every 20 s. No leaves detach.</x:v>
      </x:c>
      <x:c r="I84" s="192" t="str">
        <x:v>Ambient</x:v>
      </x:c>
      <x:c r="J84" s="192" t="str">
        <x:v>Use the open three-tier canopy with its fixed pastel palette and no glow.</x:v>
      </x:c>
      <x:c r="K84" s="192" t="str">
        <x:v>An open root arch under three separated pastel canopy tiers.</x:v>
      </x:c>
      <x:c r="L84" s="192" t="str">
        <x:v>Root/trunk + three canopy groups + one tip mask; maximum four animated layers.</x:v>
      </x:c>
    </x:row>
    <x:row r="85" ht="108" customHeight="1">
      <x:c r="A85" s="204" t="str">
        <x:f>'Decor Catalog'!A85</x:f>
        <x:v>PD-01</x:v>
      </x:c>
      <x:c r="B85" s="204" t="str">
        <x:f>'Decor Catalog'!B85</x:f>
        <x:v>Pearl Cradle Clam</x:v>
      </x:c>
      <x:c r="C85" s="192" t="str">
        <x:v>A plump scallop shell opens like a small cradle around one fixed oversized decorative bead.</x:v>
      </x:c>
      <x:c r="D85" s="192" t="str">
        <x:v>Soft peach shell, lavender lining and cream bead with a pale mint shaded plane.</x:v>
      </x:c>
      <x:c r="E85" s="192" t="str">
        <x:v>Matte shell with five broad ribs; centre bead is softly cel-shaded, not a shiny currency pickup.</x:v>
      </x:c>
      <x:c r="F85" s="192" t="str">
        <x:f>'Decor Catalog'!M85&amp;" | "&amp;TEXT('Decor Catalog'!N85,"0.0#")&amp;" W × "&amp;TEXT('Decor Catalog'!O85,"0.0#")&amp;" H U"</x:f>
        <x:v>Medium | 1.6 W × 1.2 H U</x:v>
      </x:c>
      <x:c r="G85" s="192" t="str">
        <x:f>'Decor Catalog'!P85&amp;" — Place on front-side gravel with the hinge behind; leave room above for the lid's full open pose."</x:f>
        <x:v>Foreground — Place on front-side gravel with the hinge behind; leave room above for the lid's full open pose.</x:v>
      </x:c>
      <x:c r="H85" s="192" t="str">
        <x:v>Lid opens from 12° to 32° for 2 s every 18–24 s, then eases shut. Bead stays fixed; no rewards or particles.</x:v>
      </x:c>
      <x:c r="I85" s="192" t="str">
        <x:v>Feature</x:v>
      </x:c>
      <x:c r="J85" s="192" t="str">
        <x:v>Show shell half-open at 20° with a fixed bead.</x:v>
      </x:c>
      <x:c r="K85" s="192" t="str">
        <x:v>A peach scallop cradle with one cream centre bead.</x:v>
      </x:c>
      <x:c r="L85" s="192" t="str">
        <x:v>Lower shell + hinged lid + fixed bead; placement bounds include the maximum opening.</x:v>
      </x:c>
    </x:row>
    <x:row r="86" ht="108" customHeight="1">
      <x:c r="A86" s="204" t="str">
        <x:f>'Decor Catalog'!A86</x:f>
        <x:v>PD-02</x:v>
      </x:c>
      <x:c r="B86" s="204" t="str">
        <x:f>'Decor Catalog'!B86</x:f>
        <x:v>Breathing Shell Lantern</x:v>
      </x:c>
      <x:c r="C86" s="192" t="str">
        <x:v>A tall spiral shell sits upright on a low three-foot stand, with a single rounded window cut into its side.</x:v>
      </x:c>
      <x:c r="D86" s="192" t="str">
        <x:v>Cream shell, muted peach bands, teal stand and honey-yellow window.</x:v>
      </x:c>
      <x:c r="E86" s="192" t="str">
        <x:v>Matte carved shell and aged ceramic stand; window is a local colour panel, not a real lamp beam.</x:v>
      </x:c>
      <x:c r="F86" s="192" t="str">
        <x:f>'Decor Catalog'!M86&amp;" | "&amp;TEXT('Decor Catalog'!N86,"0.0#")&amp;" W × "&amp;TEXT('Decor Catalog'!O86,"0.0#")&amp;" H U"</x:f>
        <x:v>Medium | 1.5 W × 1.8 H U</x:v>
      </x:c>
      <x:c r="G86" s="192" t="str">
        <x:f>'Decor Catalog'!P86&amp;" — Set against a darker side area where the window and spiral remain visible."</x:f>
        <x:v>Midground — Set against a darker side area where the window and spiral remain visible.</x:v>
      </x:c>
      <x:c r="H86" s="192" t="str">
        <x:v>Window brightness rises and falls by 15% on a slow 9 s breath; shell remains still. No halo or screen lighting.</x:v>
      </x:c>
      <x:c r="I86" s="192" t="str">
        <x:v>Feature</x:v>
      </x:c>
      <x:c r="J86" s="192" t="str">
        <x:v>Use a fixed muted honey window on the static shell.</x:v>
      </x:c>
      <x:c r="K86" s="192" t="str">
        <x:v>An upright cream shell with one warm oval window.</x:v>
      </x:c>
      <x:c r="L86" s="192" t="str">
        <x:v>Shell/stand sprite + one masked window glow layer.</x:v>
      </x:c>
    </x:row>
    <x:row r="87" ht="108" customHeight="1">
      <x:c r="A87" s="204" t="str">
        <x:f>'Decor Catalog'!A87</x:f>
        <x:v>PD-03</x:v>
      </x:c>
      <x:c r="B87" s="204" t="str">
        <x:f>'Decor Catalog'!B87</x:f>
        <x:v>Bubble Chimney Rock</x:v>
      </x:c>
      <x:c r="C87" s="192" t="str">
        <x:v>A rounded dark rock stack has one crooked chimney and two short side vents, all with soft thick rims.</x:v>
      </x:c>
      <x:c r="D87" s="192" t="str">
        <x:v>Slate blue, charcoal teal and warm grey rim faces.</x:v>
      </x:c>
      <x:c r="E87" s="192" t="str">
        <x:v>Matte volcanic rock with broad planes; vent interiors are dark, not bright machinery.</x:v>
      </x:c>
      <x:c r="F87" s="192" t="str">
        <x:f>'Decor Catalog'!M87&amp;" | "&amp;TEXT('Decor Catalog'!N87,"0.0#")&amp;" W × "&amp;TEXT('Decor Catalog'!O87,"0.0#")&amp;" H U"</x:f>
        <x:v>Large | 1.7 W × 2.1 H U</x:v>
      </x:c>
      <x:c r="G87" s="192" t="str">
        <x:f>'Decor Catalog'!P87&amp;" — Anchor at a rear side; reserve a narrow vertical FX lane directly above the chimney."</x:f>
        <x:v>Midground — Anchor at a rear side; reserve a narrow vertical FX lane directly above the chimney.</x:v>
      </x:c>
      <x:c r="H87" s="192" t="str">
        <x:v>Emit one small translucent bubble every 14–20 s; it rises at most 0.7 U and fades. At most two live bubbles; no oxygen effect.</x:v>
      </x:c>
      <x:c r="I87" s="192" t="str">
        <x:v>Feature</x:v>
      </x:c>
      <x:c r="J87" s="192" t="str">
        <x:v>Show empty dark vents with no bubbles.</x:v>
      </x:c>
      <x:c r="K87" s="192" t="str">
        <x:v>One bent chimney above two low vents, distinct from a cave.</x:v>
      </x:c>
      <x:c r="L87" s="192" t="str">
        <x:v>Single rock sprite + one runtime bubble emitter; bubble art is separate and not baked in.</x:v>
      </x:c>
    </x:row>
    <x:row r="88" ht="108" customHeight="1">
      <x:c r="A88" s="204" t="str">
        <x:f>'Decor Catalog'!A88</x:f>
        <x:v>PD-04</x:v>
      </x:c>
      <x:c r="B88" s="204" t="str">
        <x:f>'Decor Catalog'!B88</x:f>
        <x:v>Clockwork Crab Ornament</x:v>
      </x:c>
      <x:c r="C88" s="192" t="str">
        <x:v>A round toy crab has two oversized pincers, four stubby visible legs and a clearly visible winding key on its back.</x:v>
      </x:c>
      <x:c r="D88" s="192" t="str">
        <x:v>Muted coral enamel, buttercream joints and dull brass key.</x:v>
      </x:c>
      <x:c r="E88" s="192" t="str">
        <x:v>Matte painted metal with broad panel seams; deliberately toy-like and permanently anchored.</x:v>
      </x:c>
      <x:c r="F88" s="192" t="str">
        <x:f>'Decor Catalog'!M88&amp;" | "&amp;TEXT('Decor Catalog'!N88,"0.0#")&amp;" W × "&amp;TEXT('Decor Catalog'!O88,"0.0#")&amp;" H U"</x:f>
        <x:v>Medium | 1.9 W × 1.5 H U</x:v>
      </x:c>
      <x:c r="G88" s="192" t="str">
        <x:f>'Decor Catalog'!P88&amp;" — Sit at a front-side edge with the winding key clear; never let the ornament wander."</x:f>
        <x:v>Foreground — Sit at a front-side edge with the winding key clear; never let the ornament wander.</x:v>
      </x:c>
      <x:c r="H88" s="192" t="str">
        <x:v>One pincer lifts 8° and lowers every 18–26 s; key turns a quarter turn on the same beat. Body and legs stay fixed.</x:v>
      </x:c>
      <x:c r="I88" s="192" t="str">
        <x:v>Feature</x:v>
      </x:c>
      <x:c r="J88" s="192" t="str">
        <x:v>Hold both pincers low with the key upright.</x:v>
      </x:c>
      <x:c r="K88" s="192" t="str">
        <x:v>A wind-up key makes the crab unmistakably decorative, not a new living creature.</x:v>
      </x:c>
      <x:c r="L88" s="192" t="str">
        <x:v>Body/legs + two pincers + winding key; no movement across the tank.</x:v>
      </x:c>
    </x:row>
    <x:row r="89" ht="108" customHeight="1">
      <x:c r="A89" s="204" t="str">
        <x:f>'Decor Catalog'!A89</x:f>
        <x:v>PD-05</x:v>
      </x:c>
      <x:c r="B89" s="204" t="str">
        <x:f>'Decor Catalog'!B89</x:f>
        <x:v>Crystal Chime Arch</x:v>
      </x:c>
      <x:c r="C89" s="192" t="str">
        <x:v>Two rounded stone posts carry a shallow arch with three unequal blunt crystal pendants hanging inside.</x:v>
      </x:c>
      <x:c r="D89" s="192" t="str">
        <x:v>Pale grey stone, lavender and aqua crystals with muted peach cord loops.</x:v>
      </x:c>
      <x:c r="E89" s="192" t="str">
        <x:v>Matte stone and opaque faceted crystals; cords are thick simplified arcs.</x:v>
      </x:c>
      <x:c r="F89" s="192" t="str">
        <x:f>'Decor Catalog'!M89&amp;" | "&amp;TEXT('Decor Catalog'!N89,"0.0#")&amp;" W × "&amp;TEXT('Decor Catalog'!O89,"0.0#")&amp;" H U"</x:f>
        <x:v>Large | 2.3 W × 2.6 H U</x:v>
      </x:c>
      <x:c r="G89" s="192" t="str">
        <x:f>'Decor Catalog'!P89&amp;" — Place toward a rear side so the open arch and three hanging pendants stay distinct."</x:f>
        <x:v>Midground — Place toward a rear side so the open arch and three hanging pendants stay distinct.</x:v>
      </x:c>
      <x:c r="H89" s="192" t="str">
        <x:v>Pendents swing ±2° on three offset 8–11 s loops; occasional local facet brightening stays below 10%. Silent.</x:v>
      </x:c>
      <x:c r="I89" s="192" t="str">
        <x:v>Feature</x:v>
      </x:c>
      <x:c r="J89" s="192" t="str">
        <x:v>Hang the three crystals at slightly different fixed angles.</x:v>
      </x:c>
      <x:c r="K89" s="192" t="str">
        <x:v>Three unequal crystal drops beneath one low arch.</x:v>
      </x:c>
      <x:c r="L89" s="192" t="str">
        <x:v>Arch/base + three pendant sprites + one small facet mask; no sound trigger.</x:v>
      </x:c>
    </x:row>
    <x:row r="90" ht="108" customHeight="1">
      <x:c r="A90" s="204" t="str">
        <x:f>'Decor Catalog'!A90</x:f>
        <x:v>PD-06</x:v>
      </x:c>
      <x:c r="B90" s="204" t="str">
        <x:f>'Decor Catalog'!B90</x:f>
        <x:v>Kelp-sail Boat</x:v>
      </x:c>
      <x:c r="C90" s="192" t="str">
        <x:v>A tiny wooden skiff is anchored to a low pebble base and carries one broad curled leaf sail on a short mast.</x:v>
      </x:c>
      <x:c r="D90" s="192" t="str">
        <x:v>Walnut hull, pale sand gunwale and jade sail with a yellow-green edge.</x:v>
      </x:c>
      <x:c r="E90" s="192" t="str">
        <x:v>Matte carved timber, rope loops and a leathery leaf sail with one central fold.</x:v>
      </x:c>
      <x:c r="F90" s="192" t="str">
        <x:f>'Decor Catalog'!M90&amp;" | "&amp;TEXT('Decor Catalog'!N90,"0.0#")&amp;" W × "&amp;TEXT('Decor Catalog'!O90,"0.0#")&amp;" H U"</x:f>
        <x:v>Large | 2.5 W × 2.1 H U</x:v>
      </x:c>
      <x:c r="G90" s="192" t="str">
        <x:f>'Decor Catalog'!P90&amp;" — Set along a rear-side gravel ledge; keep the mast and sail below the upper fish route."</x:f>
        <x:v>Midground — Set along a rear-side gravel ledge; keep the mast and sail below the upper fish route.</x:v>
      </x:c>
      <x:c r="H90" s="192" t="str">
        <x:v>Leaf sail flexes ±3° over 7 s; a short pennant nods slightly. Hull and anchor base never float or move.</x:v>
      </x:c>
      <x:c r="I90" s="192" t="str">
        <x:v>Feature</x:v>
      </x:c>
      <x:c r="J90" s="192" t="str">
        <x:v>Use the sail in its open curved pose with the hull fixed to its base.</x:v>
      </x:c>
      <x:c r="K90" s="192" t="str">
        <x:v>One oversized curled green sail above a chunky wooden hull.</x:v>
      </x:c>
      <x:c r="L90" s="192" t="str">
        <x:v>Hull/mast/base + two sail sections + small pennant; no buoyancy simulation.</x:v>
      </x:c>
    </x:row>
    <x:row r="91" ht="108" customHeight="1">
      <x:c r="A91" s="204" t="str">
        <x:f>'Decor Catalog'!A91</x:f>
        <x:v>PD-07</x:v>
      </x:c>
      <x:c r="B91" s="204" t="str">
        <x:f>'Decor Catalog'!B91</x:f>
        <x:v>Seahorse Carousel</x:v>
      </x:c>
      <x:c r="C91" s="192" t="str">
        <x:v>A small domed carousel has a scalloped roof, one central post and three carved seahorse plaques on fixed outer supports.</x:v>
      </x:c>
      <x:c r="D91" s="192" t="str">
        <x:v>Cream and dusty rose roof, muted turquoise plaques and dulled gold trim.</x:v>
      </x:c>
      <x:c r="E91" s="192" t="str">
        <x:v>Matte painted wood and ceramic; seahorses are flat rigid carvings, not living fish.</x:v>
      </x:c>
      <x:c r="F91" s="192" t="str">
        <x:f>'Decor Catalog'!M91&amp;" | "&amp;TEXT('Decor Catalog'!N91,"0.0#")&amp;" W × "&amp;TEXT('Decor Catalog'!O91,"0.0#")&amp;" H U"</x:f>
        <x:v>Large | 2.5 W × 2.8 H U</x:v>
      </x:c>
      <x:c r="G91" s="192" t="str">
        <x:f>'Decor Catalog'!P91&amp;" — Place at a rear-side focal point; keep the base compact and roof silhouette clear."</x:f>
        <x:v>Midground — Place at a rear-side focal point; keep the base compact and roof silhouette clear.</x:v>
      </x:c>
      <x:c r="H91" s="192" t="str">
        <x:v>Roof rocks ±2° over 10 s; plaques bob 0.03 U on staggered 9 s loops. No full rotation, sound or free-swimming figures.</x:v>
      </x:c>
      <x:c r="I91" s="192" t="str">
        <x:v>Feature</x:v>
      </x:c>
      <x:c r="J91" s="192" t="str">
        <x:v>Hold roof level and the three carvings at their middle positions.</x:v>
      </x:c>
      <x:c r="K91" s="192" t="str">
        <x:v>A scalloped toy carousel with three rigid seahorse carvings.</x:v>
      </x:c>
      <x:c r="L91" s="192" t="str">
        <x:v>Base/post + roof + three plaque groups; five layers total.</x:v>
      </x:c>
    </x:row>
    <x:row r="92" ht="108" customHeight="1">
      <x:c r="A92" s="204" t="str">
        <x:f>'Decor Catalog'!A92</x:f>
        <x:v>PD-08</x:v>
      </x:c>
      <x:c r="B92" s="204" t="str">
        <x:f>'Decor Catalog'!B92</x:f>
        <x:v>Sleeping Volcano</x:v>
      </x:c>
      <x:c r="C92" s="192" t="str">
        <x:v>A broad friendly volcanic cone has a tilted crater rim and two large shallow channels down its sides.</x:v>
      </x:c>
      <x:c r="D92" s="192" t="str">
        <x:v>Charcoal violet stone, warm coral crater and muted amber channel insets.</x:v>
      </x:c>
      <x:c r="E92" s="192" t="str">
        <x:v>Matte basalt with soft edges; crater colour suggests warmth without realistic fire or lava.</x:v>
      </x:c>
      <x:c r="F92" s="192" t="str">
        <x:f>'Decor Catalog'!M92&amp;" | "&amp;TEXT('Decor Catalog'!N92,"0.0#")&amp;" W × "&amp;TEXT('Decor Catalog'!O92,"0.0#")&amp;" H U"</x:f>
        <x:v>Large | 2.5 W × 2.3 H U</x:v>
      </x:c>
      <x:c r="G92" s="192" t="str">
        <x:f>'Decor Catalog'!P92&amp;" — Place at a rear side with space for a short optional bubble path above the crater."</x:f>
        <x:v>Midground — Place at a rear side with space for a short optional bubble path above the crater.</x:v>
      </x:c>
      <x:c r="H92" s="192" t="str">
        <x:v>Crater light breathes by 12% over 12 s; one small bubble may rise 0.5 U every 25–35 s. No lava, smoke or fish effects.</x:v>
      </x:c>
      <x:c r="I92" s="192" t="str">
        <x:v>Feature</x:v>
      </x:c>
      <x:c r="J92" s="192" t="str">
        <x:v>Keep crater muted coral with all FX off.</x:v>
      </x:c>
      <x:c r="K92" s="192" t="str">
        <x:v>A tilted warm crater on a soft dark cone, never a dangerous eruption.</x:v>
      </x:c>
      <x:c r="L92" s="192" t="str">
        <x:v>Volcano sprite + crater mask + one low-rate bubble emitter; maximum one live bubble.</x:v>
      </x:c>
    </x:row>
    <x:row r="93" ht="108" customHeight="1">
      <x:c r="A93" s="204" t="str">
        <x:f>'Decor Catalog'!A93</x:f>
        <x:v>PD-09</x:v>
      </x:c>
      <x:c r="B93" s="204" t="str">
        <x:f>'Decor Catalog'!B93</x:f>
        <x:v>Moonstone Grotto</x:v>
      </x:c>
      <x:c r="C93" s="192" t="str">
        <x:v>A pale rounded grotto has a crescent opening, three blunt crystal buds inside and one low step outside.</x:v>
      </x:c>
      <x:c r="D93" s="192" t="str">
        <x:v>Moonstone grey, periwinkle inner shadows and soft mint crystal faces.</x:v>
      </x:c>
      <x:c r="E93" s="192" t="str">
        <x:v>Matte pale stone and opaque crystal facets; no glass caustics or cast glow.</x:v>
      </x:c>
      <x:c r="F93" s="192" t="str">
        <x:f>'Decor Catalog'!M93&amp;" | "&amp;TEXT('Decor Catalog'!N93,"0.0#")&amp;" W × "&amp;TEXT('Decor Catalog'!O93,"0.0#")&amp;" H U"</x:f>
        <x:v>Large | 2.8 W × 2.8 H U</x:v>
      </x:c>
      <x:c r="G93" s="192" t="str">
        <x:f>'Decor Catalog'!P93&amp;" — Place against a dark rear-side area; keep the crescent entrance transparent around the crystals."</x:f>
        <x:v>Midground — Place against a dark rear-side area; keep the crescent entrance transparent around the crystals.</x:v>
      </x:c>
      <x:c r="H93" s="192" t="str">
        <x:v>Three crystal masks brighten sequentially by 12% over 15 s; stone and crystals stay completely still.</x:v>
      </x:c>
      <x:c r="I93" s="192" t="str">
        <x:v>Feature</x:v>
      </x:c>
      <x:c r="J93" s="192" t="str">
        <x:v>Use static mint crystal faces at their dim rest colour.</x:v>
      </x:c>
      <x:c r="K93" s="192" t="str">
        <x:v>A crescent cave containing three short mint crystals.</x:v>
      </x:c>
      <x:c r="L93" s="192" t="str">
        <x:v>Stone/crystals base + one segmented crystal light mask.</x:v>
      </x:c>
    </x:row>
    <x:row r="94" ht="108" customHeight="1">
      <x:c r="A94" s="204" t="str">
        <x:f>'Decor Catalog'!A94</x:f>
        <x:v>PD-10</x:v>
      </x:c>
      <x:c r="B94" s="204" t="str">
        <x:f>'Decor Catalog'!B94</x:f>
        <x:v>Sunken Music Box</x:v>
      </x:c>
      <x:c r="C94" s="192" t="str">
        <x:v>A rounded rectangular music box has a hinged scallop-shaped lid and a small fixed shell emblem on an inner pedestal.</x:v>
      </x:c>
      <x:c r="D94" s="192" t="str">
        <x:v>Dusty blue box, cream trim, warm peach interior and a muted brass hinge.</x:v>
      </x:c>
      <x:c r="E94" s="192" t="str">
        <x:v>Matte painted wood with large inset panels; shell emblem is ceramic, not a pearl reward.</x:v>
      </x:c>
      <x:c r="F94" s="192" t="str">
        <x:f>'Decor Catalog'!M94&amp;" | "&amp;TEXT('Decor Catalog'!N94,"0.0#")&amp;" W × "&amp;TEXT('Decor Catalog'!O94,"0.0#")&amp;" H U"</x:f>
        <x:v>Large | 2.7 W × 2.3 H U</x:v>
      </x:c>
      <x:c r="G94" s="192" t="str">
        <x:f>'Decor Catalog'!P94&amp;" — Place near a rear-side plant group; include lid movement in the item bounds."</x:f>
        <x:v>Midground — Place near a rear-side plant group; include lid movement in the item bounds.</x:v>
      </x:c>
      <x:c r="H94" s="192" t="str">
        <x:v>Lid opens 10° wider for 3 s every 24–30 s; inner shell turns ±6° while open. Silent by default; no floating music notes.</x:v>
      </x:c>
      <x:c r="I94" s="192" t="str">
        <x:v>Feature</x:v>
      </x:c>
      <x:c r="J94" s="192" t="str">
        <x:v>Use lid half-open and the shell facing front.</x:v>
      </x:c>
      <x:c r="K94" s="192" t="str">
        <x:v>A scalloped lid over a blue box and one fixed shell emblem.</x:v>
      </x:c>
      <x:c r="L94" s="192" t="str">
        <x:v>Box/base + lid + inner shell; maximum open pose remains inside bounds.</x:v>
      </x:c>
    </x:row>
    <x:row r="95" ht="108" customHeight="1">
      <x:c r="A95" s="204" t="str">
        <x:f>'Decor Catalog'!A95</x:f>
        <x:v>PD-11</x:v>
      </x:c>
      <x:c r="B95" s="204" t="str">
        <x:f>'Decor Catalog'!B95</x:f>
        <x:v>Jelly Lantern Pavilion</x:v>
      </x:c>
      <x:c r="C95" s="192" t="str">
        <x:v>A bell-shaped pavilion roof rests on three curved pillars, with four short tassel-like ceramic drops under its rim.</x:v>
      </x:c>
      <x:c r="D95" s="192" t="str">
        <x:v>Pastel lilac roof, pale aqua pillars and a soft cream interior.</x:v>
      </x:c>
      <x:c r="E95" s="192" t="str">
        <x:v>Matte ceramic architecture; the jelly-inspired roof is clearly a fixed ornament, not an animal.</x:v>
      </x:c>
      <x:c r="F95" s="192" t="str">
        <x:f>'Decor Catalog'!M95&amp;" | "&amp;TEXT('Decor Catalog'!N95,"0.0#")&amp;" W × "&amp;TEXT('Decor Catalog'!O95,"0.0#")&amp;" H U"</x:f>
        <x:v>Large | 3.0 W × 3.0 H U</x:v>
      </x:c>
      <x:c r="G95" s="192" t="str">
        <x:f>'Decor Catalog'!P95&amp;" — Stand in a rear corner; keep the central opening and pillar gaps clear."</x:f>
        <x:v>Background — Stand in a rear corner; keep the central opening and pillar gaps clear.</x:v>
      </x:c>
      <x:c r="H95" s="192" t="str">
        <x:v>Four drops sway as two groups ±2° on 10 s loops; inner ceiling light breathes by 8% over 14 s. Roof stays fixed.</x:v>
      </x:c>
      <x:c r="I95" s="192" t="str">
        <x:v>Feature</x:v>
      </x:c>
      <x:c r="J95" s="192" t="str">
        <x:v>Keep the pavilion fully static with a pale cream ceiling.</x:v>
      </x:c>
      <x:c r="K95" s="192" t="str">
        <x:v>A lilac bell roof on three curved legs with four short drops.</x:v>
      </x:c>
      <x:c r="L95" s="192" t="str">
        <x:v>Pavilion body + two drop groups + one ceiling light mask.</x:v>
      </x:c>
    </x:row>
    <x:row r="96" ht="108" customHeight="1">
      <x:c r="A96" s="204" t="str">
        <x:f>'Decor Catalog'!A96</x:f>
        <x:v>PD-12</x:v>
      </x:c>
      <x:c r="B96" s="204" t="str">
        <x:f>'Decor Catalog'!B96</x:f>
        <x:v>Tideglass Hourglass</x:v>
      </x:c>
      <x:c r="C96" s="192" t="str">
        <x:v>A stout hourglass has two rounded chambers, a narrow centre and a heavy curved frame on a wide base.</x:v>
      </x:c>
      <x:c r="D96" s="192" t="str">
        <x:v>Frosted aqua chambers, warm ivory frame and a few pale lavender bubble shapes.</x:v>
      </x:c>
      <x:c r="E96" s="192" t="str">
        <x:v>Glass is stylised as a translucent fill with matte outlines, not reflective photoreal glass.</x:v>
      </x:c>
      <x:c r="F96" s="192" t="str">
        <x:f>'Decor Catalog'!M96&amp;" | "&amp;TEXT('Decor Catalog'!N96,"0.0#")&amp;" W × "&amp;TEXT('Decor Catalog'!O96,"0.0#")&amp;" H U"</x:f>
        <x:v>XL | 2.3 W × 3.4 H U</x:v>
      </x:c>
      <x:c r="G96" s="192" t="str">
        <x:f>'Decor Catalog'!P96&amp;" — Anchor to a rear side; keep its middle neck unobscured and its entire height inside the safe margin."</x:f>
        <x:v>Background — Anchor to a rear side; keep its middle neck unobscured and its entire height inside the safe margin.</x:v>
      </x:c>
      <x:c r="H96" s="192" t="str">
        <x:v>One or two bubbles drift upward inside the sealed hourglass on a 14 s loop; all movement is clipped to the chambers. It tracks no game time.</x:v>
      </x:c>
      <x:c r="I96" s="192" t="str">
        <x:v>Feature</x:v>
      </x:c>
      <x:c r="J96" s="192" t="str">
        <x:v>Show one small fixed bubble in each chamber; no animated contents.</x:v>
      </x:c>
      <x:c r="K96" s="192" t="str">
        <x:v>Two aqua lobes in a thick ivory frame; no timer digits.</x:v>
      </x:c>
      <x:c r="L96" s="192" t="str">
        <x:v>Frame + chamber fill/mask + two reusable bubble sprites; no external particles.</x:v>
      </x:c>
    </x:row>
    <x:row r="97" ht="108" customHeight="1">
      <x:c r="A97" s="204" t="str">
        <x:f>'Decor Catalog'!A97</x:f>
        <x:v>PD-13</x:v>
      </x:c>
      <x:c r="B97" s="204" t="str">
        <x:f>'Decor Catalog'!B97</x:f>
        <x:v>Opal Treasure Chest</x:v>
      </x:c>
      <x:c r="C97" s="192" t="str">
        <x:v>A domed chest has chunky corner bands, a shell-shaped latch and three fixed irregular stones visible under a slightly open lid.</x:v>
      </x:c>
      <x:c r="D97" s="192" t="str">
        <x:v>Deep turquoise wood, muted copper bands and pale opal-pink stones.</x:v>
      </x:c>
      <x:c r="E97" s="192" t="str">
        <x:v>Matte painted timber and dulled metal; decorative stones have flat facets, not coin or pearl currency symbols.</x:v>
      </x:c>
      <x:c r="F97" s="192" t="str">
        <x:f>'Decor Catalog'!M97&amp;" | "&amp;TEXT('Decor Catalog'!N97,"0.0#")&amp;" W × "&amp;TEXT('Decor Catalog'!O97,"0.0#")&amp;" H U"</x:f>
        <x:v>Large | 3.0 W × 2.4 H U</x:v>
      </x:c>
      <x:c r="G97" s="192" t="str">
        <x:f>'Decor Catalog'!P97&amp;" — Place at a rear-side focal point and reserve clear space above the lid."</x:f>
        <x:v>Midground — Place at a rear-side focal point and reserve clear space above the lid.</x:v>
      </x:c>
      <x:c r="H97" s="192" t="str">
        <x:v>Lid lifts 12° every 22–30 s; one inner stone facet brightens by 10% while open. No coins, rewards or treasure spill.</x:v>
      </x:c>
      <x:c r="I97" s="192" t="str">
        <x:v>Feature</x:v>
      </x:c>
      <x:c r="J97" s="192" t="str">
        <x:v>Keep the lid slightly open with stationary pastel stones.</x:v>
      </x:c>
      <x:c r="K97" s="192" t="str">
        <x:v>A teal domed chest with a shell latch and three fixed opal stones.</x:v>
      </x:c>
      <x:c r="L97" s="192" t="str">
        <x:v>Chest/base/stones + lid + one small stone mask; two moving/effect layers.</x:v>
      </x:c>
    </x:row>
    <x:row r="98" ht="108" customHeight="1">
      <x:c r="A98" s="204" t="str">
        <x:f>'Decor Catalog'!A98</x:f>
        <x:v>PD-14</x:v>
      </x:c>
      <x:c r="B98" s="204" t="str">
        <x:f>'Decor Catalog'!B98</x:f>
        <x:v>Lunar Ring Portal</x:v>
      </x:c>
      <x:c r="C98" s="192" t="str">
        <x:v>A broad crescent frame cradles an incomplete circular ring above a squat stone pedestal.</x:v>
      </x:c>
      <x:c r="D98" s="192" t="str">
        <x:v>Pale ivory crescent, slate-blue ring and muted cyan inset segments.</x:v>
      </x:c>
      <x:c r="E98" s="192" t="str">
        <x:v>Matte carved moonstone and opaque ceramic; the central opening remains transparent.</x:v>
      </x:c>
      <x:c r="F98" s="192" t="str">
        <x:f>'Decor Catalog'!M98&amp;" | "&amp;TEXT('Decor Catalog'!N98,"0.0#")&amp;" W × "&amp;TEXT('Decor Catalog'!O98,"0.0#")&amp;" H U"</x:f>
        <x:v>XL | 3.2 W × 3.6 H U</x:v>
      </x:c>
      <x:c r="G98" s="192" t="str">
        <x:f>'Decor Catalog'!P98&amp;" — Use against a rear corner with the opening facing front; never place it over feeding targets."</x:f>
        <x:v>Background — Use against a rear corner with the opening facing front; never place it over feeding targets.</x:v>
      </x:c>
      <x:c r="H98" s="192" t="str">
        <x:v>Inner ring rocks ±4° over 18 s; four inset segments brighten softly in sequence. No teleportation, distortion or fish interaction.</x:v>
      </x:c>
      <x:c r="I98" s="192" t="str">
        <x:v>Feature</x:v>
      </x:c>
      <x:c r="J98" s="192" t="str">
        <x:v>Hold the ring slightly tilted with fixed cyan insets.</x:v>
      </x:c>
      <x:c r="K98" s="192" t="str">
        <x:v>A crescent enclosing one incomplete ring, not a bright full-screen vortex.</x:v>
      </x:c>
      <x:c r="L98" s="192" t="str">
        <x:v>Pedestal/crescent + ring + inset light mask; no portal shader.</x:v>
      </x:c>
    </x:row>
    <x:row r="99" ht="108" customHeight="1">
      <x:c r="A99" s="204" t="str">
        <x:f>'Decor Catalog'!A99</x:f>
        <x:v>PD-15</x:v>
      </x:c>
      <x:c r="B99" s="204" t="str">
        <x:f>'Decor Catalog'!B99</x:f>
        <x:v>Crown of Atlantis</x:v>
      </x:c>
      <x:c r="C99" s="192" t="str">
        <x:v>Three tall rounded crown points rise above an arched stone dais, with a large oval inset at the centre.</x:v>
      </x:c>
      <x:c r="D99" s="192" t="str">
        <x:v>Aged gold-ochre stone, turquoise ceramic bands and a pale seafoam centre.</x:v>
      </x:c>
      <x:c r="E99" s="192" t="str">
        <x:v>Matte carved stone with dulled metallic pigment; no polished gold outline or tiny jewel clutter.</x:v>
      </x:c>
      <x:c r="F99" s="192" t="str">
        <x:f>'Decor Catalog'!M99&amp;" | "&amp;TEXT('Decor Catalog'!N99,"0.0#")&amp;" W × "&amp;TEXT('Decor Catalog'!O99,"0.0#")&amp;" H U"</x:f>
        <x:v>XL | 3.8 W × 4.0 H U</x:v>
      </x:c>
      <x:c r="G99" s="192" t="str">
        <x:f>'Decor Catalog'!P99&amp;" — Reserve one rear corner; retain the open arch beneath the crown and ample central water."</x:f>
        <x:v>Background — Reserve one rear corner; retain the open arch beneath the crown and ample central water.</x:v>
      </x:c>
      <x:c r="H99" s="192" t="str">
        <x:v>Centre inset brightens by 10% over a 16 s breath; two short ceramic pendants sway ±1.5°. Crown and dais stay fixed.</x:v>
      </x:c>
      <x:c r="I99" s="192" t="str">
        <x:v>Feature</x:v>
      </x:c>
      <x:c r="J99" s="192" t="str">
        <x:v>Use the centre inset at a constant pale seafoam colour with pendants at rest.</x:v>
      </x:c>
      <x:c r="K99" s="192" t="str">
        <x:v>Three large crown points and one broad oval inset.</x:v>
      </x:c>
      <x:c r="L99" s="192" t="str">
        <x:v>Crown/dais + two pendant sprites + one local inset mask.</x:v>
      </x:c>
    </x:row>
    <x:row r="100" ht="108" customHeight="1">
      <x:c r="A100" s="204" t="str">
        <x:f>'Decor Catalog'!A100</x:f>
        <x:v>PD-16</x:v>
      </x:c>
      <x:c r="B100" s="204" t="str">
        <x:f>'Decor Catalog'!B100</x:f>
        <x:v>Starfall Lighthouse</x:v>
      </x:c>
      <x:c r="C100" s="192" t="str">
        <x:v>A tapered lighthouse tower has three wide bands, a small open balcony and a star-shaped lamp housing under a rounded cap.</x:v>
      </x:c>
      <x:c r="D100" s="192" t="str">
        <x:v>Cream tower, dusty coral bands, deep teal balcony and soft amber lamp.</x:v>
      </x:c>
      <x:c r="E100" s="192" t="str">
        <x:v>Matte painted stone and dulled metal; lamp is a contained colour window, not a sweeping beam.</x:v>
      </x:c>
      <x:c r="F100" s="192" t="str">
        <x:f>'Decor Catalog'!M100&amp;" | "&amp;TEXT('Decor Catalog'!N100,"0.0#")&amp;" W × "&amp;TEXT('Decor Catalog'!O100,"0.0#")&amp;" H U"</x:f>
        <x:v>XL | 3.0 W × 4.2 H U</x:v>
      </x:c>
      <x:c r="G100" s="192" t="str">
        <x:f>'Decor Catalog'!P100&amp;" — Place at the extreme rear side with the cap inside the top safe margin."</x:f>
        <x:v>Background — Place at the extreme rear side with the cap inside the top safe margin.</x:v>
      </x:c>
      <x:c r="H100" s="192" t="str">
        <x:v>A small lamp highlight turns slowly within the housing over 18 s; window brightness varies by at most 10%. No beam sweeps across fish.</x:v>
      </x:c>
      <x:c r="I100" s="192" t="str">
        <x:v>Feature</x:v>
      </x:c>
      <x:c r="J100" s="192" t="str">
        <x:v>Keep one warm amber lamp window facing front with no animated light.</x:v>
      </x:c>
      <x:c r="K100" s="192" t="str">
        <x:v>A banded tower topped by one chunky star lamp; no coastal background.</x:v>
      </x:c>
      <x:c r="L100" s="192" t="str">
        <x:v>Tower/cap + lamp interior + clipped lamp mask; no external light cone.</x:v>
      </x:c>
    </x:row>
    <x:row r="101" ht="108" customHeight="1">
      <x:c r="A101" s="204" t="str">
        <x:f>'Decor Catalog'!A101</x:f>
        <x:v>CL-01</x:v>
      </x:c>
      <x:c r="B101" s="204" t="str">
        <x:f>'Decor Catalog'!B101</x:f>
        <x:v>Lucky Bamboo Knot</x:v>
      </x:c>
      <x:c r="C101" s="192" t="str">
        <x:v>Three jointed bamboo-like stalks rise from a compact root knot; two broad leaf fans sweep outward.</x:v>
      </x:c>
      <x:c r="D101" s="192" t="str">
        <x:v>Fresh jade, pale lime nodes and one small vermilion ceramic tie.</x:v>
      </x:c>
      <x:c r="E101" s="192" t="str">
        <x:v>Matte green stems and soft leaves; the tie is a broad sculpted band without text.</x:v>
      </x:c>
      <x:c r="F101" s="192" t="str">
        <x:f>'Decor Catalog'!M101&amp;" | "&amp;TEXT('Decor Catalog'!N101,"0.0#")&amp;" W × "&amp;TEXT('Decor Catalog'!O101,"0.0#")&amp;" H U"</x:f>
        <x:v>Large | 1.7 W × 2.3 H U</x:v>
      </x:c>
      <x:c r="G101" s="192" t="str">
        <x:f>'Decor Catalog'!P101&amp;" — Anchor at a rear side with the two leaf fans clearly separated."</x:f>
        <x:v>Midground — Anchor at a rear side with the two leaf fans clearly separated.</x:v>
      </x:c>
      <x:c r="H101" s="192" t="str">
        <x:v>Static idle. No particles, glow, movement or changing footprint.</x:v>
      </x:c>
      <x:c r="I101" s="192" t="str">
        <x:v>Static</x:v>
      </x:c>
      <x:c r="J101" s="192" t="str">
        <x:v>Use the finished base sprite with no glow or particles.</x:v>
      </x:c>
      <x:c r="K101" s="192" t="str">
        <x:v>Three jointed stalks and one red knot define the New Year motif.</x:v>
      </x:c>
      <x:c r="L101" s="192" t="str">
        <x:v>Single transparent sprite; bottom-centre pivot; separate icon crop.</x:v>
      </x:c>
    </x:row>
    <x:row r="102" ht="108" customHeight="1">
      <x:c r="A102" s="204" t="str">
        <x:f>'Decor Catalog'!A102</x:f>
        <x:v>PL-01</x:v>
      </x:c>
      <x:c r="B102" s="204" t="str">
        <x:f>'Decor Catalog'!B102</x:f>
        <x:v>Festival Lantern Arch</x:v>
      </x:c>
      <x:c r="C102" s="192" t="str">
        <x:v>A curved arch on two low posts supports three plump lantern-shaped ceramic pendants and a simple tied crest.</x:v>
      </x:c>
      <x:c r="D102" s="192" t="str">
        <x:v>Vermilion, warm cream, muted ochre and deep teal post bases.</x:v>
      </x:c>
      <x:c r="E102" s="192" t="str">
        <x:v>Matte lacquer-colour ceramic and dulled metal; all cords are thick and compact.</x:v>
      </x:c>
      <x:c r="F102" s="192" t="str">
        <x:f>'Decor Catalog'!M102&amp;" | "&amp;TEXT('Decor Catalog'!N102,"0.0#")&amp;" W × "&amp;TEXT('Decor Catalog'!O102,"0.0#")&amp;" H U"</x:f>
        <x:v>Large | 2.5 W × 2.7 H U</x:v>
      </x:c>
      <x:c r="G102" s="192" t="str">
        <x:f>'Decor Catalog'!P102&amp;" — Stand near a rear corner with the lanterns separated by open water."</x:f>
        <x:v>Midground — Stand near a rear corner with the lanterns separated by open water.</x:v>
      </x:c>
      <x:c r="H102" s="192" t="str">
        <x:v>Lantern group sways ±2° over 10 s; inner windows warm by 10% in sequence every 16 s. No sparks or falling confetti.</x:v>
      </x:c>
      <x:c r="I102" s="192" t="str">
        <x:v>Feature</x:v>
      </x:c>
      <x:c r="J102" s="192" t="str">
        <x:v>Hold the pendants still with fixed warm cream windows.</x:v>
      </x:c>
      <x:c r="K102" s="192" t="str">
        <x:v>Three round red lanterns suspended beneath one broad curved arch.</x:v>
      </x:c>
      <x:c r="L102" s="192" t="str">
        <x:v>Arch/posts + three lantern sprites + one window mask.</x:v>
      </x:c>
    </x:row>
    <x:row r="103" ht="108" customHeight="1">
      <x:c r="A103" s="204" t="str">
        <x:f>'Decor Catalog'!A103</x:f>
        <x:v>CL-02</x:v>
      </x:c>
      <x:c r="B103" s="204" t="str">
        <x:f>'Decor Catalog'!B103</x:f>
        <x:v>Heart Pebble Bench</x:v>
      </x:c>
      <x:c r="C103" s="192" t="str">
        <x:v>A low curved bench rests on two pebble feet, with a single heart-shaped opening in its broad back.</x:v>
      </x:c>
      <x:c r="D103" s="192" t="str">
        <x:v>Dusty rose stone, warm cream seat and muted mauve inner edges.</x:v>
      </x:c>
      <x:c r="E103" s="192" t="str">
        <x:v>Matte carved stone with rounded edges and no inscription.</x:v>
      </x:c>
      <x:c r="F103" s="192" t="str">
        <x:f>'Decor Catalog'!M103&amp;" | "&amp;TEXT('Decor Catalog'!N103,"0.0#")&amp;" W × "&amp;TEXT('Decor Catalog'!O103,"0.0#")&amp;" H U"</x:f>
        <x:v>Medium | 1.8 W × 1.0 H U</x:v>
      </x:c>
      <x:c r="G103" s="192" t="str">
        <x:f>'Decor Catalog'!P103&amp;" — Set at a front-side garden edge with the heart opening visible."</x:f>
        <x:v>Foreground — Set at a front-side garden edge with the heart opening visible.</x:v>
      </x:c>
      <x:c r="H103" s="192" t="str">
        <x:v>Static idle. No particles, glow, movement or changing footprint.</x:v>
      </x:c>
      <x:c r="I103" s="192" t="str">
        <x:v>Static</x:v>
      </x:c>
      <x:c r="J103" s="192" t="str">
        <x:v>Use the finished base sprite with no glow or particles.</x:v>
      </x:c>
      <x:c r="K103" s="192" t="str">
        <x:v>A compact bench with one large heart cutout, not scattered hearts.</x:v>
      </x:c>
      <x:c r="L103" s="192" t="str">
        <x:v>Single transparent sprite; bottom-centre pivot; separate icon crop.</x:v>
      </x:c>
    </x:row>
    <x:row r="104" ht="108" customHeight="1">
      <x:c r="A104" s="204" t="str">
        <x:f>'Decor Catalog'!A104</x:f>
        <x:v>PL-02</x:v>
      </x:c>
      <x:c r="B104" s="204" t="str">
        <x:f>'Decor Catalog'!B104</x:f>
        <x:v>Sweetheart Bloom</x:v>
      </x:c>
      <x:c r="C104" s="192" t="str">
        <x:v>Two heart-shaped petal cups face slightly toward each other above three broad round leaves.</x:v>
      </x:c>
      <x:c r="D104" s="192" t="str">
        <x:v>Rose pink, cream inner petals and soft jade leaves with plum shadows.</x:v>
      </x:c>
      <x:c r="E104" s="192" t="str">
        <x:v>Matte fleshy petals with one rounded fold each; no text, faces or floating heart particles.</x:v>
      </x:c>
      <x:c r="F104" s="192" t="str">
        <x:f>'Decor Catalog'!M104&amp;" | "&amp;TEXT('Decor Catalog'!N104,"0.0#")&amp;" W × "&amp;TEXT('Decor Catalog'!O104,"0.0#")&amp;" H U"</x:f>
        <x:v>Medium | 1.8 W × 2.0 H U</x:v>
      </x:c>
      <x:c r="G104" s="192" t="str">
        <x:f>'Decor Catalog'!P104&amp;" — Place at a lower-side focal point with both heart cups fully visible."</x:f>
        <x:v>Midground — Place at a lower-side focal point with both heart cups fully visible.</x:v>
      </x:c>
      <x:c r="H104" s="192" t="str">
        <x:v>Two cups nod inward by 2° and relax on an 11 s loop; centres brighten by 8% once every 18 s.</x:v>
      </x:c>
      <x:c r="I104" s="192" t="str">
        <x:v>Ambient</x:v>
      </x:c>
      <x:c r="J104" s="192" t="str">
        <x:v>Keep the cups turned slightly toward each other with no glow.</x:v>
      </x:c>
      <x:c r="K104" s="192" t="str">
        <x:v>A paired heart-cup silhouette, not a recolour of a standard single lotus.</x:v>
      </x:c>
      <x:c r="L104" s="192" t="str">
        <x:v>Leaf/base + two flower cups + one local centre mask.</x:v>
      </x:c>
    </x:row>
    <x:row r="105" ht="108" customHeight="1">
      <x:c r="A105" s="204" t="str">
        <x:f>'Decor Catalog'!A105</x:f>
        <x:v>CL-03</x:v>
      </x:c>
      <x:c r="B105" s="204" t="str">
        <x:f>'Decor Catalog'!B105</x:f>
        <x:v>Cloverleaf Carpet</x:v>
      </x:c>
      <x:c r="C105" s="192" t="str">
        <x:v>Three clusters of oversized clover-like leaves grow on short bent stems from a low oval root mat.</x:v>
      </x:c>
      <x:c r="D105" s="192" t="str">
        <x:v>Emerald, spring green and pale yellow-green centre folds.</x:v>
      </x:c>
      <x:c r="E105" s="192" t="str">
        <x:v>Matte heart-shaped leaf lobes grouped into bold three-leaf fans; stylised fantasy aquarium foliage.</x:v>
      </x:c>
      <x:c r="F105" s="192" t="str">
        <x:f>'Decor Catalog'!M105&amp;" | "&amp;TEXT('Decor Catalog'!N105,"0.0#")&amp;" W × "&amp;TEXT('Decor Catalog'!O105,"0.0#")&amp;" H U"</x:f>
        <x:v>Medium | 1.9 W × 1.2 H U</x:v>
      </x:c>
      <x:c r="G105" s="192" t="str">
        <x:f>'Decor Catalog'!P105&amp;" — Place along a front-side edge and separate it from taller leaf masses."</x:f>
        <x:v>Foreground — Place along a front-side edge and separate it from taller leaf masses.</x:v>
      </x:c>
      <x:c r="H105" s="192" t="str">
        <x:v>Static idle. No particles, glow, movement or changing footprint.</x:v>
      </x:c>
      <x:c r="I105" s="192" t="str">
        <x:v>Static</x:v>
      </x:c>
      <x:c r="J105" s="192" t="str">
        <x:v>Use the finished base sprite with no glow or particles.</x:v>
      </x:c>
      <x:c r="K105" s="192" t="str">
        <x:v>Three big clover fans keep the seasonal motif clear at thumbnail size.</x:v>
      </x:c>
      <x:c r="L105" s="192" t="str">
        <x:v>Single transparent sprite; bottom-centre pivot; separate icon crop.</x:v>
      </x:c>
    </x:row>
    <x:row r="106" ht="108" customHeight="1">
      <x:c r="A106" s="204" t="str">
        <x:f>'Decor Catalog'!A106</x:f>
        <x:v>PL-03</x:v>
      </x:c>
      <x:c r="B106" s="204" t="str">
        <x:f>'Decor Catalog'!B106</x:f>
        <x:v>Emerald Wishing Well</x:v>
      </x:c>
      <x:c r="C106" s="192" t="str">
        <x:v>A low circular well has a thick arching handle, one clover-shaped ceramic inset and an empty hanging bucket.</x:v>
      </x:c>
      <x:c r="D106" s="192" t="str">
        <x:v>Sage stone, deep emerald inset and honey-brown handle and bucket.</x:v>
      </x:c>
      <x:c r="E106" s="192" t="str">
        <x:v>Matte carved stone and painted wood; the inset is a flat ceramic motif, not a currency gem.</x:v>
      </x:c>
      <x:c r="F106" s="192" t="str">
        <x:f>'Decor Catalog'!M106&amp;" | "&amp;TEXT('Decor Catalog'!N106,"0.0#")&amp;" W × "&amp;TEXT('Decor Catalog'!O106,"0.0#")&amp;" H U"</x:f>
        <x:v>Large | 2.0 W × 2.1 H U</x:v>
      </x:c>
      <x:c r="G106" s="192" t="str">
        <x:f>'Decor Catalog'!P106&amp;" — Place at a rear side with the empty bucket clearly visible over the well opening."</x:f>
        <x:v>Midground — Place at a rear side with the empty bucket clearly visible over the well opening.</x:v>
      </x:c>
      <x:c r="H106" s="192" t="str">
        <x:v>Bucket sways ±3° for 4 s every 20–28 s; clover inset briefly warms by 10%. No coins, prizes or interactive wishing system.</x:v>
      </x:c>
      <x:c r="I106" s="192" t="str">
        <x:v>Feature</x:v>
      </x:c>
      <x:c r="J106" s="192" t="str">
        <x:v>Hang the empty bucket slightly off-centre with a fixed emerald inset.</x:v>
      </x:c>
      <x:c r="K106" s="192" t="str">
        <x:v>A clover-fronted well with one empty bucket.</x:v>
      </x:c>
      <x:c r="L106" s="192" t="str">
        <x:v>Well/handle + bucket + one clover mask.</x:v>
      </x:c>
    </x:row>
    <x:row r="107" ht="108" customHeight="1">
      <x:c r="A107" s="204" t="str">
        <x:f>'Decor Catalog'!A107</x:f>
        <x:v>CL-04</x:v>
      </x:c>
      <x:c r="B107" s="204" t="str">
        <x:f>'Decor Catalog'!B107</x:f>
        <x:v>Sakura Stone Lantern</x:v>
      </x:c>
      <x:c r="C107" s="192" t="str">
        <x:v>A squat stone lantern has a wide curved roof, one flower-shaped unlit opening and a short pedestal.</x:v>
      </x:c>
      <x:c r="D107" s="192" t="str">
        <x:v>Warm cream stone, dusty pink roof edges and sage-grey shadows.</x:v>
      </x:c>
      <x:c r="E107" s="192" t="str">
        <x:v>Matte carved stone; a five-petal recess provides the blossom motif without floating petals.</x:v>
      </x:c>
      <x:c r="F107" s="192" t="str">
        <x:f>'Decor Catalog'!M107&amp;" | "&amp;TEXT('Decor Catalog'!N107,"0.0#")&amp;" W × "&amp;TEXT('Decor Catalog'!O107,"0.0#")&amp;" H U"</x:f>
        <x:v>Medium | 1.4 W × 1.8 H U</x:v>
      </x:c>
      <x:c r="G107" s="192" t="str">
        <x:f>'Decor Catalog'!P107&amp;" — Set beside a low plant at the side; the lantern is static and contains no flame."</x:f>
        <x:v>Midground — Set beside a low plant at the side; the lantern is static and contains no flame.</x:v>
      </x:c>
      <x:c r="H107" s="192" t="str">
        <x:v>Static idle. No particles, glow, movement or changing footprint.</x:v>
      </x:c>
      <x:c r="I107" s="192" t="str">
        <x:v>Static</x:v>
      </x:c>
      <x:c r="J107" s="192" t="str">
        <x:v>Use the finished base sprite with no glow or particles.</x:v>
      </x:c>
      <x:c r="K107" s="192" t="str">
        <x:v>A five-petal window under one broad pink-edged roof.</x:v>
      </x:c>
      <x:c r="L107" s="192" t="str">
        <x:v>Single transparent sprite; bottom-centre pivot; separate icon crop.</x:v>
      </x:c>
    </x:row>
    <x:row r="108" ht="108" customHeight="1">
      <x:c r="A108" s="204" t="str">
        <x:f>'Decor Catalog'!A108</x:f>
        <x:v>PL-04</x:v>
      </x:c>
      <x:c r="B108" s="204" t="str">
        <x:f>'Decor Catalog'!B108</x:f>
        <x:v>Blossom Ribbon Tree</x:v>
      </x:c>
      <x:c r="C108" s="192" t="str">
        <x:v>A short curved trunk carries two open ribbon-leaf crowns and three large five-petal blossoms at the tips.</x:v>
      </x:c>
      <x:c r="D108" s="192" t="str">
        <x:v>Dusty cocoa trunk, pale pink blossoms, cream centres and soft mint leaves.</x:v>
      </x:c>
      <x:c r="E108" s="192" t="str">
        <x:v>Matte wood, broad papery petals and smooth ribbon leaves; blossoms stay permanently attached.</x:v>
      </x:c>
      <x:c r="F108" s="192" t="str">
        <x:f>'Decor Catalog'!M108&amp;" | "&amp;TEXT('Decor Catalog'!N108,"0.0#")&amp;" W × "&amp;TEXT('Decor Catalog'!O108,"0.0#")&amp;" H U"</x:f>
        <x:v>Large | 2.4 W × 2.8 H U</x:v>
      </x:c>
      <x:c r="G108" s="192" t="str">
        <x:f>'Decor Catalog'!P108&amp;" — Root near a back corner and angle the taller branch outward."</x:f>
        <x:v>Background — Root near a back corner and angle the taller branch outward.</x:v>
      </x:c>
      <x:c r="H108" s="192" t="str">
        <x:v>Two crown groups sway ±1.5° on a 12 s loop; blossoms rock slightly with the branches. No falling petals.</x:v>
      </x:c>
      <x:c r="I108" s="192" t="str">
        <x:v>Ambient</x:v>
      </x:c>
      <x:c r="J108" s="192" t="str">
        <x:v>Hold the three blossoms open in a fixed spring pose.</x:v>
      </x:c>
      <x:c r="K108" s="192" t="str">
        <x:v>Three large pink blossoms sit at the ends of two airy branches.</x:v>
      </x:c>
      <x:c r="L108" s="192" t="str">
        <x:v>Trunk/root + two branch/crown groups + two grouped blossom layers.</x:v>
      </x:c>
    </x:row>
    <x:row r="109" ht="108" customHeight="1">
      <x:c r="A109" s="204" t="str">
        <x:f>'Decor Catalog'!A109</x:f>
        <x:v>CL-05</x:v>
      </x:c>
      <x:c r="B109" s="204" t="str">
        <x:f>'Decor Catalog'!B109</x:f>
        <x:v>River Reeds Basket</x:v>
      </x:c>
      <x:c r="C109" s="192" t="str">
        <x:v>A low woven-look basket holds five broad reeds and two rolled young leaf shoots.</x:v>
      </x:c>
      <x:c r="D109" s="192" t="str">
        <x:v>Willow-brown basket, soft olive reeds and bright mint shoot tips.</x:v>
      </x:c>
      <x:c r="E109" s="192" t="str">
        <x:v>Matte sculpted basket with four broad weave bands; flat-ribbon leaves and rounded reed stems.</x:v>
      </x:c>
      <x:c r="F109" s="192" t="str">
        <x:f>'Decor Catalog'!M109&amp;" | "&amp;TEXT('Decor Catalog'!N109,"0.0#")&amp;" W × "&amp;TEXT('Decor Catalog'!O109,"0.0#")&amp;" H U"</x:f>
        <x:v>Large | 1.8 W × 2.4 H U</x:v>
      </x:c>
      <x:c r="G109" s="192" t="str">
        <x:f>'Decor Catalog'!P109&amp;" — Place at a rear-side garden edge; keep the basket visible below the reeds."</x:f>
        <x:v>Midground — Place at a rear-side garden edge; keep the basket visible below the reeds.</x:v>
      </x:c>
      <x:c r="H109" s="192" t="str">
        <x:v>Static idle. No particles, glow, movement or changing footprint.</x:v>
      </x:c>
      <x:c r="I109" s="192" t="str">
        <x:v>Static</x:v>
      </x:c>
      <x:c r="J109" s="192" t="str">
        <x:v>Use the finished base sprite with no glow or particles.</x:v>
      </x:c>
      <x:c r="K109" s="192" t="str">
        <x:v>Five reeds in one chunky woven planter, distinct from loose reeds.</x:v>
      </x:c>
      <x:c r="L109" s="192" t="str">
        <x:v>Single transparent sprite; bottom-centre pivot; separate icon crop.</x:v>
      </x:c>
    </x:row>
    <x:row r="110" ht="108" customHeight="1">
      <x:c r="A110" s="204" t="str">
        <x:f>'Decor Catalog'!A110</x:f>
        <x:v>PL-05</x:v>
      </x:c>
      <x:c r="B110" s="204" t="str">
        <x:f>'Decor Catalog'!B110</x:f>
        <x:v>Raincloud Watering Can</x:v>
      </x:c>
      <x:c r="C110" s="192" t="str">
        <x:v>A squat watering can has a curled spout, oversized loop handle and a small cloud-shaped crest fixed to its lid.</x:v>
      </x:c>
      <x:c r="D110" s="192" t="str">
        <x:v>Powder blue body, pale cream cloud and muted apricot trim.</x:v>
      </x:c>
      <x:c r="E110" s="192" t="str">
        <x:v>Matte enamelled-metal look with chunky rolled edges; no realistic water inside.</x:v>
      </x:c>
      <x:c r="F110" s="192" t="str">
        <x:f>'Decor Catalog'!M110&amp;" | "&amp;TEXT('Decor Catalog'!N110,"0.0#")&amp;" W × "&amp;TEXT('Decor Catalog'!O110,"0.0#")&amp;" H U"</x:f>
        <x:v>Large | 2.2 W × 1.9 H U</x:v>
      </x:c>
      <x:c r="G110" s="192" t="str">
        <x:f>'Decor Catalog'!P110&amp;" — Place at a side with clear space above the short spout; never point it at a fish."</x:f>
        <x:v>Midground — Place at a side with clear space above the short spout; never point it at a fish.</x:v>
      </x:c>
      <x:c r="H110" s="192" t="str">
        <x:v>One small bubble leaves the spout every 18–26 s and fades within 0.5 U; cloud crest rocks ±2°. No watering or growth effect.</x:v>
      </x:c>
      <x:c r="I110" s="192" t="str">
        <x:v>Feature</x:v>
      </x:c>
      <x:c r="J110" s="192" t="str">
        <x:v>Use an empty spout and a still cloud crest.</x:v>
      </x:c>
      <x:c r="K110" s="192" t="str">
        <x:v>Blue can, high loop handle and a fixed cream cloud crest.</x:v>
      </x:c>
      <x:c r="L110" s="192" t="str">
        <x:v>Can/body + cloud crest + one low-rate bubble emitter; maximum one bubble.</x:v>
      </x:c>
    </x:row>
    <x:row r="111" ht="108" customHeight="1">
      <x:c r="A111" s="204" t="str">
        <x:f>'Decor Catalog'!A111</x:f>
        <x:v>CL-06</x:v>
      </x:c>
      <x:c r="B111" s="204" t="str">
        <x:f>'Decor Catalog'!B111</x:f>
        <x:v>Reef Rescue Plaque</x:v>
      </x:c>
      <x:c r="C111" s="192" t="str">
        <x:v>An irregular oval stone plaque holds a raised wave and one broad five-armed sea-star relief.</x:v>
      </x:c>
      <x:c r="D111" s="192" t="str">
        <x:v>Ocean blue wave, cream stone, muted coral star and teal recesses.</x:v>
      </x:c>
      <x:c r="E111" s="192" t="str">
        <x:v>Matte ceramic relief; no lettering, real logos or charity badges.</x:v>
      </x:c>
      <x:c r="F111" s="192" t="str">
        <x:f>'Decor Catalog'!M111&amp;" | "&amp;TEXT('Decor Catalog'!N111,"0.0#")&amp;" W × "&amp;TEXT('Decor Catalog'!O111,"0.0#")&amp;" H U"</x:f>
        <x:v>Medium | 1.9 W × 1.4 H U</x:v>
      </x:c>
      <x:c r="G111" s="192" t="str">
        <x:f>'Decor Catalog'!P111&amp;" — Lean slightly on front-side gravel so both wave and star read from the viewing angle."</x:f>
        <x:v>Foreground — Lean slightly on front-side gravel so both wave and star read from the viewing angle.</x:v>
      </x:c>
      <x:c r="H111" s="192" t="str">
        <x:v>Static idle. No particles, glow, movement or changing footprint.</x:v>
      </x:c>
      <x:c r="I111" s="192" t="str">
        <x:v>Static</x:v>
      </x:c>
      <x:c r="J111" s="192" t="str">
        <x:v>Use the finished base sprite with no glow or particles.</x:v>
      </x:c>
      <x:c r="K111" s="192" t="str">
        <x:v>A wave-and-star relief on one oval plaque; no living sea star.</x:v>
      </x:c>
      <x:c r="L111" s="192" t="str">
        <x:v>Single transparent sprite; bottom-centre pivot; separate icon crop.</x:v>
      </x:c>
    </x:row>
    <x:row r="112" ht="108" customHeight="1">
      <x:c r="A112" s="204" t="str">
        <x:f>'Decor Catalog'!A112</x:f>
        <x:v>PL-06</x:v>
      </x:c>
      <x:c r="B112" s="204" t="str">
        <x:f>'Decor Catalog'!B112</x:f>
        <x:v>Coral-pink Seagrass Fan</x:v>
      </x:c>
      <x:c r="C112" s="192" t="str">
        <x:v>Six broad seagrass blades spread like a fan, each with a curved spoon tip and a compact rounded base.</x:v>
      </x:c>
      <x:c r="D112" s="192" t="str">
        <x:v>Coral-pink faces, seafoam backs and pale peach terminal bands.</x:v>
      </x:c>
      <x:c r="E112" s="192" t="str">
        <x:v>Matte leathery fantasy leaves; the shape is botanical, not a live coral colony.</x:v>
      </x:c>
      <x:c r="F112" s="192" t="str">
        <x:f>'Decor Catalog'!M112&amp;" | "&amp;TEXT('Decor Catalog'!N112,"0.0#")&amp;" W × "&amp;TEXT('Decor Catalog'!O112,"0.0#")&amp;" H U"</x:f>
        <x:v>Large | 2.2 W × 2.8 H U</x:v>
      </x:c>
      <x:c r="G112" s="192" t="str">
        <x:f>'Decor Catalog'!P112&amp;" — Anchor at a back side beside cool rocks, with the broad tips fanned apart."</x:f>
        <x:v>Background — Anchor at a back side beside cool rocks, with the broad tips fanned apart.</x:v>
      </x:c>
      <x:c r="H112" s="192" t="str">
        <x:v>Three grouped blades sway ±2° on a 9 s loop; tip bands softly brighten by 10% every 15 s. No particle trail.</x:v>
      </x:c>
      <x:c r="I112" s="192" t="str">
        <x:v>Ambient</x:v>
      </x:c>
      <x:c r="J112" s="192" t="str">
        <x:v>Keep the fan evenly open with its fixed pink and seafoam palette.</x:v>
      </x:c>
      <x:c r="K112" s="192" t="str">
        <x:v>Six pink spoon-tip blades with seafoam undersides.</x:v>
      </x:c>
      <x:c r="L112" s="192" t="str">
        <x:v>Root/base + three blade groups + one tip mask.</x:v>
      </x:c>
    </x:row>
    <x:row r="113" ht="108" customHeight="1">
      <x:c r="A113" s="204" t="str">
        <x:f>'Decor Catalog'!A113</x:f>
        <x:v>CL-07</x:v>
      </x:c>
      <x:c r="B113" s="204" t="str">
        <x:f>'Decor Catalog'!B113</x:f>
        <x:v>Sunburst Reed Rosette</x:v>
      </x:c>
      <x:c r="C113" s="192" t="str">
        <x:v>Six broad reed leaves spread radially like a small sun, with three shorter curled leaves near the centre.</x:v>
      </x:c>
      <x:c r="D113" s="192" t="str">
        <x:v>Golden lime, honey yellow tips and deep olive folds.</x:v>
      </x:c>
      <x:c r="E113" s="192" t="str">
        <x:v>Matte leathery leaves with large central creases; warm colours are painted, not emitted light.</x:v>
      </x:c>
      <x:c r="F113" s="192" t="str">
        <x:f>'Decor Catalog'!M113&amp;" | "&amp;TEXT('Decor Catalog'!N113,"0.0#")&amp;" W × "&amp;TEXT('Decor Catalog'!O113,"0.0#")&amp;" H U"</x:f>
        <x:v>Medium | 2.0 W × 1.8 H U</x:v>
      </x:c>
      <x:c r="G113" s="192" t="str">
        <x:f>'Decor Catalog'!P113&amp;" — Plant at a side focal point beside cooler foliage; retain all six rays in the silhouette."</x:f>
        <x:v>Midground — Plant at a side focal point beside cooler foliage; retain all six rays in the silhouette.</x:v>
      </x:c>
      <x:c r="H113" s="192" t="str">
        <x:v>Static idle. No particles, glow, movement or changing footprint.</x:v>
      </x:c>
      <x:c r="I113" s="192" t="str">
        <x:v>Static</x:v>
      </x:c>
      <x:c r="J113" s="192" t="str">
        <x:v>Use the finished base sprite with no glow or particles.</x:v>
      </x:c>
      <x:c r="K113" s="192" t="str">
        <x:v>A six-ray golden leaf rosette rather than a flower or fireworks icon.</x:v>
      </x:c>
      <x:c r="L113" s="192" t="str">
        <x:v>Single transparent sprite; bottom-centre pivot; separate icon crop.</x:v>
      </x:c>
    </x:row>
    <x:row r="114" ht="108" customHeight="1">
      <x:c r="A114" s="204" t="str">
        <x:f>'Decor Catalog'!A114</x:f>
        <x:v>PL-07</x:v>
      </x:c>
      <x:c r="B114" s="204" t="str">
        <x:f>'Decor Catalog'!B114</x:f>
        <x:v>Festival Pinwheel</x:v>
      </x:c>
      <x:c r="C114" s="192" t="str">
        <x:v>A four-blade folded pinwheel sits on a short curved pole with a compact shell-shaped foot.</x:v>
      </x:c>
      <x:c r="D114" s="192" t="str">
        <x:v>Coral, butter yellow, turquoise and lavender blades; muted blue pole.</x:v>
      </x:c>
      <x:c r="E114" s="192" t="str">
        <x:v>Matte folded ceramic or painted toy metal; a large cream hub covers the blade joins.</x:v>
      </x:c>
      <x:c r="F114" s="192" t="str">
        <x:f>'Decor Catalog'!M114&amp;" | "&amp;TEXT('Decor Catalog'!N114,"0.0#")&amp;" W × "&amp;TEXT('Decor Catalog'!O114,"0.0#")&amp;" H U"</x:f>
        <x:v>Large | 1.9 W × 2.5 H U</x:v>
      </x:c>
      <x:c r="G114" s="192" t="str">
        <x:f>'Decor Catalog'!P114&amp;" — Place near a rear side and leave a clear circular motion envelope around the blades."</x:f>
        <x:v>Midground — Place near a rear side and leave a clear circular motion envelope around the blades.</x:v>
      </x:c>
      <x:c r="H114" s="192" t="str">
        <x:v>Pinwheel turns one slow revolution every 18 s with smooth steady motion; no sparkle, flash, confetti or sound.</x:v>
      </x:c>
      <x:c r="I114" s="192" t="str">
        <x:v>Feature</x:v>
      </x:c>
      <x:c r="J114" s="192" t="str">
        <x:v>Hold the wheel at a diagonal four-point pose.</x:v>
      </x:c>
      <x:c r="K114" s="192" t="str">
        <x:v>Four big pastel folded blades, not an explosion or firework graphic.</x:v>
      </x:c>
      <x:c r="L114" s="192" t="str">
        <x:v>Pole/base + one rotating wheel + fixed hub; pivot exactly at wheel centre.</x:v>
      </x:c>
    </x:row>
    <x:row r="115" ht="108" customHeight="1">
      <x:c r="A115" s="204" t="str">
        <x:f>'Decor Catalog'!A115</x:f>
        <x:v>CL-08</x:v>
      </x:c>
      <x:c r="B115" s="204" t="str">
        <x:f>'Decor Catalog'!B115</x:f>
        <x:v>Monsoon Frog Pot</x:v>
      </x:c>
      <x:c r="C115" s="192" t="str">
        <x:v>A rounded frog-shaped empty planter has two raised eye bumps, a wide oval opening and squat feet.</x:v>
      </x:c>
      <x:c r="D115" s="192" t="str">
        <x:v>Sage ceramic, pale cream belly panel and teal inner cavity.</x:v>
      </x:c>
      <x:c r="E115" s="192" t="str">
        <x:v>Matte ceramic with broad sculpted seams; clearly an inanimate empty pot.</x:v>
      </x:c>
      <x:c r="F115" s="192" t="str">
        <x:f>'Decor Catalog'!M115&amp;" | "&amp;TEXT('Decor Catalog'!N115,"0.0#")&amp;" W × "&amp;TEXT('Decor Catalog'!O115,"0.0#")&amp;" H U"</x:f>
        <x:v>Medium | 1.8 W × 1.6 H U</x:v>
      </x:c>
      <x:c r="G115" s="192" t="str">
        <x:f>'Decor Catalog'!P115&amp;" — Set at a lower-side garden edge; leave the opening empty so plants can be placed separately."</x:f>
        <x:v>Midground — Set at a lower-side garden edge; leave the opening empty so plants can be placed separately.</x:v>
      </x:c>
      <x:c r="H115" s="192" t="str">
        <x:v>Static idle. No particles, glow, movement or changing footprint.</x:v>
      </x:c>
      <x:c r="I115" s="192" t="str">
        <x:v>Static</x:v>
      </x:c>
      <x:c r="J115" s="192" t="str">
        <x:v>Use the finished base sprite with no glow or particles.</x:v>
      </x:c>
      <x:c r="K115" s="192" t="str">
        <x:v>A friendly frog-shaped pot with an empty top, not a living animal.</x:v>
      </x:c>
      <x:c r="L115" s="192" t="str">
        <x:v>Single transparent sprite; bottom-centre pivot; separate icon crop.</x:v>
      </x:c>
    </x:row>
    <x:row r="116" ht="108" customHeight="1">
      <x:c r="A116" s="204" t="str">
        <x:f>'Decor Catalog'!A116</x:f>
        <x:v>PL-08</x:v>
      </x:c>
      <x:c r="B116" s="204" t="str">
        <x:f>'Decor Catalog'!B116</x:f>
        <x:v>Raindrop Lotus</x:v>
      </x:c>
      <x:c r="C116" s="192" t="str">
        <x:v>A broad lotus cup sits above two round leaves; three large teardrop-shaped petal tips curve inward around its centre.</x:v>
      </x:c>
      <x:c r="D116" s="192" t="str">
        <x:v>Dusty lavender, pale sky blue tips and deep jade leaves.</x:v>
      </x:c>
      <x:c r="E116" s="192" t="str">
        <x:v>Matte petals with a few broad water-drop-shaped colour patches, not glossy droplets.</x:v>
      </x:c>
      <x:c r="F116" s="192" t="str">
        <x:f>'Decor Catalog'!M116&amp;" | "&amp;TEXT('Decor Catalog'!N116,"0.0#")&amp;" W × "&amp;TEXT('Decor Catalog'!O116,"0.0#")&amp;" H U"</x:f>
        <x:v>Large | 2.2 W × 2.3 H U</x:v>
      </x:c>
      <x:c r="G116" s="192" t="str">
        <x:f>'Decor Catalog'!P116&amp;" — Set at a lower-side focal point with the three inward-curving tips clearly visible."</x:f>
        <x:v>Midground — Set at a lower-side focal point with the three inward-curving tips clearly visible.</x:v>
      </x:c>
      <x:c r="H116" s="192" t="str">
        <x:v>Petal cup opens 5° on a 14 s loop; the three tip masks brighten gently in a staggered pattern. No rain particles.</x:v>
      </x:c>
      <x:c r="I116" s="192" t="str">
        <x:v>Ambient</x:v>
      </x:c>
      <x:c r="J116" s="192" t="str">
        <x:v>Show the cup half-open with static pale blue tips.</x:v>
      </x:c>
      <x:c r="K116" s="192" t="str">
        <x:v>A lavender cup with three pale teardrop petal tips.</x:v>
      </x:c>
      <x:c r="L116" s="192" t="str">
        <x:v>Leaf/base + three petal groups + one tip mask.</x:v>
      </x:c>
    </x:row>
    <x:row r="117" ht="108" customHeight="1">
      <x:c r="A117" s="204" t="str">
        <x:f>'Decor Catalog'!A117</x:f>
        <x:v>CL-09</x:v>
      </x:c>
      <x:c r="B117" s="204" t="str">
        <x:f>'Decor Catalog'!B117</x:f>
        <x:v>Amber Seed Wreath</x:v>
      </x:c>
      <x:c r="C117" s="192" t="str">
        <x:v>Two rooted stems curve into an open circular wreath carrying five large seed pods and three broad leaves.</x:v>
      </x:c>
      <x:c r="D117" s="192" t="str">
        <x:v>Honey amber pods, russet stems and muted sage foliage.</x:v>
      </x:c>
      <x:c r="E117" s="192" t="str">
        <x:v>Matte papery seed pods with broad segments; round stems form a clean open centre.</x:v>
      </x:c>
      <x:c r="F117" s="192" t="str">
        <x:f>'Decor Catalog'!M117&amp;" | "&amp;TEXT('Decor Catalog'!N117,"0.0#")&amp;" W × "&amp;TEXT('Decor Catalog'!O117,"0.0#")&amp;" H U"</x:f>
        <x:v>Large | 2.2 W × 2.2 H U</x:v>
      </x:c>
      <x:c r="G117" s="192" t="str">
        <x:f>'Decor Catalog'!P117&amp;" — Root at a rear side with the circular opening transparent and clear of other decor."</x:f>
        <x:v>Midground — Root at a rear side with the circular opening transparent and clear of other decor.</x:v>
      </x:c>
      <x:c r="H117" s="192" t="str">
        <x:v>Static idle. No particles, glow, movement or changing footprint.</x:v>
      </x:c>
      <x:c r="I117" s="192" t="str">
        <x:v>Static</x:v>
      </x:c>
      <x:c r="J117" s="192" t="str">
        <x:v>Use the finished base sprite with no glow or particles.</x:v>
      </x:c>
      <x:c r="K117" s="192" t="str">
        <x:v>Five amber pods on an open living wreath; no harvest basket clutter.</x:v>
      </x:c>
      <x:c r="L117" s="192" t="str">
        <x:v>Single transparent sprite; bottom-centre pivot; separate icon crop.</x:v>
      </x:c>
    </x:row>
    <x:row r="118" ht="108" customHeight="1">
      <x:c r="A118" s="204" t="str">
        <x:f>'Decor Catalog'!A118</x:f>
        <x:v>PL-09</x:v>
      </x:c>
      <x:c r="B118" s="204" t="str">
        <x:f>'Decor Catalog'!B118</x:f>
        <x:v>Harvest Moon Arch</x:v>
      </x:c>
      <x:c r="C118" s="192" t="str">
        <x:v>A thick amber crescent rises from two low stone feet with three short seed-pod pendants inside its arc.</x:v>
      </x:c>
      <x:c r="D118" s="192" t="str">
        <x:v>Muted ochre crescent, cream inner rim and russet pods with sage ties.</x:v>
      </x:c>
      <x:c r="E118" s="192" t="str">
        <x:v>Matte carved ceramic and papery-looking pod casings; no polished gold or lunar landscape.</x:v>
      </x:c>
      <x:c r="F118" s="192" t="str">
        <x:f>'Decor Catalog'!M118&amp;" | "&amp;TEXT('Decor Catalog'!N118,"0.0#")&amp;" W × "&amp;TEXT('Decor Catalog'!O118,"0.0#")&amp;" H U"</x:f>
        <x:v>Large | 2.8 W × 2.9 H U</x:v>
      </x:c>
      <x:c r="G118" s="192" t="str">
        <x:f>'Decor Catalog'!P118&amp;" — Anchor at a rear side with the crescent opening unobstructed."</x:f>
        <x:v>Background — Anchor at a rear side with the crescent opening unobstructed.</x:v>
      </x:c>
      <x:c r="H118" s="192" t="str">
        <x:v>Pods swing ±2° on offset 10 s loops; the inner rim warms by 8% over 16 s. No falling leaves.</x:v>
      </x:c>
      <x:c r="I118" s="192" t="str">
        <x:v>Feature</x:v>
      </x:c>
      <x:c r="J118" s="192" t="str">
        <x:v>Hang pods still within a fixed amber crescent.</x:v>
      </x:c>
      <x:c r="K118" s="192" t="str">
        <x:v>A warm crescent holding three hanging seed pods.</x:v>
      </x:c>
      <x:c r="L118" s="192" t="str">
        <x:v>Crescent/base + three pod sprites + one subtle rim mask.</x:v>
      </x:c>
    </x:row>
    <x:row r="119" ht="108" customHeight="1">
      <x:c r="A119" s="204" t="str">
        <x:f>'Decor Catalog'!A119</x:f>
        <x:v>CL-10</x:v>
      </x:c>
      <x:c r="B119" s="204" t="str">
        <x:f>'Decor Catalog'!B119</x:f>
        <x:v>Pumpkin Shell House</x:v>
      </x:c>
      <x:c r="C119" s="192" t="str">
        <x:v>A squat pumpkin-shaped shell cottage has five broad ribs, a curled stem roof and one round doorway.</x:v>
      </x:c>
      <x:c r="D119" s="192" t="str">
        <x:v>Soft orange, pale apricot ridges, plum doorway and muted olive stem.</x:v>
      </x:c>
      <x:c r="E119" s="192" t="str">
        <x:v>Matte carved resin with rounded friendly forms; no carved frightening face.</x:v>
      </x:c>
      <x:c r="F119" s="192" t="str">
        <x:f>'Decor Catalog'!M119&amp;" | "&amp;TEXT('Decor Catalog'!N119,"0.0#")&amp;" W × "&amp;TEXT('Decor Catalog'!O119,"0.0#")&amp;" H U"</x:f>
        <x:v>Medium | 1.9 W × 1.8 H U</x:v>
      </x:c>
      <x:c r="G119" s="192" t="str">
        <x:f>'Decor Catalog'!P119&amp;" — Place at a side focal point beside low plants; keep the doorway and curl clearly visible."</x:f>
        <x:v>Midground — Place at a side focal point beside low plants; keep the doorway and curl clearly visible.</x:v>
      </x:c>
      <x:c r="H119" s="192" t="str">
        <x:v>Static idle. No particles, glow, movement or changing footprint.</x:v>
      </x:c>
      <x:c r="I119" s="192" t="str">
        <x:v>Static</x:v>
      </x:c>
      <x:c r="J119" s="192" t="str">
        <x:v>Use the finished base sprite with no glow or particles.</x:v>
      </x:c>
      <x:c r="K119" s="192" t="str">
        <x:v>A pumpkin cottage with a round door and no horror features.</x:v>
      </x:c>
      <x:c r="L119" s="192" t="str">
        <x:v>Single transparent sprite; bottom-centre pivot; separate icon crop.</x:v>
      </x:c>
    </x:row>
    <x:row r="120" ht="108" customHeight="1">
      <x:c r="A120" s="204" t="str">
        <x:f>'Decor Catalog'!A120</x:f>
        <x:v>PL-10</x:v>
      </x:c>
      <x:c r="B120" s="204" t="str">
        <x:f>'Decor Catalog'!B120</x:f>
        <x:v>Mooncap Bloom</x:v>
      </x:c>
      <x:c r="C120" s="192" t="str">
        <x:v>Three bell flowers shaped like soft curled caps rise above broad scalloped leaves; the middle bloom is tallest.</x:v>
      </x:c>
      <x:c r="D120" s="192" t="str">
        <x:v>Muted violet caps, pale amber throats and dark teal leaves.</x:v>
      </x:c>
      <x:c r="E120" s="192" t="str">
        <x:v>Matte papery flower bells and leathery leaves; flower stems make it botanical rather than a mushroom creature.</x:v>
      </x:c>
      <x:c r="F120" s="192" t="str">
        <x:f>'Decor Catalog'!M120&amp;" | "&amp;TEXT('Decor Catalog'!N120,"0.0#")&amp;" W × "&amp;TEXT('Decor Catalog'!O120,"0.0#")&amp;" H U"</x:f>
        <x:v>Large | 2.0 W × 2.3 H U</x:v>
      </x:c>
      <x:c r="G120" s="192" t="str">
        <x:f>'Decor Catalog'!P120&amp;" — Place at a side focal point with all three warm flower throats facing partly forward."</x:f>
        <x:v>Midground — Place at a side focal point with all three warm flower throats facing partly forward.</x:v>
      </x:c>
      <x:c r="H120" s="192" t="str">
        <x:v>Flower heads nod ±2° over 10 s; throats warm gently by 12% every 17 s. No eyes, jumpscares or mist.</x:v>
      </x:c>
      <x:c r="I120" s="192" t="str">
        <x:v>Ambient</x:v>
      </x:c>
      <x:c r="J120" s="192" t="str">
        <x:v>Keep the three caps at different calm angles with fixed amber throats.</x:v>
      </x:c>
      <x:c r="K120" s="192" t="str">
        <x:v>Three curled violet caps with warm interiors; friendly, not spooky faces.</x:v>
      </x:c>
      <x:c r="L120" s="192" t="str">
        <x:v>Leaf/stem base + three flowers + one throat mask.</x:v>
      </x:c>
    </x:row>
    <x:row r="121" ht="108" customHeight="1">
      <x:c r="A121" s="204" t="str">
        <x:f>'Decor Catalog'!A121</x:f>
        <x:v>CL-11</x:v>
      </x:c>
      <x:c r="B121" s="204" t="str">
        <x:f>'Decor Catalog'!B121</x:f>
        <x:v>Frost Fern</x:v>
      </x:c>
      <x:c r="C121" s="192" t="str">
        <x:v>Three thick fern fronds fan outward with broad paired lobes and blunt frosted tips.</x:v>
      </x:c>
      <x:c r="D121" s="192" t="str">
        <x:v>Blue spruce, pale mint tip bands and muted slate undersides.</x:v>
      </x:c>
      <x:c r="E121" s="192" t="str">
        <x:v>Matte leathery leaves with painted frost-colour caps; no loose snow or ice particles.</x:v>
      </x:c>
      <x:c r="F121" s="192" t="str">
        <x:f>'Decor Catalog'!M121&amp;" | "&amp;TEXT('Decor Catalog'!N121,"0.0#")&amp;" W × "&amp;TEXT('Decor Catalog'!O121,"0.0#")&amp;" H U"</x:f>
        <x:v>Medium | 1.6 W × 1.8 H U</x:v>
      </x:c>
      <x:c r="G121" s="192" t="str">
        <x:f>'Decor Catalog'!P121&amp;" — Place beside warmer stone on a lower rear side; keep the three fronds separate."</x:f>
        <x:v>Midground — Place beside warmer stone on a lower rear side; keep the three fronds separate.</x:v>
      </x:c>
      <x:c r="H121" s="192" t="str">
        <x:v>Static idle. No particles, glow, movement or changing footprint.</x:v>
      </x:c>
      <x:c r="I121" s="192" t="str">
        <x:v>Static</x:v>
      </x:c>
      <x:c r="J121" s="192" t="str">
        <x:v>Use the finished base sprite with no glow or particles.</x:v>
      </x:c>
      <x:c r="K121" s="192" t="str">
        <x:v>Three blue-green fronds with pale broad tips, not white glitter.</x:v>
      </x:c>
      <x:c r="L121" s="192" t="str">
        <x:v>Single transparent sprite; bottom-centre pivot; separate icon crop.</x:v>
      </x:c>
    </x:row>
    <x:row r="122" ht="108" customHeight="1">
      <x:c r="A122" s="204" t="str">
        <x:f>'Decor Catalog'!A122</x:f>
        <x:v>PL-11</x:v>
      </x:c>
      <x:c r="B122" s="204" t="str">
        <x:f>'Decor Catalog'!B122</x:f>
        <x:v>Snowglobe Grotto</x:v>
      </x:c>
      <x:c r="C122" s="192" t="str">
        <x:v>A stout clear-look dome on a scalloped base encloses one miniature stone arch and three small snowflake-shaped chips.</x:v>
      </x:c>
      <x:c r="D122" s="192" t="str">
        <x:v>Frosted pale aqua dome, cream arch, dusty blue base and muted lilac chips.</x:v>
      </x:c>
      <x:c r="E122" s="192" t="str">
        <x:v>Stylised translucent dome with a matte rim; solid ceramic interior and flat graphic chips, no mirror reflections.</x:v>
      </x:c>
      <x:c r="F122" s="192" t="str">
        <x:f>'Decor Catalog'!M122&amp;" | "&amp;TEXT('Decor Catalog'!N122,"0.0#")&amp;" W × "&amp;TEXT('Decor Catalog'!O122,"0.0#")&amp;" H U"</x:f>
        <x:v>Large | 2.3 W × 2.6 H U</x:v>
      </x:c>
      <x:c r="G122" s="192" t="str">
        <x:f>'Decor Catalog'!P122&amp;" — Place at a rear side where the enclosed arch is readable; keep all drifting details inside the dome."</x:f>
        <x:v>Midground — Place at a rear side where the enclosed arch is readable; keep all drifting details inside the dome.</x:v>
      </x:c>
      <x:c r="H122" s="192" t="str">
        <x:v>Three chips drift in short 0.15 U loops inside a clipped dome over 12 s. No external snow and no continuous particle emitter.</x:v>
      </x:c>
      <x:c r="I122" s="192" t="str">
        <x:v>Feature</x:v>
      </x:c>
      <x:c r="J122" s="192" t="str">
        <x:v>Hold three chips at fixed positions inside the dome.</x:v>
      </x:c>
      <x:c r="K122" s="192" t="str">
        <x:v>One miniature arch inside a squat aqua dome, without a snow-filled environment.</x:v>
      </x:c>
      <x:c r="L122" s="192" t="str">
        <x:v>Base/interior + dome rim/fill + clipping mask + three reusable chip sprites.</x:v>
      </x:c>
    </x:row>
    <x:row r="123" ht="108" customHeight="1">
      <x:c r="A123" s="204" t="str">
        <x:f>'Decor Catalog'!A123</x:f>
        <x:v>CL-12</x:v>
      </x:c>
      <x:c r="B123" s="204" t="str">
        <x:f>'Decor Catalog'!B123</x:f>
        <x:v>Founder's Shell Plinth</x:v>
      </x:c>
      <x:c r="C123" s="192" t="str">
        <x:v>A thick scallop emblem stands on a low rounded two-step plinth with a small recessed wave stripe.</x:v>
      </x:c>
      <x:c r="D123" s="192" t="str">
        <x:v>Warm cream shell, dusty turquoise base and a muted coral stripe.</x:v>
      </x:c>
      <x:c r="E123" s="192" t="str">
        <x:v>Matte carved ceramic; no year stamp, readable text or premium-looking gold border.</x:v>
      </x:c>
      <x:c r="F123" s="192" t="str">
        <x:f>'Decor Catalog'!M123&amp;" | "&amp;TEXT('Decor Catalog'!N123,"0.0#")&amp;" W × "&amp;TEXT('Decor Catalog'!O123,"0.0#")&amp;" H U"</x:f>
        <x:v>Medium | 1.4 W × 1.3 H U</x:v>
      </x:c>
      <x:c r="G123" s="192" t="str">
        <x:f>'Decor Catalog'!P123&amp;" — Set at a front-side edge after onboarding; keep it a small optional commemorative piece."</x:f>
        <x:v>Foreground — Set at a front-side edge after onboarding; keep it a small optional commemorative piece.</x:v>
      </x:c>
      <x:c r="H123" s="192" t="str">
        <x:v>Static idle. No particles, glow, movement or changing footprint.</x:v>
      </x:c>
      <x:c r="I123" s="192" t="str">
        <x:v>Static</x:v>
      </x:c>
      <x:c r="J123" s="192" t="str">
        <x:v>Use the finished base sprite with no glow or particles.</x:v>
      </x:c>
      <x:c r="K123" s="192" t="str">
        <x:v>A single scallop on a teal two-step base; collection recognition without power.</x:v>
      </x:c>
      <x:c r="L123" s="192" t="str">
        <x:v>Single transparent sprite; bottom-centre pivot; separate icon crop.</x:v>
      </x:c>
    </x:row>
    <x:row r="124" ht="108" customHeight="1">
      <x:c r="A124" s="204" t="str">
        <x:f>'Decor Catalog'!A124</x:f>
        <x:v>PL-12</x:v>
      </x:c>
      <x:c r="B124" s="204" t="str">
        <x:f>'Decor Catalog'!B124</x:f>
        <x:v>Celebration Lotus</x:v>
      </x:c>
      <x:c r="C124" s="192" t="str">
        <x:v>A wide lotus crown has five rounded pastel petals and a compact central cluster of three short seed stalks.</x:v>
      </x:c>
      <x:c r="D124" s="192" t="str">
        <x:v>Cream, apricot, soft coral, aqua and lavender petals over jade leaves.</x:v>
      </x:c>
      <x:c r="E124" s="192" t="str">
        <x:v>Matte petal colour blocks and soft botanical seed tips; no candle flames, badges or written year.</x:v>
      </x:c>
      <x:c r="F124" s="192" t="str">
        <x:f>'Decor Catalog'!M124&amp;" | "&amp;TEXT('Decor Catalog'!N124,"0.0#")&amp;" W × "&amp;TEXT('Decor Catalog'!O124,"0.0#")&amp;" H U"</x:f>
        <x:v>Large | 2.2 W × 2.2 H U</x:v>
      </x:c>
      <x:c r="G124" s="192" t="str">
        <x:f>'Decor Catalog'!P124&amp;" — Place at a side focal point after onboarding; keep the central seed cluster visible."</x:f>
        <x:v>Midground — Place at a side focal point after onboarding; keep the central seed cluster visible.</x:v>
      </x:c>
      <x:c r="H124" s="192" t="str">
        <x:v>Petals open 4° for 3 s every 20 s; seed tips brighten one after another by 10%. No confetti or rewards.</x:v>
      </x:c>
      <x:c r="I124" s="192" t="str">
        <x:v>Ambient</x:v>
      </x:c>
      <x:c r="J124" s="192" t="str">
        <x:v>Use the flower half-open with fixed pastel petals and quiet seed tips.</x:v>
      </x:c>
      <x:c r="K124" s="192" t="str">
        <x:v>A five-colour lotus crown with three upright seed stalks.</x:v>
      </x:c>
      <x:c r="L124" s="192" t="str">
        <x:v>Leaf/base + three petal groups + one central seed-tip mask.</x:v>
      </x:c>
    </x:row>
  </x:sheetData>
  <x:mergeCells>
    <x:mergeCell ref="A1:L1"/>
    <x:mergeCell ref="A2:L2"/>
  </x:mergeCells>
  <x:pageMargins left="0.7" right="0.7" top="0.75" bottom="0.75" header="0.3" footer="0.3"/>
  <x:tableParts count="1">
    <x:tablePart xmlns:r="http://schemas.openxmlformats.org/officeDocument/2006/relationships" r:id="Raf8dbbaecc8a4e3c"/>
  </x:tableParts>
</x:worksheet>
</file>

<file path=xl/worksheets/sheet21.xml><?xml version="1.0" encoding="utf-8"?>
<x:worksheet xmlns:x="http://schemas.openxmlformats.org/spreadsheetml/2006/main">
  <x:sheetFormatPr defaultRowHeight="15"/>
  <x:cols>
    <x:col min="1" max="1" width="23" hidden="0" customWidth="1"/>
    <x:col min="2" max="2" width="34" hidden="0" customWidth="1"/>
    <x:col min="3" max="3" width="14" hidden="0" customWidth="1"/>
    <x:col min="4" max="4" width="28" hidden="0" customWidth="1"/>
    <x:col min="5" max="5" width="13" hidden="0" customWidth="1"/>
    <x:col min="6" max="6" width="14" hidden="0" customWidth="1"/>
    <x:col min="7" max="7" width="28" hidden="0" customWidth="1"/>
    <x:col min="8" max="8" width="13" hidden="0" customWidth="1"/>
    <x:col min="9" max="9" width="34" hidden="0" customWidth="1"/>
    <x:col min="10" max="10" width="36" hidden="0" customWidth="1"/>
    <x:col min="11" max="11" width="33" hidden="0" customWidth="1"/>
    <x:col min="12" max="12" width="40" hidden="0" customWidth="1"/>
  </x:cols>
  <x:sheetData>
    <x:row r="1" ht="32" customHeight="1">
      <x:c r="A1" s="177" t="str">
        <x:v>LIMITED-EDITION DECOR — 12 EVENT PAIRS</x:v>
      </x:c>
      <x:c r="B1" s="177"/>
      <x:c r="C1" s="177"/>
      <x:c r="D1" s="177"/>
      <x:c r="E1" s="177"/>
      <x:c r="F1" s="177"/>
      <x:c r="G1" s="177"/>
      <x:c r="H1" s="177"/>
      <x:c r="I1" s="177"/>
      <x:c r="J1" s="177"/>
      <x:c r="K1" s="177"/>
      <x:c r="L1" s="177"/>
    </x:row>
    <x:row r="2" ht="34" customHeight="1">
      <x:c r="A2" s="180" t="str">
        <x:v>Each event has a Coins option and a Pearls option • Purchase window is limited; owned items and their animations never expire • Schedule is a proposal</x:v>
      </x:c>
      <x:c r="B2" s="180"/>
      <x:c r="C2" s="180"/>
      <x:c r="D2" s="180"/>
      <x:c r="E2" s="180"/>
      <x:c r="F2" s="180"/>
      <x:c r="G2" s="180"/>
      <x:c r="H2" s="180"/>
      <x:c r="I2" s="180"/>
      <x:c r="J2" s="180"/>
      <x:c r="K2" s="180"/>
      <x:c r="L2" s="180"/>
    </x:row>
    <x:row r="4" ht="38" customHeight="1">
      <x:c r="A4" s="184" t="str">
        <x:v>Event</x:v>
      </x:c>
      <x:c r="B4" s="184" t="str">
        <x:v>Purchase Window</x:v>
      </x:c>
      <x:c r="C4" s="184" t="str">
        <x:v>Coin Item ID</x:v>
      </x:c>
      <x:c r="D4" s="184" t="str">
        <x:v>Coin Item</x:v>
      </x:c>
      <x:c r="E4" s="184" t="str">
        <x:v>Coin Price</x:v>
      </x:c>
      <x:c r="F4" s="184" t="str">
        <x:v>Pearl Item ID</x:v>
      </x:c>
      <x:c r="G4" s="184" t="str">
        <x:v>Pearl Item</x:v>
      </x:c>
      <x:c r="H4" s="184" t="str">
        <x:v>Pearl Price</x:v>
      </x:c>
      <x:c r="I4" s="184" t="str">
        <x:v>Access Rule</x:v>
      </x:c>
      <x:c r="J4" s="184" t="str">
        <x:v>Return Policy</x:v>
      </x:c>
      <x:c r="K4" s="184" t="str">
        <x:v>Existing Fish Tie-in</x:v>
      </x:c>
      <x:c r="L4" s="184" t="str">
        <x:v>Calendar / Art Notes</x:v>
      </x:c>
    </x:row>
    <x:row r="5" ht="100" customHeight="1">
      <x:c r="A5" s="192" t="str">
        <x:v>Lunar New Year</x:v>
      </x:c>
      <x:c r="B5" s="205" t="str">
        <x:v>Jan 25–Feb 8 reference only; configure yearly</x:v>
      </x:c>
      <x:c r="C5" s="192" t="str">
        <x:v>CL-01</x:v>
      </x:c>
      <x:c r="D5" s="192" t="str">
        <x:f>INDEX('Decor Catalog'!$B$5:$B$124,MATCH(C5,'Decor Catalog'!$A$5:$A$124,0))</x:f>
        <x:v>Lucky Bamboo Knot</x:v>
      </x:c>
      <x:c r="E5" s="206" t="n">
        <x:f>INDEX('Decor Catalog'!$J$5:$J$124,MATCH(C5,'Decor Catalog'!$A$5:$A$124,0))</x:f>
        <x:v>650</x:v>
      </x:c>
      <x:c r="F5" s="192" t="str">
        <x:v>PL-01</x:v>
      </x:c>
      <x:c r="G5" s="192" t="str">
        <x:f>INDEX('Decor Catalog'!$B$5:$B$124,MATCH(F5,'Decor Catalog'!$A$5:$A$124,0))</x:f>
        <x:v>Festival Lantern Arch</x:v>
      </x:c>
      <x:c r="H5" s="207" t="n">
        <x:f>INDEX('Decor Catalog'!$J$5:$J$124,MATCH(F5,'Decor Catalog'!$A$5:$A$124,0))</x:f>
        <x:v>8</x:v>
      </x:c>
      <x:c r="I5" s="192" t="str">
        <x:v>Complete onboarding + meet each item's level + active event window.</x:v>
      </x:c>
      <x:c r="J5" s="192" t="str">
        <x:v>May return in a future run. No permanent exclusivity promise; no stock countdown.</x:v>
      </x:c>
      <x:c r="K5" s="192" t="str">
        <x:v>Golden Koi</x:v>
      </x:c>
      <x:c r="L5" s="192" t="str">
        <x:v>Existing fish window is a reference, not a verified lunar calendar date. Schedule the shared fish/decor window each year; no year numbers baked into art.</x:v>
      </x:c>
    </x:row>
    <x:row r="6" ht="100" customHeight="1">
      <x:c r="A6" s="192" t="str">
        <x:v>Valentine's</x:v>
      </x:c>
      <x:c r="B6" s="205" t="str">
        <x:v>Feb 7–21</x:v>
      </x:c>
      <x:c r="C6" s="192" t="str">
        <x:v>CL-02</x:v>
      </x:c>
      <x:c r="D6" s="192" t="str">
        <x:f>INDEX('Decor Catalog'!$B$5:$B$124,MATCH(C6,'Decor Catalog'!$A$5:$A$124,0))</x:f>
        <x:v>Heart Pebble Bench</x:v>
      </x:c>
      <x:c r="E6" s="206" t="n">
        <x:f>INDEX('Decor Catalog'!$J$5:$J$124,MATCH(C6,'Decor Catalog'!$A$5:$A$124,0))</x:f>
        <x:v>300</x:v>
      </x:c>
      <x:c r="F6" s="192" t="str">
        <x:v>PL-02</x:v>
      </x:c>
      <x:c r="G6" s="192" t="str">
        <x:f>INDEX('Decor Catalog'!$B$5:$B$124,MATCH(F6,'Decor Catalog'!$A$5:$A$124,0))</x:f>
        <x:v>Sweetheart Bloom</x:v>
      </x:c>
      <x:c r="H6" s="207" t="n">
        <x:f>INDEX('Decor Catalog'!$J$5:$J$124,MATCH(F6,'Decor Catalog'!$A$5:$A$124,0))</x:f>
        <x:v>4</x:v>
      </x:c>
      <x:c r="I6" s="192" t="str">
        <x:v>Complete onboarding + meet each item's level + active event window.</x:v>
      </x:c>
      <x:c r="J6" s="192" t="str">
        <x:v>May return in a future run. No permanent exclusivity promise; no stock countdown.</x:v>
      </x:c>
      <x:c r="K6" s="192" t="str">
        <x:v>Heartfin Tetra</x:v>
      </x:c>
      <x:c r="L6" s="192" t="str">
        <x:v>Matches the existing Heartfin Tetra window. Gentle friendship/love theme; no text or romantic character portraits.</x:v>
      </x:c>
    </x:row>
    <x:row r="7" ht="100" customHeight="1">
      <x:c r="A7" s="192" t="str">
        <x:v>St. Patrick's</x:v>
      </x:c>
      <x:c r="B7" s="205" t="str">
        <x:v>Mar 10–24</x:v>
      </x:c>
      <x:c r="C7" s="192" t="str">
        <x:v>CL-03</x:v>
      </x:c>
      <x:c r="D7" s="192" t="str">
        <x:f>INDEX('Decor Catalog'!$B$5:$B$124,MATCH(C7,'Decor Catalog'!$A$5:$A$124,0))</x:f>
        <x:v>Cloverleaf Carpet</x:v>
      </x:c>
      <x:c r="E7" s="206" t="n">
        <x:f>INDEX('Decor Catalog'!$J$5:$J$124,MATCH(C7,'Decor Catalog'!$A$5:$A$124,0))</x:f>
        <x:v>800</x:v>
      </x:c>
      <x:c r="F7" s="192" t="str">
        <x:v>PL-03</x:v>
      </x:c>
      <x:c r="G7" s="192" t="str">
        <x:f>INDEX('Decor Catalog'!$B$5:$B$124,MATCH(F7,'Decor Catalog'!$A$5:$A$124,0))</x:f>
        <x:v>Emerald Wishing Well</x:v>
      </x:c>
      <x:c r="H7" s="207" t="n">
        <x:f>INDEX('Decor Catalog'!$J$5:$J$124,MATCH(F7,'Decor Catalog'!$A$5:$A$124,0))</x:f>
        <x:v>6</x:v>
      </x:c>
      <x:c r="I7" s="192" t="str">
        <x:v>Complete onboarding + meet each item's level + active event window.</x:v>
      </x:c>
      <x:c r="J7" s="192" t="str">
        <x:v>May return in a future run. No permanent exclusivity promise; no stock countdown.</x:v>
      </x:c>
      <x:c r="K7" s="192" t="str">
        <x:v>Emerald Cod</x:v>
      </x:c>
      <x:c r="L7" s="192" t="str">
        <x:v>Matches the existing Emerald Cod window. Clover and emerald motifs; no gambling or coin reward effects.</x:v>
      </x:c>
    </x:row>
    <x:row r="8" ht="100" customHeight="1">
      <x:c r="A8" s="192" t="str">
        <x:v>Spring Blossom</x:v>
      </x:c>
      <x:c r="B8" s="205" t="str">
        <x:v>Apr 1–21</x:v>
      </x:c>
      <x:c r="C8" s="192" t="str">
        <x:v>CL-04</x:v>
      </x:c>
      <x:c r="D8" s="192" t="str">
        <x:f>INDEX('Decor Catalog'!$B$5:$B$124,MATCH(C8,'Decor Catalog'!$A$5:$A$124,0))</x:f>
        <x:v>Sakura Stone Lantern</x:v>
      </x:c>
      <x:c r="E8" s="206" t="n">
        <x:f>INDEX('Decor Catalog'!$J$5:$J$124,MATCH(C8,'Decor Catalog'!$A$5:$A$124,0))</x:f>
        <x:v>600</x:v>
      </x:c>
      <x:c r="F8" s="192" t="str">
        <x:v>PL-04</x:v>
      </x:c>
      <x:c r="G8" s="192" t="str">
        <x:f>INDEX('Decor Catalog'!$B$5:$B$124,MATCH(F8,'Decor Catalog'!$A$5:$A$124,0))</x:f>
        <x:v>Blossom Ribbon Tree</x:v>
      </x:c>
      <x:c r="H8" s="207" t="n">
        <x:f>INDEX('Decor Catalog'!$J$5:$J$124,MATCH(F8,'Decor Catalog'!$A$5:$A$124,0))</x:f>
        <x:v>6</x:v>
      </x:c>
      <x:c r="I8" s="192" t="str">
        <x:v>Complete onboarding + meet each item's level + active event window.</x:v>
      </x:c>
      <x:c r="J8" s="192" t="str">
        <x:v>May return in a future run. No permanent exclusivity promise; no stock countdown.</x:v>
      </x:c>
      <x:c r="K8" s="192" t="str">
        <x:v>Sakura Goldfish</x:v>
      </x:c>
      <x:c r="L8" s="192" t="str">
        <x:v>Matches the existing Sakura Goldfish window. Petals stay attached; avoid a tank-wide falling-petal effect.</x:v>
      </x:c>
    </x:row>
    <x:row r="9" ht="100" customHeight="1">
      <x:c r="A9" s="192" t="str">
        <x:v>River Revival</x:v>
      </x:c>
      <x:c r="B9" s="205" t="str">
        <x:v>May 10–24 (proposed)</x:v>
      </x:c>
      <x:c r="C9" s="192" t="str">
        <x:v>CL-05</x:v>
      </x:c>
      <x:c r="D9" s="192" t="str">
        <x:f>INDEX('Decor Catalog'!$B$5:$B$124,MATCH(C9,'Decor Catalog'!$A$5:$A$124,0))</x:f>
        <x:v>River Reeds Basket</x:v>
      </x:c>
      <x:c r="E9" s="206" t="n">
        <x:f>INDEX('Decor Catalog'!$J$5:$J$124,MATCH(C9,'Decor Catalog'!$A$5:$A$124,0))</x:f>
        <x:v>1100</x:v>
      </x:c>
      <x:c r="F9" s="192" t="str">
        <x:v>PL-05</x:v>
      </x:c>
      <x:c r="G9" s="192" t="str">
        <x:f>INDEX('Decor Catalog'!$B$5:$B$124,MATCH(F9,'Decor Catalog'!$A$5:$A$124,0))</x:f>
        <x:v>Raincloud Watering Can</x:v>
      </x:c>
      <x:c r="H9" s="207" t="n">
        <x:f>INDEX('Decor Catalog'!$J$5:$J$124,MATCH(F9,'Decor Catalog'!$A$5:$A$124,0))</x:f>
        <x:v>7</x:v>
      </x:c>
      <x:c r="I9" s="192" t="str">
        <x:v>Complete onboarding + meet each item's level + active event window.</x:v>
      </x:c>
      <x:c r="J9" s="192" t="str">
        <x:v>May return in a future run. No permanent exclusivity promise; no stock countdown.</x:v>
      </x:c>
      <x:c r="K9" s="192" t="str">
        <x:v>None — new decor event</x:v>
      </x:c>
      <x:c r="L9" s="192" t="str">
        <x:v>New proposed cosmetic event; no existing fish counterpart. A riverside gardening collection; not tied to a real-world holiday date.</x:v>
      </x:c>
    </x:row>
    <x:row r="10" ht="100" customHeight="1">
      <x:c r="A10" s="192" t="str">
        <x:v>Ocean Week</x:v>
      </x:c>
      <x:c r="B10" s="205" t="str">
        <x:v>Jun 1–14 (proposed)</x:v>
      </x:c>
      <x:c r="C10" s="192" t="str">
        <x:v>CL-06</x:v>
      </x:c>
      <x:c r="D10" s="192" t="str">
        <x:f>INDEX('Decor Catalog'!$B$5:$B$124,MATCH(C10,'Decor Catalog'!$A$5:$A$124,0))</x:f>
        <x:v>Reef Rescue Plaque</x:v>
      </x:c>
      <x:c r="E10" s="206" t="n">
        <x:f>INDEX('Decor Catalog'!$J$5:$J$124,MATCH(C10,'Decor Catalog'!$A$5:$A$124,0))</x:f>
        <x:v>1700</x:v>
      </x:c>
      <x:c r="F10" s="192" t="str">
        <x:v>PL-06</x:v>
      </x:c>
      <x:c r="G10" s="192" t="str">
        <x:f>INDEX('Decor Catalog'!$B$5:$B$124,MATCH(F10,'Decor Catalog'!$A$5:$A$124,0))</x:f>
        <x:v>Coral-pink Seagrass Fan</x:v>
      </x:c>
      <x:c r="H10" s="207" t="n">
        <x:f>INDEX('Decor Catalog'!$J$5:$J$124,MATCH(F10,'Decor Catalog'!$A$5:$A$124,0))</x:f>
        <x:v>7</x:v>
      </x:c>
      <x:c r="I10" s="192" t="str">
        <x:v>Complete onboarding + meet each item's level + active event window.</x:v>
      </x:c>
      <x:c r="J10" s="192" t="str">
        <x:v>May return in a future run. No permanent exclusivity promise; no stock countdown.</x:v>
      </x:c>
      <x:c r="K10" s="192" t="str">
        <x:v>None — new decor event</x:v>
      </x:c>
      <x:c r="L10" s="192" t="str">
        <x:v>New proposed cosmetic event; no existing fish counterpart. Ocean-inspired toy props only; no real conservation-performance claim.</x:v>
      </x:c>
    </x:row>
    <x:row r="11" ht="100" customHeight="1">
      <x:c r="A11" s="192" t="str">
        <x:v>Summer Festival</x:v>
      </x:c>
      <x:c r="B11" s="205" t="str">
        <x:v>Jul 1–14</x:v>
      </x:c>
      <x:c r="C11" s="192" t="str">
        <x:v>CL-07</x:v>
      </x:c>
      <x:c r="D11" s="192" t="str">
        <x:f>INDEX('Decor Catalog'!$B$5:$B$124,MATCH(C11,'Decor Catalog'!$A$5:$A$124,0))</x:f>
        <x:v>Sunburst Reed Rosette</x:v>
      </x:c>
      <x:c r="E11" s="206" t="n">
        <x:f>INDEX('Decor Catalog'!$J$5:$J$124,MATCH(C11,'Decor Catalog'!$A$5:$A$124,0))</x:f>
        <x:v>900</x:v>
      </x:c>
      <x:c r="F11" s="192" t="str">
        <x:v>PL-07</x:v>
      </x:c>
      <x:c r="G11" s="192" t="str">
        <x:f>INDEX('Decor Catalog'!$B$5:$B$124,MATCH(F11,'Decor Catalog'!$A$5:$A$124,0))</x:f>
        <x:v>Festival Pinwheel</x:v>
      </x:c>
      <x:c r="H11" s="207" t="n">
        <x:f>INDEX('Decor Catalog'!$J$5:$J$124,MATCH(F11,'Decor Catalog'!$A$5:$A$124,0))</x:f>
        <x:v>6</x:v>
      </x:c>
      <x:c r="I11" s="192" t="str">
        <x:v>Complete onboarding + meet each item's level + active event window.</x:v>
      </x:c>
      <x:c r="J11" s="192" t="str">
        <x:v>May return in a future run. No permanent exclusivity promise; no stock countdown.</x:v>
      </x:c>
      <x:c r="K11" s="192" t="str">
        <x:v>Firework Fish</x:v>
      </x:c>
      <x:c r="L11" s="192" t="str">
        <x:v>Matches the existing Firework Fish window. Use a slow pinwheel, not flashing fireworks, confetti or screen shake.</x:v>
      </x:c>
    </x:row>
    <x:row r="12" ht="100" customHeight="1">
      <x:c r="A12" s="192" t="str">
        <x:v>Monsoon Garden</x:v>
      </x:c>
      <x:c r="B12" s="205" t="str">
        <x:v>Aug 10–24 (proposed)</x:v>
      </x:c>
      <x:c r="C12" s="192" t="str">
        <x:v>CL-08</x:v>
      </x:c>
      <x:c r="D12" s="192" t="str">
        <x:f>INDEX('Decor Catalog'!$B$5:$B$124,MATCH(C12,'Decor Catalog'!$A$5:$A$124,0))</x:f>
        <x:v>Monsoon Frog Pot</x:v>
      </x:c>
      <x:c r="E12" s="206" t="n">
        <x:f>INDEX('Decor Catalog'!$J$5:$J$124,MATCH(C12,'Decor Catalog'!$A$5:$A$124,0))</x:f>
        <x:v>2300</x:v>
      </x:c>
      <x:c r="F12" s="192" t="str">
        <x:v>PL-08</x:v>
      </x:c>
      <x:c r="G12" s="192" t="str">
        <x:f>INDEX('Decor Catalog'!$B$5:$B$124,MATCH(F12,'Decor Catalog'!$A$5:$A$124,0))</x:f>
        <x:v>Raindrop Lotus</x:v>
      </x:c>
      <x:c r="H12" s="207" t="n">
        <x:f>INDEX('Decor Catalog'!$J$5:$J$124,MATCH(F12,'Decor Catalog'!$A$5:$A$124,0))</x:f>
        <x:v>8</x:v>
      </x:c>
      <x:c r="I12" s="192" t="str">
        <x:v>Complete onboarding + meet each item's level + active event window.</x:v>
      </x:c>
      <x:c r="J12" s="192" t="str">
        <x:v>May return in a future run. No permanent exclusivity promise; no stock countdown.</x:v>
      </x:c>
      <x:c r="K12" s="192" t="str">
        <x:v>None — new decor event</x:v>
      </x:c>
      <x:c r="L12" s="192" t="str">
        <x:v>New proposed cosmetic event; no existing fish counterpart. A stylised rainy-season garden, not a factual weather calendar.</x:v>
      </x:c>
    </x:row>
    <x:row r="13" ht="100" customHeight="1">
      <x:c r="A13" s="192" t="str">
        <x:v>Harvest Moon</x:v>
      </x:c>
      <x:c r="B13" s="205" t="str">
        <x:v>Sep 10–24 (proposed)</x:v>
      </x:c>
      <x:c r="C13" s="192" t="str">
        <x:v>CL-09</x:v>
      </x:c>
      <x:c r="D13" s="192" t="str">
        <x:f>INDEX('Decor Catalog'!$B$5:$B$124,MATCH(C13,'Decor Catalog'!$A$5:$A$124,0))</x:f>
        <x:v>Amber Seed Wreath</x:v>
      </x:c>
      <x:c r="E13" s="206" t="n">
        <x:f>INDEX('Decor Catalog'!$J$5:$J$124,MATCH(C13,'Decor Catalog'!$A$5:$A$124,0))</x:f>
        <x:v>2800</x:v>
      </x:c>
      <x:c r="F13" s="192" t="str">
        <x:v>PL-09</x:v>
      </x:c>
      <x:c r="G13" s="192" t="str">
        <x:f>INDEX('Decor Catalog'!$B$5:$B$124,MATCH(F13,'Decor Catalog'!$A$5:$A$124,0))</x:f>
        <x:v>Harvest Moon Arch</x:v>
      </x:c>
      <x:c r="H13" s="207" t="n">
        <x:f>INDEX('Decor Catalog'!$J$5:$J$124,MATCH(F13,'Decor Catalog'!$A$5:$A$124,0))</x:f>
        <x:v>9</x:v>
      </x:c>
      <x:c r="I13" s="192" t="str">
        <x:v>Complete onboarding + meet each item's level + active event window.</x:v>
      </x:c>
      <x:c r="J13" s="192" t="str">
        <x:v>May return in a future run. No permanent exclusivity promise; no stock countdown.</x:v>
      </x:c>
      <x:c r="K13" s="192" t="str">
        <x:v>None — new decor event</x:v>
      </x:c>
      <x:c r="L13" s="192" t="str">
        <x:v>New proposed cosmetic event; no existing fish counterpart. Dates are a game schedule placeholder, not a lunar or religious calendar claim.</x:v>
      </x:c>
    </x:row>
    <x:row r="14" ht="100" customHeight="1">
      <x:c r="A14" s="192" t="str">
        <x:v>Halloween</x:v>
      </x:c>
      <x:c r="B14" s="205" t="str">
        <x:v>Oct 17–Nov 2</x:v>
      </x:c>
      <x:c r="C14" s="192" t="str">
        <x:v>CL-10</x:v>
      </x:c>
      <x:c r="D14" s="192" t="str">
        <x:f>INDEX('Decor Catalog'!$B$5:$B$124,MATCH(C14,'Decor Catalog'!$A$5:$A$124,0))</x:f>
        <x:v>Pumpkin Shell House</x:v>
      </x:c>
      <x:c r="E14" s="206" t="n">
        <x:f>INDEX('Decor Catalog'!$J$5:$J$124,MATCH(C14,'Decor Catalog'!$A$5:$A$124,0))</x:f>
        <x:v>1200</x:v>
      </x:c>
      <x:c r="F14" s="192" t="str">
        <x:v>PL-10</x:v>
      </x:c>
      <x:c r="G14" s="192" t="str">
        <x:f>INDEX('Decor Catalog'!$B$5:$B$124,MATCH(F14,'Decor Catalog'!$A$5:$A$124,0))</x:f>
        <x:v>Mooncap Bloom</x:v>
      </x:c>
      <x:c r="H14" s="207" t="n">
        <x:f>INDEX('Decor Catalog'!$J$5:$J$124,MATCH(F14,'Decor Catalog'!$A$5:$A$124,0))</x:f>
        <x:v>7</x:v>
      </x:c>
      <x:c r="I14" s="192" t="str">
        <x:v>Complete onboarding + meet each item's level + active event window.</x:v>
      </x:c>
      <x:c r="J14" s="192" t="str">
        <x:v>May return in a future run. No permanent exclusivity promise; no stock countdown.</x:v>
      </x:c>
      <x:c r="K14" s="192" t="str">
        <x:v>Jack-o'-Lantern Puffer; Midnight Vampire Squid</x:v>
      </x:c>
      <x:c r="L14" s="192" t="str">
        <x:v>Matches the broad Halloween fish window; ultra fish retain Oct 24–31. Friendly rounded silhouettes; no horror, jumpscares or harsh strobing.</x:v>
      </x:c>
    </x:row>
    <x:row r="15" ht="100" customHeight="1">
      <x:c r="A15" s="192" t="str">
        <x:v>Winterfest</x:v>
      </x:c>
      <x:c r="B15" s="205" t="str">
        <x:v>Dec 10–Jan 6</x:v>
      </x:c>
      <x:c r="C15" s="192" t="str">
        <x:v>CL-11</x:v>
      </x:c>
      <x:c r="D15" s="192" t="str">
        <x:f>INDEX('Decor Catalog'!$B$5:$B$124,MATCH(C15,'Decor Catalog'!$A$5:$A$124,0))</x:f>
        <x:v>Frost Fern</x:v>
      </x:c>
      <x:c r="E15" s="206" t="n">
        <x:f>INDEX('Decor Catalog'!$J$5:$J$124,MATCH(C15,'Decor Catalog'!$A$5:$A$124,0))</x:f>
        <x:v>400</x:v>
      </x:c>
      <x:c r="F15" s="192" t="str">
        <x:v>PL-11</x:v>
      </x:c>
      <x:c r="G15" s="192" t="str">
        <x:f>INDEX('Decor Catalog'!$B$5:$B$124,MATCH(F15,'Decor Catalog'!$A$5:$A$124,0))</x:f>
        <x:v>Snowglobe Grotto</x:v>
      </x:c>
      <x:c r="H15" s="207" t="n">
        <x:f>INDEX('Decor Catalog'!$J$5:$J$124,MATCH(F15,'Decor Catalog'!$A$5:$A$124,0))</x:f>
        <x:v>8</x:v>
      </x:c>
      <x:c r="I15" s="192" t="str">
        <x:v>Complete onboarding + meet each item's level + active event window.</x:v>
      </x:c>
      <x:c r="J15" s="192" t="str">
        <x:v>May return in a future run. No permanent exclusivity promise; no stock countdown.</x:v>
      </x:c>
      <x:c r="K15" s="192" t="str">
        <x:v>Frost Angelfish; Santa Clownfish</x:v>
      </x:c>
      <x:c r="L15" s="192" t="str">
        <x:v>Matches Frost Angelfish; Santa Clownfish retains its Dec 31 end. Decor has one explicit cross-year end date; do not silently alter fish windows.</x:v>
      </x:c>
    </x:row>
    <x:row r="16" ht="100" customHeight="1">
      <x:c r="A16" s="192" t="str">
        <x:v>Game Anniversary</x:v>
      </x:c>
      <x:c r="B16" s="205" t="str">
        <x:v>7 days around launch anniversary; dates TBD</x:v>
      </x:c>
      <x:c r="C16" s="192" t="str">
        <x:v>CL-12</x:v>
      </x:c>
      <x:c r="D16" s="192" t="str">
        <x:f>INDEX('Decor Catalog'!$B$5:$B$124,MATCH(C16,'Decor Catalog'!$A$5:$A$124,0))</x:f>
        <x:v>Founder's Shell Plinth</x:v>
      </x:c>
      <x:c r="E16" s="206" t="n">
        <x:f>INDEX('Decor Catalog'!$J$5:$J$124,MATCH(C16,'Decor Catalog'!$A$5:$A$124,0))</x:f>
        <x:v>100</x:v>
      </x:c>
      <x:c r="F16" s="192" t="str">
        <x:v>PL-12</x:v>
      </x:c>
      <x:c r="G16" s="192" t="str">
        <x:f>INDEX('Decor Catalog'!$B$5:$B$124,MATCH(F16,'Decor Catalog'!$A$5:$A$124,0))</x:f>
        <x:v>Celebration Lotus</x:v>
      </x:c>
      <x:c r="H16" s="207" t="n">
        <x:f>INDEX('Decor Catalog'!$J$5:$J$124,MATCH(F16,'Decor Catalog'!$A$5:$A$124,0))</x:f>
        <x:v>5</x:v>
      </x:c>
      <x:c r="I16" s="192" t="str">
        <x:v>Complete onboarding + meet each item's level + active event window.</x:v>
      </x:c>
      <x:c r="J16" s="192" t="str">
        <x:v>May return in a future run. No permanent exclusivity promise; no stock countdown.</x:v>
      </x:c>
      <x:c r="K16" s="192" t="str">
        <x:v>Anniversary Rainbowfish</x:v>
      </x:c>
      <x:c r="L16" s="192" t="str">
        <x:v>Existing fish calendar: one week yearly. Coin decor is optional and paid; the existing anniversary fish gift stays separate.</x:v>
      </x:c>
    </x:row>
  </x:sheetData>
  <x:mergeCells>
    <x:mergeCell ref="A1:L1"/>
    <x:mergeCell ref="A2:L2"/>
  </x:mergeCells>
  <x:pageMargins left="0.7" right="0.7" top="0.75" bottom="0.75" header="0.3" footer="0.3"/>
  <x:tableParts count="1">
    <x:tablePart xmlns:r="http://schemas.openxmlformats.org/officeDocument/2006/relationships" r:id="R4ab0ca1444a94684"/>
  </x:tableParts>
</x:worksheet>
</file>

<file path=xl/worksheets/sheet22.xml><?xml version="1.0" encoding="utf-8"?>
<x:worksheet xmlns:x="http://schemas.openxmlformats.org/spreadsheetml/2006/main">
  <x:sheetFormatPr defaultRowHeight="15"/>
  <x:cols>
    <x:col min="1" max="1" width="10" hidden="0" customWidth="1"/>
    <x:col min="2" max="2" width="15" hidden="0" customWidth="1"/>
    <x:col min="3" max="3" width="14" hidden="0" customWidth="1"/>
    <x:col min="4" max="4" width="14" hidden="0" customWidth="1"/>
    <x:col min="5" max="5" width="14" hidden="0" customWidth="1"/>
    <x:col min="6" max="6" width="14" hidden="0" customWidth="1"/>
    <x:col min="7" max="7" width="16" hidden="0" customWidth="1"/>
    <x:col min="8" max="8" width="16" hidden="0" customWidth="1"/>
    <x:col min="9" max="9" width="18" hidden="0" customWidth="1"/>
    <x:col min="10" max="10" width="19" hidden="0" customWidth="1"/>
    <x:col min="11" max="11" width="48" hidden="0" customWidth="1"/>
  </x:cols>
  <x:sheetData>
    <x:row r="1" ht="32" customHeight="1">
      <x:c r="A1" s="177" t="str">
        <x:v>DECOR UNLOCKS — LEVEL 1 TO 70</x:v>
      </x:c>
      <x:c r="B1" s="177"/>
      <x:c r="C1" s="177"/>
      <x:c r="D1" s="177"/>
      <x:c r="E1" s="177"/>
      <x:c r="F1" s="177"/>
      <x:c r="G1" s="177"/>
      <x:c r="H1" s="177"/>
      <x:c r="I1" s="177"/>
      <x:c r="J1" s="177"/>
      <x:c r="K1" s="177"/>
    </x:row>
    <x:row r="2" ht="34" customHeight="1">
      <x:c r="A2" s="180" t="str">
        <x:v>Evergreen unlocks are separate from event-only eligibility • XP budget is one-time first ownership, including seasonal items; it is not a daily reward</x:v>
      </x:c>
      <x:c r="B2" s="180"/>
      <x:c r="C2" s="180"/>
      <x:c r="D2" s="180"/>
      <x:c r="E2" s="180"/>
      <x:c r="F2" s="180"/>
      <x:c r="G2" s="180"/>
      <x:c r="H2" s="180"/>
      <x:c r="I2" s="180"/>
      <x:c r="J2" s="180"/>
      <x:c r="K2" s="180"/>
    </x:row>
    <x:row r="4" ht="38" customHeight="1">
      <x:c r="A4" s="184" t="str">
        <x:v>Level</x:v>
      </x:c>
      <x:c r="B4" s="184" t="str">
        <x:v>Release Band</x:v>
      </x:c>
      <x:c r="C4" s="184" t="str">
        <x:v>Coin Plants</x:v>
      </x:c>
      <x:c r="D4" s="184" t="str">
        <x:v>Coin Decor</x:v>
      </x:c>
      <x:c r="E4" s="184" t="str">
        <x:v>Pearl Plants</x:v>
      </x:c>
      <x:c r="F4" s="184" t="str">
        <x:v>Pearl Decor</x:v>
      </x:c>
      <x:c r="G4" s="184" t="str">
        <x:v>Event Coin Items</x:v>
      </x:c>
      <x:c r="H4" s="184" t="str">
        <x:v>Event Pearl Items</x:v>
      </x:c>
      <x:c r="I4" s="184" t="str">
        <x:v>Evergreen Unlocks</x:v>
      </x:c>
      <x:c r="J4" s="184" t="str">
        <x:v>All-item First XP</x:v>
      </x:c>
      <x:c r="K4" s="184" t="str">
        <x:v>Planning Note</x:v>
      </x:c>
    </x:row>
    <x:row r="5" ht="48" customHeight="1">
      <x:c r="A5" s="217" t="n">
        <x:v>1</x:v>
      </x:c>
      <x:c r="B5" s="192" t="str">
        <x:f>IF(A5&lt;='Decor Guide'!$B$12,"Launch",IF(A5&lt;='Decor Guide'!$B$13,"Wave 1",IF(A5&lt;='Decor Guide'!$B$14,"Wave 2","Wave 3")))</x:f>
        <x:v>Launch</x:v>
      </x:c>
      <x:c r="C5" s="199" t="n">
        <x:f>COUNTIFS('Decor Catalog'!$H$5:$H$124,A5,'Decor Catalog'!$I$5:$I$124,"Coins",'Decor Catalog'!$C$5:$C$124,"Plant",'Decor Catalog'!$F$5:$F$124,"&lt;&gt;Limited Edition")</x:f>
        <x:v>1</x:v>
      </x:c>
      <x:c r="D5" s="199" t="n">
        <x:f>COUNTIFS('Decor Catalog'!$H$5:$H$124,A5,'Decor Catalog'!$I$5:$I$124,"Coins",'Decor Catalog'!$C$5:$C$124,"Decoration",'Decor Catalog'!$F$5:$F$124,"&lt;&gt;Limited Edition")</x:f>
        <x:v>1</x:v>
      </x:c>
      <x:c r="E5" s="199" t="n">
        <x:f>COUNTIFS('Decor Catalog'!$H$5:$H$124,A5,'Decor Catalog'!$I$5:$I$124,"Pearls",'Decor Catalog'!$C$5:$C$124,"Plant",'Decor Catalog'!$F$5:$F$124,"&lt;&gt;Limited Edition")</x:f>
        <x:v>0</x:v>
      </x:c>
      <x:c r="F5" s="199" t="n">
        <x:f>COUNTIFS('Decor Catalog'!$H$5:$H$124,A5,'Decor Catalog'!$I$5:$I$124,"Pearls",'Decor Catalog'!$C$5:$C$124,"Decoration",'Decor Catalog'!$F$5:$F$124,"&lt;&gt;Limited Edition")</x:f>
        <x:v>0</x:v>
      </x:c>
      <x:c r="G5" s="199" t="n">
        <x:f>COUNTIFS('Decor Catalog'!$H$5:$H$124,A5,'Decor Catalog'!$I$5:$I$124,"Coins",'Decor Catalog'!$F$5:$F$124,"Limited Edition")</x:f>
        <x:v>1</x:v>
      </x:c>
      <x:c r="H5" s="199" t="n">
        <x:f>COUNTIFS('Decor Catalog'!$H$5:$H$124,A5,'Decor Catalog'!$I$5:$I$124,"Pearls",'Decor Catalog'!$F$5:$F$124,"Limited Edition")</x:f>
        <x:v>0</x:v>
      </x:c>
      <x:c r="I5" s="199" t="n">
        <x:f>SUM(C5:F5)</x:f>
        <x:v>2</x:v>
      </x:c>
      <x:c r="J5" s="199" t="n">
        <x:f>SUMIF('Decor Catalog'!$H$5:$H$124,A5,'Decor Catalog'!$K$5:$K$124)</x:f>
        <x:v>3</x:v>
      </x:c>
      <x:c r="K5" s="192" t="str">
        <x:f>IF(A5=1,"CP-01 tutorial: 15 total XP including top-up. Anniversary Coin item is optional.",IF(A5=2,"Preserve the 1-Pearl fish teaching beat; no decor offer before onboarding ends.",IF(A5=40,"Existing launch cap. Higher-level decor is roadmap-only.",IF(SUM(G5:H5)&gt;0,"Event items also require their active purchase window.",IF(I5=0,"No new evergreen decor required; other progression beats carry this level.","Optional cosmetic choices; no fish power.")))))</x:f>
        <x:v>CP-01 tutorial: 15 total XP including top-up. Anniversary Coin item is optional.</x:v>
      </x:c>
    </x:row>
    <x:row r="6" ht="48" customHeight="1">
      <x:c r="A6" s="217" t="n">
        <x:v>2</x:v>
      </x:c>
      <x:c r="B6" s="192" t="str">
        <x:f>IF(A6&lt;='Decor Guide'!$B$12,"Launch",IF(A6&lt;='Decor Guide'!$B$13,"Wave 1",IF(A6&lt;='Decor Guide'!$B$14,"Wave 2","Wave 3")))</x:f>
        <x:v>Launch</x:v>
      </x:c>
      <x:c r="C6" s="199" t="n">
        <x:f>COUNTIFS('Decor Catalog'!$H$5:$H$124,A6,'Decor Catalog'!$I$5:$I$124,"Coins",'Decor Catalog'!$C$5:$C$124,"Plant",'Decor Catalog'!$F$5:$F$124,"&lt;&gt;Limited Edition")</x:f>
        <x:v>1</x:v>
      </x:c>
      <x:c r="D6" s="199" t="n">
        <x:f>COUNTIFS('Decor Catalog'!$H$5:$H$124,A6,'Decor Catalog'!$I$5:$I$124,"Coins",'Decor Catalog'!$C$5:$C$124,"Decoration",'Decor Catalog'!$F$5:$F$124,"&lt;&gt;Limited Edition")</x:f>
        <x:v>1</x:v>
      </x:c>
      <x:c r="E6" s="199" t="n">
        <x:f>COUNTIFS('Decor Catalog'!$H$5:$H$124,A6,'Decor Catalog'!$I$5:$I$124,"Pearls",'Decor Catalog'!$C$5:$C$124,"Plant",'Decor Catalog'!$F$5:$F$124,"&lt;&gt;Limited Edition")</x:f>
        <x:v>0</x:v>
      </x:c>
      <x:c r="F6" s="199" t="n">
        <x:f>COUNTIFS('Decor Catalog'!$H$5:$H$124,A6,'Decor Catalog'!$I$5:$I$124,"Pearls",'Decor Catalog'!$C$5:$C$124,"Decoration",'Decor Catalog'!$F$5:$F$124,"&lt;&gt;Limited Edition")</x:f>
        <x:v>0</x:v>
      </x:c>
      <x:c r="G6" s="199" t="n">
        <x:f>COUNTIFS('Decor Catalog'!$H$5:$H$124,A6,'Decor Catalog'!$I$5:$I$124,"Coins",'Decor Catalog'!$F$5:$F$124,"Limited Edition")</x:f>
        <x:v>0</x:v>
      </x:c>
      <x:c r="H6" s="199" t="n">
        <x:f>COUNTIFS('Decor Catalog'!$H$5:$H$124,A6,'Decor Catalog'!$I$5:$I$124,"Pearls",'Decor Catalog'!$F$5:$F$124,"Limited Edition")</x:f>
        <x:v>0</x:v>
      </x:c>
      <x:c r="I6" s="199" t="n">
        <x:f>SUM(C6:F6)</x:f>
        <x:v>2</x:v>
      </x:c>
      <x:c r="J6" s="199" t="n">
        <x:f>SUMIF('Decor Catalog'!$H$5:$H$124,A6,'Decor Catalog'!$K$5:$K$124)</x:f>
        <x:v>2</x:v>
      </x:c>
      <x:c r="K6" s="192" t="str">
        <x:f>IF(A6=1,"CP-01 tutorial: 15 total XP including top-up. Anniversary Coin item is optional.",IF(A6=2,"Preserve the 1-Pearl fish teaching beat; no decor offer before onboarding ends.",IF(A6=40,"Existing launch cap. Higher-level decor is roadmap-only.",IF(SUM(G6:H6)&gt;0,"Event items also require their active purchase window.",IF(I6=0,"No new evergreen decor required; other progression beats carry this level.","Optional cosmetic choices; no fish power.")))))</x:f>
        <x:v>Preserve the 1-Pearl fish teaching beat; no decor offer before onboarding ends.</x:v>
      </x:c>
    </x:row>
    <x:row r="7" ht="48" customHeight="1">
      <x:c r="A7" s="217" t="n">
        <x:v>3</x:v>
      </x:c>
      <x:c r="B7" s="192" t="str">
        <x:f>IF(A7&lt;='Decor Guide'!$B$12,"Launch",IF(A7&lt;='Decor Guide'!$B$13,"Wave 1",IF(A7&lt;='Decor Guide'!$B$14,"Wave 2","Wave 3")))</x:f>
        <x:v>Launch</x:v>
      </x:c>
      <x:c r="C7" s="199" t="n">
        <x:f>COUNTIFS('Decor Catalog'!$H$5:$H$124,A7,'Decor Catalog'!$I$5:$I$124,"Coins",'Decor Catalog'!$C$5:$C$124,"Plant",'Decor Catalog'!$F$5:$F$124,"&lt;&gt;Limited Edition")</x:f>
        <x:v>1</x:v>
      </x:c>
      <x:c r="D7" s="199" t="n">
        <x:f>COUNTIFS('Decor Catalog'!$H$5:$H$124,A7,'Decor Catalog'!$I$5:$I$124,"Coins",'Decor Catalog'!$C$5:$C$124,"Decoration",'Decor Catalog'!$F$5:$F$124,"&lt;&gt;Limited Edition")</x:f>
        <x:v>1</x:v>
      </x:c>
      <x:c r="E7" s="199" t="n">
        <x:f>COUNTIFS('Decor Catalog'!$H$5:$H$124,A7,'Decor Catalog'!$I$5:$I$124,"Pearls",'Decor Catalog'!$C$5:$C$124,"Plant",'Decor Catalog'!$F$5:$F$124,"&lt;&gt;Limited Edition")</x:f>
        <x:v>0</x:v>
      </x:c>
      <x:c r="F7" s="199" t="n">
        <x:f>COUNTIFS('Decor Catalog'!$H$5:$H$124,A7,'Decor Catalog'!$I$5:$I$124,"Pearls",'Decor Catalog'!$C$5:$C$124,"Decoration",'Decor Catalog'!$F$5:$F$124,"&lt;&gt;Limited Edition")</x:f>
        <x:v>0</x:v>
      </x:c>
      <x:c r="G7" s="199" t="n">
        <x:f>COUNTIFS('Decor Catalog'!$H$5:$H$124,A7,'Decor Catalog'!$I$5:$I$124,"Coins",'Decor Catalog'!$F$5:$F$124,"Limited Edition")</x:f>
        <x:v>0</x:v>
      </x:c>
      <x:c r="H7" s="199" t="n">
        <x:f>COUNTIFS('Decor Catalog'!$H$5:$H$124,A7,'Decor Catalog'!$I$5:$I$124,"Pearls",'Decor Catalog'!$F$5:$F$124,"Limited Edition")</x:f>
        <x:v>0</x:v>
      </x:c>
      <x:c r="I7" s="199" t="n">
        <x:f>SUM(C7:F7)</x:f>
        <x:v>2</x:v>
      </x:c>
      <x:c r="J7" s="199" t="n">
        <x:f>SUMIF('Decor Catalog'!$H$5:$H$124,A7,'Decor Catalog'!$K$5:$K$124)</x:f>
        <x:v>5</x:v>
      </x:c>
      <x:c r="K7" s="192" t="str">
        <x:f>IF(A7=1,"CP-01 tutorial: 15 total XP including top-up. Anniversary Coin item is optional.",IF(A7=2,"Preserve the 1-Pearl fish teaching beat; no decor offer before onboarding ends.",IF(A7=40,"Existing launch cap. Higher-level decor is roadmap-only.",IF(SUM(G7:H7)&gt;0,"Event items also require their active purchase window.",IF(I7=0,"No new evergreen decor required; other progression beats carry this level.","Optional cosmetic choices; no fish power.")))))</x:f>
        <x:v>Optional cosmetic choices; no fish power.</x:v>
      </x:c>
    </x:row>
    <x:row r="8" ht="48" customHeight="1">
      <x:c r="A8" s="217" t="n">
        <x:v>4</x:v>
      </x:c>
      <x:c r="B8" s="192" t="str">
        <x:f>IF(A8&lt;='Decor Guide'!$B$12,"Launch",IF(A8&lt;='Decor Guide'!$B$13,"Wave 1",IF(A8&lt;='Decor Guide'!$B$14,"Wave 2","Wave 3")))</x:f>
        <x:v>Launch</x:v>
      </x:c>
      <x:c r="C8" s="199" t="n">
        <x:f>COUNTIFS('Decor Catalog'!$H$5:$H$124,A8,'Decor Catalog'!$I$5:$I$124,"Coins",'Decor Catalog'!$C$5:$C$124,"Plant",'Decor Catalog'!$F$5:$F$124,"&lt;&gt;Limited Edition")</x:f>
        <x:v>1</x:v>
      </x:c>
      <x:c r="D8" s="199" t="n">
        <x:f>COUNTIFS('Decor Catalog'!$H$5:$H$124,A8,'Decor Catalog'!$I$5:$I$124,"Coins",'Decor Catalog'!$C$5:$C$124,"Decoration",'Decor Catalog'!$F$5:$F$124,"&lt;&gt;Limited Edition")</x:f>
        <x:v>1</x:v>
      </x:c>
      <x:c r="E8" s="199" t="n">
        <x:f>COUNTIFS('Decor Catalog'!$H$5:$H$124,A8,'Decor Catalog'!$I$5:$I$124,"Pearls",'Decor Catalog'!$C$5:$C$124,"Plant",'Decor Catalog'!$F$5:$F$124,"&lt;&gt;Limited Edition")</x:f>
        <x:v>1</x:v>
      </x:c>
      <x:c r="F8" s="199" t="n">
        <x:f>COUNTIFS('Decor Catalog'!$H$5:$H$124,A8,'Decor Catalog'!$I$5:$I$124,"Pearls",'Decor Catalog'!$C$5:$C$124,"Decoration",'Decor Catalog'!$F$5:$F$124,"&lt;&gt;Limited Edition")</x:f>
        <x:v>1</x:v>
      </x:c>
      <x:c r="G8" s="199" t="n">
        <x:f>COUNTIFS('Decor Catalog'!$H$5:$H$124,A8,'Decor Catalog'!$I$5:$I$124,"Coins",'Decor Catalog'!$F$5:$F$124,"Limited Edition")</x:f>
        <x:v>0</x:v>
      </x:c>
      <x:c r="H8" s="199" t="n">
        <x:f>COUNTIFS('Decor Catalog'!$H$5:$H$124,A8,'Decor Catalog'!$I$5:$I$124,"Pearls",'Decor Catalog'!$F$5:$F$124,"Limited Edition")</x:f>
        <x:v>0</x:v>
      </x:c>
      <x:c r="I8" s="199" t="n">
        <x:f>SUM(C8:F8)</x:f>
        <x:v>4</x:v>
      </x:c>
      <x:c r="J8" s="199" t="n">
        <x:f>SUMIF('Decor Catalog'!$H$5:$H$124,A8,'Decor Catalog'!$K$5:$K$124)</x:f>
        <x:v>18</x:v>
      </x:c>
      <x:c r="K8" s="192" t="str">
        <x:f>IF(A8=1,"CP-01 tutorial: 15 total XP including top-up. Anniversary Coin item is optional.",IF(A8=2,"Preserve the 1-Pearl fish teaching beat; no decor offer before onboarding ends.",IF(A8=40,"Existing launch cap. Higher-level decor is roadmap-only.",IF(SUM(G8:H8)&gt;0,"Event items also require their active purchase window.",IF(I8=0,"No new evergreen decor required; other progression beats carry this level.","Optional cosmetic choices; no fish power.")))))</x:f>
        <x:v>Optional cosmetic choices; no fish power.</x:v>
      </x:c>
    </x:row>
    <x:row r="9" ht="48" customHeight="1">
      <x:c r="A9" s="217" t="n">
        <x:v>5</x:v>
      </x:c>
      <x:c r="B9" s="192" t="str">
        <x:f>IF(A9&lt;='Decor Guide'!$B$12,"Launch",IF(A9&lt;='Decor Guide'!$B$13,"Wave 1",IF(A9&lt;='Decor Guide'!$B$14,"Wave 2","Wave 3")))</x:f>
        <x:v>Launch</x:v>
      </x:c>
      <x:c r="C9" s="199" t="n">
        <x:f>COUNTIFS('Decor Catalog'!$H$5:$H$124,A9,'Decor Catalog'!$I$5:$I$124,"Coins",'Decor Catalog'!$C$5:$C$124,"Plant",'Decor Catalog'!$F$5:$F$124,"&lt;&gt;Limited Edition")</x:f>
        <x:v>1</x:v>
      </x:c>
      <x:c r="D9" s="199" t="n">
        <x:f>COUNTIFS('Decor Catalog'!$H$5:$H$124,A9,'Decor Catalog'!$I$5:$I$124,"Coins",'Decor Catalog'!$C$5:$C$124,"Decoration",'Decor Catalog'!$F$5:$F$124,"&lt;&gt;Limited Edition")</x:f>
        <x:v>1</x:v>
      </x:c>
      <x:c r="E9" s="199" t="n">
        <x:f>COUNTIFS('Decor Catalog'!$H$5:$H$124,A9,'Decor Catalog'!$I$5:$I$124,"Pearls",'Decor Catalog'!$C$5:$C$124,"Plant",'Decor Catalog'!$F$5:$F$124,"&lt;&gt;Limited Edition")</x:f>
        <x:v>0</x:v>
      </x:c>
      <x:c r="F9" s="199" t="n">
        <x:f>COUNTIFS('Decor Catalog'!$H$5:$H$124,A9,'Decor Catalog'!$I$5:$I$124,"Pearls",'Decor Catalog'!$C$5:$C$124,"Decoration",'Decor Catalog'!$F$5:$F$124,"&lt;&gt;Limited Edition")</x:f>
        <x:v>0</x:v>
      </x:c>
      <x:c r="G9" s="199" t="n">
        <x:f>COUNTIFS('Decor Catalog'!$H$5:$H$124,A9,'Decor Catalog'!$I$5:$I$124,"Coins",'Decor Catalog'!$F$5:$F$124,"Limited Edition")</x:f>
        <x:v>2</x:v>
      </x:c>
      <x:c r="H9" s="199" t="n">
        <x:f>COUNTIFS('Decor Catalog'!$H$5:$H$124,A9,'Decor Catalog'!$I$5:$I$124,"Pearls",'Decor Catalog'!$F$5:$F$124,"Limited Edition")</x:f>
        <x:v>2</x:v>
      </x:c>
      <x:c r="I9" s="199" t="n">
        <x:f>SUM(C9:F9)</x:f>
        <x:v>2</x:v>
      </x:c>
      <x:c r="J9" s="199" t="n">
        <x:f>SUMIF('Decor Catalog'!$H$5:$H$124,A9,'Decor Catalog'!$K$5:$K$124)</x:f>
        <x:v>34</x:v>
      </x:c>
      <x:c r="K9" s="192" t="str">
        <x:f>IF(A9=1,"CP-01 tutorial: 15 total XP including top-up. Anniversary Coin item is optional.",IF(A9=2,"Preserve the 1-Pearl fish teaching beat; no decor offer before onboarding ends.",IF(A9=40,"Existing launch cap. Higher-level decor is roadmap-only.",IF(SUM(G9:H9)&gt;0,"Event items also require their active purchase window.",IF(I9=0,"No new evergreen decor required; other progression beats carry this level.","Optional cosmetic choices; no fish power.")))))</x:f>
        <x:v>Event items also require their active purchase window.</x:v>
      </x:c>
    </x:row>
    <x:row r="10" ht="48" customHeight="1">
      <x:c r="A10" s="217" t="n">
        <x:v>6</x:v>
      </x:c>
      <x:c r="B10" s="192" t="str">
        <x:f>IF(A10&lt;='Decor Guide'!$B$12,"Launch",IF(A10&lt;='Decor Guide'!$B$13,"Wave 1",IF(A10&lt;='Decor Guide'!$B$14,"Wave 2","Wave 3")))</x:f>
        <x:v>Launch</x:v>
      </x:c>
      <x:c r="C10" s="199" t="n">
        <x:f>COUNTIFS('Decor Catalog'!$H$5:$H$124,A10,'Decor Catalog'!$I$5:$I$124,"Coins",'Decor Catalog'!$C$5:$C$124,"Plant",'Decor Catalog'!$F$5:$F$124,"&lt;&gt;Limited Edition")</x:f>
        <x:v>1</x:v>
      </x:c>
      <x:c r="D10" s="199" t="n">
        <x:f>COUNTIFS('Decor Catalog'!$H$5:$H$124,A10,'Decor Catalog'!$I$5:$I$124,"Coins",'Decor Catalog'!$C$5:$C$124,"Decoration",'Decor Catalog'!$F$5:$F$124,"&lt;&gt;Limited Edition")</x:f>
        <x:v>1</x:v>
      </x:c>
      <x:c r="E10" s="199" t="n">
        <x:f>COUNTIFS('Decor Catalog'!$H$5:$H$124,A10,'Decor Catalog'!$I$5:$I$124,"Pearls",'Decor Catalog'!$C$5:$C$124,"Plant",'Decor Catalog'!$F$5:$F$124,"&lt;&gt;Limited Edition")</x:f>
        <x:v>0</x:v>
      </x:c>
      <x:c r="F10" s="199" t="n">
        <x:f>COUNTIFS('Decor Catalog'!$H$5:$H$124,A10,'Decor Catalog'!$I$5:$I$124,"Pearls",'Decor Catalog'!$C$5:$C$124,"Decoration",'Decor Catalog'!$F$5:$F$124,"&lt;&gt;Limited Edition")</x:f>
        <x:v>0</x:v>
      </x:c>
      <x:c r="G10" s="199" t="n">
        <x:f>COUNTIFS('Decor Catalog'!$H$5:$H$124,A10,'Decor Catalog'!$I$5:$I$124,"Coins",'Decor Catalog'!$F$5:$F$124,"Limited Edition")</x:f>
        <x:v>0</x:v>
      </x:c>
      <x:c r="H10" s="199" t="n">
        <x:f>COUNTIFS('Decor Catalog'!$H$5:$H$124,A10,'Decor Catalog'!$I$5:$I$124,"Pearls",'Decor Catalog'!$F$5:$F$124,"Limited Edition")</x:f>
        <x:v>0</x:v>
      </x:c>
      <x:c r="I10" s="199" t="n">
        <x:f>SUM(C10:F10)</x:f>
        <x:v>2</x:v>
      </x:c>
      <x:c r="J10" s="199" t="n">
        <x:f>SUMIF('Decor Catalog'!$H$5:$H$124,A10,'Decor Catalog'!$K$5:$K$124)</x:f>
        <x:v>13</x:v>
      </x:c>
      <x:c r="K10" s="192" t="str">
        <x:f>IF(A10=1,"CP-01 tutorial: 15 total XP including top-up. Anniversary Coin item is optional.",IF(A10=2,"Preserve the 1-Pearl fish teaching beat; no decor offer before onboarding ends.",IF(A10=40,"Existing launch cap. Higher-level decor is roadmap-only.",IF(SUM(G10:H10)&gt;0,"Event items also require their active purchase window.",IF(I10=0,"No new evergreen decor required; other progression beats carry this level.","Optional cosmetic choices; no fish power.")))))</x:f>
        <x:v>Optional cosmetic choices; no fish power.</x:v>
      </x:c>
    </x:row>
    <x:row r="11" ht="48" customHeight="1">
      <x:c r="A11" s="217" t="n">
        <x:v>7</x:v>
      </x:c>
      <x:c r="B11" s="192" t="str">
        <x:f>IF(A11&lt;='Decor Guide'!$B$12,"Launch",IF(A11&lt;='Decor Guide'!$B$13,"Wave 1",IF(A11&lt;='Decor Guide'!$B$14,"Wave 2","Wave 3")))</x:f>
        <x:v>Launch</x:v>
      </x:c>
      <x:c r="C11" s="199" t="n">
        <x:f>COUNTIFS('Decor Catalog'!$H$5:$H$124,A11,'Decor Catalog'!$I$5:$I$124,"Coins",'Decor Catalog'!$C$5:$C$124,"Plant",'Decor Catalog'!$F$5:$F$124,"&lt;&gt;Limited Edition")</x:f>
        <x:v>1</x:v>
      </x:c>
      <x:c r="D11" s="199" t="n">
        <x:f>COUNTIFS('Decor Catalog'!$H$5:$H$124,A11,'Decor Catalog'!$I$5:$I$124,"Coins",'Decor Catalog'!$C$5:$C$124,"Decoration",'Decor Catalog'!$F$5:$F$124,"&lt;&gt;Limited Edition")</x:f>
        <x:v>1</x:v>
      </x:c>
      <x:c r="E11" s="199" t="n">
        <x:f>COUNTIFS('Decor Catalog'!$H$5:$H$124,A11,'Decor Catalog'!$I$5:$I$124,"Pearls",'Decor Catalog'!$C$5:$C$124,"Plant",'Decor Catalog'!$F$5:$F$124,"&lt;&gt;Limited Edition")</x:f>
        <x:v>1</x:v>
      </x:c>
      <x:c r="F11" s="199" t="n">
        <x:f>COUNTIFS('Decor Catalog'!$H$5:$H$124,A11,'Decor Catalog'!$I$5:$I$124,"Pearls",'Decor Catalog'!$C$5:$C$124,"Decoration",'Decor Catalog'!$F$5:$F$124,"&lt;&gt;Limited Edition")</x:f>
        <x:v>0</x:v>
      </x:c>
      <x:c r="G11" s="199" t="n">
        <x:f>COUNTIFS('Decor Catalog'!$H$5:$H$124,A11,'Decor Catalog'!$I$5:$I$124,"Coins",'Decor Catalog'!$F$5:$F$124,"Limited Edition")</x:f>
        <x:v>0</x:v>
      </x:c>
      <x:c r="H11" s="199" t="n">
        <x:f>COUNTIFS('Decor Catalog'!$H$5:$H$124,A11,'Decor Catalog'!$I$5:$I$124,"Pearls",'Decor Catalog'!$F$5:$F$124,"Limited Edition")</x:f>
        <x:v>0</x:v>
      </x:c>
      <x:c r="I11" s="199" t="n">
        <x:f>SUM(C11:F11)</x:f>
        <x:v>3</x:v>
      </x:c>
      <x:c r="J11" s="199" t="n">
        <x:f>SUMIF('Decor Catalog'!$H$5:$H$124,A11,'Decor Catalog'!$K$5:$K$124)</x:f>
        <x:v>30</x:v>
      </x:c>
      <x:c r="K11" s="192" t="str">
        <x:f>IF(A11=1,"CP-01 tutorial: 15 total XP including top-up. Anniversary Coin item is optional.",IF(A11=2,"Preserve the 1-Pearl fish teaching beat; no decor offer before onboarding ends.",IF(A11=40,"Existing launch cap. Higher-level decor is roadmap-only.",IF(SUM(G11:H11)&gt;0,"Event items also require their active purchase window.",IF(I11=0,"No new evergreen decor required; other progression beats carry this level.","Optional cosmetic choices; no fish power.")))))</x:f>
        <x:v>Optional cosmetic choices; no fish power.</x:v>
      </x:c>
    </x:row>
    <x:row r="12" ht="48" customHeight="1">
      <x:c r="A12" s="217" t="n">
        <x:v>8</x:v>
      </x:c>
      <x:c r="B12" s="192" t="str">
        <x:f>IF(A12&lt;='Decor Guide'!$B$12,"Launch",IF(A12&lt;='Decor Guide'!$B$13,"Wave 1",IF(A12&lt;='Decor Guide'!$B$14,"Wave 2","Wave 3")))</x:f>
        <x:v>Launch</x:v>
      </x:c>
      <x:c r="C12" s="199" t="n">
        <x:f>COUNTIFS('Decor Catalog'!$H$5:$H$124,A12,'Decor Catalog'!$I$5:$I$124,"Coins",'Decor Catalog'!$C$5:$C$124,"Plant",'Decor Catalog'!$F$5:$F$124,"&lt;&gt;Limited Edition")</x:f>
        <x:v>1</x:v>
      </x:c>
      <x:c r="D12" s="199" t="n">
        <x:f>COUNTIFS('Decor Catalog'!$H$5:$H$124,A12,'Decor Catalog'!$I$5:$I$124,"Coins",'Decor Catalog'!$C$5:$C$124,"Decoration",'Decor Catalog'!$F$5:$F$124,"&lt;&gt;Limited Edition")</x:f>
        <x:v>1</x:v>
      </x:c>
      <x:c r="E12" s="199" t="n">
        <x:f>COUNTIFS('Decor Catalog'!$H$5:$H$124,A12,'Decor Catalog'!$I$5:$I$124,"Pearls",'Decor Catalog'!$C$5:$C$124,"Plant",'Decor Catalog'!$F$5:$F$124,"&lt;&gt;Limited Edition")</x:f>
        <x:v>0</x:v>
      </x:c>
      <x:c r="F12" s="199" t="n">
        <x:f>COUNTIFS('Decor Catalog'!$H$5:$H$124,A12,'Decor Catalog'!$I$5:$I$124,"Pearls",'Decor Catalog'!$C$5:$C$124,"Decoration",'Decor Catalog'!$F$5:$F$124,"&lt;&gt;Limited Edition")</x:f>
        <x:v>1</x:v>
      </x:c>
      <x:c r="G12" s="199" t="n">
        <x:f>COUNTIFS('Decor Catalog'!$H$5:$H$124,A12,'Decor Catalog'!$I$5:$I$124,"Coins",'Decor Catalog'!$F$5:$F$124,"Limited Edition")</x:f>
        <x:v>1</x:v>
      </x:c>
      <x:c r="H12" s="199" t="n">
        <x:f>COUNTIFS('Decor Catalog'!$H$5:$H$124,A12,'Decor Catalog'!$I$5:$I$124,"Pearls",'Decor Catalog'!$F$5:$F$124,"Limited Edition")</x:f>
        <x:v>1</x:v>
      </x:c>
      <x:c r="I12" s="199" t="n">
        <x:f>SUM(C12:F12)</x:f>
        <x:v>3</x:v>
      </x:c>
      <x:c r="J12" s="199" t="n">
        <x:f>SUMIF('Decor Catalog'!$H$5:$H$124,A12,'Decor Catalog'!$K$5:$K$124)</x:f>
        <x:v>74</x:v>
      </x:c>
      <x:c r="K12" s="192" t="str">
        <x:f>IF(A12=1,"CP-01 tutorial: 15 total XP including top-up. Anniversary Coin item is optional.",IF(A12=2,"Preserve the 1-Pearl fish teaching beat; no decor offer before onboarding ends.",IF(A12=40,"Existing launch cap. Higher-level decor is roadmap-only.",IF(SUM(G12:H12)&gt;0,"Event items also require their active purchase window.",IF(I12=0,"No new evergreen decor required; other progression beats carry this level.","Optional cosmetic choices; no fish power.")))))</x:f>
        <x:v>Event items also require their active purchase window.</x:v>
      </x:c>
    </x:row>
    <x:row r="13" ht="48" customHeight="1">
      <x:c r="A13" s="217" t="n">
        <x:v>9</x:v>
      </x:c>
      <x:c r="B13" s="192" t="str">
        <x:f>IF(A13&lt;='Decor Guide'!$B$12,"Launch",IF(A13&lt;='Decor Guide'!$B$13,"Wave 1",IF(A13&lt;='Decor Guide'!$B$14,"Wave 2","Wave 3")))</x:f>
        <x:v>Launch</x:v>
      </x:c>
      <x:c r="C13" s="199" t="n">
        <x:f>COUNTIFS('Decor Catalog'!$H$5:$H$124,A13,'Decor Catalog'!$I$5:$I$124,"Coins",'Decor Catalog'!$C$5:$C$124,"Plant",'Decor Catalog'!$F$5:$F$124,"&lt;&gt;Limited Edition")</x:f>
        <x:v>1</x:v>
      </x:c>
      <x:c r="D13" s="199" t="n">
        <x:f>COUNTIFS('Decor Catalog'!$H$5:$H$124,A13,'Decor Catalog'!$I$5:$I$124,"Coins",'Decor Catalog'!$C$5:$C$124,"Decoration",'Decor Catalog'!$F$5:$F$124,"&lt;&gt;Limited Edition")</x:f>
        <x:v>1</x:v>
      </x:c>
      <x:c r="E13" s="199" t="n">
        <x:f>COUNTIFS('Decor Catalog'!$H$5:$H$124,A13,'Decor Catalog'!$I$5:$I$124,"Pearls",'Decor Catalog'!$C$5:$C$124,"Plant",'Decor Catalog'!$F$5:$F$124,"&lt;&gt;Limited Edition")</x:f>
        <x:v>0</x:v>
      </x:c>
      <x:c r="F13" s="199" t="n">
        <x:f>COUNTIFS('Decor Catalog'!$H$5:$H$124,A13,'Decor Catalog'!$I$5:$I$124,"Pearls",'Decor Catalog'!$C$5:$C$124,"Decoration",'Decor Catalog'!$F$5:$F$124,"&lt;&gt;Limited Edition")</x:f>
        <x:v>0</x:v>
      </x:c>
      <x:c r="G13" s="199" t="n">
        <x:f>COUNTIFS('Decor Catalog'!$H$5:$H$124,A13,'Decor Catalog'!$I$5:$I$124,"Coins",'Decor Catalog'!$F$5:$F$124,"Limited Edition")</x:f>
        <x:v>0</x:v>
      </x:c>
      <x:c r="H13" s="199" t="n">
        <x:f>COUNTIFS('Decor Catalog'!$H$5:$H$124,A13,'Decor Catalog'!$I$5:$I$124,"Pearls",'Decor Catalog'!$F$5:$F$124,"Limited Edition")</x:f>
        <x:v>0</x:v>
      </x:c>
      <x:c r="I13" s="199" t="n">
        <x:f>SUM(C13:F13)</x:f>
        <x:v>2</x:v>
      </x:c>
      <x:c r="J13" s="199" t="n">
        <x:f>SUMIF('Decor Catalog'!$H$5:$H$124,A13,'Decor Catalog'!$K$5:$K$124)</x:f>
        <x:v>28</x:v>
      </x:c>
      <x:c r="K13" s="192" t="str">
        <x:f>IF(A13=1,"CP-01 tutorial: 15 total XP including top-up. Anniversary Coin item is optional.",IF(A13=2,"Preserve the 1-Pearl fish teaching beat; no decor offer before onboarding ends.",IF(A13=40,"Existing launch cap. Higher-level decor is roadmap-only.",IF(SUM(G13:H13)&gt;0,"Event items also require their active purchase window.",IF(I13=0,"No new evergreen decor required; other progression beats carry this level.","Optional cosmetic choices; no fish power.")))))</x:f>
        <x:v>Optional cosmetic choices; no fish power.</x:v>
      </x:c>
    </x:row>
    <x:row r="14" ht="48" customHeight="1">
      <x:c r="A14" s="217" t="n">
        <x:v>10</x:v>
      </x:c>
      <x:c r="B14" s="192" t="str">
        <x:f>IF(A14&lt;='Decor Guide'!$B$12,"Launch",IF(A14&lt;='Decor Guide'!$B$13,"Wave 1",IF(A14&lt;='Decor Guide'!$B$14,"Wave 2","Wave 3")))</x:f>
        <x:v>Launch</x:v>
      </x:c>
      <x:c r="C14" s="199" t="n">
        <x:f>COUNTIFS('Decor Catalog'!$H$5:$H$124,A14,'Decor Catalog'!$I$5:$I$124,"Coins",'Decor Catalog'!$C$5:$C$124,"Plant",'Decor Catalog'!$F$5:$F$124,"&lt;&gt;Limited Edition")</x:f>
        <x:v>1</x:v>
      </x:c>
      <x:c r="D14" s="199" t="n">
        <x:f>COUNTIFS('Decor Catalog'!$H$5:$H$124,A14,'Decor Catalog'!$I$5:$I$124,"Coins",'Decor Catalog'!$C$5:$C$124,"Decoration",'Decor Catalog'!$F$5:$F$124,"&lt;&gt;Limited Edition")</x:f>
        <x:v>1</x:v>
      </x:c>
      <x:c r="E14" s="199" t="n">
        <x:f>COUNTIFS('Decor Catalog'!$H$5:$H$124,A14,'Decor Catalog'!$I$5:$I$124,"Pearls",'Decor Catalog'!$C$5:$C$124,"Plant",'Decor Catalog'!$F$5:$F$124,"&lt;&gt;Limited Edition")</x:f>
        <x:v>1</x:v>
      </x:c>
      <x:c r="F14" s="199" t="n">
        <x:f>COUNTIFS('Decor Catalog'!$H$5:$H$124,A14,'Decor Catalog'!$I$5:$I$124,"Pearls",'Decor Catalog'!$C$5:$C$124,"Decoration",'Decor Catalog'!$F$5:$F$124,"&lt;&gt;Limited Edition")</x:f>
        <x:v>0</x:v>
      </x:c>
      <x:c r="G14" s="199" t="n">
        <x:f>COUNTIFS('Decor Catalog'!$H$5:$H$124,A14,'Decor Catalog'!$I$5:$I$124,"Coins",'Decor Catalog'!$F$5:$F$124,"Limited Edition")</x:f>
        <x:v>3</x:v>
      </x:c>
      <x:c r="H14" s="199" t="n">
        <x:f>COUNTIFS('Decor Catalog'!$H$5:$H$124,A14,'Decor Catalog'!$I$5:$I$124,"Pearls",'Decor Catalog'!$F$5:$F$124,"Limited Edition")</x:f>
        <x:v>3</x:v>
      </x:c>
      <x:c r="I14" s="199" t="n">
        <x:f>SUM(C14:F14)</x:f>
        <x:v>3</x:v>
      </x:c>
      <x:c r="J14" s="199" t="n">
        <x:f>SUMIF('Decor Catalog'!$H$5:$H$124,A14,'Decor Catalog'!$K$5:$K$124)</x:f>
        <x:v>217</x:v>
      </x:c>
      <x:c r="K14" s="192" t="str">
        <x:f>IF(A14=1,"CP-01 tutorial: 15 total XP including top-up. Anniversary Coin item is optional.",IF(A14=2,"Preserve the 1-Pearl fish teaching beat; no decor offer before onboarding ends.",IF(A14=40,"Existing launch cap. Higher-level decor is roadmap-only.",IF(SUM(G14:H14)&gt;0,"Event items also require their active purchase window.",IF(I14=0,"No new evergreen decor required; other progression beats carry this level.","Optional cosmetic choices; no fish power.")))))</x:f>
        <x:v>Event items also require their active purchase window.</x:v>
      </x:c>
    </x:row>
    <x:row r="15" ht="48" customHeight="1">
      <x:c r="A15" s="217" t="n">
        <x:v>11</x:v>
      </x:c>
      <x:c r="B15" s="192" t="str">
        <x:f>IF(A15&lt;='Decor Guide'!$B$12,"Launch",IF(A15&lt;='Decor Guide'!$B$13,"Wave 1",IF(A15&lt;='Decor Guide'!$B$14,"Wave 2","Wave 3")))</x:f>
        <x:v>Launch</x:v>
      </x:c>
      <x:c r="C15" s="199" t="n">
        <x:f>COUNTIFS('Decor Catalog'!$H$5:$H$124,A15,'Decor Catalog'!$I$5:$I$124,"Coins",'Decor Catalog'!$C$5:$C$124,"Plant",'Decor Catalog'!$F$5:$F$124,"&lt;&gt;Limited Edition")</x:f>
        <x:v>0</x:v>
      </x:c>
      <x:c r="D15" s="199" t="n">
        <x:f>COUNTIFS('Decor Catalog'!$H$5:$H$124,A15,'Decor Catalog'!$I$5:$I$124,"Coins",'Decor Catalog'!$C$5:$C$124,"Decoration",'Decor Catalog'!$F$5:$F$124,"&lt;&gt;Limited Edition")</x:f>
        <x:v>1</x:v>
      </x:c>
      <x:c r="E15" s="199" t="n">
        <x:f>COUNTIFS('Decor Catalog'!$H$5:$H$124,A15,'Decor Catalog'!$I$5:$I$124,"Pearls",'Decor Catalog'!$C$5:$C$124,"Plant",'Decor Catalog'!$F$5:$F$124,"&lt;&gt;Limited Edition")</x:f>
        <x:v>0</x:v>
      </x:c>
      <x:c r="F15" s="199" t="n">
        <x:f>COUNTIFS('Decor Catalog'!$H$5:$H$124,A15,'Decor Catalog'!$I$5:$I$124,"Pearls",'Decor Catalog'!$C$5:$C$124,"Decoration",'Decor Catalog'!$F$5:$F$124,"&lt;&gt;Limited Edition")</x:f>
        <x:v>0</x:v>
      </x:c>
      <x:c r="G15" s="199" t="n">
        <x:f>COUNTIFS('Decor Catalog'!$H$5:$H$124,A15,'Decor Catalog'!$I$5:$I$124,"Coins",'Decor Catalog'!$F$5:$F$124,"Limited Edition")</x:f>
        <x:v>0</x:v>
      </x:c>
      <x:c r="H15" s="199" t="n">
        <x:f>COUNTIFS('Decor Catalog'!$H$5:$H$124,A15,'Decor Catalog'!$I$5:$I$124,"Pearls",'Decor Catalog'!$F$5:$F$124,"Limited Edition")</x:f>
        <x:v>0</x:v>
      </x:c>
      <x:c r="I15" s="199" t="n">
        <x:f>SUM(C15:F15)</x:f>
        <x:v>1</x:v>
      </x:c>
      <x:c r="J15" s="199" t="n">
        <x:f>SUMIF('Decor Catalog'!$H$5:$H$124,A15,'Decor Catalog'!$K$5:$K$124)</x:f>
        <x:v>24</x:v>
      </x:c>
      <x:c r="K15" s="192" t="str">
        <x:f>IF(A15=1,"CP-01 tutorial: 15 total XP including top-up. Anniversary Coin item is optional.",IF(A15=2,"Preserve the 1-Pearl fish teaching beat; no decor offer before onboarding ends.",IF(A15=40,"Existing launch cap. Higher-level decor is roadmap-only.",IF(SUM(G15:H15)&gt;0,"Event items also require their active purchase window.",IF(I15=0,"No new evergreen decor required; other progression beats carry this level.","Optional cosmetic choices; no fish power.")))))</x:f>
        <x:v>Optional cosmetic choices; no fish power.</x:v>
      </x:c>
    </x:row>
    <x:row r="16" ht="48" customHeight="1">
      <x:c r="A16" s="217" t="n">
        <x:v>12</x:v>
      </x:c>
      <x:c r="B16" s="192" t="str">
        <x:f>IF(A16&lt;='Decor Guide'!$B$12,"Launch",IF(A16&lt;='Decor Guide'!$B$13,"Wave 1",IF(A16&lt;='Decor Guide'!$B$14,"Wave 2","Wave 3")))</x:f>
        <x:v>Launch</x:v>
      </x:c>
      <x:c r="C16" s="199" t="n">
        <x:f>COUNTIFS('Decor Catalog'!$H$5:$H$124,A16,'Decor Catalog'!$I$5:$I$124,"Coins",'Decor Catalog'!$C$5:$C$124,"Plant",'Decor Catalog'!$F$5:$F$124,"&lt;&gt;Limited Edition")</x:f>
        <x:v>1</x:v>
      </x:c>
      <x:c r="D16" s="199" t="n">
        <x:f>COUNTIFS('Decor Catalog'!$H$5:$H$124,A16,'Decor Catalog'!$I$5:$I$124,"Coins",'Decor Catalog'!$C$5:$C$124,"Decoration",'Decor Catalog'!$F$5:$F$124,"&lt;&gt;Limited Edition")</x:f>
        <x:v>0</x:v>
      </x:c>
      <x:c r="E16" s="199" t="n">
        <x:f>COUNTIFS('Decor Catalog'!$H$5:$H$124,A16,'Decor Catalog'!$I$5:$I$124,"Pearls",'Decor Catalog'!$C$5:$C$124,"Plant",'Decor Catalog'!$F$5:$F$124,"&lt;&gt;Limited Edition")</x:f>
        <x:v>0</x:v>
      </x:c>
      <x:c r="F16" s="199" t="n">
        <x:f>COUNTIFS('Decor Catalog'!$H$5:$H$124,A16,'Decor Catalog'!$I$5:$I$124,"Pearls",'Decor Catalog'!$C$5:$C$124,"Decoration",'Decor Catalog'!$F$5:$F$124,"&lt;&gt;Limited Edition")</x:f>
        <x:v>1</x:v>
      </x:c>
      <x:c r="G16" s="199" t="n">
        <x:f>COUNTIFS('Decor Catalog'!$H$5:$H$124,A16,'Decor Catalog'!$I$5:$I$124,"Coins",'Decor Catalog'!$F$5:$F$124,"Limited Edition")</x:f>
        <x:v>2</x:v>
      </x:c>
      <x:c r="H16" s="199" t="n">
        <x:f>COUNTIFS('Decor Catalog'!$H$5:$H$124,A16,'Decor Catalog'!$I$5:$I$124,"Pearls",'Decor Catalog'!$F$5:$F$124,"Limited Edition")</x:f>
        <x:v>2</x:v>
      </x:c>
      <x:c r="I16" s="199" t="n">
        <x:f>SUM(C16:F16)</x:f>
        <x:v>2</x:v>
      </x:c>
      <x:c r="J16" s="199" t="n">
        <x:f>SUMIF('Decor Catalog'!$H$5:$H$124,A16,'Decor Catalog'!$K$5:$K$124)</x:f>
        <x:v>227</x:v>
      </x:c>
      <x:c r="K16" s="192" t="str">
        <x:f>IF(A16=1,"CP-01 tutorial: 15 total XP including top-up. Anniversary Coin item is optional.",IF(A16=2,"Preserve the 1-Pearl fish teaching beat; no decor offer before onboarding ends.",IF(A16=40,"Existing launch cap. Higher-level decor is roadmap-only.",IF(SUM(G16:H16)&gt;0,"Event items also require their active purchase window.",IF(I16=0,"No new evergreen decor required; other progression beats carry this level.","Optional cosmetic choices; no fish power.")))))</x:f>
        <x:v>Event items also require their active purchase window.</x:v>
      </x:c>
    </x:row>
    <x:row r="17" ht="48" customHeight="1">
      <x:c r="A17" s="217" t="n">
        <x:v>13</x:v>
      </x:c>
      <x:c r="B17" s="192" t="str">
        <x:f>IF(A17&lt;='Decor Guide'!$B$12,"Launch",IF(A17&lt;='Decor Guide'!$B$13,"Wave 1",IF(A17&lt;='Decor Guide'!$B$14,"Wave 2","Wave 3")))</x:f>
        <x:v>Launch</x:v>
      </x:c>
      <x:c r="C17" s="199" t="n">
        <x:f>COUNTIFS('Decor Catalog'!$H$5:$H$124,A17,'Decor Catalog'!$I$5:$I$124,"Coins",'Decor Catalog'!$C$5:$C$124,"Plant",'Decor Catalog'!$F$5:$F$124,"&lt;&gt;Limited Edition")</x:f>
        <x:v>0</x:v>
      </x:c>
      <x:c r="D17" s="199" t="n">
        <x:f>COUNTIFS('Decor Catalog'!$H$5:$H$124,A17,'Decor Catalog'!$I$5:$I$124,"Coins",'Decor Catalog'!$C$5:$C$124,"Decoration",'Decor Catalog'!$F$5:$F$124,"&lt;&gt;Limited Edition")</x:f>
        <x:v>1</x:v>
      </x:c>
      <x:c r="E17" s="199" t="n">
        <x:f>COUNTIFS('Decor Catalog'!$H$5:$H$124,A17,'Decor Catalog'!$I$5:$I$124,"Pearls",'Decor Catalog'!$C$5:$C$124,"Plant",'Decor Catalog'!$F$5:$F$124,"&lt;&gt;Limited Edition")</x:f>
        <x:v>1</x:v>
      </x:c>
      <x:c r="F17" s="199" t="n">
        <x:f>COUNTIFS('Decor Catalog'!$H$5:$H$124,A17,'Decor Catalog'!$I$5:$I$124,"Pearls",'Decor Catalog'!$C$5:$C$124,"Decoration",'Decor Catalog'!$F$5:$F$124,"&lt;&gt;Limited Edition")</x:f>
        <x:v>0</x:v>
      </x:c>
      <x:c r="G17" s="199" t="n">
        <x:f>COUNTIFS('Decor Catalog'!$H$5:$H$124,A17,'Decor Catalog'!$I$5:$I$124,"Coins",'Decor Catalog'!$F$5:$F$124,"Limited Edition")</x:f>
        <x:v>0</x:v>
      </x:c>
      <x:c r="H17" s="199" t="n">
        <x:f>COUNTIFS('Decor Catalog'!$H$5:$H$124,A17,'Decor Catalog'!$I$5:$I$124,"Pearls",'Decor Catalog'!$F$5:$F$124,"Limited Edition")</x:f>
        <x:v>0</x:v>
      </x:c>
      <x:c r="I17" s="199" t="n">
        <x:f>SUM(C17:F17)</x:f>
        <x:v>2</x:v>
      </x:c>
      <x:c r="J17" s="199" t="n">
        <x:f>SUMIF('Decor Catalog'!$H$5:$H$124,A17,'Decor Catalog'!$K$5:$K$124)</x:f>
        <x:v>89</x:v>
      </x:c>
      <x:c r="K17" s="192" t="str">
        <x:f>IF(A17=1,"CP-01 tutorial: 15 total XP including top-up. Anniversary Coin item is optional.",IF(A17=2,"Preserve the 1-Pearl fish teaching beat; no decor offer before onboarding ends.",IF(A17=40,"Existing launch cap. Higher-level decor is roadmap-only.",IF(SUM(G17:H17)&gt;0,"Event items also require their active purchase window.",IF(I17=0,"No new evergreen decor required; other progression beats carry this level.","Optional cosmetic choices; no fish power.")))))</x:f>
        <x:v>Optional cosmetic choices; no fish power.</x:v>
      </x:c>
    </x:row>
    <x:row r="18" ht="48" customHeight="1">
      <x:c r="A18" s="217" t="n">
        <x:v>14</x:v>
      </x:c>
      <x:c r="B18" s="192" t="str">
        <x:f>IF(A18&lt;='Decor Guide'!$B$12,"Launch",IF(A18&lt;='Decor Guide'!$B$13,"Wave 1",IF(A18&lt;='Decor Guide'!$B$14,"Wave 2","Wave 3")))</x:f>
        <x:v>Launch</x:v>
      </x:c>
      <x:c r="C18" s="199" t="n">
        <x:f>COUNTIFS('Decor Catalog'!$H$5:$H$124,A18,'Decor Catalog'!$I$5:$I$124,"Coins",'Decor Catalog'!$C$5:$C$124,"Plant",'Decor Catalog'!$F$5:$F$124,"&lt;&gt;Limited Edition")</x:f>
        <x:v>1</x:v>
      </x:c>
      <x:c r="D18" s="199" t="n">
        <x:f>COUNTIFS('Decor Catalog'!$H$5:$H$124,A18,'Decor Catalog'!$I$5:$I$124,"Coins",'Decor Catalog'!$C$5:$C$124,"Decoration",'Decor Catalog'!$F$5:$F$124,"&lt;&gt;Limited Edition")</x:f>
        <x:v>0</x:v>
      </x:c>
      <x:c r="E18" s="199" t="n">
        <x:f>COUNTIFS('Decor Catalog'!$H$5:$H$124,A18,'Decor Catalog'!$I$5:$I$124,"Pearls",'Decor Catalog'!$C$5:$C$124,"Plant",'Decor Catalog'!$F$5:$F$124,"&lt;&gt;Limited Edition")</x:f>
        <x:v>0</x:v>
      </x:c>
      <x:c r="F18" s="199" t="n">
        <x:f>COUNTIFS('Decor Catalog'!$H$5:$H$124,A18,'Decor Catalog'!$I$5:$I$124,"Pearls",'Decor Catalog'!$C$5:$C$124,"Decoration",'Decor Catalog'!$F$5:$F$124,"&lt;&gt;Limited Edition")</x:f>
        <x:v>0</x:v>
      </x:c>
      <x:c r="G18" s="199" t="n">
        <x:f>COUNTIFS('Decor Catalog'!$H$5:$H$124,A18,'Decor Catalog'!$I$5:$I$124,"Coins",'Decor Catalog'!$F$5:$F$124,"Limited Edition")</x:f>
        <x:v>0</x:v>
      </x:c>
      <x:c r="H18" s="199" t="n">
        <x:f>COUNTIFS('Decor Catalog'!$H$5:$H$124,A18,'Decor Catalog'!$I$5:$I$124,"Pearls",'Decor Catalog'!$F$5:$F$124,"Limited Edition")</x:f>
        <x:v>0</x:v>
      </x:c>
      <x:c r="I18" s="199" t="n">
        <x:f>SUM(C18:F18)</x:f>
        <x:v>1</x:v>
      </x:c>
      <x:c r="J18" s="199" t="n">
        <x:f>SUMIF('Decor Catalog'!$H$5:$H$124,A18,'Decor Catalog'!$K$5:$K$124)</x:f>
        <x:v>26</x:v>
      </x:c>
      <x:c r="K18" s="192" t="str">
        <x:f>IF(A18=1,"CP-01 tutorial: 15 total XP including top-up. Anniversary Coin item is optional.",IF(A18=2,"Preserve the 1-Pearl fish teaching beat; no decor offer before onboarding ends.",IF(A18=40,"Existing launch cap. Higher-level decor is roadmap-only.",IF(SUM(G18:H18)&gt;0,"Event items also require their active purchase window.",IF(I18=0,"No new evergreen decor required; other progression beats carry this level.","Optional cosmetic choices; no fish power.")))))</x:f>
        <x:v>Optional cosmetic choices; no fish power.</x:v>
      </x:c>
    </x:row>
    <x:row r="19" ht="48" customHeight="1">
      <x:c r="A19" s="217" t="n">
        <x:v>15</x:v>
      </x:c>
      <x:c r="B19" s="192" t="str">
        <x:f>IF(A19&lt;='Decor Guide'!$B$12,"Launch",IF(A19&lt;='Decor Guide'!$B$13,"Wave 1",IF(A19&lt;='Decor Guide'!$B$14,"Wave 2","Wave 3")))</x:f>
        <x:v>Launch</x:v>
      </x:c>
      <x:c r="C19" s="199" t="n">
        <x:f>COUNTIFS('Decor Catalog'!$H$5:$H$124,A19,'Decor Catalog'!$I$5:$I$124,"Coins",'Decor Catalog'!$C$5:$C$124,"Plant",'Decor Catalog'!$F$5:$F$124,"&lt;&gt;Limited Edition")</x:f>
        <x:v>0</x:v>
      </x:c>
      <x:c r="D19" s="199" t="n">
        <x:f>COUNTIFS('Decor Catalog'!$H$5:$H$124,A19,'Decor Catalog'!$I$5:$I$124,"Coins",'Decor Catalog'!$C$5:$C$124,"Decoration",'Decor Catalog'!$F$5:$F$124,"&lt;&gt;Limited Edition")</x:f>
        <x:v>1</x:v>
      </x:c>
      <x:c r="E19" s="199" t="n">
        <x:f>COUNTIFS('Decor Catalog'!$H$5:$H$124,A19,'Decor Catalog'!$I$5:$I$124,"Pearls",'Decor Catalog'!$C$5:$C$124,"Plant",'Decor Catalog'!$F$5:$F$124,"&lt;&gt;Limited Edition")</x:f>
        <x:v>0</x:v>
      </x:c>
      <x:c r="F19" s="199" t="n">
        <x:f>COUNTIFS('Decor Catalog'!$H$5:$H$124,A19,'Decor Catalog'!$I$5:$I$124,"Pearls",'Decor Catalog'!$C$5:$C$124,"Decoration",'Decor Catalog'!$F$5:$F$124,"&lt;&gt;Limited Edition")</x:f>
        <x:v>1</x:v>
      </x:c>
      <x:c r="G19" s="199" t="n">
        <x:f>COUNTIFS('Decor Catalog'!$H$5:$H$124,A19,'Decor Catalog'!$I$5:$I$124,"Coins",'Decor Catalog'!$F$5:$F$124,"Limited Edition")</x:f>
        <x:v>1</x:v>
      </x:c>
      <x:c r="H19" s="199" t="n">
        <x:f>COUNTIFS('Decor Catalog'!$H$5:$H$124,A19,'Decor Catalog'!$I$5:$I$124,"Pearls",'Decor Catalog'!$F$5:$F$124,"Limited Edition")</x:f>
        <x:v>2</x:v>
      </x:c>
      <x:c r="I19" s="199" t="n">
        <x:f>SUM(C19:F19)</x:f>
        <x:v>2</x:v>
      </x:c>
      <x:c r="J19" s="199" t="n">
        <x:f>SUMIF('Decor Catalog'!$H$5:$H$124,A19,'Decor Catalog'!$K$5:$K$124)</x:f>
        <x:v>342</x:v>
      </x:c>
      <x:c r="K19" s="192" t="str">
        <x:f>IF(A19=1,"CP-01 tutorial: 15 total XP including top-up. Anniversary Coin item is optional.",IF(A19=2,"Preserve the 1-Pearl fish teaching beat; no decor offer before onboarding ends.",IF(A19=40,"Existing launch cap. Higher-level decor is roadmap-only.",IF(SUM(G19:H19)&gt;0,"Event items also require their active purchase window.",IF(I19=0,"No new evergreen decor required; other progression beats carry this level.","Optional cosmetic choices; no fish power.")))))</x:f>
        <x:v>Event items also require their active purchase window.</x:v>
      </x:c>
    </x:row>
    <x:row r="20" ht="48" customHeight="1">
      <x:c r="A20" s="217" t="n">
        <x:v>16</x:v>
      </x:c>
      <x:c r="B20" s="192" t="str">
        <x:f>IF(A20&lt;='Decor Guide'!$B$12,"Launch",IF(A20&lt;='Decor Guide'!$B$13,"Wave 1",IF(A20&lt;='Decor Guide'!$B$14,"Wave 2","Wave 3")))</x:f>
        <x:v>Launch</x:v>
      </x:c>
      <x:c r="C20" s="199" t="n">
        <x:f>COUNTIFS('Decor Catalog'!$H$5:$H$124,A20,'Decor Catalog'!$I$5:$I$124,"Coins",'Decor Catalog'!$C$5:$C$124,"Plant",'Decor Catalog'!$F$5:$F$124,"&lt;&gt;Limited Edition")</x:f>
        <x:v>1</x:v>
      </x:c>
      <x:c r="D20" s="199" t="n">
        <x:f>COUNTIFS('Decor Catalog'!$H$5:$H$124,A20,'Decor Catalog'!$I$5:$I$124,"Coins",'Decor Catalog'!$C$5:$C$124,"Decoration",'Decor Catalog'!$F$5:$F$124,"&lt;&gt;Limited Edition")</x:f>
        <x:v>0</x:v>
      </x:c>
      <x:c r="E20" s="199" t="n">
        <x:f>COUNTIFS('Decor Catalog'!$H$5:$H$124,A20,'Decor Catalog'!$I$5:$I$124,"Pearls",'Decor Catalog'!$C$5:$C$124,"Plant",'Decor Catalog'!$F$5:$F$124,"&lt;&gt;Limited Edition")</x:f>
        <x:v>1</x:v>
      </x:c>
      <x:c r="F20" s="199" t="n">
        <x:f>COUNTIFS('Decor Catalog'!$H$5:$H$124,A20,'Decor Catalog'!$I$5:$I$124,"Pearls",'Decor Catalog'!$C$5:$C$124,"Decoration",'Decor Catalog'!$F$5:$F$124,"&lt;&gt;Limited Edition")</x:f>
        <x:v>0</x:v>
      </x:c>
      <x:c r="G20" s="199" t="n">
        <x:f>COUNTIFS('Decor Catalog'!$H$5:$H$124,A20,'Decor Catalog'!$I$5:$I$124,"Coins",'Decor Catalog'!$F$5:$F$124,"Limited Edition")</x:f>
        <x:v>0</x:v>
      </x:c>
      <x:c r="H20" s="199" t="n">
        <x:f>COUNTIFS('Decor Catalog'!$H$5:$H$124,A20,'Decor Catalog'!$I$5:$I$124,"Pearls",'Decor Catalog'!$F$5:$F$124,"Limited Edition")</x:f>
        <x:v>0</x:v>
      </x:c>
      <x:c r="I20" s="199" t="n">
        <x:f>SUM(C20:F20)</x:f>
        <x:v>2</x:v>
      </x:c>
      <x:c r="J20" s="199" t="n">
        <x:f>SUMIF('Decor Catalog'!$H$5:$H$124,A20,'Decor Catalog'!$K$5:$K$124)</x:f>
        <x:v>132</x:v>
      </x:c>
      <x:c r="K20" s="192" t="str">
        <x:f>IF(A20=1,"CP-01 tutorial: 15 total XP including top-up. Anniversary Coin item is optional.",IF(A20=2,"Preserve the 1-Pearl fish teaching beat; no decor offer before onboarding ends.",IF(A20=40,"Existing launch cap. Higher-level decor is roadmap-only.",IF(SUM(G20:H20)&gt;0,"Event items also require their active purchase window.",IF(I20=0,"No new evergreen decor required; other progression beats carry this level.","Optional cosmetic choices; no fish power.")))))</x:f>
        <x:v>Optional cosmetic choices; no fish power.</x:v>
      </x:c>
    </x:row>
    <x:row r="21" ht="48" customHeight="1">
      <x:c r="A21" s="217" t="n">
        <x:v>17</x:v>
      </x:c>
      <x:c r="B21" s="192" t="str">
        <x:f>IF(A21&lt;='Decor Guide'!$B$12,"Launch",IF(A21&lt;='Decor Guide'!$B$13,"Wave 1",IF(A21&lt;='Decor Guide'!$B$14,"Wave 2","Wave 3")))</x:f>
        <x:v>Launch</x:v>
      </x:c>
      <x:c r="C21" s="199" t="n">
        <x:f>COUNTIFS('Decor Catalog'!$H$5:$H$124,A21,'Decor Catalog'!$I$5:$I$124,"Coins",'Decor Catalog'!$C$5:$C$124,"Plant",'Decor Catalog'!$F$5:$F$124,"&lt;&gt;Limited Edition")</x:f>
        <x:v>0</x:v>
      </x:c>
      <x:c r="D21" s="199" t="n">
        <x:f>COUNTIFS('Decor Catalog'!$H$5:$H$124,A21,'Decor Catalog'!$I$5:$I$124,"Coins",'Decor Catalog'!$C$5:$C$124,"Decoration",'Decor Catalog'!$F$5:$F$124,"&lt;&gt;Limited Edition")</x:f>
        <x:v>1</x:v>
      </x:c>
      <x:c r="E21" s="199" t="n">
        <x:f>COUNTIFS('Decor Catalog'!$H$5:$H$124,A21,'Decor Catalog'!$I$5:$I$124,"Pearls",'Decor Catalog'!$C$5:$C$124,"Plant",'Decor Catalog'!$F$5:$F$124,"&lt;&gt;Limited Edition")</x:f>
        <x:v>0</x:v>
      </x:c>
      <x:c r="F21" s="199" t="n">
        <x:f>COUNTIFS('Decor Catalog'!$H$5:$H$124,A21,'Decor Catalog'!$I$5:$I$124,"Pearls",'Decor Catalog'!$C$5:$C$124,"Decoration",'Decor Catalog'!$F$5:$F$124,"&lt;&gt;Limited Edition")</x:f>
        <x:v>0</x:v>
      </x:c>
      <x:c r="G21" s="199" t="n">
        <x:f>COUNTIFS('Decor Catalog'!$H$5:$H$124,A21,'Decor Catalog'!$I$5:$I$124,"Coins",'Decor Catalog'!$F$5:$F$124,"Limited Edition")</x:f>
        <x:v>0</x:v>
      </x:c>
      <x:c r="H21" s="199" t="n">
        <x:f>COUNTIFS('Decor Catalog'!$H$5:$H$124,A21,'Decor Catalog'!$I$5:$I$124,"Pearls",'Decor Catalog'!$F$5:$F$124,"Limited Edition")</x:f>
        <x:v>0</x:v>
      </x:c>
      <x:c r="I21" s="199" t="n">
        <x:f>SUM(C21:F21)</x:f>
        <x:v>1</x:v>
      </x:c>
      <x:c r="J21" s="199" t="n">
        <x:f>SUMIF('Decor Catalog'!$H$5:$H$124,A21,'Decor Catalog'!$K$5:$K$124)</x:f>
        <x:v>57</x:v>
      </x:c>
      <x:c r="K21" s="192" t="str">
        <x:f>IF(A21=1,"CP-01 tutorial: 15 total XP including top-up. Anniversary Coin item is optional.",IF(A21=2,"Preserve the 1-Pearl fish teaching beat; no decor offer before onboarding ends.",IF(A21=40,"Existing launch cap. Higher-level decor is roadmap-only.",IF(SUM(G21:H21)&gt;0,"Event items also require their active purchase window.",IF(I21=0,"No new evergreen decor required; other progression beats carry this level.","Optional cosmetic choices; no fish power.")))))</x:f>
        <x:v>Optional cosmetic choices; no fish power.</x:v>
      </x:c>
    </x:row>
    <x:row r="22" ht="48" customHeight="1">
      <x:c r="A22" s="217" t="n">
        <x:v>18</x:v>
      </x:c>
      <x:c r="B22" s="192" t="str">
        <x:f>IF(A22&lt;='Decor Guide'!$B$12,"Launch",IF(A22&lt;='Decor Guide'!$B$13,"Wave 1",IF(A22&lt;='Decor Guide'!$B$14,"Wave 2","Wave 3")))</x:f>
        <x:v>Launch</x:v>
      </x:c>
      <x:c r="C22" s="199" t="n">
        <x:f>COUNTIFS('Decor Catalog'!$H$5:$H$124,A22,'Decor Catalog'!$I$5:$I$124,"Coins",'Decor Catalog'!$C$5:$C$124,"Plant",'Decor Catalog'!$F$5:$F$124,"&lt;&gt;Limited Edition")</x:f>
        <x:v>1</x:v>
      </x:c>
      <x:c r="D22" s="199" t="n">
        <x:f>COUNTIFS('Decor Catalog'!$H$5:$H$124,A22,'Decor Catalog'!$I$5:$I$124,"Coins",'Decor Catalog'!$C$5:$C$124,"Decoration",'Decor Catalog'!$F$5:$F$124,"&lt;&gt;Limited Edition")</x:f>
        <x:v>0</x:v>
      </x:c>
      <x:c r="E22" s="199" t="n">
        <x:f>COUNTIFS('Decor Catalog'!$H$5:$H$124,A22,'Decor Catalog'!$I$5:$I$124,"Pearls",'Decor Catalog'!$C$5:$C$124,"Plant",'Decor Catalog'!$F$5:$F$124,"&lt;&gt;Limited Edition")</x:f>
        <x:v>0</x:v>
      </x:c>
      <x:c r="F22" s="199" t="n">
        <x:f>COUNTIFS('Decor Catalog'!$H$5:$H$124,A22,'Decor Catalog'!$I$5:$I$124,"Pearls",'Decor Catalog'!$C$5:$C$124,"Decoration",'Decor Catalog'!$F$5:$F$124,"&lt;&gt;Limited Edition")</x:f>
        <x:v>1</x:v>
      </x:c>
      <x:c r="G22" s="199" t="n">
        <x:f>COUNTIFS('Decor Catalog'!$H$5:$H$124,A22,'Decor Catalog'!$I$5:$I$124,"Coins",'Decor Catalog'!$F$5:$F$124,"Limited Edition")</x:f>
        <x:v>1</x:v>
      </x:c>
      <x:c r="H22" s="199" t="n">
        <x:f>COUNTIFS('Decor Catalog'!$H$5:$H$124,A22,'Decor Catalog'!$I$5:$I$124,"Pearls",'Decor Catalog'!$F$5:$F$124,"Limited Edition")</x:f>
        <x:v>1</x:v>
      </x:c>
      <x:c r="I22" s="199" t="n">
        <x:f>SUM(C22:F22)</x:f>
        <x:v>2</x:v>
      </x:c>
      <x:c r="J22" s="199" t="n">
        <x:f>SUMIF('Decor Catalog'!$H$5:$H$124,A22,'Decor Catalog'!$K$5:$K$124)</x:f>
        <x:v>354</x:v>
      </x:c>
      <x:c r="K22" s="192" t="str">
        <x:f>IF(A22=1,"CP-01 tutorial: 15 total XP including top-up. Anniversary Coin item is optional.",IF(A22=2,"Preserve the 1-Pearl fish teaching beat; no decor offer before onboarding ends.",IF(A22=40,"Existing launch cap. Higher-level decor is roadmap-only.",IF(SUM(G22:H22)&gt;0,"Event items also require their active purchase window.",IF(I22=0,"No new evergreen decor required; other progression beats carry this level.","Optional cosmetic choices; no fish power.")))))</x:f>
        <x:v>Event items also require their active purchase window.</x:v>
      </x:c>
    </x:row>
    <x:row r="23" ht="48" customHeight="1">
      <x:c r="A23" s="217" t="n">
        <x:v>19</x:v>
      </x:c>
      <x:c r="B23" s="192" t="str">
        <x:f>IF(A23&lt;='Decor Guide'!$B$12,"Launch",IF(A23&lt;='Decor Guide'!$B$13,"Wave 1",IF(A23&lt;='Decor Guide'!$B$14,"Wave 2","Wave 3")))</x:f>
        <x:v>Launch</x:v>
      </x:c>
      <x:c r="C23" s="199" t="n">
        <x:f>COUNTIFS('Decor Catalog'!$H$5:$H$124,A23,'Decor Catalog'!$I$5:$I$124,"Coins",'Decor Catalog'!$C$5:$C$124,"Plant",'Decor Catalog'!$F$5:$F$124,"&lt;&gt;Limited Edition")</x:f>
        <x:v>0</x:v>
      </x:c>
      <x:c r="D23" s="199" t="n">
        <x:f>COUNTIFS('Decor Catalog'!$H$5:$H$124,A23,'Decor Catalog'!$I$5:$I$124,"Coins",'Decor Catalog'!$C$5:$C$124,"Decoration",'Decor Catalog'!$F$5:$F$124,"&lt;&gt;Limited Edition")</x:f>
        <x:v>1</x:v>
      </x:c>
      <x:c r="E23" s="199" t="n">
        <x:f>COUNTIFS('Decor Catalog'!$H$5:$H$124,A23,'Decor Catalog'!$I$5:$I$124,"Pearls",'Decor Catalog'!$C$5:$C$124,"Plant",'Decor Catalog'!$F$5:$F$124,"&lt;&gt;Limited Edition")</x:f>
        <x:v>0</x:v>
      </x:c>
      <x:c r="F23" s="199" t="n">
        <x:f>COUNTIFS('Decor Catalog'!$H$5:$H$124,A23,'Decor Catalog'!$I$5:$I$124,"Pearls",'Decor Catalog'!$C$5:$C$124,"Decoration",'Decor Catalog'!$F$5:$F$124,"&lt;&gt;Limited Edition")</x:f>
        <x:v>0</x:v>
      </x:c>
      <x:c r="G23" s="199" t="n">
        <x:f>COUNTIFS('Decor Catalog'!$H$5:$H$124,A23,'Decor Catalog'!$I$5:$I$124,"Coins",'Decor Catalog'!$F$5:$F$124,"Limited Edition")</x:f>
        <x:v>0</x:v>
      </x:c>
      <x:c r="H23" s="199" t="n">
        <x:f>COUNTIFS('Decor Catalog'!$H$5:$H$124,A23,'Decor Catalog'!$I$5:$I$124,"Pearls",'Decor Catalog'!$F$5:$F$124,"Limited Edition")</x:f>
        <x:v>0</x:v>
      </x:c>
      <x:c r="I23" s="199" t="n">
        <x:f>SUM(C23:F23)</x:f>
        <x:v>1</x:v>
      </x:c>
      <x:c r="J23" s="199" t="n">
        <x:f>SUMIF('Decor Catalog'!$H$5:$H$124,A23,'Decor Catalog'!$K$5:$K$124)</x:f>
        <x:v>75</x:v>
      </x:c>
      <x:c r="K23" s="192" t="str">
        <x:f>IF(A23=1,"CP-01 tutorial: 15 total XP including top-up. Anniversary Coin item is optional.",IF(A23=2,"Preserve the 1-Pearl fish teaching beat; no decor offer before onboarding ends.",IF(A23=40,"Existing launch cap. Higher-level decor is roadmap-only.",IF(SUM(G23:H23)&gt;0,"Event items also require their active purchase window.",IF(I23=0,"No new evergreen decor required; other progression beats carry this level.","Optional cosmetic choices; no fish power.")))))</x:f>
        <x:v>Optional cosmetic choices; no fish power.</x:v>
      </x:c>
    </x:row>
    <x:row r="24" ht="48" customHeight="1">
      <x:c r="A24" s="217" t="n">
        <x:v>20</x:v>
      </x:c>
      <x:c r="B24" s="192" t="str">
        <x:f>IF(A24&lt;='Decor Guide'!$B$12,"Launch",IF(A24&lt;='Decor Guide'!$B$13,"Wave 1",IF(A24&lt;='Decor Guide'!$B$14,"Wave 2","Wave 3")))</x:f>
        <x:v>Launch</x:v>
      </x:c>
      <x:c r="C24" s="199" t="n">
        <x:f>COUNTIFS('Decor Catalog'!$H$5:$H$124,A24,'Decor Catalog'!$I$5:$I$124,"Coins",'Decor Catalog'!$C$5:$C$124,"Plant",'Decor Catalog'!$F$5:$F$124,"&lt;&gt;Limited Edition")</x:f>
        <x:v>1</x:v>
      </x:c>
      <x:c r="D24" s="199" t="n">
        <x:f>COUNTIFS('Decor Catalog'!$H$5:$H$124,A24,'Decor Catalog'!$I$5:$I$124,"Coins",'Decor Catalog'!$C$5:$C$124,"Decoration",'Decor Catalog'!$F$5:$F$124,"&lt;&gt;Limited Edition")</x:f>
        <x:v>0</x:v>
      </x:c>
      <x:c r="E24" s="199" t="n">
        <x:f>COUNTIFS('Decor Catalog'!$H$5:$H$124,A24,'Decor Catalog'!$I$5:$I$124,"Pearls",'Decor Catalog'!$C$5:$C$124,"Plant",'Decor Catalog'!$F$5:$F$124,"&lt;&gt;Limited Edition")</x:f>
        <x:v>1</x:v>
      </x:c>
      <x:c r="F24" s="199" t="n">
        <x:f>COUNTIFS('Decor Catalog'!$H$5:$H$124,A24,'Decor Catalog'!$I$5:$I$124,"Pearls",'Decor Catalog'!$C$5:$C$124,"Decoration",'Decor Catalog'!$F$5:$F$124,"&lt;&gt;Limited Edition")</x:f>
        <x:v>0</x:v>
      </x:c>
      <x:c r="G24" s="199" t="n">
        <x:f>COUNTIFS('Decor Catalog'!$H$5:$H$124,A24,'Decor Catalog'!$I$5:$I$124,"Coins",'Decor Catalog'!$F$5:$F$124,"Limited Edition")</x:f>
        <x:v>1</x:v>
      </x:c>
      <x:c r="H24" s="199" t="n">
        <x:f>COUNTIFS('Decor Catalog'!$H$5:$H$124,A24,'Decor Catalog'!$I$5:$I$124,"Pearls",'Decor Catalog'!$F$5:$F$124,"Limited Edition")</x:f>
        <x:v>1</x:v>
      </x:c>
      <x:c r="I24" s="199" t="n">
        <x:f>SUM(C24:F24)</x:f>
        <x:v>2</x:v>
      </x:c>
      <x:c r="J24" s="199" t="n">
        <x:f>SUMIF('Decor Catalog'!$H$5:$H$124,A24,'Decor Catalog'!$K$5:$K$124)</x:f>
        <x:v>384</x:v>
      </x:c>
      <x:c r="K24" s="192" t="str">
        <x:f>IF(A24=1,"CP-01 tutorial: 15 total XP including top-up. Anniversary Coin item is optional.",IF(A24=2,"Preserve the 1-Pearl fish teaching beat; no decor offer before onboarding ends.",IF(A24=40,"Existing launch cap. Higher-level decor is roadmap-only.",IF(SUM(G24:H24)&gt;0,"Event items also require their active purchase window.",IF(I24=0,"No new evergreen decor required; other progression beats carry this level.","Optional cosmetic choices; no fish power.")))))</x:f>
        <x:v>Event items also require their active purchase window.</x:v>
      </x:c>
    </x:row>
    <x:row r="25" ht="48" customHeight="1">
      <x:c r="A25" s="217" t="n">
        <x:v>21</x:v>
      </x:c>
      <x:c r="B25" s="192" t="str">
        <x:f>IF(A25&lt;='Decor Guide'!$B$12,"Launch",IF(A25&lt;='Decor Guide'!$B$13,"Wave 1",IF(A25&lt;='Decor Guide'!$B$14,"Wave 2","Wave 3")))</x:f>
        <x:v>Launch</x:v>
      </x:c>
      <x:c r="C25" s="199" t="n">
        <x:f>COUNTIFS('Decor Catalog'!$H$5:$H$124,A25,'Decor Catalog'!$I$5:$I$124,"Coins",'Decor Catalog'!$C$5:$C$124,"Plant",'Decor Catalog'!$F$5:$F$124,"&lt;&gt;Limited Edition")</x:f>
        <x:v>0</x:v>
      </x:c>
      <x:c r="D25" s="199" t="n">
        <x:f>COUNTIFS('Decor Catalog'!$H$5:$H$124,A25,'Decor Catalog'!$I$5:$I$124,"Coins",'Decor Catalog'!$C$5:$C$124,"Decoration",'Decor Catalog'!$F$5:$F$124,"&lt;&gt;Limited Edition")</x:f>
        <x:v>1</x:v>
      </x:c>
      <x:c r="E25" s="199" t="n">
        <x:f>COUNTIFS('Decor Catalog'!$H$5:$H$124,A25,'Decor Catalog'!$I$5:$I$124,"Pearls",'Decor Catalog'!$C$5:$C$124,"Plant",'Decor Catalog'!$F$5:$F$124,"&lt;&gt;Limited Edition")</x:f>
        <x:v>0</x:v>
      </x:c>
      <x:c r="F25" s="199" t="n">
        <x:f>COUNTIFS('Decor Catalog'!$H$5:$H$124,A25,'Decor Catalog'!$I$5:$I$124,"Pearls",'Decor Catalog'!$C$5:$C$124,"Decoration",'Decor Catalog'!$F$5:$F$124,"&lt;&gt;Limited Edition")</x:f>
        <x:v>0</x:v>
      </x:c>
      <x:c r="G25" s="199" t="n">
        <x:f>COUNTIFS('Decor Catalog'!$H$5:$H$124,A25,'Decor Catalog'!$I$5:$I$124,"Coins",'Decor Catalog'!$F$5:$F$124,"Limited Edition")</x:f>
        <x:v>0</x:v>
      </x:c>
      <x:c r="H25" s="199" t="n">
        <x:f>COUNTIFS('Decor Catalog'!$H$5:$H$124,A25,'Decor Catalog'!$I$5:$I$124,"Pearls",'Decor Catalog'!$F$5:$F$124,"Limited Edition")</x:f>
        <x:v>0</x:v>
      </x:c>
      <x:c r="I25" s="199" t="n">
        <x:f>SUM(C25:F25)</x:f>
        <x:v>1</x:v>
      </x:c>
      <x:c r="J25" s="199" t="n">
        <x:f>SUMIF('Decor Catalog'!$H$5:$H$124,A25,'Decor Catalog'!$K$5:$K$124)</x:f>
        <x:v>96</x:v>
      </x:c>
      <x:c r="K25" s="192" t="str">
        <x:f>IF(A25=1,"CP-01 tutorial: 15 total XP including top-up. Anniversary Coin item is optional.",IF(A25=2,"Preserve the 1-Pearl fish teaching beat; no decor offer before onboarding ends.",IF(A25=40,"Existing launch cap. Higher-level decor is roadmap-only.",IF(SUM(G25:H25)&gt;0,"Event items also require their active purchase window.",IF(I25=0,"No new evergreen decor required; other progression beats carry this level.","Optional cosmetic choices; no fish power.")))))</x:f>
        <x:v>Optional cosmetic choices; no fish power.</x:v>
      </x:c>
    </x:row>
    <x:row r="26" ht="48" customHeight="1">
      <x:c r="A26" s="217" t="n">
        <x:v>22</x:v>
      </x:c>
      <x:c r="B26" s="192" t="str">
        <x:f>IF(A26&lt;='Decor Guide'!$B$12,"Launch",IF(A26&lt;='Decor Guide'!$B$13,"Wave 1",IF(A26&lt;='Decor Guide'!$B$14,"Wave 2","Wave 3")))</x:f>
        <x:v>Launch</x:v>
      </x:c>
      <x:c r="C26" s="199" t="n">
        <x:f>COUNTIFS('Decor Catalog'!$H$5:$H$124,A26,'Decor Catalog'!$I$5:$I$124,"Coins",'Decor Catalog'!$C$5:$C$124,"Plant",'Decor Catalog'!$F$5:$F$124,"&lt;&gt;Limited Edition")</x:f>
        <x:v>1</x:v>
      </x:c>
      <x:c r="D26" s="199" t="n">
        <x:f>COUNTIFS('Decor Catalog'!$H$5:$H$124,A26,'Decor Catalog'!$I$5:$I$124,"Coins",'Decor Catalog'!$C$5:$C$124,"Decoration",'Decor Catalog'!$F$5:$F$124,"&lt;&gt;Limited Edition")</x:f>
        <x:v>0</x:v>
      </x:c>
      <x:c r="E26" s="199" t="n">
        <x:f>COUNTIFS('Decor Catalog'!$H$5:$H$124,A26,'Decor Catalog'!$I$5:$I$124,"Pearls",'Decor Catalog'!$C$5:$C$124,"Plant",'Decor Catalog'!$F$5:$F$124,"&lt;&gt;Limited Edition")</x:f>
        <x:v>0</x:v>
      </x:c>
      <x:c r="F26" s="199" t="n">
        <x:f>COUNTIFS('Decor Catalog'!$H$5:$H$124,A26,'Decor Catalog'!$I$5:$I$124,"Pearls",'Decor Catalog'!$C$5:$C$124,"Decoration",'Decor Catalog'!$F$5:$F$124,"&lt;&gt;Limited Edition")</x:f>
        <x:v>1</x:v>
      </x:c>
      <x:c r="G26" s="199" t="n">
        <x:f>COUNTIFS('Decor Catalog'!$H$5:$H$124,A26,'Decor Catalog'!$I$5:$I$124,"Coins",'Decor Catalog'!$F$5:$F$124,"Limited Edition")</x:f>
        <x:v>0</x:v>
      </x:c>
      <x:c r="H26" s="199" t="n">
        <x:f>COUNTIFS('Decor Catalog'!$H$5:$H$124,A26,'Decor Catalog'!$I$5:$I$124,"Pearls",'Decor Catalog'!$F$5:$F$124,"Limited Edition")</x:f>
        <x:v>0</x:v>
      </x:c>
      <x:c r="I26" s="199" t="n">
        <x:f>SUM(C26:F26)</x:f>
        <x:v>2</x:v>
      </x:c>
      <x:c r="J26" s="199" t="n">
        <x:f>SUMIF('Decor Catalog'!$H$5:$H$124,A26,'Decor Catalog'!$K$5:$K$124)</x:f>
        <x:v>195</x:v>
      </x:c>
      <x:c r="K26" s="192" t="str">
        <x:f>IF(A26=1,"CP-01 tutorial: 15 total XP including top-up. Anniversary Coin item is optional.",IF(A26=2,"Preserve the 1-Pearl fish teaching beat; no decor offer before onboarding ends.",IF(A26=40,"Existing launch cap. Higher-level decor is roadmap-only.",IF(SUM(G26:H26)&gt;0,"Event items also require their active purchase window.",IF(I26=0,"No new evergreen decor required; other progression beats carry this level.","Optional cosmetic choices; no fish power.")))))</x:f>
        <x:v>Optional cosmetic choices; no fish power.</x:v>
      </x:c>
    </x:row>
    <x:row r="27" ht="48" customHeight="1">
      <x:c r="A27" s="217" t="n">
        <x:v>23</x:v>
      </x:c>
      <x:c r="B27" s="192" t="str">
        <x:f>IF(A27&lt;='Decor Guide'!$B$12,"Launch",IF(A27&lt;='Decor Guide'!$B$13,"Wave 1",IF(A27&lt;='Decor Guide'!$B$14,"Wave 2","Wave 3")))</x:f>
        <x:v>Launch</x:v>
      </x:c>
      <x:c r="C27" s="199" t="n">
        <x:f>COUNTIFS('Decor Catalog'!$H$5:$H$124,A27,'Decor Catalog'!$I$5:$I$124,"Coins",'Decor Catalog'!$C$5:$C$124,"Plant",'Decor Catalog'!$F$5:$F$124,"&lt;&gt;Limited Edition")</x:f>
        <x:v>0</x:v>
      </x:c>
      <x:c r="D27" s="199" t="n">
        <x:f>COUNTIFS('Decor Catalog'!$H$5:$H$124,A27,'Decor Catalog'!$I$5:$I$124,"Coins",'Decor Catalog'!$C$5:$C$124,"Decoration",'Decor Catalog'!$F$5:$F$124,"&lt;&gt;Limited Edition")</x:f>
        <x:v>1</x:v>
      </x:c>
      <x:c r="E27" s="199" t="n">
        <x:f>COUNTIFS('Decor Catalog'!$H$5:$H$124,A27,'Decor Catalog'!$I$5:$I$124,"Pearls",'Decor Catalog'!$C$5:$C$124,"Plant",'Decor Catalog'!$F$5:$F$124,"&lt;&gt;Limited Edition")</x:f>
        <x:v>0</x:v>
      </x:c>
      <x:c r="F27" s="199" t="n">
        <x:f>COUNTIFS('Decor Catalog'!$H$5:$H$124,A27,'Decor Catalog'!$I$5:$I$124,"Pearls",'Decor Catalog'!$C$5:$C$124,"Decoration",'Decor Catalog'!$F$5:$F$124,"&lt;&gt;Limited Edition")</x:f>
        <x:v>0</x:v>
      </x:c>
      <x:c r="G27" s="199" t="n">
        <x:f>COUNTIFS('Decor Catalog'!$H$5:$H$124,A27,'Decor Catalog'!$I$5:$I$124,"Coins",'Decor Catalog'!$F$5:$F$124,"Limited Edition")</x:f>
        <x:v>0</x:v>
      </x:c>
      <x:c r="H27" s="199" t="n">
        <x:f>COUNTIFS('Decor Catalog'!$H$5:$H$124,A27,'Decor Catalog'!$I$5:$I$124,"Pearls",'Decor Catalog'!$F$5:$F$124,"Limited Edition")</x:f>
        <x:v>0</x:v>
      </x:c>
      <x:c r="I27" s="199" t="n">
        <x:f>SUM(C27:F27)</x:f>
        <x:v>1</x:v>
      </x:c>
      <x:c r="J27" s="199" t="n">
        <x:f>SUMIF('Decor Catalog'!$H$5:$H$124,A27,'Decor Catalog'!$K$5:$K$124)</x:f>
        <x:v>120</x:v>
      </x:c>
      <x:c r="K27" s="192" t="str">
        <x:f>IF(A27=1,"CP-01 tutorial: 15 total XP including top-up. Anniversary Coin item is optional.",IF(A27=2,"Preserve the 1-Pearl fish teaching beat; no decor offer before onboarding ends.",IF(A27=40,"Existing launch cap. Higher-level decor is roadmap-only.",IF(SUM(G27:H27)&gt;0,"Event items also require their active purchase window.",IF(I27=0,"No new evergreen decor required; other progression beats carry this level.","Optional cosmetic choices; no fish power.")))))</x:f>
        <x:v>Optional cosmetic choices; no fish power.</x:v>
      </x:c>
    </x:row>
    <x:row r="28" ht="48" customHeight="1">
      <x:c r="A28" s="217" t="n">
        <x:v>24</x:v>
      </x:c>
      <x:c r="B28" s="192" t="str">
        <x:f>IF(A28&lt;='Decor Guide'!$B$12,"Launch",IF(A28&lt;='Decor Guide'!$B$13,"Wave 1",IF(A28&lt;='Decor Guide'!$B$14,"Wave 2","Wave 3")))</x:f>
        <x:v>Launch</x:v>
      </x:c>
      <x:c r="C28" s="199" t="n">
        <x:f>COUNTIFS('Decor Catalog'!$H$5:$H$124,A28,'Decor Catalog'!$I$5:$I$124,"Coins",'Decor Catalog'!$C$5:$C$124,"Plant",'Decor Catalog'!$F$5:$F$124,"&lt;&gt;Limited Edition")</x:f>
        <x:v>1</x:v>
      </x:c>
      <x:c r="D28" s="199" t="n">
        <x:f>COUNTIFS('Decor Catalog'!$H$5:$H$124,A28,'Decor Catalog'!$I$5:$I$124,"Coins",'Decor Catalog'!$C$5:$C$124,"Decoration",'Decor Catalog'!$F$5:$F$124,"&lt;&gt;Limited Edition")</x:f>
        <x:v>0</x:v>
      </x:c>
      <x:c r="E28" s="199" t="n">
        <x:f>COUNTIFS('Decor Catalog'!$H$5:$H$124,A28,'Decor Catalog'!$I$5:$I$124,"Pearls",'Decor Catalog'!$C$5:$C$124,"Plant",'Decor Catalog'!$F$5:$F$124,"&lt;&gt;Limited Edition")</x:f>
        <x:v>1</x:v>
      </x:c>
      <x:c r="F28" s="199" t="n">
        <x:f>COUNTIFS('Decor Catalog'!$H$5:$H$124,A28,'Decor Catalog'!$I$5:$I$124,"Pearls",'Decor Catalog'!$C$5:$C$124,"Decoration",'Decor Catalog'!$F$5:$F$124,"&lt;&gt;Limited Edition")</x:f>
        <x:v>0</x:v>
      </x:c>
      <x:c r="G28" s="199" t="n">
        <x:f>COUNTIFS('Decor Catalog'!$H$5:$H$124,A28,'Decor Catalog'!$I$5:$I$124,"Coins",'Decor Catalog'!$F$5:$F$124,"Limited Edition")</x:f>
        <x:v>0</x:v>
      </x:c>
      <x:c r="H28" s="199" t="n">
        <x:f>COUNTIFS('Decor Catalog'!$H$5:$H$124,A28,'Decor Catalog'!$I$5:$I$124,"Pearls",'Decor Catalog'!$F$5:$F$124,"Limited Edition")</x:f>
        <x:v>0</x:v>
      </x:c>
      <x:c r="I28" s="199" t="n">
        <x:f>SUM(C28:F28)</x:f>
        <x:v>2</x:v>
      </x:c>
      <x:c r="J28" s="199" t="n">
        <x:f>SUMIF('Decor Catalog'!$H$5:$H$124,A28,'Decor Catalog'!$K$5:$K$124)</x:f>
        <x:v>210</x:v>
      </x:c>
      <x:c r="K28" s="192" t="str">
        <x:f>IF(A28=1,"CP-01 tutorial: 15 total XP including top-up. Anniversary Coin item is optional.",IF(A28=2,"Preserve the 1-Pearl fish teaching beat; no decor offer before onboarding ends.",IF(A28=40,"Existing launch cap. Higher-level decor is roadmap-only.",IF(SUM(G28:H28)&gt;0,"Event items also require their active purchase window.",IF(I28=0,"No new evergreen decor required; other progression beats carry this level.","Optional cosmetic choices; no fish power.")))))</x:f>
        <x:v>Optional cosmetic choices; no fish power.</x:v>
      </x:c>
    </x:row>
    <x:row r="29" ht="48" customHeight="1">
      <x:c r="A29" s="217" t="n">
        <x:v>25</x:v>
      </x:c>
      <x:c r="B29" s="192" t="str">
        <x:f>IF(A29&lt;='Decor Guide'!$B$12,"Launch",IF(A29&lt;='Decor Guide'!$B$13,"Wave 1",IF(A29&lt;='Decor Guide'!$B$14,"Wave 2","Wave 3")))</x:f>
        <x:v>Launch</x:v>
      </x:c>
      <x:c r="C29" s="199" t="n">
        <x:f>COUNTIFS('Decor Catalog'!$H$5:$H$124,A29,'Decor Catalog'!$I$5:$I$124,"Coins",'Decor Catalog'!$C$5:$C$124,"Plant",'Decor Catalog'!$F$5:$F$124,"&lt;&gt;Limited Edition")</x:f>
        <x:v>0</x:v>
      </x:c>
      <x:c r="D29" s="199" t="n">
        <x:f>COUNTIFS('Decor Catalog'!$H$5:$H$124,A29,'Decor Catalog'!$I$5:$I$124,"Coins",'Decor Catalog'!$C$5:$C$124,"Decoration",'Decor Catalog'!$F$5:$F$124,"&lt;&gt;Limited Edition")</x:f>
        <x:v>1</x:v>
      </x:c>
      <x:c r="E29" s="199" t="n">
        <x:f>COUNTIFS('Decor Catalog'!$H$5:$H$124,A29,'Decor Catalog'!$I$5:$I$124,"Pearls",'Decor Catalog'!$C$5:$C$124,"Plant",'Decor Catalog'!$F$5:$F$124,"&lt;&gt;Limited Edition")</x:f>
        <x:v>0</x:v>
      </x:c>
      <x:c r="F29" s="199" t="n">
        <x:f>COUNTIFS('Decor Catalog'!$H$5:$H$124,A29,'Decor Catalog'!$I$5:$I$124,"Pearls",'Decor Catalog'!$C$5:$C$124,"Decoration",'Decor Catalog'!$F$5:$F$124,"&lt;&gt;Limited Edition")</x:f>
        <x:v>0</x:v>
      </x:c>
      <x:c r="G29" s="199" t="n">
        <x:f>COUNTIFS('Decor Catalog'!$H$5:$H$124,A29,'Decor Catalog'!$I$5:$I$124,"Coins",'Decor Catalog'!$F$5:$F$124,"Limited Edition")</x:f>
        <x:v>0</x:v>
      </x:c>
      <x:c r="H29" s="199" t="n">
        <x:f>COUNTIFS('Decor Catalog'!$H$5:$H$124,A29,'Decor Catalog'!$I$5:$I$124,"Pearls",'Decor Catalog'!$F$5:$F$124,"Limited Edition")</x:f>
        <x:v>0</x:v>
      </x:c>
      <x:c r="I29" s="199" t="n">
        <x:f>SUM(C29:F29)</x:f>
        <x:v>1</x:v>
      </x:c>
      <x:c r="J29" s="199" t="n">
        <x:f>SUMIF('Decor Catalog'!$H$5:$H$124,A29,'Decor Catalog'!$K$5:$K$124)</x:f>
        <x:v>120</x:v>
      </x:c>
      <x:c r="K29" s="192" t="str">
        <x:f>IF(A29=1,"CP-01 tutorial: 15 total XP including top-up. Anniversary Coin item is optional.",IF(A29=2,"Preserve the 1-Pearl fish teaching beat; no decor offer before onboarding ends.",IF(A29=40,"Existing launch cap. Higher-level decor is roadmap-only.",IF(SUM(G29:H29)&gt;0,"Event items also require their active purchase window.",IF(I29=0,"No new evergreen decor required; other progression beats carry this level.","Optional cosmetic choices; no fish power.")))))</x:f>
        <x:v>Optional cosmetic choices; no fish power.</x:v>
      </x:c>
    </x:row>
    <x:row r="30" ht="48" customHeight="1">
      <x:c r="A30" s="217" t="n">
        <x:v>26</x:v>
      </x:c>
      <x:c r="B30" s="192" t="str">
        <x:f>IF(A30&lt;='Decor Guide'!$B$12,"Launch",IF(A30&lt;='Decor Guide'!$B$13,"Wave 1",IF(A30&lt;='Decor Guide'!$B$14,"Wave 2","Wave 3")))</x:f>
        <x:v>Launch</x:v>
      </x:c>
      <x:c r="C30" s="199" t="n">
        <x:f>COUNTIFS('Decor Catalog'!$H$5:$H$124,A30,'Decor Catalog'!$I$5:$I$124,"Coins",'Decor Catalog'!$C$5:$C$124,"Plant",'Decor Catalog'!$F$5:$F$124,"&lt;&gt;Limited Edition")</x:f>
        <x:v>1</x:v>
      </x:c>
      <x:c r="D30" s="199" t="n">
        <x:f>COUNTIFS('Decor Catalog'!$H$5:$H$124,A30,'Decor Catalog'!$I$5:$I$124,"Coins",'Decor Catalog'!$C$5:$C$124,"Decoration",'Decor Catalog'!$F$5:$F$124,"&lt;&gt;Limited Edition")</x:f>
        <x:v>0</x:v>
      </x:c>
      <x:c r="E30" s="199" t="n">
        <x:f>COUNTIFS('Decor Catalog'!$H$5:$H$124,A30,'Decor Catalog'!$I$5:$I$124,"Pearls",'Decor Catalog'!$C$5:$C$124,"Plant",'Decor Catalog'!$F$5:$F$124,"&lt;&gt;Limited Edition")</x:f>
        <x:v>0</x:v>
      </x:c>
      <x:c r="F30" s="199" t="n">
        <x:f>COUNTIFS('Decor Catalog'!$H$5:$H$124,A30,'Decor Catalog'!$I$5:$I$124,"Pearls",'Decor Catalog'!$C$5:$C$124,"Decoration",'Decor Catalog'!$F$5:$F$124,"&lt;&gt;Limited Edition")</x:f>
        <x:v>1</x:v>
      </x:c>
      <x:c r="G30" s="199" t="n">
        <x:f>COUNTIFS('Decor Catalog'!$H$5:$H$124,A30,'Decor Catalog'!$I$5:$I$124,"Coins",'Decor Catalog'!$F$5:$F$124,"Limited Edition")</x:f>
        <x:v>0</x:v>
      </x:c>
      <x:c r="H30" s="199" t="n">
        <x:f>COUNTIFS('Decor Catalog'!$H$5:$H$124,A30,'Decor Catalog'!$I$5:$I$124,"Pearls",'Decor Catalog'!$F$5:$F$124,"Limited Edition")</x:f>
        <x:v>0</x:v>
      </x:c>
      <x:c r="I30" s="199" t="n">
        <x:f>SUM(C30:F30)</x:f>
        <x:v>2</x:v>
      </x:c>
      <x:c r="J30" s="199" t="n">
        <x:f>SUMIF('Decor Catalog'!$H$5:$H$124,A30,'Decor Catalog'!$K$5:$K$124)</x:f>
        <x:v>234</x:v>
      </x:c>
      <x:c r="K30" s="192" t="str">
        <x:f>IF(A30=1,"CP-01 tutorial: 15 total XP including top-up. Anniversary Coin item is optional.",IF(A30=2,"Preserve the 1-Pearl fish teaching beat; no decor offer before onboarding ends.",IF(A30=40,"Existing launch cap. Higher-level decor is roadmap-only.",IF(SUM(G30:H30)&gt;0,"Event items also require their active purchase window.",IF(I30=0,"No new evergreen decor required; other progression beats carry this level.","Optional cosmetic choices; no fish power.")))))</x:f>
        <x:v>Optional cosmetic choices; no fish power.</x:v>
      </x:c>
    </x:row>
    <x:row r="31" ht="48" customHeight="1">
      <x:c r="A31" s="217" t="n">
        <x:v>27</x:v>
      </x:c>
      <x:c r="B31" s="192" t="str">
        <x:f>IF(A31&lt;='Decor Guide'!$B$12,"Launch",IF(A31&lt;='Decor Guide'!$B$13,"Wave 1",IF(A31&lt;='Decor Guide'!$B$14,"Wave 2","Wave 3")))</x:f>
        <x:v>Launch</x:v>
      </x:c>
      <x:c r="C31" s="199" t="n">
        <x:f>COUNTIFS('Decor Catalog'!$H$5:$H$124,A31,'Decor Catalog'!$I$5:$I$124,"Coins",'Decor Catalog'!$C$5:$C$124,"Plant",'Decor Catalog'!$F$5:$F$124,"&lt;&gt;Limited Edition")</x:f>
        <x:v>0</x:v>
      </x:c>
      <x:c r="D31" s="199" t="n">
        <x:f>COUNTIFS('Decor Catalog'!$H$5:$H$124,A31,'Decor Catalog'!$I$5:$I$124,"Coins",'Decor Catalog'!$C$5:$C$124,"Decoration",'Decor Catalog'!$F$5:$F$124,"&lt;&gt;Limited Edition")</x:f>
        <x:v>1</x:v>
      </x:c>
      <x:c r="E31" s="199" t="n">
        <x:f>COUNTIFS('Decor Catalog'!$H$5:$H$124,A31,'Decor Catalog'!$I$5:$I$124,"Pearls",'Decor Catalog'!$C$5:$C$124,"Plant",'Decor Catalog'!$F$5:$F$124,"&lt;&gt;Limited Edition")</x:f>
        <x:v>0</x:v>
      </x:c>
      <x:c r="F31" s="199" t="n">
        <x:f>COUNTIFS('Decor Catalog'!$H$5:$H$124,A31,'Decor Catalog'!$I$5:$I$124,"Pearls",'Decor Catalog'!$C$5:$C$124,"Decoration",'Decor Catalog'!$F$5:$F$124,"&lt;&gt;Limited Edition")</x:f>
        <x:v>0</x:v>
      </x:c>
      <x:c r="G31" s="199" t="n">
        <x:f>COUNTIFS('Decor Catalog'!$H$5:$H$124,A31,'Decor Catalog'!$I$5:$I$124,"Coins",'Decor Catalog'!$F$5:$F$124,"Limited Edition")</x:f>
        <x:v>0</x:v>
      </x:c>
      <x:c r="H31" s="199" t="n">
        <x:f>COUNTIFS('Decor Catalog'!$H$5:$H$124,A31,'Decor Catalog'!$I$5:$I$124,"Pearls",'Decor Catalog'!$F$5:$F$124,"Limited Edition")</x:f>
        <x:v>0</x:v>
      </x:c>
      <x:c r="I31" s="199" t="n">
        <x:f>SUM(C31:F31)</x:f>
        <x:v>1</x:v>
      </x:c>
      <x:c r="J31" s="199" t="n">
        <x:f>SUMIF('Decor Catalog'!$H$5:$H$124,A31,'Decor Catalog'!$K$5:$K$124)</x:f>
        <x:v>120</x:v>
      </x:c>
      <x:c r="K31" s="192" t="str">
        <x:f>IF(A31=1,"CP-01 tutorial: 15 total XP including top-up. Anniversary Coin item is optional.",IF(A31=2,"Preserve the 1-Pearl fish teaching beat; no decor offer before onboarding ends.",IF(A31=40,"Existing launch cap. Higher-level decor is roadmap-only.",IF(SUM(G31:H31)&gt;0,"Event items also require their active purchase window.",IF(I31=0,"No new evergreen decor required; other progression beats carry this level.","Optional cosmetic choices; no fish power.")))))</x:f>
        <x:v>Optional cosmetic choices; no fish power.</x:v>
      </x:c>
    </x:row>
    <x:row r="32" ht="48" customHeight="1">
      <x:c r="A32" s="217" t="n">
        <x:v>28</x:v>
      </x:c>
      <x:c r="B32" s="192" t="str">
        <x:f>IF(A32&lt;='Decor Guide'!$B$12,"Launch",IF(A32&lt;='Decor Guide'!$B$13,"Wave 1",IF(A32&lt;='Decor Guide'!$B$14,"Wave 2","Wave 3")))</x:f>
        <x:v>Launch</x:v>
      </x:c>
      <x:c r="C32" s="199" t="n">
        <x:f>COUNTIFS('Decor Catalog'!$H$5:$H$124,A32,'Decor Catalog'!$I$5:$I$124,"Coins",'Decor Catalog'!$C$5:$C$124,"Plant",'Decor Catalog'!$F$5:$F$124,"&lt;&gt;Limited Edition")</x:f>
        <x:v>1</x:v>
      </x:c>
      <x:c r="D32" s="199" t="n">
        <x:f>COUNTIFS('Decor Catalog'!$H$5:$H$124,A32,'Decor Catalog'!$I$5:$I$124,"Coins",'Decor Catalog'!$C$5:$C$124,"Decoration",'Decor Catalog'!$F$5:$F$124,"&lt;&gt;Limited Edition")</x:f>
        <x:v>0</x:v>
      </x:c>
      <x:c r="E32" s="199" t="n">
        <x:f>COUNTIFS('Decor Catalog'!$H$5:$H$124,A32,'Decor Catalog'!$I$5:$I$124,"Pearls",'Decor Catalog'!$C$5:$C$124,"Plant",'Decor Catalog'!$F$5:$F$124,"&lt;&gt;Limited Edition")</x:f>
        <x:v>1</x:v>
      </x:c>
      <x:c r="F32" s="199" t="n">
        <x:f>COUNTIFS('Decor Catalog'!$H$5:$H$124,A32,'Decor Catalog'!$I$5:$I$124,"Pearls",'Decor Catalog'!$C$5:$C$124,"Decoration",'Decor Catalog'!$F$5:$F$124,"&lt;&gt;Limited Edition")</x:f>
        <x:v>0</x:v>
      </x:c>
      <x:c r="G32" s="199" t="n">
        <x:f>COUNTIFS('Decor Catalog'!$H$5:$H$124,A32,'Decor Catalog'!$I$5:$I$124,"Coins",'Decor Catalog'!$F$5:$F$124,"Limited Edition")</x:f>
        <x:v>0</x:v>
      </x:c>
      <x:c r="H32" s="199" t="n">
        <x:f>COUNTIFS('Decor Catalog'!$H$5:$H$124,A32,'Decor Catalog'!$I$5:$I$124,"Pearls",'Decor Catalog'!$F$5:$F$124,"Limited Edition")</x:f>
        <x:v>0</x:v>
      </x:c>
      <x:c r="I32" s="199" t="n">
        <x:f>SUM(C32:F32)</x:f>
        <x:v>2</x:v>
      </x:c>
      <x:c r="J32" s="199" t="n">
        <x:f>SUMIF('Decor Catalog'!$H$5:$H$124,A32,'Decor Catalog'!$K$5:$K$124)</x:f>
        <x:v>240</x:v>
      </x:c>
      <x:c r="K32" s="192" t="str">
        <x:f>IF(A32=1,"CP-01 tutorial: 15 total XP including top-up. Anniversary Coin item is optional.",IF(A32=2,"Preserve the 1-Pearl fish teaching beat; no decor offer before onboarding ends.",IF(A32=40,"Existing launch cap. Higher-level decor is roadmap-only.",IF(SUM(G32:H32)&gt;0,"Event items also require their active purchase window.",IF(I32=0,"No new evergreen decor required; other progression beats carry this level.","Optional cosmetic choices; no fish power.")))))</x:f>
        <x:v>Optional cosmetic choices; no fish power.</x:v>
      </x:c>
    </x:row>
    <x:row r="33" ht="48" customHeight="1">
      <x:c r="A33" s="217" t="n">
        <x:v>29</x:v>
      </x:c>
      <x:c r="B33" s="192" t="str">
        <x:f>IF(A33&lt;='Decor Guide'!$B$12,"Launch",IF(A33&lt;='Decor Guide'!$B$13,"Wave 1",IF(A33&lt;='Decor Guide'!$B$14,"Wave 2","Wave 3")))</x:f>
        <x:v>Launch</x:v>
      </x:c>
      <x:c r="C33" s="199" t="n">
        <x:f>COUNTIFS('Decor Catalog'!$H$5:$H$124,A33,'Decor Catalog'!$I$5:$I$124,"Coins",'Decor Catalog'!$C$5:$C$124,"Plant",'Decor Catalog'!$F$5:$F$124,"&lt;&gt;Limited Edition")</x:f>
        <x:v>0</x:v>
      </x:c>
      <x:c r="D33" s="199" t="n">
        <x:f>COUNTIFS('Decor Catalog'!$H$5:$H$124,A33,'Decor Catalog'!$I$5:$I$124,"Coins",'Decor Catalog'!$C$5:$C$124,"Decoration",'Decor Catalog'!$F$5:$F$124,"&lt;&gt;Limited Edition")</x:f>
        <x:v>1</x:v>
      </x:c>
      <x:c r="E33" s="199" t="n">
        <x:f>COUNTIFS('Decor Catalog'!$H$5:$H$124,A33,'Decor Catalog'!$I$5:$I$124,"Pearls",'Decor Catalog'!$C$5:$C$124,"Plant",'Decor Catalog'!$F$5:$F$124,"&lt;&gt;Limited Edition")</x:f>
        <x:v>0</x:v>
      </x:c>
      <x:c r="F33" s="199" t="n">
        <x:f>COUNTIFS('Decor Catalog'!$H$5:$H$124,A33,'Decor Catalog'!$I$5:$I$124,"Pearls",'Decor Catalog'!$C$5:$C$124,"Decoration",'Decor Catalog'!$F$5:$F$124,"&lt;&gt;Limited Edition")</x:f>
        <x:v>0</x:v>
      </x:c>
      <x:c r="G33" s="199" t="n">
        <x:f>COUNTIFS('Decor Catalog'!$H$5:$H$124,A33,'Decor Catalog'!$I$5:$I$124,"Coins",'Decor Catalog'!$F$5:$F$124,"Limited Edition")</x:f>
        <x:v>0</x:v>
      </x:c>
      <x:c r="H33" s="199" t="n">
        <x:f>COUNTIFS('Decor Catalog'!$H$5:$H$124,A33,'Decor Catalog'!$I$5:$I$124,"Pearls",'Decor Catalog'!$F$5:$F$124,"Limited Edition")</x:f>
        <x:v>0</x:v>
      </x:c>
      <x:c r="I33" s="199" t="n">
        <x:f>SUM(C33:F33)</x:f>
        <x:v>1</x:v>
      </x:c>
      <x:c r="J33" s="199" t="n">
        <x:f>SUMIF('Decor Catalog'!$H$5:$H$124,A33,'Decor Catalog'!$K$5:$K$124)</x:f>
        <x:v>120</x:v>
      </x:c>
      <x:c r="K33" s="192" t="str">
        <x:f>IF(A33=1,"CP-01 tutorial: 15 total XP including top-up. Anniversary Coin item is optional.",IF(A33=2,"Preserve the 1-Pearl fish teaching beat; no decor offer before onboarding ends.",IF(A33=40,"Existing launch cap. Higher-level decor is roadmap-only.",IF(SUM(G33:H33)&gt;0,"Event items also require their active purchase window.",IF(I33=0,"No new evergreen decor required; other progression beats carry this level.","Optional cosmetic choices; no fish power.")))))</x:f>
        <x:v>Optional cosmetic choices; no fish power.</x:v>
      </x:c>
    </x:row>
    <x:row r="34" ht="48" customHeight="1">
      <x:c r="A34" s="217" t="n">
        <x:v>30</x:v>
      </x:c>
      <x:c r="B34" s="192" t="str">
        <x:f>IF(A34&lt;='Decor Guide'!$B$12,"Launch",IF(A34&lt;='Decor Guide'!$B$13,"Wave 1",IF(A34&lt;='Decor Guide'!$B$14,"Wave 2","Wave 3")))</x:f>
        <x:v>Launch</x:v>
      </x:c>
      <x:c r="C34" s="199" t="n">
        <x:f>COUNTIFS('Decor Catalog'!$H$5:$H$124,A34,'Decor Catalog'!$I$5:$I$124,"Coins",'Decor Catalog'!$C$5:$C$124,"Plant",'Decor Catalog'!$F$5:$F$124,"&lt;&gt;Limited Edition")</x:f>
        <x:v>1</x:v>
      </x:c>
      <x:c r="D34" s="199" t="n">
        <x:f>COUNTIFS('Decor Catalog'!$H$5:$H$124,A34,'Decor Catalog'!$I$5:$I$124,"Coins",'Decor Catalog'!$C$5:$C$124,"Decoration",'Decor Catalog'!$F$5:$F$124,"&lt;&gt;Limited Edition")</x:f>
        <x:v>0</x:v>
      </x:c>
      <x:c r="E34" s="199" t="n">
        <x:f>COUNTIFS('Decor Catalog'!$H$5:$H$124,A34,'Decor Catalog'!$I$5:$I$124,"Pearls",'Decor Catalog'!$C$5:$C$124,"Plant",'Decor Catalog'!$F$5:$F$124,"&lt;&gt;Limited Edition")</x:f>
        <x:v>0</x:v>
      </x:c>
      <x:c r="F34" s="199" t="n">
        <x:f>COUNTIFS('Decor Catalog'!$H$5:$H$124,A34,'Decor Catalog'!$I$5:$I$124,"Pearls",'Decor Catalog'!$C$5:$C$124,"Decoration",'Decor Catalog'!$F$5:$F$124,"&lt;&gt;Limited Edition")</x:f>
        <x:v>1</x:v>
      </x:c>
      <x:c r="G34" s="199" t="n">
        <x:f>COUNTIFS('Decor Catalog'!$H$5:$H$124,A34,'Decor Catalog'!$I$5:$I$124,"Coins",'Decor Catalog'!$F$5:$F$124,"Limited Edition")</x:f>
        <x:v>0</x:v>
      </x:c>
      <x:c r="H34" s="199" t="n">
        <x:f>COUNTIFS('Decor Catalog'!$H$5:$H$124,A34,'Decor Catalog'!$I$5:$I$124,"Pearls",'Decor Catalog'!$F$5:$F$124,"Limited Edition")</x:f>
        <x:v>0</x:v>
      </x:c>
      <x:c r="I34" s="199" t="n">
        <x:f>SUM(C34:F34)</x:f>
        <x:v>2</x:v>
      </x:c>
      <x:c r="J34" s="199" t="n">
        <x:f>SUMIF('Decor Catalog'!$H$5:$H$124,A34,'Decor Catalog'!$K$5:$K$124)</x:f>
        <x:v>240</x:v>
      </x:c>
      <x:c r="K34" s="192" t="str">
        <x:f>IF(A34=1,"CP-01 tutorial: 15 total XP including top-up. Anniversary Coin item is optional.",IF(A34=2,"Preserve the 1-Pearl fish teaching beat; no decor offer before onboarding ends.",IF(A34=40,"Existing launch cap. Higher-level decor is roadmap-only.",IF(SUM(G34:H34)&gt;0,"Event items also require their active purchase window.",IF(I34=0,"No new evergreen decor required; other progression beats carry this level.","Optional cosmetic choices; no fish power.")))))</x:f>
        <x:v>Optional cosmetic choices; no fish power.</x:v>
      </x:c>
    </x:row>
    <x:row r="35" ht="48" customHeight="1">
      <x:c r="A35" s="217" t="n">
        <x:v>31</x:v>
      </x:c>
      <x:c r="B35" s="192" t="str">
        <x:f>IF(A35&lt;='Decor Guide'!$B$12,"Launch",IF(A35&lt;='Decor Guide'!$B$13,"Wave 1",IF(A35&lt;='Decor Guide'!$B$14,"Wave 2","Wave 3")))</x:f>
        <x:v>Launch</x:v>
      </x:c>
      <x:c r="C35" s="199" t="n">
        <x:f>COUNTIFS('Decor Catalog'!$H$5:$H$124,A35,'Decor Catalog'!$I$5:$I$124,"Coins",'Decor Catalog'!$C$5:$C$124,"Plant",'Decor Catalog'!$F$5:$F$124,"&lt;&gt;Limited Edition")</x:f>
        <x:v>0</x:v>
      </x:c>
      <x:c r="D35" s="199" t="n">
        <x:f>COUNTIFS('Decor Catalog'!$H$5:$H$124,A35,'Decor Catalog'!$I$5:$I$124,"Coins",'Decor Catalog'!$C$5:$C$124,"Decoration",'Decor Catalog'!$F$5:$F$124,"&lt;&gt;Limited Edition")</x:f>
        <x:v>1</x:v>
      </x:c>
      <x:c r="E35" s="199" t="n">
        <x:f>COUNTIFS('Decor Catalog'!$H$5:$H$124,A35,'Decor Catalog'!$I$5:$I$124,"Pearls",'Decor Catalog'!$C$5:$C$124,"Plant",'Decor Catalog'!$F$5:$F$124,"&lt;&gt;Limited Edition")</x:f>
        <x:v>0</x:v>
      </x:c>
      <x:c r="F35" s="199" t="n">
        <x:f>COUNTIFS('Decor Catalog'!$H$5:$H$124,A35,'Decor Catalog'!$I$5:$I$124,"Pearls",'Decor Catalog'!$C$5:$C$124,"Decoration",'Decor Catalog'!$F$5:$F$124,"&lt;&gt;Limited Edition")</x:f>
        <x:v>0</x:v>
      </x:c>
      <x:c r="G35" s="199" t="n">
        <x:f>COUNTIFS('Decor Catalog'!$H$5:$H$124,A35,'Decor Catalog'!$I$5:$I$124,"Coins",'Decor Catalog'!$F$5:$F$124,"Limited Edition")</x:f>
        <x:v>0</x:v>
      </x:c>
      <x:c r="H35" s="199" t="n">
        <x:f>COUNTIFS('Decor Catalog'!$H$5:$H$124,A35,'Decor Catalog'!$I$5:$I$124,"Pearls",'Decor Catalog'!$F$5:$F$124,"Limited Edition")</x:f>
        <x:v>0</x:v>
      </x:c>
      <x:c r="I35" s="199" t="n">
        <x:f>SUM(C35:F35)</x:f>
        <x:v>1</x:v>
      </x:c>
      <x:c r="J35" s="199" t="n">
        <x:f>SUMIF('Decor Catalog'!$H$5:$H$124,A35,'Decor Catalog'!$K$5:$K$124)</x:f>
        <x:v>120</x:v>
      </x:c>
      <x:c r="K35" s="192" t="str">
        <x:f>IF(A35=1,"CP-01 tutorial: 15 total XP including top-up. Anniversary Coin item is optional.",IF(A35=2,"Preserve the 1-Pearl fish teaching beat; no decor offer before onboarding ends.",IF(A35=40,"Existing launch cap. Higher-level decor is roadmap-only.",IF(SUM(G35:H35)&gt;0,"Event items also require their active purchase window.",IF(I35=0,"No new evergreen decor required; other progression beats carry this level.","Optional cosmetic choices; no fish power.")))))</x:f>
        <x:v>Optional cosmetic choices; no fish power.</x:v>
      </x:c>
    </x:row>
    <x:row r="36" ht="48" customHeight="1">
      <x:c r="A36" s="217" t="n">
        <x:v>32</x:v>
      </x:c>
      <x:c r="B36" s="192" t="str">
        <x:f>IF(A36&lt;='Decor Guide'!$B$12,"Launch",IF(A36&lt;='Decor Guide'!$B$13,"Wave 1",IF(A36&lt;='Decor Guide'!$B$14,"Wave 2","Wave 3")))</x:f>
        <x:v>Launch</x:v>
      </x:c>
      <x:c r="C36" s="199" t="n">
        <x:f>COUNTIFS('Decor Catalog'!$H$5:$H$124,A36,'Decor Catalog'!$I$5:$I$124,"Coins",'Decor Catalog'!$C$5:$C$124,"Plant",'Decor Catalog'!$F$5:$F$124,"&lt;&gt;Limited Edition")</x:f>
        <x:v>1</x:v>
      </x:c>
      <x:c r="D36" s="199" t="n">
        <x:f>COUNTIFS('Decor Catalog'!$H$5:$H$124,A36,'Decor Catalog'!$I$5:$I$124,"Coins",'Decor Catalog'!$C$5:$C$124,"Decoration",'Decor Catalog'!$F$5:$F$124,"&lt;&gt;Limited Edition")</x:f>
        <x:v>0</x:v>
      </x:c>
      <x:c r="E36" s="199" t="n">
        <x:f>COUNTIFS('Decor Catalog'!$H$5:$H$124,A36,'Decor Catalog'!$I$5:$I$124,"Pearls",'Decor Catalog'!$C$5:$C$124,"Plant",'Decor Catalog'!$F$5:$F$124,"&lt;&gt;Limited Edition")</x:f>
        <x:v>1</x:v>
      </x:c>
      <x:c r="F36" s="199" t="n">
        <x:f>COUNTIFS('Decor Catalog'!$H$5:$H$124,A36,'Decor Catalog'!$I$5:$I$124,"Pearls",'Decor Catalog'!$C$5:$C$124,"Decoration",'Decor Catalog'!$F$5:$F$124,"&lt;&gt;Limited Edition")</x:f>
        <x:v>0</x:v>
      </x:c>
      <x:c r="G36" s="199" t="n">
        <x:f>COUNTIFS('Decor Catalog'!$H$5:$H$124,A36,'Decor Catalog'!$I$5:$I$124,"Coins",'Decor Catalog'!$F$5:$F$124,"Limited Edition")</x:f>
        <x:v>0</x:v>
      </x:c>
      <x:c r="H36" s="199" t="n">
        <x:f>COUNTIFS('Decor Catalog'!$H$5:$H$124,A36,'Decor Catalog'!$I$5:$I$124,"Pearls",'Decor Catalog'!$F$5:$F$124,"Limited Edition")</x:f>
        <x:v>0</x:v>
      </x:c>
      <x:c r="I36" s="199" t="n">
        <x:f>SUM(C36:F36)</x:f>
        <x:v>2</x:v>
      </x:c>
      <x:c r="J36" s="199" t="n">
        <x:f>SUMIF('Decor Catalog'!$H$5:$H$124,A36,'Decor Catalog'!$K$5:$K$124)</x:f>
        <x:v>240</x:v>
      </x:c>
      <x:c r="K36" s="192" t="str">
        <x:f>IF(A36=1,"CP-01 tutorial: 15 total XP including top-up. Anniversary Coin item is optional.",IF(A36=2,"Preserve the 1-Pearl fish teaching beat; no decor offer before onboarding ends.",IF(A36=40,"Existing launch cap. Higher-level decor is roadmap-only.",IF(SUM(G36:H36)&gt;0,"Event items also require their active purchase window.",IF(I36=0,"No new evergreen decor required; other progression beats carry this level.","Optional cosmetic choices; no fish power.")))))</x:f>
        <x:v>Optional cosmetic choices; no fish power.</x:v>
      </x:c>
    </x:row>
    <x:row r="37" ht="48" customHeight="1">
      <x:c r="A37" s="217" t="n">
        <x:v>33</x:v>
      </x:c>
      <x:c r="B37" s="192" t="str">
        <x:f>IF(A37&lt;='Decor Guide'!$B$12,"Launch",IF(A37&lt;='Decor Guide'!$B$13,"Wave 1",IF(A37&lt;='Decor Guide'!$B$14,"Wave 2","Wave 3")))</x:f>
        <x:v>Launch</x:v>
      </x:c>
      <x:c r="C37" s="199" t="n">
        <x:f>COUNTIFS('Decor Catalog'!$H$5:$H$124,A37,'Decor Catalog'!$I$5:$I$124,"Coins",'Decor Catalog'!$C$5:$C$124,"Plant",'Decor Catalog'!$F$5:$F$124,"&lt;&gt;Limited Edition")</x:f>
        <x:v>0</x:v>
      </x:c>
      <x:c r="D37" s="199" t="n">
        <x:f>COUNTIFS('Decor Catalog'!$H$5:$H$124,A37,'Decor Catalog'!$I$5:$I$124,"Coins",'Decor Catalog'!$C$5:$C$124,"Decoration",'Decor Catalog'!$F$5:$F$124,"&lt;&gt;Limited Edition")</x:f>
        <x:v>1</x:v>
      </x:c>
      <x:c r="E37" s="199" t="n">
        <x:f>COUNTIFS('Decor Catalog'!$H$5:$H$124,A37,'Decor Catalog'!$I$5:$I$124,"Pearls",'Decor Catalog'!$C$5:$C$124,"Plant",'Decor Catalog'!$F$5:$F$124,"&lt;&gt;Limited Edition")</x:f>
        <x:v>0</x:v>
      </x:c>
      <x:c r="F37" s="199" t="n">
        <x:f>COUNTIFS('Decor Catalog'!$H$5:$H$124,A37,'Decor Catalog'!$I$5:$I$124,"Pearls",'Decor Catalog'!$C$5:$C$124,"Decoration",'Decor Catalog'!$F$5:$F$124,"&lt;&gt;Limited Edition")</x:f>
        <x:v>0</x:v>
      </x:c>
      <x:c r="G37" s="199" t="n">
        <x:f>COUNTIFS('Decor Catalog'!$H$5:$H$124,A37,'Decor Catalog'!$I$5:$I$124,"Coins",'Decor Catalog'!$F$5:$F$124,"Limited Edition")</x:f>
        <x:v>0</x:v>
      </x:c>
      <x:c r="H37" s="199" t="n">
        <x:f>COUNTIFS('Decor Catalog'!$H$5:$H$124,A37,'Decor Catalog'!$I$5:$I$124,"Pearls",'Decor Catalog'!$F$5:$F$124,"Limited Edition")</x:f>
        <x:v>0</x:v>
      </x:c>
      <x:c r="I37" s="199" t="n">
        <x:f>SUM(C37:F37)</x:f>
        <x:v>1</x:v>
      </x:c>
      <x:c r="J37" s="199" t="n">
        <x:f>SUMIF('Decor Catalog'!$H$5:$H$124,A37,'Decor Catalog'!$K$5:$K$124)</x:f>
        <x:v>120</x:v>
      </x:c>
      <x:c r="K37" s="192" t="str">
        <x:f>IF(A37=1,"CP-01 tutorial: 15 total XP including top-up. Anniversary Coin item is optional.",IF(A37=2,"Preserve the 1-Pearl fish teaching beat; no decor offer before onboarding ends.",IF(A37=40,"Existing launch cap. Higher-level decor is roadmap-only.",IF(SUM(G37:H37)&gt;0,"Event items also require their active purchase window.",IF(I37=0,"No new evergreen decor required; other progression beats carry this level.","Optional cosmetic choices; no fish power.")))))</x:f>
        <x:v>Optional cosmetic choices; no fish power.</x:v>
      </x:c>
    </x:row>
    <x:row r="38" ht="48" customHeight="1">
      <x:c r="A38" s="217" t="n">
        <x:v>34</x:v>
      </x:c>
      <x:c r="B38" s="192" t="str">
        <x:f>IF(A38&lt;='Decor Guide'!$B$12,"Launch",IF(A38&lt;='Decor Guide'!$B$13,"Wave 1",IF(A38&lt;='Decor Guide'!$B$14,"Wave 2","Wave 3")))</x:f>
        <x:v>Launch</x:v>
      </x:c>
      <x:c r="C38" s="199" t="n">
        <x:f>COUNTIFS('Decor Catalog'!$H$5:$H$124,A38,'Decor Catalog'!$I$5:$I$124,"Coins",'Decor Catalog'!$C$5:$C$124,"Plant",'Decor Catalog'!$F$5:$F$124,"&lt;&gt;Limited Edition")</x:f>
        <x:v>1</x:v>
      </x:c>
      <x:c r="D38" s="199" t="n">
        <x:f>COUNTIFS('Decor Catalog'!$H$5:$H$124,A38,'Decor Catalog'!$I$5:$I$124,"Coins",'Decor Catalog'!$C$5:$C$124,"Decoration",'Decor Catalog'!$F$5:$F$124,"&lt;&gt;Limited Edition")</x:f>
        <x:v>0</x:v>
      </x:c>
      <x:c r="E38" s="199" t="n">
        <x:f>COUNTIFS('Decor Catalog'!$H$5:$H$124,A38,'Decor Catalog'!$I$5:$I$124,"Pearls",'Decor Catalog'!$C$5:$C$124,"Plant",'Decor Catalog'!$F$5:$F$124,"&lt;&gt;Limited Edition")</x:f>
        <x:v>0</x:v>
      </x:c>
      <x:c r="F38" s="199" t="n">
        <x:f>COUNTIFS('Decor Catalog'!$H$5:$H$124,A38,'Decor Catalog'!$I$5:$I$124,"Pearls",'Decor Catalog'!$C$5:$C$124,"Decoration",'Decor Catalog'!$F$5:$F$124,"&lt;&gt;Limited Edition")</x:f>
        <x:v>1</x:v>
      </x:c>
      <x:c r="G38" s="199" t="n">
        <x:f>COUNTIFS('Decor Catalog'!$H$5:$H$124,A38,'Decor Catalog'!$I$5:$I$124,"Coins",'Decor Catalog'!$F$5:$F$124,"Limited Edition")</x:f>
        <x:v>0</x:v>
      </x:c>
      <x:c r="H38" s="199" t="n">
        <x:f>COUNTIFS('Decor Catalog'!$H$5:$H$124,A38,'Decor Catalog'!$I$5:$I$124,"Pearls",'Decor Catalog'!$F$5:$F$124,"Limited Edition")</x:f>
        <x:v>0</x:v>
      </x:c>
      <x:c r="I38" s="199" t="n">
        <x:f>SUM(C38:F38)</x:f>
        <x:v>2</x:v>
      </x:c>
      <x:c r="J38" s="199" t="n">
        <x:f>SUMIF('Decor Catalog'!$H$5:$H$124,A38,'Decor Catalog'!$K$5:$K$124)</x:f>
        <x:v>240</x:v>
      </x:c>
      <x:c r="K38" s="192" t="str">
        <x:f>IF(A38=1,"CP-01 tutorial: 15 total XP including top-up. Anniversary Coin item is optional.",IF(A38=2,"Preserve the 1-Pearl fish teaching beat; no decor offer before onboarding ends.",IF(A38=40,"Existing launch cap. Higher-level decor is roadmap-only.",IF(SUM(G38:H38)&gt;0,"Event items also require their active purchase window.",IF(I38=0,"No new evergreen decor required; other progression beats carry this level.","Optional cosmetic choices; no fish power.")))))</x:f>
        <x:v>Optional cosmetic choices; no fish power.</x:v>
      </x:c>
    </x:row>
    <x:row r="39" ht="48" customHeight="1">
      <x:c r="A39" s="217" t="n">
        <x:v>35</x:v>
      </x:c>
      <x:c r="B39" s="192" t="str">
        <x:f>IF(A39&lt;='Decor Guide'!$B$12,"Launch",IF(A39&lt;='Decor Guide'!$B$13,"Wave 1",IF(A39&lt;='Decor Guide'!$B$14,"Wave 2","Wave 3")))</x:f>
        <x:v>Launch</x:v>
      </x:c>
      <x:c r="C39" s="199" t="n">
        <x:f>COUNTIFS('Decor Catalog'!$H$5:$H$124,A39,'Decor Catalog'!$I$5:$I$124,"Coins",'Decor Catalog'!$C$5:$C$124,"Plant",'Decor Catalog'!$F$5:$F$124,"&lt;&gt;Limited Edition")</x:f>
        <x:v>0</x:v>
      </x:c>
      <x:c r="D39" s="199" t="n">
        <x:f>COUNTIFS('Decor Catalog'!$H$5:$H$124,A39,'Decor Catalog'!$I$5:$I$124,"Coins",'Decor Catalog'!$C$5:$C$124,"Decoration",'Decor Catalog'!$F$5:$F$124,"&lt;&gt;Limited Edition")</x:f>
        <x:v>1</x:v>
      </x:c>
      <x:c r="E39" s="199" t="n">
        <x:f>COUNTIFS('Decor Catalog'!$H$5:$H$124,A39,'Decor Catalog'!$I$5:$I$124,"Pearls",'Decor Catalog'!$C$5:$C$124,"Plant",'Decor Catalog'!$F$5:$F$124,"&lt;&gt;Limited Edition")</x:f>
        <x:v>0</x:v>
      </x:c>
      <x:c r="F39" s="199" t="n">
        <x:f>COUNTIFS('Decor Catalog'!$H$5:$H$124,A39,'Decor Catalog'!$I$5:$I$124,"Pearls",'Decor Catalog'!$C$5:$C$124,"Decoration",'Decor Catalog'!$F$5:$F$124,"&lt;&gt;Limited Edition")</x:f>
        <x:v>0</x:v>
      </x:c>
      <x:c r="G39" s="199" t="n">
        <x:f>COUNTIFS('Decor Catalog'!$H$5:$H$124,A39,'Decor Catalog'!$I$5:$I$124,"Coins",'Decor Catalog'!$F$5:$F$124,"Limited Edition")</x:f>
        <x:v>0</x:v>
      </x:c>
      <x:c r="H39" s="199" t="n">
        <x:f>COUNTIFS('Decor Catalog'!$H$5:$H$124,A39,'Decor Catalog'!$I$5:$I$124,"Pearls",'Decor Catalog'!$F$5:$F$124,"Limited Edition")</x:f>
        <x:v>0</x:v>
      </x:c>
      <x:c r="I39" s="199" t="n">
        <x:f>SUM(C39:F39)</x:f>
        <x:v>1</x:v>
      </x:c>
      <x:c r="J39" s="199" t="n">
        <x:f>SUMIF('Decor Catalog'!$H$5:$H$124,A39,'Decor Catalog'!$K$5:$K$124)</x:f>
        <x:v>120</x:v>
      </x:c>
      <x:c r="K39" s="192" t="str">
        <x:f>IF(A39=1,"CP-01 tutorial: 15 total XP including top-up. Anniversary Coin item is optional.",IF(A39=2,"Preserve the 1-Pearl fish teaching beat; no decor offer before onboarding ends.",IF(A39=40,"Existing launch cap. Higher-level decor is roadmap-only.",IF(SUM(G39:H39)&gt;0,"Event items also require their active purchase window.",IF(I39=0,"No new evergreen decor required; other progression beats carry this level.","Optional cosmetic choices; no fish power.")))))</x:f>
        <x:v>Optional cosmetic choices; no fish power.</x:v>
      </x:c>
    </x:row>
    <x:row r="40" ht="48" customHeight="1">
      <x:c r="A40" s="217" t="n">
        <x:v>36</x:v>
      </x:c>
      <x:c r="B40" s="192" t="str">
        <x:f>IF(A40&lt;='Decor Guide'!$B$12,"Launch",IF(A40&lt;='Decor Guide'!$B$13,"Wave 1",IF(A40&lt;='Decor Guide'!$B$14,"Wave 2","Wave 3")))</x:f>
        <x:v>Launch</x:v>
      </x:c>
      <x:c r="C40" s="199" t="n">
        <x:f>COUNTIFS('Decor Catalog'!$H$5:$H$124,A40,'Decor Catalog'!$I$5:$I$124,"Coins",'Decor Catalog'!$C$5:$C$124,"Plant",'Decor Catalog'!$F$5:$F$124,"&lt;&gt;Limited Edition")</x:f>
        <x:v>1</x:v>
      </x:c>
      <x:c r="D40" s="199" t="n">
        <x:f>COUNTIFS('Decor Catalog'!$H$5:$H$124,A40,'Decor Catalog'!$I$5:$I$124,"Coins",'Decor Catalog'!$C$5:$C$124,"Decoration",'Decor Catalog'!$F$5:$F$124,"&lt;&gt;Limited Edition")</x:f>
        <x:v>0</x:v>
      </x:c>
      <x:c r="E40" s="199" t="n">
        <x:f>COUNTIFS('Decor Catalog'!$H$5:$H$124,A40,'Decor Catalog'!$I$5:$I$124,"Pearls",'Decor Catalog'!$C$5:$C$124,"Plant",'Decor Catalog'!$F$5:$F$124,"&lt;&gt;Limited Edition")</x:f>
        <x:v>1</x:v>
      </x:c>
      <x:c r="F40" s="199" t="n">
        <x:f>COUNTIFS('Decor Catalog'!$H$5:$H$124,A40,'Decor Catalog'!$I$5:$I$124,"Pearls",'Decor Catalog'!$C$5:$C$124,"Decoration",'Decor Catalog'!$F$5:$F$124,"&lt;&gt;Limited Edition")</x:f>
        <x:v>0</x:v>
      </x:c>
      <x:c r="G40" s="199" t="n">
        <x:f>COUNTIFS('Decor Catalog'!$H$5:$H$124,A40,'Decor Catalog'!$I$5:$I$124,"Coins",'Decor Catalog'!$F$5:$F$124,"Limited Edition")</x:f>
        <x:v>0</x:v>
      </x:c>
      <x:c r="H40" s="199" t="n">
        <x:f>COUNTIFS('Decor Catalog'!$H$5:$H$124,A40,'Decor Catalog'!$I$5:$I$124,"Pearls",'Decor Catalog'!$F$5:$F$124,"Limited Edition")</x:f>
        <x:v>0</x:v>
      </x:c>
      <x:c r="I40" s="199" t="n">
        <x:f>SUM(C40:F40)</x:f>
        <x:v>2</x:v>
      </x:c>
      <x:c r="J40" s="199" t="n">
        <x:f>SUMIF('Decor Catalog'!$H$5:$H$124,A40,'Decor Catalog'!$K$5:$K$124)</x:f>
        <x:v>240</x:v>
      </x:c>
      <x:c r="K40" s="192" t="str">
        <x:f>IF(A40=1,"CP-01 tutorial: 15 total XP including top-up. Anniversary Coin item is optional.",IF(A40=2,"Preserve the 1-Pearl fish teaching beat; no decor offer before onboarding ends.",IF(A40=40,"Existing launch cap. Higher-level decor is roadmap-only.",IF(SUM(G40:H40)&gt;0,"Event items also require their active purchase window.",IF(I40=0,"No new evergreen decor required; other progression beats carry this level.","Optional cosmetic choices; no fish power.")))))</x:f>
        <x:v>Optional cosmetic choices; no fish power.</x:v>
      </x:c>
    </x:row>
    <x:row r="41" ht="48" customHeight="1">
      <x:c r="A41" s="217" t="n">
        <x:v>37</x:v>
      </x:c>
      <x:c r="B41" s="192" t="str">
        <x:f>IF(A41&lt;='Decor Guide'!$B$12,"Launch",IF(A41&lt;='Decor Guide'!$B$13,"Wave 1",IF(A41&lt;='Decor Guide'!$B$14,"Wave 2","Wave 3")))</x:f>
        <x:v>Launch</x:v>
      </x:c>
      <x:c r="C41" s="199" t="n">
        <x:f>COUNTIFS('Decor Catalog'!$H$5:$H$124,A41,'Decor Catalog'!$I$5:$I$124,"Coins",'Decor Catalog'!$C$5:$C$124,"Plant",'Decor Catalog'!$F$5:$F$124,"&lt;&gt;Limited Edition")</x:f>
        <x:v>0</x:v>
      </x:c>
      <x:c r="D41" s="199" t="n">
        <x:f>COUNTIFS('Decor Catalog'!$H$5:$H$124,A41,'Decor Catalog'!$I$5:$I$124,"Coins",'Decor Catalog'!$C$5:$C$124,"Decoration",'Decor Catalog'!$F$5:$F$124,"&lt;&gt;Limited Edition")</x:f>
        <x:v>1</x:v>
      </x:c>
      <x:c r="E41" s="199" t="n">
        <x:f>COUNTIFS('Decor Catalog'!$H$5:$H$124,A41,'Decor Catalog'!$I$5:$I$124,"Pearls",'Decor Catalog'!$C$5:$C$124,"Plant",'Decor Catalog'!$F$5:$F$124,"&lt;&gt;Limited Edition")</x:f>
        <x:v>0</x:v>
      </x:c>
      <x:c r="F41" s="199" t="n">
        <x:f>COUNTIFS('Decor Catalog'!$H$5:$H$124,A41,'Decor Catalog'!$I$5:$I$124,"Pearls",'Decor Catalog'!$C$5:$C$124,"Decoration",'Decor Catalog'!$F$5:$F$124,"&lt;&gt;Limited Edition")</x:f>
        <x:v>0</x:v>
      </x:c>
      <x:c r="G41" s="199" t="n">
        <x:f>COUNTIFS('Decor Catalog'!$H$5:$H$124,A41,'Decor Catalog'!$I$5:$I$124,"Coins",'Decor Catalog'!$F$5:$F$124,"Limited Edition")</x:f>
        <x:v>0</x:v>
      </x:c>
      <x:c r="H41" s="199" t="n">
        <x:f>COUNTIFS('Decor Catalog'!$H$5:$H$124,A41,'Decor Catalog'!$I$5:$I$124,"Pearls",'Decor Catalog'!$F$5:$F$124,"Limited Edition")</x:f>
        <x:v>0</x:v>
      </x:c>
      <x:c r="I41" s="199" t="n">
        <x:f>SUM(C41:F41)</x:f>
        <x:v>1</x:v>
      </x:c>
      <x:c r="J41" s="199" t="n">
        <x:f>SUMIF('Decor Catalog'!$H$5:$H$124,A41,'Decor Catalog'!$K$5:$K$124)</x:f>
        <x:v>120</x:v>
      </x:c>
      <x:c r="K41" s="192" t="str">
        <x:f>IF(A41=1,"CP-01 tutorial: 15 total XP including top-up. Anniversary Coin item is optional.",IF(A41=2,"Preserve the 1-Pearl fish teaching beat; no decor offer before onboarding ends.",IF(A41=40,"Existing launch cap. Higher-level decor is roadmap-only.",IF(SUM(G41:H41)&gt;0,"Event items also require their active purchase window.",IF(I41=0,"No new evergreen decor required; other progression beats carry this level.","Optional cosmetic choices; no fish power.")))))</x:f>
        <x:v>Optional cosmetic choices; no fish power.</x:v>
      </x:c>
    </x:row>
    <x:row r="42" ht="48" customHeight="1">
      <x:c r="A42" s="217" t="n">
        <x:v>38</x:v>
      </x:c>
      <x:c r="B42" s="192" t="str">
        <x:f>IF(A42&lt;='Decor Guide'!$B$12,"Launch",IF(A42&lt;='Decor Guide'!$B$13,"Wave 1",IF(A42&lt;='Decor Guide'!$B$14,"Wave 2","Wave 3")))</x:f>
        <x:v>Launch</x:v>
      </x:c>
      <x:c r="C42" s="199" t="n">
        <x:f>COUNTIFS('Decor Catalog'!$H$5:$H$124,A42,'Decor Catalog'!$I$5:$I$124,"Coins",'Decor Catalog'!$C$5:$C$124,"Plant",'Decor Catalog'!$F$5:$F$124,"&lt;&gt;Limited Edition")</x:f>
        <x:v>1</x:v>
      </x:c>
      <x:c r="D42" s="199" t="n">
        <x:f>COUNTIFS('Decor Catalog'!$H$5:$H$124,A42,'Decor Catalog'!$I$5:$I$124,"Coins",'Decor Catalog'!$C$5:$C$124,"Decoration",'Decor Catalog'!$F$5:$F$124,"&lt;&gt;Limited Edition")</x:f>
        <x:v>0</x:v>
      </x:c>
      <x:c r="E42" s="199" t="n">
        <x:f>COUNTIFS('Decor Catalog'!$H$5:$H$124,A42,'Decor Catalog'!$I$5:$I$124,"Pearls",'Decor Catalog'!$C$5:$C$124,"Plant",'Decor Catalog'!$F$5:$F$124,"&lt;&gt;Limited Edition")</x:f>
        <x:v>0</x:v>
      </x:c>
      <x:c r="F42" s="199" t="n">
        <x:f>COUNTIFS('Decor Catalog'!$H$5:$H$124,A42,'Decor Catalog'!$I$5:$I$124,"Pearls",'Decor Catalog'!$C$5:$C$124,"Decoration",'Decor Catalog'!$F$5:$F$124,"&lt;&gt;Limited Edition")</x:f>
        <x:v>1</x:v>
      </x:c>
      <x:c r="G42" s="199" t="n">
        <x:f>COUNTIFS('Decor Catalog'!$H$5:$H$124,A42,'Decor Catalog'!$I$5:$I$124,"Coins",'Decor Catalog'!$F$5:$F$124,"Limited Edition")</x:f>
        <x:v>0</x:v>
      </x:c>
      <x:c r="H42" s="199" t="n">
        <x:f>COUNTIFS('Decor Catalog'!$H$5:$H$124,A42,'Decor Catalog'!$I$5:$I$124,"Pearls",'Decor Catalog'!$F$5:$F$124,"Limited Edition")</x:f>
        <x:v>0</x:v>
      </x:c>
      <x:c r="I42" s="199" t="n">
        <x:f>SUM(C42:F42)</x:f>
        <x:v>2</x:v>
      </x:c>
      <x:c r="J42" s="199" t="n">
        <x:f>SUMIF('Decor Catalog'!$H$5:$H$124,A42,'Decor Catalog'!$K$5:$K$124)</x:f>
        <x:v>240</x:v>
      </x:c>
      <x:c r="K42" s="192" t="str">
        <x:f>IF(A42=1,"CP-01 tutorial: 15 total XP including top-up. Anniversary Coin item is optional.",IF(A42=2,"Preserve the 1-Pearl fish teaching beat; no decor offer before onboarding ends.",IF(A42=40,"Existing launch cap. Higher-level decor is roadmap-only.",IF(SUM(G42:H42)&gt;0,"Event items also require their active purchase window.",IF(I42=0,"No new evergreen decor required; other progression beats carry this level.","Optional cosmetic choices; no fish power.")))))</x:f>
        <x:v>Optional cosmetic choices; no fish power.</x:v>
      </x:c>
    </x:row>
    <x:row r="43" ht="48" customHeight="1">
      <x:c r="A43" s="217" t="n">
        <x:v>39</x:v>
      </x:c>
      <x:c r="B43" s="192" t="str">
        <x:f>IF(A43&lt;='Decor Guide'!$B$12,"Launch",IF(A43&lt;='Decor Guide'!$B$13,"Wave 1",IF(A43&lt;='Decor Guide'!$B$14,"Wave 2","Wave 3")))</x:f>
        <x:v>Launch</x:v>
      </x:c>
      <x:c r="C43" s="199" t="n">
        <x:f>COUNTIFS('Decor Catalog'!$H$5:$H$124,A43,'Decor Catalog'!$I$5:$I$124,"Coins",'Decor Catalog'!$C$5:$C$124,"Plant",'Decor Catalog'!$F$5:$F$124,"&lt;&gt;Limited Edition")</x:f>
        <x:v>0</x:v>
      </x:c>
      <x:c r="D43" s="199" t="n">
        <x:f>COUNTIFS('Decor Catalog'!$H$5:$H$124,A43,'Decor Catalog'!$I$5:$I$124,"Coins",'Decor Catalog'!$C$5:$C$124,"Decoration",'Decor Catalog'!$F$5:$F$124,"&lt;&gt;Limited Edition")</x:f>
        <x:v>1</x:v>
      </x:c>
      <x:c r="E43" s="199" t="n">
        <x:f>COUNTIFS('Decor Catalog'!$H$5:$H$124,A43,'Decor Catalog'!$I$5:$I$124,"Pearls",'Decor Catalog'!$C$5:$C$124,"Plant",'Decor Catalog'!$F$5:$F$124,"&lt;&gt;Limited Edition")</x:f>
        <x:v>0</x:v>
      </x:c>
      <x:c r="F43" s="199" t="n">
        <x:f>COUNTIFS('Decor Catalog'!$H$5:$H$124,A43,'Decor Catalog'!$I$5:$I$124,"Pearls",'Decor Catalog'!$C$5:$C$124,"Decoration",'Decor Catalog'!$F$5:$F$124,"&lt;&gt;Limited Edition")</x:f>
        <x:v>0</x:v>
      </x:c>
      <x:c r="G43" s="199" t="n">
        <x:f>COUNTIFS('Decor Catalog'!$H$5:$H$124,A43,'Decor Catalog'!$I$5:$I$124,"Coins",'Decor Catalog'!$F$5:$F$124,"Limited Edition")</x:f>
        <x:v>0</x:v>
      </x:c>
      <x:c r="H43" s="199" t="n">
        <x:f>COUNTIFS('Decor Catalog'!$H$5:$H$124,A43,'Decor Catalog'!$I$5:$I$124,"Pearls",'Decor Catalog'!$F$5:$F$124,"Limited Edition")</x:f>
        <x:v>0</x:v>
      </x:c>
      <x:c r="I43" s="199" t="n">
        <x:f>SUM(C43:F43)</x:f>
        <x:v>1</x:v>
      </x:c>
      <x:c r="J43" s="199" t="n">
        <x:f>SUMIF('Decor Catalog'!$H$5:$H$124,A43,'Decor Catalog'!$K$5:$K$124)</x:f>
        <x:v>120</x:v>
      </x:c>
      <x:c r="K43" s="192" t="str">
        <x:f>IF(A43=1,"CP-01 tutorial: 15 total XP including top-up. Anniversary Coin item is optional.",IF(A43=2,"Preserve the 1-Pearl fish teaching beat; no decor offer before onboarding ends.",IF(A43=40,"Existing launch cap. Higher-level decor is roadmap-only.",IF(SUM(G43:H43)&gt;0,"Event items also require their active purchase window.",IF(I43=0,"No new evergreen decor required; other progression beats carry this level.","Optional cosmetic choices; no fish power.")))))</x:f>
        <x:v>Optional cosmetic choices; no fish power.</x:v>
      </x:c>
    </x:row>
    <x:row r="44" ht="48" customHeight="1">
      <x:c r="A44" s="217" t="n">
        <x:v>40</x:v>
      </x:c>
      <x:c r="B44" s="192" t="str">
        <x:f>IF(A44&lt;='Decor Guide'!$B$12,"Launch",IF(A44&lt;='Decor Guide'!$B$13,"Wave 1",IF(A44&lt;='Decor Guide'!$B$14,"Wave 2","Wave 3")))</x:f>
        <x:v>Launch</x:v>
      </x:c>
      <x:c r="C44" s="199" t="n">
        <x:f>COUNTIFS('Decor Catalog'!$H$5:$H$124,A44,'Decor Catalog'!$I$5:$I$124,"Coins",'Decor Catalog'!$C$5:$C$124,"Plant",'Decor Catalog'!$F$5:$F$124,"&lt;&gt;Limited Edition")</x:f>
        <x:v>1</x:v>
      </x:c>
      <x:c r="D44" s="199" t="n">
        <x:f>COUNTIFS('Decor Catalog'!$H$5:$H$124,A44,'Decor Catalog'!$I$5:$I$124,"Coins",'Decor Catalog'!$C$5:$C$124,"Decoration",'Decor Catalog'!$F$5:$F$124,"&lt;&gt;Limited Edition")</x:f>
        <x:v>0</x:v>
      </x:c>
      <x:c r="E44" s="199" t="n">
        <x:f>COUNTIFS('Decor Catalog'!$H$5:$H$124,A44,'Decor Catalog'!$I$5:$I$124,"Pearls",'Decor Catalog'!$C$5:$C$124,"Plant",'Decor Catalog'!$F$5:$F$124,"&lt;&gt;Limited Edition")</x:f>
        <x:v>1</x:v>
      </x:c>
      <x:c r="F44" s="199" t="n">
        <x:f>COUNTIFS('Decor Catalog'!$H$5:$H$124,A44,'Decor Catalog'!$I$5:$I$124,"Pearls",'Decor Catalog'!$C$5:$C$124,"Decoration",'Decor Catalog'!$F$5:$F$124,"&lt;&gt;Limited Edition")</x:f>
        <x:v>1</x:v>
      </x:c>
      <x:c r="G44" s="199" t="n">
        <x:f>COUNTIFS('Decor Catalog'!$H$5:$H$124,A44,'Decor Catalog'!$I$5:$I$124,"Coins",'Decor Catalog'!$F$5:$F$124,"Limited Edition")</x:f>
        <x:v>0</x:v>
      </x:c>
      <x:c r="H44" s="199" t="n">
        <x:f>COUNTIFS('Decor Catalog'!$H$5:$H$124,A44,'Decor Catalog'!$I$5:$I$124,"Pearls",'Decor Catalog'!$F$5:$F$124,"Limited Edition")</x:f>
        <x:v>0</x:v>
      </x:c>
      <x:c r="I44" s="199" t="n">
        <x:f>SUM(C44:F44)</x:f>
        <x:v>3</x:v>
      </x:c>
      <x:c r="J44" s="199" t="n">
        <x:f>SUMIF('Decor Catalog'!$H$5:$H$124,A44,'Decor Catalog'!$K$5:$K$124)</x:f>
        <x:v>360</x:v>
      </x:c>
      <x:c r="K44" s="192" t="str">
        <x:f>IF(A44=1,"CP-01 tutorial: 15 total XP including top-up. Anniversary Coin item is optional.",IF(A44=2,"Preserve the 1-Pearl fish teaching beat; no decor offer before onboarding ends.",IF(A44=40,"Existing launch cap. Higher-level decor is roadmap-only.",IF(SUM(G44:H44)&gt;0,"Event items also require their active purchase window.",IF(I44=0,"No new evergreen decor required; other progression beats carry this level.","Optional cosmetic choices; no fish power.")))))</x:f>
        <x:v>Existing launch cap. Higher-level decor is roadmap-only.</x:v>
      </x:c>
    </x:row>
    <x:row r="45" ht="48" customHeight="1">
      <x:c r="A45" s="217" t="n">
        <x:v>41</x:v>
      </x:c>
      <x:c r="B45" s="192" t="str">
        <x:f>IF(A45&lt;='Decor Guide'!$B$12,"Launch",IF(A45&lt;='Decor Guide'!$B$13,"Wave 1",IF(A45&lt;='Decor Guide'!$B$14,"Wave 2","Wave 3")))</x:f>
        <x:v>Wave 1</x:v>
      </x:c>
      <x:c r="C45" s="199" t="n">
        <x:f>COUNTIFS('Decor Catalog'!$H$5:$H$124,A45,'Decor Catalog'!$I$5:$I$124,"Coins",'Decor Catalog'!$C$5:$C$124,"Plant",'Decor Catalog'!$F$5:$F$124,"&lt;&gt;Limited Edition")</x:f>
        <x:v>0</x:v>
      </x:c>
      <x:c r="D45" s="199" t="n">
        <x:f>COUNTIFS('Decor Catalog'!$H$5:$H$124,A45,'Decor Catalog'!$I$5:$I$124,"Coins",'Decor Catalog'!$C$5:$C$124,"Decoration",'Decor Catalog'!$F$5:$F$124,"&lt;&gt;Limited Edition")</x:f>
        <x:v>0</x:v>
      </x:c>
      <x:c r="E45" s="199" t="n">
        <x:f>COUNTIFS('Decor Catalog'!$H$5:$H$124,A45,'Decor Catalog'!$I$5:$I$124,"Pearls",'Decor Catalog'!$C$5:$C$124,"Plant",'Decor Catalog'!$F$5:$F$124,"&lt;&gt;Limited Edition")</x:f>
        <x:v>0</x:v>
      </x:c>
      <x:c r="F45" s="199" t="n">
        <x:f>COUNTIFS('Decor Catalog'!$H$5:$H$124,A45,'Decor Catalog'!$I$5:$I$124,"Pearls",'Decor Catalog'!$C$5:$C$124,"Decoration",'Decor Catalog'!$F$5:$F$124,"&lt;&gt;Limited Edition")</x:f>
        <x:v>0</x:v>
      </x:c>
      <x:c r="G45" s="199" t="n">
        <x:f>COUNTIFS('Decor Catalog'!$H$5:$H$124,A45,'Decor Catalog'!$I$5:$I$124,"Coins",'Decor Catalog'!$F$5:$F$124,"Limited Edition")</x:f>
        <x:v>0</x:v>
      </x:c>
      <x:c r="H45" s="199" t="n">
        <x:f>COUNTIFS('Decor Catalog'!$H$5:$H$124,A45,'Decor Catalog'!$I$5:$I$124,"Pearls",'Decor Catalog'!$F$5:$F$124,"Limited Edition")</x:f>
        <x:v>0</x:v>
      </x:c>
      <x:c r="I45" s="199" t="n">
        <x:f>SUM(C45:F45)</x:f>
        <x:v>0</x:v>
      </x:c>
      <x:c r="J45" s="199" t="n">
        <x:f>SUMIF('Decor Catalog'!$H$5:$H$124,A45,'Decor Catalog'!$K$5:$K$124)</x:f>
        <x:v>0</x:v>
      </x:c>
      <x:c r="K45" s="192" t="str">
        <x:f>IF(A45=1,"CP-01 tutorial: 15 total XP including top-up. Anniversary Coin item is optional.",IF(A45=2,"Preserve the 1-Pearl fish teaching beat; no decor offer before onboarding ends.",IF(A45=40,"Existing launch cap. Higher-level decor is roadmap-only.",IF(SUM(G45:H45)&gt;0,"Event items also require their active purchase window.",IF(I45=0,"No new evergreen decor required; other progression beats carry this level.","Optional cosmetic choices; no fish power.")))))</x:f>
        <x:v>No new evergreen decor required; other progression beats carry this level.</x:v>
      </x:c>
    </x:row>
    <x:row r="46" ht="48" customHeight="1">
      <x:c r="A46" s="217" t="n">
        <x:v>42</x:v>
      </x:c>
      <x:c r="B46" s="192" t="str">
        <x:f>IF(A46&lt;='Decor Guide'!$B$12,"Launch",IF(A46&lt;='Decor Guide'!$B$13,"Wave 1",IF(A46&lt;='Decor Guide'!$B$14,"Wave 2","Wave 3")))</x:f>
        <x:v>Wave 1</x:v>
      </x:c>
      <x:c r="C46" s="199" t="n">
        <x:f>COUNTIFS('Decor Catalog'!$H$5:$H$124,A46,'Decor Catalog'!$I$5:$I$124,"Coins",'Decor Catalog'!$C$5:$C$124,"Plant",'Decor Catalog'!$F$5:$F$124,"&lt;&gt;Limited Edition")</x:f>
        <x:v>0</x:v>
      </x:c>
      <x:c r="D46" s="199" t="n">
        <x:f>COUNTIFS('Decor Catalog'!$H$5:$H$124,A46,'Decor Catalog'!$I$5:$I$124,"Coins",'Decor Catalog'!$C$5:$C$124,"Decoration",'Decor Catalog'!$F$5:$F$124,"&lt;&gt;Limited Edition")</x:f>
        <x:v>1</x:v>
      </x:c>
      <x:c r="E46" s="199" t="n">
        <x:f>COUNTIFS('Decor Catalog'!$H$5:$H$124,A46,'Decor Catalog'!$I$5:$I$124,"Pearls",'Decor Catalog'!$C$5:$C$124,"Plant",'Decor Catalog'!$F$5:$F$124,"&lt;&gt;Limited Edition")</x:f>
        <x:v>0</x:v>
      </x:c>
      <x:c r="F46" s="199" t="n">
        <x:f>COUNTIFS('Decor Catalog'!$H$5:$H$124,A46,'Decor Catalog'!$I$5:$I$124,"Pearls",'Decor Catalog'!$C$5:$C$124,"Decoration",'Decor Catalog'!$F$5:$F$124,"&lt;&gt;Limited Edition")</x:f>
        <x:v>0</x:v>
      </x:c>
      <x:c r="G46" s="199" t="n">
        <x:f>COUNTIFS('Decor Catalog'!$H$5:$H$124,A46,'Decor Catalog'!$I$5:$I$124,"Coins",'Decor Catalog'!$F$5:$F$124,"Limited Edition")</x:f>
        <x:v>0</x:v>
      </x:c>
      <x:c r="H46" s="199" t="n">
        <x:f>COUNTIFS('Decor Catalog'!$H$5:$H$124,A46,'Decor Catalog'!$I$5:$I$124,"Pearls",'Decor Catalog'!$F$5:$F$124,"Limited Edition")</x:f>
        <x:v>0</x:v>
      </x:c>
      <x:c r="I46" s="199" t="n">
        <x:f>SUM(C46:F46)</x:f>
        <x:v>1</x:v>
      </x:c>
      <x:c r="J46" s="199" t="n">
        <x:f>SUMIF('Decor Catalog'!$H$5:$H$124,A46,'Decor Catalog'!$K$5:$K$124)</x:f>
        <x:v>120</x:v>
      </x:c>
      <x:c r="K46" s="192" t="str">
        <x:f>IF(A46=1,"CP-01 tutorial: 15 total XP including top-up. Anniversary Coin item is optional.",IF(A46=2,"Preserve the 1-Pearl fish teaching beat; no decor offer before onboarding ends.",IF(A46=40,"Existing launch cap. Higher-level decor is roadmap-only.",IF(SUM(G46:H46)&gt;0,"Event items also require their active purchase window.",IF(I46=0,"No new evergreen decor required; other progression beats carry this level.","Optional cosmetic choices; no fish power.")))))</x:f>
        <x:v>Optional cosmetic choices; no fish power.</x:v>
      </x:c>
    </x:row>
    <x:row r="47" ht="48" customHeight="1">
      <x:c r="A47" s="217" t="n">
        <x:v>43</x:v>
      </x:c>
      <x:c r="B47" s="192" t="str">
        <x:f>IF(A47&lt;='Decor Guide'!$B$12,"Launch",IF(A47&lt;='Decor Guide'!$B$13,"Wave 1",IF(A47&lt;='Decor Guide'!$B$14,"Wave 2","Wave 3")))</x:f>
        <x:v>Wave 1</x:v>
      </x:c>
      <x:c r="C47" s="199" t="n">
        <x:f>COUNTIFS('Decor Catalog'!$H$5:$H$124,A47,'Decor Catalog'!$I$5:$I$124,"Coins",'Decor Catalog'!$C$5:$C$124,"Plant",'Decor Catalog'!$F$5:$F$124,"&lt;&gt;Limited Edition")</x:f>
        <x:v>0</x:v>
      </x:c>
      <x:c r="D47" s="199" t="n">
        <x:f>COUNTIFS('Decor Catalog'!$H$5:$H$124,A47,'Decor Catalog'!$I$5:$I$124,"Coins",'Decor Catalog'!$C$5:$C$124,"Decoration",'Decor Catalog'!$F$5:$F$124,"&lt;&gt;Limited Edition")</x:f>
        <x:v>0</x:v>
      </x:c>
      <x:c r="E47" s="199" t="n">
        <x:f>COUNTIFS('Decor Catalog'!$H$5:$H$124,A47,'Decor Catalog'!$I$5:$I$124,"Pearls",'Decor Catalog'!$C$5:$C$124,"Plant",'Decor Catalog'!$F$5:$F$124,"&lt;&gt;Limited Edition")</x:f>
        <x:v>0</x:v>
      </x:c>
      <x:c r="F47" s="199" t="n">
        <x:f>COUNTIFS('Decor Catalog'!$H$5:$H$124,A47,'Decor Catalog'!$I$5:$I$124,"Pearls",'Decor Catalog'!$C$5:$C$124,"Decoration",'Decor Catalog'!$F$5:$F$124,"&lt;&gt;Limited Edition")</x:f>
        <x:v>1</x:v>
      </x:c>
      <x:c r="G47" s="199" t="n">
        <x:f>COUNTIFS('Decor Catalog'!$H$5:$H$124,A47,'Decor Catalog'!$I$5:$I$124,"Coins",'Decor Catalog'!$F$5:$F$124,"Limited Edition")</x:f>
        <x:v>0</x:v>
      </x:c>
      <x:c r="H47" s="199" t="n">
        <x:f>COUNTIFS('Decor Catalog'!$H$5:$H$124,A47,'Decor Catalog'!$I$5:$I$124,"Pearls",'Decor Catalog'!$F$5:$F$124,"Limited Edition")</x:f>
        <x:v>0</x:v>
      </x:c>
      <x:c r="I47" s="199" t="n">
        <x:f>SUM(C47:F47)</x:f>
        <x:v>1</x:v>
      </x:c>
      <x:c r="J47" s="199" t="n">
        <x:f>SUMIF('Decor Catalog'!$H$5:$H$124,A47,'Decor Catalog'!$K$5:$K$124)</x:f>
        <x:v>120</x:v>
      </x:c>
      <x:c r="K47" s="192" t="str">
        <x:f>IF(A47=1,"CP-01 tutorial: 15 total XP including top-up. Anniversary Coin item is optional.",IF(A47=2,"Preserve the 1-Pearl fish teaching beat; no decor offer before onboarding ends.",IF(A47=40,"Existing launch cap. Higher-level decor is roadmap-only.",IF(SUM(G47:H47)&gt;0,"Event items also require their active purchase window.",IF(I47=0,"No new evergreen decor required; other progression beats carry this level.","Optional cosmetic choices; no fish power.")))))</x:f>
        <x:v>Optional cosmetic choices; no fish power.</x:v>
      </x:c>
    </x:row>
    <x:row r="48" ht="48" customHeight="1">
      <x:c r="A48" s="217" t="n">
        <x:v>44</x:v>
      </x:c>
      <x:c r="B48" s="192" t="str">
        <x:f>IF(A48&lt;='Decor Guide'!$B$12,"Launch",IF(A48&lt;='Decor Guide'!$B$13,"Wave 1",IF(A48&lt;='Decor Guide'!$B$14,"Wave 2","Wave 3")))</x:f>
        <x:v>Wave 1</x:v>
      </x:c>
      <x:c r="C48" s="199" t="n">
        <x:f>COUNTIFS('Decor Catalog'!$H$5:$H$124,A48,'Decor Catalog'!$I$5:$I$124,"Coins",'Decor Catalog'!$C$5:$C$124,"Plant",'Decor Catalog'!$F$5:$F$124,"&lt;&gt;Limited Edition")</x:f>
        <x:v>1</x:v>
      </x:c>
      <x:c r="D48" s="199" t="n">
        <x:f>COUNTIFS('Decor Catalog'!$H$5:$H$124,A48,'Decor Catalog'!$I$5:$I$124,"Coins",'Decor Catalog'!$C$5:$C$124,"Decoration",'Decor Catalog'!$F$5:$F$124,"&lt;&gt;Limited Edition")</x:f>
        <x:v>0</x:v>
      </x:c>
      <x:c r="E48" s="199" t="n">
        <x:f>COUNTIFS('Decor Catalog'!$H$5:$H$124,A48,'Decor Catalog'!$I$5:$I$124,"Pearls",'Decor Catalog'!$C$5:$C$124,"Plant",'Decor Catalog'!$F$5:$F$124,"&lt;&gt;Limited Edition")</x:f>
        <x:v>0</x:v>
      </x:c>
      <x:c r="F48" s="199" t="n">
        <x:f>COUNTIFS('Decor Catalog'!$H$5:$H$124,A48,'Decor Catalog'!$I$5:$I$124,"Pearls",'Decor Catalog'!$C$5:$C$124,"Decoration",'Decor Catalog'!$F$5:$F$124,"&lt;&gt;Limited Edition")</x:f>
        <x:v>0</x:v>
      </x:c>
      <x:c r="G48" s="199" t="n">
        <x:f>COUNTIFS('Decor Catalog'!$H$5:$H$124,A48,'Decor Catalog'!$I$5:$I$124,"Coins",'Decor Catalog'!$F$5:$F$124,"Limited Edition")</x:f>
        <x:v>0</x:v>
      </x:c>
      <x:c r="H48" s="199" t="n">
        <x:f>COUNTIFS('Decor Catalog'!$H$5:$H$124,A48,'Decor Catalog'!$I$5:$I$124,"Pearls",'Decor Catalog'!$F$5:$F$124,"Limited Edition")</x:f>
        <x:v>0</x:v>
      </x:c>
      <x:c r="I48" s="199" t="n">
        <x:f>SUM(C48:F48)</x:f>
        <x:v>1</x:v>
      </x:c>
      <x:c r="J48" s="199" t="n">
        <x:f>SUMIF('Decor Catalog'!$H$5:$H$124,A48,'Decor Catalog'!$K$5:$K$124)</x:f>
        <x:v>120</x:v>
      </x:c>
      <x:c r="K48" s="192" t="str">
        <x:f>IF(A48=1,"CP-01 tutorial: 15 total XP including top-up. Anniversary Coin item is optional.",IF(A48=2,"Preserve the 1-Pearl fish teaching beat; no decor offer before onboarding ends.",IF(A48=40,"Existing launch cap. Higher-level decor is roadmap-only.",IF(SUM(G48:H48)&gt;0,"Event items also require their active purchase window.",IF(I48=0,"No new evergreen decor required; other progression beats carry this level.","Optional cosmetic choices; no fish power.")))))</x:f>
        <x:v>Optional cosmetic choices; no fish power.</x:v>
      </x:c>
    </x:row>
    <x:row r="49" ht="48" customHeight="1">
      <x:c r="A49" s="217" t="n">
        <x:v>45</x:v>
      </x:c>
      <x:c r="B49" s="192" t="str">
        <x:f>IF(A49&lt;='Decor Guide'!$B$12,"Launch",IF(A49&lt;='Decor Guide'!$B$13,"Wave 1",IF(A49&lt;='Decor Guide'!$B$14,"Wave 2","Wave 3")))</x:f>
        <x:v>Wave 1</x:v>
      </x:c>
      <x:c r="C49" s="199" t="n">
        <x:f>COUNTIFS('Decor Catalog'!$H$5:$H$124,A49,'Decor Catalog'!$I$5:$I$124,"Coins",'Decor Catalog'!$C$5:$C$124,"Plant",'Decor Catalog'!$F$5:$F$124,"&lt;&gt;Limited Edition")</x:f>
        <x:v>0</x:v>
      </x:c>
      <x:c r="D49" s="199" t="n">
        <x:f>COUNTIFS('Decor Catalog'!$H$5:$H$124,A49,'Decor Catalog'!$I$5:$I$124,"Coins",'Decor Catalog'!$C$5:$C$124,"Decoration",'Decor Catalog'!$F$5:$F$124,"&lt;&gt;Limited Edition")</x:f>
        <x:v>0</x:v>
      </x:c>
      <x:c r="E49" s="199" t="n">
        <x:f>COUNTIFS('Decor Catalog'!$H$5:$H$124,A49,'Decor Catalog'!$I$5:$I$124,"Pearls",'Decor Catalog'!$C$5:$C$124,"Plant",'Decor Catalog'!$F$5:$F$124,"&lt;&gt;Limited Edition")</x:f>
        <x:v>1</x:v>
      </x:c>
      <x:c r="F49" s="199" t="n">
        <x:f>COUNTIFS('Decor Catalog'!$H$5:$H$124,A49,'Decor Catalog'!$I$5:$I$124,"Pearls",'Decor Catalog'!$C$5:$C$124,"Decoration",'Decor Catalog'!$F$5:$F$124,"&lt;&gt;Limited Edition")</x:f>
        <x:v>0</x:v>
      </x:c>
      <x:c r="G49" s="199" t="n">
        <x:f>COUNTIFS('Decor Catalog'!$H$5:$H$124,A49,'Decor Catalog'!$I$5:$I$124,"Coins",'Decor Catalog'!$F$5:$F$124,"Limited Edition")</x:f>
        <x:v>0</x:v>
      </x:c>
      <x:c r="H49" s="199" t="n">
        <x:f>COUNTIFS('Decor Catalog'!$H$5:$H$124,A49,'Decor Catalog'!$I$5:$I$124,"Pearls",'Decor Catalog'!$F$5:$F$124,"Limited Edition")</x:f>
        <x:v>0</x:v>
      </x:c>
      <x:c r="I49" s="199" t="n">
        <x:f>SUM(C49:F49)</x:f>
        <x:v>1</x:v>
      </x:c>
      <x:c r="J49" s="199" t="n">
        <x:f>SUMIF('Decor Catalog'!$H$5:$H$124,A49,'Decor Catalog'!$K$5:$K$124)</x:f>
        <x:v>120</x:v>
      </x:c>
      <x:c r="K49" s="192" t="str">
        <x:f>IF(A49=1,"CP-01 tutorial: 15 total XP including top-up. Anniversary Coin item is optional.",IF(A49=2,"Preserve the 1-Pearl fish teaching beat; no decor offer before onboarding ends.",IF(A49=40,"Existing launch cap. Higher-level decor is roadmap-only.",IF(SUM(G49:H49)&gt;0,"Event items also require their active purchase window.",IF(I49=0,"No new evergreen decor required; other progression beats carry this level.","Optional cosmetic choices; no fish power.")))))</x:f>
        <x:v>Optional cosmetic choices; no fish power.</x:v>
      </x:c>
    </x:row>
    <x:row r="50" ht="48" customHeight="1">
      <x:c r="A50" s="217" t="n">
        <x:v>46</x:v>
      </x:c>
      <x:c r="B50" s="192" t="str">
        <x:f>IF(A50&lt;='Decor Guide'!$B$12,"Launch",IF(A50&lt;='Decor Guide'!$B$13,"Wave 1",IF(A50&lt;='Decor Guide'!$B$14,"Wave 2","Wave 3")))</x:f>
        <x:v>Wave 1</x:v>
      </x:c>
      <x:c r="C50" s="199" t="n">
        <x:f>COUNTIFS('Decor Catalog'!$H$5:$H$124,A50,'Decor Catalog'!$I$5:$I$124,"Coins",'Decor Catalog'!$C$5:$C$124,"Plant",'Decor Catalog'!$F$5:$F$124,"&lt;&gt;Limited Edition")</x:f>
        <x:v>0</x:v>
      </x:c>
      <x:c r="D50" s="199" t="n">
        <x:f>COUNTIFS('Decor Catalog'!$H$5:$H$124,A50,'Decor Catalog'!$I$5:$I$124,"Coins",'Decor Catalog'!$C$5:$C$124,"Decoration",'Decor Catalog'!$F$5:$F$124,"&lt;&gt;Limited Edition")</x:f>
        <x:v>1</x:v>
      </x:c>
      <x:c r="E50" s="199" t="n">
        <x:f>COUNTIFS('Decor Catalog'!$H$5:$H$124,A50,'Decor Catalog'!$I$5:$I$124,"Pearls",'Decor Catalog'!$C$5:$C$124,"Plant",'Decor Catalog'!$F$5:$F$124,"&lt;&gt;Limited Edition")</x:f>
        <x:v>0</x:v>
      </x:c>
      <x:c r="F50" s="199" t="n">
        <x:f>COUNTIFS('Decor Catalog'!$H$5:$H$124,A50,'Decor Catalog'!$I$5:$I$124,"Pearls",'Decor Catalog'!$C$5:$C$124,"Decoration",'Decor Catalog'!$F$5:$F$124,"&lt;&gt;Limited Edition")</x:f>
        <x:v>0</x:v>
      </x:c>
      <x:c r="G50" s="199" t="n">
        <x:f>COUNTIFS('Decor Catalog'!$H$5:$H$124,A50,'Decor Catalog'!$I$5:$I$124,"Coins",'Decor Catalog'!$F$5:$F$124,"Limited Edition")</x:f>
        <x:v>0</x:v>
      </x:c>
      <x:c r="H50" s="199" t="n">
        <x:f>COUNTIFS('Decor Catalog'!$H$5:$H$124,A50,'Decor Catalog'!$I$5:$I$124,"Pearls",'Decor Catalog'!$F$5:$F$124,"Limited Edition")</x:f>
        <x:v>0</x:v>
      </x:c>
      <x:c r="I50" s="199" t="n">
        <x:f>SUM(C50:F50)</x:f>
        <x:v>1</x:v>
      </x:c>
      <x:c r="J50" s="199" t="n">
        <x:f>SUMIF('Decor Catalog'!$H$5:$H$124,A50,'Decor Catalog'!$K$5:$K$124)</x:f>
        <x:v>120</x:v>
      </x:c>
      <x:c r="K50" s="192" t="str">
        <x:f>IF(A50=1,"CP-01 tutorial: 15 total XP including top-up. Anniversary Coin item is optional.",IF(A50=2,"Preserve the 1-Pearl fish teaching beat; no decor offer before onboarding ends.",IF(A50=40,"Existing launch cap. Higher-level decor is roadmap-only.",IF(SUM(G50:H50)&gt;0,"Event items also require their active purchase window.",IF(I50=0,"No new evergreen decor required; other progression beats carry this level.","Optional cosmetic choices; no fish power.")))))</x:f>
        <x:v>Optional cosmetic choices; no fish power.</x:v>
      </x:c>
    </x:row>
    <x:row r="51" ht="48" customHeight="1">
      <x:c r="A51" s="217" t="n">
        <x:v>47</x:v>
      </x:c>
      <x:c r="B51" s="192" t="str">
        <x:f>IF(A51&lt;='Decor Guide'!$B$12,"Launch",IF(A51&lt;='Decor Guide'!$B$13,"Wave 1",IF(A51&lt;='Decor Guide'!$B$14,"Wave 2","Wave 3")))</x:f>
        <x:v>Wave 1</x:v>
      </x:c>
      <x:c r="C51" s="199" t="n">
        <x:f>COUNTIFS('Decor Catalog'!$H$5:$H$124,A51,'Decor Catalog'!$I$5:$I$124,"Coins",'Decor Catalog'!$C$5:$C$124,"Plant",'Decor Catalog'!$F$5:$F$124,"&lt;&gt;Limited Edition")</x:f>
        <x:v>0</x:v>
      </x:c>
      <x:c r="D51" s="199" t="n">
        <x:f>COUNTIFS('Decor Catalog'!$H$5:$H$124,A51,'Decor Catalog'!$I$5:$I$124,"Coins",'Decor Catalog'!$C$5:$C$124,"Decoration",'Decor Catalog'!$F$5:$F$124,"&lt;&gt;Limited Edition")</x:f>
        <x:v>0</x:v>
      </x:c>
      <x:c r="E51" s="199" t="n">
        <x:f>COUNTIFS('Decor Catalog'!$H$5:$H$124,A51,'Decor Catalog'!$I$5:$I$124,"Pearls",'Decor Catalog'!$C$5:$C$124,"Plant",'Decor Catalog'!$F$5:$F$124,"&lt;&gt;Limited Edition")</x:f>
        <x:v>0</x:v>
      </x:c>
      <x:c r="F51" s="199" t="n">
        <x:f>COUNTIFS('Decor Catalog'!$H$5:$H$124,A51,'Decor Catalog'!$I$5:$I$124,"Pearls",'Decor Catalog'!$C$5:$C$124,"Decoration",'Decor Catalog'!$F$5:$F$124,"&lt;&gt;Limited Edition")</x:f>
        <x:v>0</x:v>
      </x:c>
      <x:c r="G51" s="199" t="n">
        <x:f>COUNTIFS('Decor Catalog'!$H$5:$H$124,A51,'Decor Catalog'!$I$5:$I$124,"Coins",'Decor Catalog'!$F$5:$F$124,"Limited Edition")</x:f>
        <x:v>0</x:v>
      </x:c>
      <x:c r="H51" s="199" t="n">
        <x:f>COUNTIFS('Decor Catalog'!$H$5:$H$124,A51,'Decor Catalog'!$I$5:$I$124,"Pearls",'Decor Catalog'!$F$5:$F$124,"Limited Edition")</x:f>
        <x:v>0</x:v>
      </x:c>
      <x:c r="I51" s="199" t="n">
        <x:f>SUM(C51:F51)</x:f>
        <x:v>0</x:v>
      </x:c>
      <x:c r="J51" s="199" t="n">
        <x:f>SUMIF('Decor Catalog'!$H$5:$H$124,A51,'Decor Catalog'!$K$5:$K$124)</x:f>
        <x:v>0</x:v>
      </x:c>
      <x:c r="K51" s="192" t="str">
        <x:f>IF(A51=1,"CP-01 tutorial: 15 total XP including top-up. Anniversary Coin item is optional.",IF(A51=2,"Preserve the 1-Pearl fish teaching beat; no decor offer before onboarding ends.",IF(A51=40,"Existing launch cap. Higher-level decor is roadmap-only.",IF(SUM(G51:H51)&gt;0,"Event items also require their active purchase window.",IF(I51=0,"No new evergreen decor required; other progression beats carry this level.","Optional cosmetic choices; no fish power.")))))</x:f>
        <x:v>No new evergreen decor required; other progression beats carry this level.</x:v>
      </x:c>
    </x:row>
    <x:row r="52" ht="48" customHeight="1">
      <x:c r="A52" s="217" t="n">
        <x:v>48</x:v>
      </x:c>
      <x:c r="B52" s="192" t="str">
        <x:f>IF(A52&lt;='Decor Guide'!$B$12,"Launch",IF(A52&lt;='Decor Guide'!$B$13,"Wave 1",IF(A52&lt;='Decor Guide'!$B$14,"Wave 2","Wave 3")))</x:f>
        <x:v>Wave 1</x:v>
      </x:c>
      <x:c r="C52" s="199" t="n">
        <x:f>COUNTIFS('Decor Catalog'!$H$5:$H$124,A52,'Decor Catalog'!$I$5:$I$124,"Coins",'Decor Catalog'!$C$5:$C$124,"Plant",'Decor Catalog'!$F$5:$F$124,"&lt;&gt;Limited Edition")</x:f>
        <x:v>1</x:v>
      </x:c>
      <x:c r="D52" s="199" t="n">
        <x:f>COUNTIFS('Decor Catalog'!$H$5:$H$124,A52,'Decor Catalog'!$I$5:$I$124,"Coins",'Decor Catalog'!$C$5:$C$124,"Decoration",'Decor Catalog'!$F$5:$F$124,"&lt;&gt;Limited Edition")</x:f>
        <x:v>0</x:v>
      </x:c>
      <x:c r="E52" s="199" t="n">
        <x:f>COUNTIFS('Decor Catalog'!$H$5:$H$124,A52,'Decor Catalog'!$I$5:$I$124,"Pearls",'Decor Catalog'!$C$5:$C$124,"Plant",'Decor Catalog'!$F$5:$F$124,"&lt;&gt;Limited Edition")</x:f>
        <x:v>0</x:v>
      </x:c>
      <x:c r="F52" s="199" t="n">
        <x:f>COUNTIFS('Decor Catalog'!$H$5:$H$124,A52,'Decor Catalog'!$I$5:$I$124,"Pearls",'Decor Catalog'!$C$5:$C$124,"Decoration",'Decor Catalog'!$F$5:$F$124,"&lt;&gt;Limited Edition")</x:f>
        <x:v>1</x:v>
      </x:c>
      <x:c r="G52" s="199" t="n">
        <x:f>COUNTIFS('Decor Catalog'!$H$5:$H$124,A52,'Decor Catalog'!$I$5:$I$124,"Coins",'Decor Catalog'!$F$5:$F$124,"Limited Edition")</x:f>
        <x:v>0</x:v>
      </x:c>
      <x:c r="H52" s="199" t="n">
        <x:f>COUNTIFS('Decor Catalog'!$H$5:$H$124,A52,'Decor Catalog'!$I$5:$I$124,"Pearls",'Decor Catalog'!$F$5:$F$124,"Limited Edition")</x:f>
        <x:v>0</x:v>
      </x:c>
      <x:c r="I52" s="199" t="n">
        <x:f>SUM(C52:F52)</x:f>
        <x:v>2</x:v>
      </x:c>
      <x:c r="J52" s="199" t="n">
        <x:f>SUMIF('Decor Catalog'!$H$5:$H$124,A52,'Decor Catalog'!$K$5:$K$124)</x:f>
        <x:v>240</x:v>
      </x:c>
      <x:c r="K52" s="192" t="str">
        <x:f>IF(A52=1,"CP-01 tutorial: 15 total XP including top-up. Anniversary Coin item is optional.",IF(A52=2,"Preserve the 1-Pearl fish teaching beat; no decor offer before onboarding ends.",IF(A52=40,"Existing launch cap. Higher-level decor is roadmap-only.",IF(SUM(G52:H52)&gt;0,"Event items also require their active purchase window.",IF(I52=0,"No new evergreen decor required; other progression beats carry this level.","Optional cosmetic choices; no fish power.")))))</x:f>
        <x:v>Optional cosmetic choices; no fish power.</x:v>
      </x:c>
    </x:row>
    <x:row r="53" ht="48" customHeight="1">
      <x:c r="A53" s="217" t="n">
        <x:v>49</x:v>
      </x:c>
      <x:c r="B53" s="192" t="str">
        <x:f>IF(A53&lt;='Decor Guide'!$B$12,"Launch",IF(A53&lt;='Decor Guide'!$B$13,"Wave 1",IF(A53&lt;='Decor Guide'!$B$14,"Wave 2","Wave 3")))</x:f>
        <x:v>Wave 1</x:v>
      </x:c>
      <x:c r="C53" s="199" t="n">
        <x:f>COUNTIFS('Decor Catalog'!$H$5:$H$124,A53,'Decor Catalog'!$I$5:$I$124,"Coins",'Decor Catalog'!$C$5:$C$124,"Plant",'Decor Catalog'!$F$5:$F$124,"&lt;&gt;Limited Edition")</x:f>
        <x:v>0</x:v>
      </x:c>
      <x:c r="D53" s="199" t="n">
        <x:f>COUNTIFS('Decor Catalog'!$H$5:$H$124,A53,'Decor Catalog'!$I$5:$I$124,"Coins",'Decor Catalog'!$C$5:$C$124,"Decoration",'Decor Catalog'!$F$5:$F$124,"&lt;&gt;Limited Edition")</x:f>
        <x:v>0</x:v>
      </x:c>
      <x:c r="E53" s="199" t="n">
        <x:f>COUNTIFS('Decor Catalog'!$H$5:$H$124,A53,'Decor Catalog'!$I$5:$I$124,"Pearls",'Decor Catalog'!$C$5:$C$124,"Plant",'Decor Catalog'!$F$5:$F$124,"&lt;&gt;Limited Edition")</x:f>
        <x:v>0</x:v>
      </x:c>
      <x:c r="F53" s="199" t="n">
        <x:f>COUNTIFS('Decor Catalog'!$H$5:$H$124,A53,'Decor Catalog'!$I$5:$I$124,"Pearls",'Decor Catalog'!$C$5:$C$124,"Decoration",'Decor Catalog'!$F$5:$F$124,"&lt;&gt;Limited Edition")</x:f>
        <x:v>0</x:v>
      </x:c>
      <x:c r="G53" s="199" t="n">
        <x:f>COUNTIFS('Decor Catalog'!$H$5:$H$124,A53,'Decor Catalog'!$I$5:$I$124,"Coins",'Decor Catalog'!$F$5:$F$124,"Limited Edition")</x:f>
        <x:v>0</x:v>
      </x:c>
      <x:c r="H53" s="199" t="n">
        <x:f>COUNTIFS('Decor Catalog'!$H$5:$H$124,A53,'Decor Catalog'!$I$5:$I$124,"Pearls",'Decor Catalog'!$F$5:$F$124,"Limited Edition")</x:f>
        <x:v>0</x:v>
      </x:c>
      <x:c r="I53" s="199" t="n">
        <x:f>SUM(C53:F53)</x:f>
        <x:v>0</x:v>
      </x:c>
      <x:c r="J53" s="199" t="n">
        <x:f>SUMIF('Decor Catalog'!$H$5:$H$124,A53,'Decor Catalog'!$K$5:$K$124)</x:f>
        <x:v>0</x:v>
      </x:c>
      <x:c r="K53" s="192" t="str">
        <x:f>IF(A53=1,"CP-01 tutorial: 15 total XP including top-up. Anniversary Coin item is optional.",IF(A53=2,"Preserve the 1-Pearl fish teaching beat; no decor offer before onboarding ends.",IF(A53=40,"Existing launch cap. Higher-level decor is roadmap-only.",IF(SUM(G53:H53)&gt;0,"Event items also require their active purchase window.",IF(I53=0,"No new evergreen decor required; other progression beats carry this level.","Optional cosmetic choices; no fish power.")))))</x:f>
        <x:v>No new evergreen decor required; other progression beats carry this level.</x:v>
      </x:c>
    </x:row>
    <x:row r="54" ht="48" customHeight="1">
      <x:c r="A54" s="217" t="n">
        <x:v>50</x:v>
      </x:c>
      <x:c r="B54" s="192" t="str">
        <x:f>IF(A54&lt;='Decor Guide'!$B$12,"Launch",IF(A54&lt;='Decor Guide'!$B$13,"Wave 1",IF(A54&lt;='Decor Guide'!$B$14,"Wave 2","Wave 3")))</x:f>
        <x:v>Wave 1</x:v>
      </x:c>
      <x:c r="C54" s="199" t="n">
        <x:f>COUNTIFS('Decor Catalog'!$H$5:$H$124,A54,'Decor Catalog'!$I$5:$I$124,"Coins",'Decor Catalog'!$C$5:$C$124,"Plant",'Decor Catalog'!$F$5:$F$124,"&lt;&gt;Limited Edition")</x:f>
        <x:v>0</x:v>
      </x:c>
      <x:c r="D54" s="199" t="n">
        <x:f>COUNTIFS('Decor Catalog'!$H$5:$H$124,A54,'Decor Catalog'!$I$5:$I$124,"Coins",'Decor Catalog'!$C$5:$C$124,"Decoration",'Decor Catalog'!$F$5:$F$124,"&lt;&gt;Limited Edition")</x:f>
        <x:v>1</x:v>
      </x:c>
      <x:c r="E54" s="199" t="n">
        <x:f>COUNTIFS('Decor Catalog'!$H$5:$H$124,A54,'Decor Catalog'!$I$5:$I$124,"Pearls",'Decor Catalog'!$C$5:$C$124,"Plant",'Decor Catalog'!$F$5:$F$124,"&lt;&gt;Limited Edition")</x:f>
        <x:v>1</x:v>
      </x:c>
      <x:c r="F54" s="199" t="n">
        <x:f>COUNTIFS('Decor Catalog'!$H$5:$H$124,A54,'Decor Catalog'!$I$5:$I$124,"Pearls",'Decor Catalog'!$C$5:$C$124,"Decoration",'Decor Catalog'!$F$5:$F$124,"&lt;&gt;Limited Edition")</x:f>
        <x:v>0</x:v>
      </x:c>
      <x:c r="G54" s="199" t="n">
        <x:f>COUNTIFS('Decor Catalog'!$H$5:$H$124,A54,'Decor Catalog'!$I$5:$I$124,"Coins",'Decor Catalog'!$F$5:$F$124,"Limited Edition")</x:f>
        <x:v>0</x:v>
      </x:c>
      <x:c r="H54" s="199" t="n">
        <x:f>COUNTIFS('Decor Catalog'!$H$5:$H$124,A54,'Decor Catalog'!$I$5:$I$124,"Pearls",'Decor Catalog'!$F$5:$F$124,"Limited Edition")</x:f>
        <x:v>0</x:v>
      </x:c>
      <x:c r="I54" s="199" t="n">
        <x:f>SUM(C54:F54)</x:f>
        <x:v>2</x:v>
      </x:c>
      <x:c r="J54" s="199" t="n">
        <x:f>SUMIF('Decor Catalog'!$H$5:$H$124,A54,'Decor Catalog'!$K$5:$K$124)</x:f>
        <x:v>240</x:v>
      </x:c>
      <x:c r="K54" s="192" t="str">
        <x:f>IF(A54=1,"CP-01 tutorial: 15 total XP including top-up. Anniversary Coin item is optional.",IF(A54=2,"Preserve the 1-Pearl fish teaching beat; no decor offer before onboarding ends.",IF(A54=40,"Existing launch cap. Higher-level decor is roadmap-only.",IF(SUM(G54:H54)&gt;0,"Event items also require their active purchase window.",IF(I54=0,"No new evergreen decor required; other progression beats carry this level.","Optional cosmetic choices; no fish power.")))))</x:f>
        <x:v>Optional cosmetic choices; no fish power.</x:v>
      </x:c>
    </x:row>
    <x:row r="55" ht="48" customHeight="1">
      <x:c r="A55" s="217" t="n">
        <x:v>51</x:v>
      </x:c>
      <x:c r="B55" s="192" t="str">
        <x:f>IF(A55&lt;='Decor Guide'!$B$12,"Launch",IF(A55&lt;='Decor Guide'!$B$13,"Wave 1",IF(A55&lt;='Decor Guide'!$B$14,"Wave 2","Wave 3")))</x:f>
        <x:v>Wave 2</x:v>
      </x:c>
      <x:c r="C55" s="199" t="n">
        <x:f>COUNTIFS('Decor Catalog'!$H$5:$H$124,A55,'Decor Catalog'!$I$5:$I$124,"Coins",'Decor Catalog'!$C$5:$C$124,"Plant",'Decor Catalog'!$F$5:$F$124,"&lt;&gt;Limited Edition")</x:f>
        <x:v>0</x:v>
      </x:c>
      <x:c r="D55" s="199" t="n">
        <x:f>COUNTIFS('Decor Catalog'!$H$5:$H$124,A55,'Decor Catalog'!$I$5:$I$124,"Coins",'Decor Catalog'!$C$5:$C$124,"Decoration",'Decor Catalog'!$F$5:$F$124,"&lt;&gt;Limited Edition")</x:f>
        <x:v>0</x:v>
      </x:c>
      <x:c r="E55" s="199" t="n">
        <x:f>COUNTIFS('Decor Catalog'!$H$5:$H$124,A55,'Decor Catalog'!$I$5:$I$124,"Pearls",'Decor Catalog'!$C$5:$C$124,"Plant",'Decor Catalog'!$F$5:$F$124,"&lt;&gt;Limited Edition")</x:f>
        <x:v>0</x:v>
      </x:c>
      <x:c r="F55" s="199" t="n">
        <x:f>COUNTIFS('Decor Catalog'!$H$5:$H$124,A55,'Decor Catalog'!$I$5:$I$124,"Pearls",'Decor Catalog'!$C$5:$C$124,"Decoration",'Decor Catalog'!$F$5:$F$124,"&lt;&gt;Limited Edition")</x:f>
        <x:v>0</x:v>
      </x:c>
      <x:c r="G55" s="199" t="n">
        <x:f>COUNTIFS('Decor Catalog'!$H$5:$H$124,A55,'Decor Catalog'!$I$5:$I$124,"Coins",'Decor Catalog'!$F$5:$F$124,"Limited Edition")</x:f>
        <x:v>0</x:v>
      </x:c>
      <x:c r="H55" s="199" t="n">
        <x:f>COUNTIFS('Decor Catalog'!$H$5:$H$124,A55,'Decor Catalog'!$I$5:$I$124,"Pearls",'Decor Catalog'!$F$5:$F$124,"Limited Edition")</x:f>
        <x:v>0</x:v>
      </x:c>
      <x:c r="I55" s="199" t="n">
        <x:f>SUM(C55:F55)</x:f>
        <x:v>0</x:v>
      </x:c>
      <x:c r="J55" s="199" t="n">
        <x:f>SUMIF('Decor Catalog'!$H$5:$H$124,A55,'Decor Catalog'!$K$5:$K$124)</x:f>
        <x:v>0</x:v>
      </x:c>
      <x:c r="K55" s="192" t="str">
        <x:f>IF(A55=1,"CP-01 tutorial: 15 total XP including top-up. Anniversary Coin item is optional.",IF(A55=2,"Preserve the 1-Pearl fish teaching beat; no decor offer before onboarding ends.",IF(A55=40,"Existing launch cap. Higher-level decor is roadmap-only.",IF(SUM(G55:H55)&gt;0,"Event items also require their active purchase window.",IF(I55=0,"No new evergreen decor required; other progression beats carry this level.","Optional cosmetic choices; no fish power.")))))</x:f>
        <x:v>No new evergreen decor required; other progression beats carry this level.</x:v>
      </x:c>
    </x:row>
    <x:row r="56" ht="48" customHeight="1">
      <x:c r="A56" s="217" t="n">
        <x:v>52</x:v>
      </x:c>
      <x:c r="B56" s="192" t="str">
        <x:f>IF(A56&lt;='Decor Guide'!$B$12,"Launch",IF(A56&lt;='Decor Guide'!$B$13,"Wave 1",IF(A56&lt;='Decor Guide'!$B$14,"Wave 2","Wave 3")))</x:f>
        <x:v>Wave 2</x:v>
      </x:c>
      <x:c r="C56" s="199" t="n">
        <x:f>COUNTIFS('Decor Catalog'!$H$5:$H$124,A56,'Decor Catalog'!$I$5:$I$124,"Coins",'Decor Catalog'!$C$5:$C$124,"Plant",'Decor Catalog'!$F$5:$F$124,"&lt;&gt;Limited Edition")</x:f>
        <x:v>1</x:v>
      </x:c>
      <x:c r="D56" s="199" t="n">
        <x:f>COUNTIFS('Decor Catalog'!$H$5:$H$124,A56,'Decor Catalog'!$I$5:$I$124,"Coins",'Decor Catalog'!$C$5:$C$124,"Decoration",'Decor Catalog'!$F$5:$F$124,"&lt;&gt;Limited Edition")</x:f>
        <x:v>0</x:v>
      </x:c>
      <x:c r="E56" s="199" t="n">
        <x:f>COUNTIFS('Decor Catalog'!$H$5:$H$124,A56,'Decor Catalog'!$I$5:$I$124,"Pearls",'Decor Catalog'!$C$5:$C$124,"Plant",'Decor Catalog'!$F$5:$F$124,"&lt;&gt;Limited Edition")</x:f>
        <x:v>0</x:v>
      </x:c>
      <x:c r="F56" s="199" t="n">
        <x:f>COUNTIFS('Decor Catalog'!$H$5:$H$124,A56,'Decor Catalog'!$I$5:$I$124,"Pearls",'Decor Catalog'!$C$5:$C$124,"Decoration",'Decor Catalog'!$F$5:$F$124,"&lt;&gt;Limited Edition")</x:f>
        <x:v>0</x:v>
      </x:c>
      <x:c r="G56" s="199" t="n">
        <x:f>COUNTIFS('Decor Catalog'!$H$5:$H$124,A56,'Decor Catalog'!$I$5:$I$124,"Coins",'Decor Catalog'!$F$5:$F$124,"Limited Edition")</x:f>
        <x:v>0</x:v>
      </x:c>
      <x:c r="H56" s="199" t="n">
        <x:f>COUNTIFS('Decor Catalog'!$H$5:$H$124,A56,'Decor Catalog'!$I$5:$I$124,"Pearls",'Decor Catalog'!$F$5:$F$124,"Limited Edition")</x:f>
        <x:v>0</x:v>
      </x:c>
      <x:c r="I56" s="199" t="n">
        <x:f>SUM(C56:F56)</x:f>
        <x:v>1</x:v>
      </x:c>
      <x:c r="J56" s="199" t="n">
        <x:f>SUMIF('Decor Catalog'!$H$5:$H$124,A56,'Decor Catalog'!$K$5:$K$124)</x:f>
        <x:v>120</x:v>
      </x:c>
      <x:c r="K56" s="192" t="str">
        <x:f>IF(A56=1,"CP-01 tutorial: 15 total XP including top-up. Anniversary Coin item is optional.",IF(A56=2,"Preserve the 1-Pearl fish teaching beat; no decor offer before onboarding ends.",IF(A56=40,"Existing launch cap. Higher-level decor is roadmap-only.",IF(SUM(G56:H56)&gt;0,"Event items also require their active purchase window.",IF(I56=0,"No new evergreen decor required; other progression beats carry this level.","Optional cosmetic choices; no fish power.")))))</x:f>
        <x:v>Optional cosmetic choices; no fish power.</x:v>
      </x:c>
    </x:row>
    <x:row r="57" ht="48" customHeight="1">
      <x:c r="A57" s="217" t="n">
        <x:v>53</x:v>
      </x:c>
      <x:c r="B57" s="192" t="str">
        <x:f>IF(A57&lt;='Decor Guide'!$B$12,"Launch",IF(A57&lt;='Decor Guide'!$B$13,"Wave 1",IF(A57&lt;='Decor Guide'!$B$14,"Wave 2","Wave 3")))</x:f>
        <x:v>Wave 2</x:v>
      </x:c>
      <x:c r="C57" s="199" t="n">
        <x:f>COUNTIFS('Decor Catalog'!$H$5:$H$124,A57,'Decor Catalog'!$I$5:$I$124,"Coins",'Decor Catalog'!$C$5:$C$124,"Plant",'Decor Catalog'!$F$5:$F$124,"&lt;&gt;Limited Edition")</x:f>
        <x:v>0</x:v>
      </x:c>
      <x:c r="D57" s="199" t="n">
        <x:f>COUNTIFS('Decor Catalog'!$H$5:$H$124,A57,'Decor Catalog'!$I$5:$I$124,"Coins",'Decor Catalog'!$C$5:$C$124,"Decoration",'Decor Catalog'!$F$5:$F$124,"&lt;&gt;Limited Edition")</x:f>
        <x:v>0</x:v>
      </x:c>
      <x:c r="E57" s="199" t="n">
        <x:f>COUNTIFS('Decor Catalog'!$H$5:$H$124,A57,'Decor Catalog'!$I$5:$I$124,"Pearls",'Decor Catalog'!$C$5:$C$124,"Plant",'Decor Catalog'!$F$5:$F$124,"&lt;&gt;Limited Edition")</x:f>
        <x:v>0</x:v>
      </x:c>
      <x:c r="F57" s="199" t="n">
        <x:f>COUNTIFS('Decor Catalog'!$H$5:$H$124,A57,'Decor Catalog'!$I$5:$I$124,"Pearls",'Decor Catalog'!$C$5:$C$124,"Decoration",'Decor Catalog'!$F$5:$F$124,"&lt;&gt;Limited Edition")</x:f>
        <x:v>1</x:v>
      </x:c>
      <x:c r="G57" s="199" t="n">
        <x:f>COUNTIFS('Decor Catalog'!$H$5:$H$124,A57,'Decor Catalog'!$I$5:$I$124,"Coins",'Decor Catalog'!$F$5:$F$124,"Limited Edition")</x:f>
        <x:v>0</x:v>
      </x:c>
      <x:c r="H57" s="199" t="n">
        <x:f>COUNTIFS('Decor Catalog'!$H$5:$H$124,A57,'Decor Catalog'!$I$5:$I$124,"Pearls",'Decor Catalog'!$F$5:$F$124,"Limited Edition")</x:f>
        <x:v>0</x:v>
      </x:c>
      <x:c r="I57" s="199" t="n">
        <x:f>SUM(C57:F57)</x:f>
        <x:v>1</x:v>
      </x:c>
      <x:c r="J57" s="199" t="n">
        <x:f>SUMIF('Decor Catalog'!$H$5:$H$124,A57,'Decor Catalog'!$K$5:$K$124)</x:f>
        <x:v>120</x:v>
      </x:c>
      <x:c r="K57" s="192" t="str">
        <x:f>IF(A57=1,"CP-01 tutorial: 15 total XP including top-up. Anniversary Coin item is optional.",IF(A57=2,"Preserve the 1-Pearl fish teaching beat; no decor offer before onboarding ends.",IF(A57=40,"Existing launch cap. Higher-level decor is roadmap-only.",IF(SUM(G57:H57)&gt;0,"Event items also require their active purchase window.",IF(I57=0,"No new evergreen decor required; other progression beats carry this level.","Optional cosmetic choices; no fish power.")))))</x:f>
        <x:v>Optional cosmetic choices; no fish power.</x:v>
      </x:c>
    </x:row>
    <x:row r="58" ht="48" customHeight="1">
      <x:c r="A58" s="217" t="n">
        <x:v>54</x:v>
      </x:c>
      <x:c r="B58" s="192" t="str">
        <x:f>IF(A58&lt;='Decor Guide'!$B$12,"Launch",IF(A58&lt;='Decor Guide'!$B$13,"Wave 1",IF(A58&lt;='Decor Guide'!$B$14,"Wave 2","Wave 3")))</x:f>
        <x:v>Wave 2</x:v>
      </x:c>
      <x:c r="C58" s="199" t="n">
        <x:f>COUNTIFS('Decor Catalog'!$H$5:$H$124,A58,'Decor Catalog'!$I$5:$I$124,"Coins",'Decor Catalog'!$C$5:$C$124,"Plant",'Decor Catalog'!$F$5:$F$124,"&lt;&gt;Limited Edition")</x:f>
        <x:v>0</x:v>
      </x:c>
      <x:c r="D58" s="199" t="n">
        <x:f>COUNTIFS('Decor Catalog'!$H$5:$H$124,A58,'Decor Catalog'!$I$5:$I$124,"Coins",'Decor Catalog'!$C$5:$C$124,"Decoration",'Decor Catalog'!$F$5:$F$124,"&lt;&gt;Limited Edition")</x:f>
        <x:v>1</x:v>
      </x:c>
      <x:c r="E58" s="199" t="n">
        <x:f>COUNTIFS('Decor Catalog'!$H$5:$H$124,A58,'Decor Catalog'!$I$5:$I$124,"Pearls",'Decor Catalog'!$C$5:$C$124,"Plant",'Decor Catalog'!$F$5:$F$124,"&lt;&gt;Limited Edition")</x:f>
        <x:v>0</x:v>
      </x:c>
      <x:c r="F58" s="199" t="n">
        <x:f>COUNTIFS('Decor Catalog'!$H$5:$H$124,A58,'Decor Catalog'!$I$5:$I$124,"Pearls",'Decor Catalog'!$C$5:$C$124,"Decoration",'Decor Catalog'!$F$5:$F$124,"&lt;&gt;Limited Edition")</x:f>
        <x:v>0</x:v>
      </x:c>
      <x:c r="G58" s="199" t="n">
        <x:f>COUNTIFS('Decor Catalog'!$H$5:$H$124,A58,'Decor Catalog'!$I$5:$I$124,"Coins",'Decor Catalog'!$F$5:$F$124,"Limited Edition")</x:f>
        <x:v>0</x:v>
      </x:c>
      <x:c r="H58" s="199" t="n">
        <x:f>COUNTIFS('Decor Catalog'!$H$5:$H$124,A58,'Decor Catalog'!$I$5:$I$124,"Pearls",'Decor Catalog'!$F$5:$F$124,"Limited Edition")</x:f>
        <x:v>0</x:v>
      </x:c>
      <x:c r="I58" s="199" t="n">
        <x:f>SUM(C58:F58)</x:f>
        <x:v>1</x:v>
      </x:c>
      <x:c r="J58" s="199" t="n">
        <x:f>SUMIF('Decor Catalog'!$H$5:$H$124,A58,'Decor Catalog'!$K$5:$K$124)</x:f>
        <x:v>120</x:v>
      </x:c>
      <x:c r="K58" s="192" t="str">
        <x:f>IF(A58=1,"CP-01 tutorial: 15 total XP including top-up. Anniversary Coin item is optional.",IF(A58=2,"Preserve the 1-Pearl fish teaching beat; no decor offer before onboarding ends.",IF(A58=40,"Existing launch cap. Higher-level decor is roadmap-only.",IF(SUM(G58:H58)&gt;0,"Event items also require their active purchase window.",IF(I58=0,"No new evergreen decor required; other progression beats carry this level.","Optional cosmetic choices; no fish power.")))))</x:f>
        <x:v>Optional cosmetic choices; no fish power.</x:v>
      </x:c>
    </x:row>
    <x:row r="59" ht="48" customHeight="1">
      <x:c r="A59" s="217" t="n">
        <x:v>55</x:v>
      </x:c>
      <x:c r="B59" s="192" t="str">
        <x:f>IF(A59&lt;='Decor Guide'!$B$12,"Launch",IF(A59&lt;='Decor Guide'!$B$13,"Wave 1",IF(A59&lt;='Decor Guide'!$B$14,"Wave 2","Wave 3")))</x:f>
        <x:v>Wave 2</x:v>
      </x:c>
      <x:c r="C59" s="199" t="n">
        <x:f>COUNTIFS('Decor Catalog'!$H$5:$H$124,A59,'Decor Catalog'!$I$5:$I$124,"Coins",'Decor Catalog'!$C$5:$C$124,"Plant",'Decor Catalog'!$F$5:$F$124,"&lt;&gt;Limited Edition")</x:f>
        <x:v>0</x:v>
      </x:c>
      <x:c r="D59" s="199" t="n">
        <x:f>COUNTIFS('Decor Catalog'!$H$5:$H$124,A59,'Decor Catalog'!$I$5:$I$124,"Coins",'Decor Catalog'!$C$5:$C$124,"Decoration",'Decor Catalog'!$F$5:$F$124,"&lt;&gt;Limited Edition")</x:f>
        <x:v>0</x:v>
      </x:c>
      <x:c r="E59" s="199" t="n">
        <x:f>COUNTIFS('Decor Catalog'!$H$5:$H$124,A59,'Decor Catalog'!$I$5:$I$124,"Pearls",'Decor Catalog'!$C$5:$C$124,"Plant",'Decor Catalog'!$F$5:$F$124,"&lt;&gt;Limited Edition")</x:f>
        <x:v>1</x:v>
      </x:c>
      <x:c r="F59" s="199" t="n">
        <x:f>COUNTIFS('Decor Catalog'!$H$5:$H$124,A59,'Decor Catalog'!$I$5:$I$124,"Pearls",'Decor Catalog'!$C$5:$C$124,"Decoration",'Decor Catalog'!$F$5:$F$124,"&lt;&gt;Limited Edition")</x:f>
        <x:v>0</x:v>
      </x:c>
      <x:c r="G59" s="199" t="n">
        <x:f>COUNTIFS('Decor Catalog'!$H$5:$H$124,A59,'Decor Catalog'!$I$5:$I$124,"Coins",'Decor Catalog'!$F$5:$F$124,"Limited Edition")</x:f>
        <x:v>0</x:v>
      </x:c>
      <x:c r="H59" s="199" t="n">
        <x:f>COUNTIFS('Decor Catalog'!$H$5:$H$124,A59,'Decor Catalog'!$I$5:$I$124,"Pearls",'Decor Catalog'!$F$5:$F$124,"Limited Edition")</x:f>
        <x:v>0</x:v>
      </x:c>
      <x:c r="I59" s="199" t="n">
        <x:f>SUM(C59:F59)</x:f>
        <x:v>1</x:v>
      </x:c>
      <x:c r="J59" s="199" t="n">
        <x:f>SUMIF('Decor Catalog'!$H$5:$H$124,A59,'Decor Catalog'!$K$5:$K$124)</x:f>
        <x:v>120</x:v>
      </x:c>
      <x:c r="K59" s="192" t="str">
        <x:f>IF(A59=1,"CP-01 tutorial: 15 total XP including top-up. Anniversary Coin item is optional.",IF(A59=2,"Preserve the 1-Pearl fish teaching beat; no decor offer before onboarding ends.",IF(A59=40,"Existing launch cap. Higher-level decor is roadmap-only.",IF(SUM(G59:H59)&gt;0,"Event items also require their active purchase window.",IF(I59=0,"No new evergreen decor required; other progression beats carry this level.","Optional cosmetic choices; no fish power.")))))</x:f>
        <x:v>Optional cosmetic choices; no fish power.</x:v>
      </x:c>
    </x:row>
    <x:row r="60" ht="48" customHeight="1">
      <x:c r="A60" s="217" t="n">
        <x:v>56</x:v>
      </x:c>
      <x:c r="B60" s="192" t="str">
        <x:f>IF(A60&lt;='Decor Guide'!$B$12,"Launch",IF(A60&lt;='Decor Guide'!$B$13,"Wave 1",IF(A60&lt;='Decor Guide'!$B$14,"Wave 2","Wave 3")))</x:f>
        <x:v>Wave 2</x:v>
      </x:c>
      <x:c r="C60" s="199" t="n">
        <x:f>COUNTIFS('Decor Catalog'!$H$5:$H$124,A60,'Decor Catalog'!$I$5:$I$124,"Coins",'Decor Catalog'!$C$5:$C$124,"Plant",'Decor Catalog'!$F$5:$F$124,"&lt;&gt;Limited Edition")</x:f>
        <x:v>1</x:v>
      </x:c>
      <x:c r="D60" s="199" t="n">
        <x:f>COUNTIFS('Decor Catalog'!$H$5:$H$124,A60,'Decor Catalog'!$I$5:$I$124,"Coins",'Decor Catalog'!$C$5:$C$124,"Decoration",'Decor Catalog'!$F$5:$F$124,"&lt;&gt;Limited Edition")</x:f>
        <x:v>0</x:v>
      </x:c>
      <x:c r="E60" s="199" t="n">
        <x:f>COUNTIFS('Decor Catalog'!$H$5:$H$124,A60,'Decor Catalog'!$I$5:$I$124,"Pearls",'Decor Catalog'!$C$5:$C$124,"Plant",'Decor Catalog'!$F$5:$F$124,"&lt;&gt;Limited Edition")</x:f>
        <x:v>0</x:v>
      </x:c>
      <x:c r="F60" s="199" t="n">
        <x:f>COUNTIFS('Decor Catalog'!$H$5:$H$124,A60,'Decor Catalog'!$I$5:$I$124,"Pearls",'Decor Catalog'!$C$5:$C$124,"Decoration",'Decor Catalog'!$F$5:$F$124,"&lt;&gt;Limited Edition")</x:f>
        <x:v>0</x:v>
      </x:c>
      <x:c r="G60" s="199" t="n">
        <x:f>COUNTIFS('Decor Catalog'!$H$5:$H$124,A60,'Decor Catalog'!$I$5:$I$124,"Coins",'Decor Catalog'!$F$5:$F$124,"Limited Edition")</x:f>
        <x:v>0</x:v>
      </x:c>
      <x:c r="H60" s="199" t="n">
        <x:f>COUNTIFS('Decor Catalog'!$H$5:$H$124,A60,'Decor Catalog'!$I$5:$I$124,"Pearls",'Decor Catalog'!$F$5:$F$124,"Limited Edition")</x:f>
        <x:v>0</x:v>
      </x:c>
      <x:c r="I60" s="199" t="n">
        <x:f>SUM(C60:F60)</x:f>
        <x:v>1</x:v>
      </x:c>
      <x:c r="J60" s="199" t="n">
        <x:f>SUMIF('Decor Catalog'!$H$5:$H$124,A60,'Decor Catalog'!$K$5:$K$124)</x:f>
        <x:v>120</x:v>
      </x:c>
      <x:c r="K60" s="192" t="str">
        <x:f>IF(A60=1,"CP-01 tutorial: 15 total XP including top-up. Anniversary Coin item is optional.",IF(A60=2,"Preserve the 1-Pearl fish teaching beat; no decor offer before onboarding ends.",IF(A60=40,"Existing launch cap. Higher-level decor is roadmap-only.",IF(SUM(G60:H60)&gt;0,"Event items also require their active purchase window.",IF(I60=0,"No new evergreen decor required; other progression beats carry this level.","Optional cosmetic choices; no fish power.")))))</x:f>
        <x:v>Optional cosmetic choices; no fish power.</x:v>
      </x:c>
    </x:row>
    <x:row r="61" ht="48" customHeight="1">
      <x:c r="A61" s="217" t="n">
        <x:v>57</x:v>
      </x:c>
      <x:c r="B61" s="192" t="str">
        <x:f>IF(A61&lt;='Decor Guide'!$B$12,"Launch",IF(A61&lt;='Decor Guide'!$B$13,"Wave 1",IF(A61&lt;='Decor Guide'!$B$14,"Wave 2","Wave 3")))</x:f>
        <x:v>Wave 2</x:v>
      </x:c>
      <x:c r="C61" s="199" t="n">
        <x:f>COUNTIFS('Decor Catalog'!$H$5:$H$124,A61,'Decor Catalog'!$I$5:$I$124,"Coins",'Decor Catalog'!$C$5:$C$124,"Plant",'Decor Catalog'!$F$5:$F$124,"&lt;&gt;Limited Edition")</x:f>
        <x:v>0</x:v>
      </x:c>
      <x:c r="D61" s="199" t="n">
        <x:f>COUNTIFS('Decor Catalog'!$H$5:$H$124,A61,'Decor Catalog'!$I$5:$I$124,"Coins",'Decor Catalog'!$C$5:$C$124,"Decoration",'Decor Catalog'!$F$5:$F$124,"&lt;&gt;Limited Edition")</x:f>
        <x:v>0</x:v>
      </x:c>
      <x:c r="E61" s="199" t="n">
        <x:f>COUNTIFS('Decor Catalog'!$H$5:$H$124,A61,'Decor Catalog'!$I$5:$I$124,"Pearls",'Decor Catalog'!$C$5:$C$124,"Plant",'Decor Catalog'!$F$5:$F$124,"&lt;&gt;Limited Edition")</x:f>
        <x:v>0</x:v>
      </x:c>
      <x:c r="F61" s="199" t="n">
        <x:f>COUNTIFS('Decor Catalog'!$H$5:$H$124,A61,'Decor Catalog'!$I$5:$I$124,"Pearls",'Decor Catalog'!$C$5:$C$124,"Decoration",'Decor Catalog'!$F$5:$F$124,"&lt;&gt;Limited Edition")</x:f>
        <x:v>0</x:v>
      </x:c>
      <x:c r="G61" s="199" t="n">
        <x:f>COUNTIFS('Decor Catalog'!$H$5:$H$124,A61,'Decor Catalog'!$I$5:$I$124,"Coins",'Decor Catalog'!$F$5:$F$124,"Limited Edition")</x:f>
        <x:v>0</x:v>
      </x:c>
      <x:c r="H61" s="199" t="n">
        <x:f>COUNTIFS('Decor Catalog'!$H$5:$H$124,A61,'Decor Catalog'!$I$5:$I$124,"Pearls",'Decor Catalog'!$F$5:$F$124,"Limited Edition")</x:f>
        <x:v>0</x:v>
      </x:c>
      <x:c r="I61" s="199" t="n">
        <x:f>SUM(C61:F61)</x:f>
        <x:v>0</x:v>
      </x:c>
      <x:c r="J61" s="199" t="n">
        <x:f>SUMIF('Decor Catalog'!$H$5:$H$124,A61,'Decor Catalog'!$K$5:$K$124)</x:f>
        <x:v>0</x:v>
      </x:c>
      <x:c r="K61" s="192" t="str">
        <x:f>IF(A61=1,"CP-01 tutorial: 15 total XP including top-up. Anniversary Coin item is optional.",IF(A61=2,"Preserve the 1-Pearl fish teaching beat; no decor offer before onboarding ends.",IF(A61=40,"Existing launch cap. Higher-level decor is roadmap-only.",IF(SUM(G61:H61)&gt;0,"Event items also require their active purchase window.",IF(I61=0,"No new evergreen decor required; other progression beats carry this level.","Optional cosmetic choices; no fish power.")))))</x:f>
        <x:v>No new evergreen decor required; other progression beats carry this level.</x:v>
      </x:c>
    </x:row>
    <x:row r="62" ht="48" customHeight="1">
      <x:c r="A62" s="217" t="n">
        <x:v>58</x:v>
      </x:c>
      <x:c r="B62" s="192" t="str">
        <x:f>IF(A62&lt;='Decor Guide'!$B$12,"Launch",IF(A62&lt;='Decor Guide'!$B$13,"Wave 1",IF(A62&lt;='Decor Guide'!$B$14,"Wave 2","Wave 3")))</x:f>
        <x:v>Wave 2</x:v>
      </x:c>
      <x:c r="C62" s="199" t="n">
        <x:f>COUNTIFS('Decor Catalog'!$H$5:$H$124,A62,'Decor Catalog'!$I$5:$I$124,"Coins",'Decor Catalog'!$C$5:$C$124,"Plant",'Decor Catalog'!$F$5:$F$124,"&lt;&gt;Limited Edition")</x:f>
        <x:v>0</x:v>
      </x:c>
      <x:c r="D62" s="199" t="n">
        <x:f>COUNTIFS('Decor Catalog'!$H$5:$H$124,A62,'Decor Catalog'!$I$5:$I$124,"Coins",'Decor Catalog'!$C$5:$C$124,"Decoration",'Decor Catalog'!$F$5:$F$124,"&lt;&gt;Limited Edition")</x:f>
        <x:v>1</x:v>
      </x:c>
      <x:c r="E62" s="199" t="n">
        <x:f>COUNTIFS('Decor Catalog'!$H$5:$H$124,A62,'Decor Catalog'!$I$5:$I$124,"Pearls",'Decor Catalog'!$C$5:$C$124,"Plant",'Decor Catalog'!$F$5:$F$124,"&lt;&gt;Limited Edition")</x:f>
        <x:v>0</x:v>
      </x:c>
      <x:c r="F62" s="199" t="n">
        <x:f>COUNTIFS('Decor Catalog'!$H$5:$H$124,A62,'Decor Catalog'!$I$5:$I$124,"Pearls",'Decor Catalog'!$C$5:$C$124,"Decoration",'Decor Catalog'!$F$5:$F$124,"&lt;&gt;Limited Edition")</x:f>
        <x:v>0</x:v>
      </x:c>
      <x:c r="G62" s="199" t="n">
        <x:f>COUNTIFS('Decor Catalog'!$H$5:$H$124,A62,'Decor Catalog'!$I$5:$I$124,"Coins",'Decor Catalog'!$F$5:$F$124,"Limited Edition")</x:f>
        <x:v>0</x:v>
      </x:c>
      <x:c r="H62" s="199" t="n">
        <x:f>COUNTIFS('Decor Catalog'!$H$5:$H$124,A62,'Decor Catalog'!$I$5:$I$124,"Pearls",'Decor Catalog'!$F$5:$F$124,"Limited Edition")</x:f>
        <x:v>0</x:v>
      </x:c>
      <x:c r="I62" s="199" t="n">
        <x:f>SUM(C62:F62)</x:f>
        <x:v>1</x:v>
      </x:c>
      <x:c r="J62" s="199" t="n">
        <x:f>SUMIF('Decor Catalog'!$H$5:$H$124,A62,'Decor Catalog'!$K$5:$K$124)</x:f>
        <x:v>120</x:v>
      </x:c>
      <x:c r="K62" s="192" t="str">
        <x:f>IF(A62=1,"CP-01 tutorial: 15 total XP including top-up. Anniversary Coin item is optional.",IF(A62=2,"Preserve the 1-Pearl fish teaching beat; no decor offer before onboarding ends.",IF(A62=40,"Existing launch cap. Higher-level decor is roadmap-only.",IF(SUM(G62:H62)&gt;0,"Event items also require their active purchase window.",IF(I62=0,"No new evergreen decor required; other progression beats carry this level.","Optional cosmetic choices; no fish power.")))))</x:f>
        <x:v>Optional cosmetic choices; no fish power.</x:v>
      </x:c>
    </x:row>
    <x:row r="63" ht="48" customHeight="1">
      <x:c r="A63" s="217" t="n">
        <x:v>59</x:v>
      </x:c>
      <x:c r="B63" s="192" t="str">
        <x:f>IF(A63&lt;='Decor Guide'!$B$12,"Launch",IF(A63&lt;='Decor Guide'!$B$13,"Wave 1",IF(A63&lt;='Decor Guide'!$B$14,"Wave 2","Wave 3")))</x:f>
        <x:v>Wave 2</x:v>
      </x:c>
      <x:c r="C63" s="199" t="n">
        <x:f>COUNTIFS('Decor Catalog'!$H$5:$H$124,A63,'Decor Catalog'!$I$5:$I$124,"Coins",'Decor Catalog'!$C$5:$C$124,"Plant",'Decor Catalog'!$F$5:$F$124,"&lt;&gt;Limited Edition")</x:f>
        <x:v>0</x:v>
      </x:c>
      <x:c r="D63" s="199" t="n">
        <x:f>COUNTIFS('Decor Catalog'!$H$5:$H$124,A63,'Decor Catalog'!$I$5:$I$124,"Coins",'Decor Catalog'!$C$5:$C$124,"Decoration",'Decor Catalog'!$F$5:$F$124,"&lt;&gt;Limited Edition")</x:f>
        <x:v>0</x:v>
      </x:c>
      <x:c r="E63" s="199" t="n">
        <x:f>COUNTIFS('Decor Catalog'!$H$5:$H$124,A63,'Decor Catalog'!$I$5:$I$124,"Pearls",'Decor Catalog'!$C$5:$C$124,"Plant",'Decor Catalog'!$F$5:$F$124,"&lt;&gt;Limited Edition")</x:f>
        <x:v>0</x:v>
      </x:c>
      <x:c r="F63" s="199" t="n">
        <x:f>COUNTIFS('Decor Catalog'!$H$5:$H$124,A63,'Decor Catalog'!$I$5:$I$124,"Pearls",'Decor Catalog'!$C$5:$C$124,"Decoration",'Decor Catalog'!$F$5:$F$124,"&lt;&gt;Limited Edition")</x:f>
        <x:v>0</x:v>
      </x:c>
      <x:c r="G63" s="199" t="n">
        <x:f>COUNTIFS('Decor Catalog'!$H$5:$H$124,A63,'Decor Catalog'!$I$5:$I$124,"Coins",'Decor Catalog'!$F$5:$F$124,"Limited Edition")</x:f>
        <x:v>0</x:v>
      </x:c>
      <x:c r="H63" s="199" t="n">
        <x:f>COUNTIFS('Decor Catalog'!$H$5:$H$124,A63,'Decor Catalog'!$I$5:$I$124,"Pearls",'Decor Catalog'!$F$5:$F$124,"Limited Edition")</x:f>
        <x:v>0</x:v>
      </x:c>
      <x:c r="I63" s="199" t="n">
        <x:f>SUM(C63:F63)</x:f>
        <x:v>0</x:v>
      </x:c>
      <x:c r="J63" s="199" t="n">
        <x:f>SUMIF('Decor Catalog'!$H$5:$H$124,A63,'Decor Catalog'!$K$5:$K$124)</x:f>
        <x:v>0</x:v>
      </x:c>
      <x:c r="K63" s="192" t="str">
        <x:f>IF(A63=1,"CP-01 tutorial: 15 total XP including top-up. Anniversary Coin item is optional.",IF(A63=2,"Preserve the 1-Pearl fish teaching beat; no decor offer before onboarding ends.",IF(A63=40,"Existing launch cap. Higher-level decor is roadmap-only.",IF(SUM(G63:H63)&gt;0,"Event items also require their active purchase window.",IF(I63=0,"No new evergreen decor required; other progression beats carry this level.","Optional cosmetic choices; no fish power.")))))</x:f>
        <x:v>No new evergreen decor required; other progression beats carry this level.</x:v>
      </x:c>
    </x:row>
    <x:row r="64" ht="48" customHeight="1">
      <x:c r="A64" s="217" t="n">
        <x:v>60</x:v>
      </x:c>
      <x:c r="B64" s="192" t="str">
        <x:f>IF(A64&lt;='Decor Guide'!$B$12,"Launch",IF(A64&lt;='Decor Guide'!$B$13,"Wave 1",IF(A64&lt;='Decor Guide'!$B$14,"Wave 2","Wave 3")))</x:f>
        <x:v>Wave 2</x:v>
      </x:c>
      <x:c r="C64" s="199" t="n">
        <x:f>COUNTIFS('Decor Catalog'!$H$5:$H$124,A64,'Decor Catalog'!$I$5:$I$124,"Coins",'Decor Catalog'!$C$5:$C$124,"Plant",'Decor Catalog'!$F$5:$F$124,"&lt;&gt;Limited Edition")</x:f>
        <x:v>1</x:v>
      </x:c>
      <x:c r="D64" s="199" t="n">
        <x:f>COUNTIFS('Decor Catalog'!$H$5:$H$124,A64,'Decor Catalog'!$I$5:$I$124,"Coins",'Decor Catalog'!$C$5:$C$124,"Decoration",'Decor Catalog'!$F$5:$F$124,"&lt;&gt;Limited Edition")</x:f>
        <x:v>0</x:v>
      </x:c>
      <x:c r="E64" s="199" t="n">
        <x:f>COUNTIFS('Decor Catalog'!$H$5:$H$124,A64,'Decor Catalog'!$I$5:$I$124,"Pearls",'Decor Catalog'!$C$5:$C$124,"Plant",'Decor Catalog'!$F$5:$F$124,"&lt;&gt;Limited Edition")</x:f>
        <x:v>1</x:v>
      </x:c>
      <x:c r="F64" s="199" t="n">
        <x:f>COUNTIFS('Decor Catalog'!$H$5:$H$124,A64,'Decor Catalog'!$I$5:$I$124,"Pearls",'Decor Catalog'!$C$5:$C$124,"Decoration",'Decor Catalog'!$F$5:$F$124,"&lt;&gt;Limited Edition")</x:f>
        <x:v>0</x:v>
      </x:c>
      <x:c r="G64" s="199" t="n">
        <x:f>COUNTIFS('Decor Catalog'!$H$5:$H$124,A64,'Decor Catalog'!$I$5:$I$124,"Coins",'Decor Catalog'!$F$5:$F$124,"Limited Edition")</x:f>
        <x:v>0</x:v>
      </x:c>
      <x:c r="H64" s="199" t="n">
        <x:f>COUNTIFS('Decor Catalog'!$H$5:$H$124,A64,'Decor Catalog'!$I$5:$I$124,"Pearls",'Decor Catalog'!$F$5:$F$124,"Limited Edition")</x:f>
        <x:v>0</x:v>
      </x:c>
      <x:c r="I64" s="199" t="n">
        <x:f>SUM(C64:F64)</x:f>
        <x:v>2</x:v>
      </x:c>
      <x:c r="J64" s="199" t="n">
        <x:f>SUMIF('Decor Catalog'!$H$5:$H$124,A64,'Decor Catalog'!$K$5:$K$124)</x:f>
        <x:v>240</x:v>
      </x:c>
      <x:c r="K64" s="192" t="str">
        <x:f>IF(A64=1,"CP-01 tutorial: 15 total XP including top-up. Anniversary Coin item is optional.",IF(A64=2,"Preserve the 1-Pearl fish teaching beat; no decor offer before onboarding ends.",IF(A64=40,"Existing launch cap. Higher-level decor is roadmap-only.",IF(SUM(G64:H64)&gt;0,"Event items also require their active purchase window.",IF(I64=0,"No new evergreen decor required; other progression beats carry this level.","Optional cosmetic choices; no fish power.")))))</x:f>
        <x:v>Optional cosmetic choices; no fish power.</x:v>
      </x:c>
    </x:row>
    <x:row r="65" ht="48" customHeight="1">
      <x:c r="A65" s="217" t="n">
        <x:v>61</x:v>
      </x:c>
      <x:c r="B65" s="192" t="str">
        <x:f>IF(A65&lt;='Decor Guide'!$B$12,"Launch",IF(A65&lt;='Decor Guide'!$B$13,"Wave 1",IF(A65&lt;='Decor Guide'!$B$14,"Wave 2","Wave 3")))</x:f>
        <x:v>Wave 3</x:v>
      </x:c>
      <x:c r="C65" s="199" t="n">
        <x:f>COUNTIFS('Decor Catalog'!$H$5:$H$124,A65,'Decor Catalog'!$I$5:$I$124,"Coins",'Decor Catalog'!$C$5:$C$124,"Plant",'Decor Catalog'!$F$5:$F$124,"&lt;&gt;Limited Edition")</x:f>
        <x:v>0</x:v>
      </x:c>
      <x:c r="D65" s="199" t="n">
        <x:f>COUNTIFS('Decor Catalog'!$H$5:$H$124,A65,'Decor Catalog'!$I$5:$I$124,"Coins",'Decor Catalog'!$C$5:$C$124,"Decoration",'Decor Catalog'!$F$5:$F$124,"&lt;&gt;Limited Edition")</x:f>
        <x:v>0</x:v>
      </x:c>
      <x:c r="E65" s="199" t="n">
        <x:f>COUNTIFS('Decor Catalog'!$H$5:$H$124,A65,'Decor Catalog'!$I$5:$I$124,"Pearls",'Decor Catalog'!$C$5:$C$124,"Plant",'Decor Catalog'!$F$5:$F$124,"&lt;&gt;Limited Edition")</x:f>
        <x:v>0</x:v>
      </x:c>
      <x:c r="F65" s="199" t="n">
        <x:f>COUNTIFS('Decor Catalog'!$H$5:$H$124,A65,'Decor Catalog'!$I$5:$I$124,"Pearls",'Decor Catalog'!$C$5:$C$124,"Decoration",'Decor Catalog'!$F$5:$F$124,"&lt;&gt;Limited Edition")</x:f>
        <x:v>0</x:v>
      </x:c>
      <x:c r="G65" s="199" t="n">
        <x:f>COUNTIFS('Decor Catalog'!$H$5:$H$124,A65,'Decor Catalog'!$I$5:$I$124,"Coins",'Decor Catalog'!$F$5:$F$124,"Limited Edition")</x:f>
        <x:v>0</x:v>
      </x:c>
      <x:c r="H65" s="199" t="n">
        <x:f>COUNTIFS('Decor Catalog'!$H$5:$H$124,A65,'Decor Catalog'!$I$5:$I$124,"Pearls",'Decor Catalog'!$F$5:$F$124,"Limited Edition")</x:f>
        <x:v>0</x:v>
      </x:c>
      <x:c r="I65" s="199" t="n">
        <x:f>SUM(C65:F65)</x:f>
        <x:v>0</x:v>
      </x:c>
      <x:c r="J65" s="199" t="n">
        <x:f>SUMIF('Decor Catalog'!$H$5:$H$124,A65,'Decor Catalog'!$K$5:$K$124)</x:f>
        <x:v>0</x:v>
      </x:c>
      <x:c r="K65" s="192" t="str">
        <x:f>IF(A65=1,"CP-01 tutorial: 15 total XP including top-up. Anniversary Coin item is optional.",IF(A65=2,"Preserve the 1-Pearl fish teaching beat; no decor offer before onboarding ends.",IF(A65=40,"Existing launch cap. Higher-level decor is roadmap-only.",IF(SUM(G65:H65)&gt;0,"Event items also require their active purchase window.",IF(I65=0,"No new evergreen decor required; other progression beats carry this level.","Optional cosmetic choices; no fish power.")))))</x:f>
        <x:v>No new evergreen decor required; other progression beats carry this level.</x:v>
      </x:c>
    </x:row>
    <x:row r="66" ht="48" customHeight="1">
      <x:c r="A66" s="217" t="n">
        <x:v>62</x:v>
      </x:c>
      <x:c r="B66" s="192" t="str">
        <x:f>IF(A66&lt;='Decor Guide'!$B$12,"Launch",IF(A66&lt;='Decor Guide'!$B$13,"Wave 1",IF(A66&lt;='Decor Guide'!$B$14,"Wave 2","Wave 3")))</x:f>
        <x:v>Wave 3</x:v>
      </x:c>
      <x:c r="C66" s="199" t="n">
        <x:f>COUNTIFS('Decor Catalog'!$H$5:$H$124,A66,'Decor Catalog'!$I$5:$I$124,"Coins",'Decor Catalog'!$C$5:$C$124,"Plant",'Decor Catalog'!$F$5:$F$124,"&lt;&gt;Limited Edition")</x:f>
        <x:v>0</x:v>
      </x:c>
      <x:c r="D66" s="199" t="n">
        <x:f>COUNTIFS('Decor Catalog'!$H$5:$H$124,A66,'Decor Catalog'!$I$5:$I$124,"Coins",'Decor Catalog'!$C$5:$C$124,"Decoration",'Decor Catalog'!$F$5:$F$124,"&lt;&gt;Limited Edition")</x:f>
        <x:v>0</x:v>
      </x:c>
      <x:c r="E66" s="199" t="n">
        <x:f>COUNTIFS('Decor Catalog'!$H$5:$H$124,A66,'Decor Catalog'!$I$5:$I$124,"Pearls",'Decor Catalog'!$C$5:$C$124,"Plant",'Decor Catalog'!$F$5:$F$124,"&lt;&gt;Limited Edition")</x:f>
        <x:v>0</x:v>
      </x:c>
      <x:c r="F66" s="199" t="n">
        <x:f>COUNTIFS('Decor Catalog'!$H$5:$H$124,A66,'Decor Catalog'!$I$5:$I$124,"Pearls",'Decor Catalog'!$C$5:$C$124,"Decoration",'Decor Catalog'!$F$5:$F$124,"&lt;&gt;Limited Edition")</x:f>
        <x:v>1</x:v>
      </x:c>
      <x:c r="G66" s="199" t="n">
        <x:f>COUNTIFS('Decor Catalog'!$H$5:$H$124,A66,'Decor Catalog'!$I$5:$I$124,"Coins",'Decor Catalog'!$F$5:$F$124,"Limited Edition")</x:f>
        <x:v>0</x:v>
      </x:c>
      <x:c r="H66" s="199" t="n">
        <x:f>COUNTIFS('Decor Catalog'!$H$5:$H$124,A66,'Decor Catalog'!$I$5:$I$124,"Pearls",'Decor Catalog'!$F$5:$F$124,"Limited Edition")</x:f>
        <x:v>0</x:v>
      </x:c>
      <x:c r="I66" s="199" t="n">
        <x:f>SUM(C66:F66)</x:f>
        <x:v>1</x:v>
      </x:c>
      <x:c r="J66" s="199" t="n">
        <x:f>SUMIF('Decor Catalog'!$H$5:$H$124,A66,'Decor Catalog'!$K$5:$K$124)</x:f>
        <x:v>120</x:v>
      </x:c>
      <x:c r="K66" s="192" t="str">
        <x:f>IF(A66=1,"CP-01 tutorial: 15 total XP including top-up. Anniversary Coin item is optional.",IF(A66=2,"Preserve the 1-Pearl fish teaching beat; no decor offer before onboarding ends.",IF(A66=40,"Existing launch cap. Higher-level decor is roadmap-only.",IF(SUM(G66:H66)&gt;0,"Event items also require their active purchase window.",IF(I66=0,"No new evergreen decor required; other progression beats carry this level.","Optional cosmetic choices; no fish power.")))))</x:f>
        <x:v>Optional cosmetic choices; no fish power.</x:v>
      </x:c>
    </x:row>
    <x:row r="67" ht="48" customHeight="1">
      <x:c r="A67" s="217" t="n">
        <x:v>63</x:v>
      </x:c>
      <x:c r="B67" s="192" t="str">
        <x:f>IF(A67&lt;='Decor Guide'!$B$12,"Launch",IF(A67&lt;='Decor Guide'!$B$13,"Wave 1",IF(A67&lt;='Decor Guide'!$B$14,"Wave 2","Wave 3")))</x:f>
        <x:v>Wave 3</x:v>
      </x:c>
      <x:c r="C67" s="199" t="n">
        <x:f>COUNTIFS('Decor Catalog'!$H$5:$H$124,A67,'Decor Catalog'!$I$5:$I$124,"Coins",'Decor Catalog'!$C$5:$C$124,"Plant",'Decor Catalog'!$F$5:$F$124,"&lt;&gt;Limited Edition")</x:f>
        <x:v>0</x:v>
      </x:c>
      <x:c r="D67" s="199" t="n">
        <x:f>COUNTIFS('Decor Catalog'!$H$5:$H$124,A67,'Decor Catalog'!$I$5:$I$124,"Coins",'Decor Catalog'!$C$5:$C$124,"Decoration",'Decor Catalog'!$F$5:$F$124,"&lt;&gt;Limited Edition")</x:f>
        <x:v>0</x:v>
      </x:c>
      <x:c r="E67" s="199" t="n">
        <x:f>COUNTIFS('Decor Catalog'!$H$5:$H$124,A67,'Decor Catalog'!$I$5:$I$124,"Pearls",'Decor Catalog'!$C$5:$C$124,"Plant",'Decor Catalog'!$F$5:$F$124,"&lt;&gt;Limited Edition")</x:f>
        <x:v>0</x:v>
      </x:c>
      <x:c r="F67" s="199" t="n">
        <x:f>COUNTIFS('Decor Catalog'!$H$5:$H$124,A67,'Decor Catalog'!$I$5:$I$124,"Pearls",'Decor Catalog'!$C$5:$C$124,"Decoration",'Decor Catalog'!$F$5:$F$124,"&lt;&gt;Limited Edition")</x:f>
        <x:v>0</x:v>
      </x:c>
      <x:c r="G67" s="199" t="n">
        <x:f>COUNTIFS('Decor Catalog'!$H$5:$H$124,A67,'Decor Catalog'!$I$5:$I$124,"Coins",'Decor Catalog'!$F$5:$F$124,"Limited Edition")</x:f>
        <x:v>0</x:v>
      </x:c>
      <x:c r="H67" s="199" t="n">
        <x:f>COUNTIFS('Decor Catalog'!$H$5:$H$124,A67,'Decor Catalog'!$I$5:$I$124,"Pearls",'Decor Catalog'!$F$5:$F$124,"Limited Edition")</x:f>
        <x:v>0</x:v>
      </x:c>
      <x:c r="I67" s="199" t="n">
        <x:f>SUM(C67:F67)</x:f>
        <x:v>0</x:v>
      </x:c>
      <x:c r="J67" s="199" t="n">
        <x:f>SUMIF('Decor Catalog'!$H$5:$H$124,A67,'Decor Catalog'!$K$5:$K$124)</x:f>
        <x:v>0</x:v>
      </x:c>
      <x:c r="K67" s="192" t="str">
        <x:f>IF(A67=1,"CP-01 tutorial: 15 total XP including top-up. Anniversary Coin item is optional.",IF(A67=2,"Preserve the 1-Pearl fish teaching beat; no decor offer before onboarding ends.",IF(A67=40,"Existing launch cap. Higher-level decor is roadmap-only.",IF(SUM(G67:H67)&gt;0,"Event items also require their active purchase window.",IF(I67=0,"No new evergreen decor required; other progression beats carry this level.","Optional cosmetic choices; no fish power.")))))</x:f>
        <x:v>No new evergreen decor required; other progression beats carry this level.</x:v>
      </x:c>
    </x:row>
    <x:row r="68" ht="48" customHeight="1">
      <x:c r="A68" s="217" t="n">
        <x:v>64</x:v>
      </x:c>
      <x:c r="B68" s="192" t="str">
        <x:f>IF(A68&lt;='Decor Guide'!$B$12,"Launch",IF(A68&lt;='Decor Guide'!$B$13,"Wave 1",IF(A68&lt;='Decor Guide'!$B$14,"Wave 2","Wave 3")))</x:f>
        <x:v>Wave 3</x:v>
      </x:c>
      <x:c r="C68" s="199" t="n">
        <x:f>COUNTIFS('Decor Catalog'!$H$5:$H$124,A68,'Decor Catalog'!$I$5:$I$124,"Coins",'Decor Catalog'!$C$5:$C$124,"Plant",'Decor Catalog'!$F$5:$F$124,"&lt;&gt;Limited Edition")</x:f>
        <x:v>0</x:v>
      </x:c>
      <x:c r="D68" s="199" t="n">
        <x:f>COUNTIFS('Decor Catalog'!$H$5:$H$124,A68,'Decor Catalog'!$I$5:$I$124,"Coins",'Decor Catalog'!$C$5:$C$124,"Decoration",'Decor Catalog'!$F$5:$F$124,"&lt;&gt;Limited Edition")</x:f>
        <x:v>1</x:v>
      </x:c>
      <x:c r="E68" s="199" t="n">
        <x:f>COUNTIFS('Decor Catalog'!$H$5:$H$124,A68,'Decor Catalog'!$I$5:$I$124,"Pearls",'Decor Catalog'!$C$5:$C$124,"Plant",'Decor Catalog'!$F$5:$F$124,"&lt;&gt;Limited Edition")</x:f>
        <x:v>0</x:v>
      </x:c>
      <x:c r="F68" s="199" t="n">
        <x:f>COUNTIFS('Decor Catalog'!$H$5:$H$124,A68,'Decor Catalog'!$I$5:$I$124,"Pearls",'Decor Catalog'!$C$5:$C$124,"Decoration",'Decor Catalog'!$F$5:$F$124,"&lt;&gt;Limited Edition")</x:f>
        <x:v>0</x:v>
      </x:c>
      <x:c r="G68" s="199" t="n">
        <x:f>COUNTIFS('Decor Catalog'!$H$5:$H$124,A68,'Decor Catalog'!$I$5:$I$124,"Coins",'Decor Catalog'!$F$5:$F$124,"Limited Edition")</x:f>
        <x:v>0</x:v>
      </x:c>
      <x:c r="H68" s="199" t="n">
        <x:f>COUNTIFS('Decor Catalog'!$H$5:$H$124,A68,'Decor Catalog'!$I$5:$I$124,"Pearls",'Decor Catalog'!$F$5:$F$124,"Limited Edition")</x:f>
        <x:v>0</x:v>
      </x:c>
      <x:c r="I68" s="199" t="n">
        <x:f>SUM(C68:F68)</x:f>
        <x:v>1</x:v>
      </x:c>
      <x:c r="J68" s="199" t="n">
        <x:f>SUMIF('Decor Catalog'!$H$5:$H$124,A68,'Decor Catalog'!$K$5:$K$124)</x:f>
        <x:v>120</x:v>
      </x:c>
      <x:c r="K68" s="192" t="str">
        <x:f>IF(A68=1,"CP-01 tutorial: 15 total XP including top-up. Anniversary Coin item is optional.",IF(A68=2,"Preserve the 1-Pearl fish teaching beat; no decor offer before onboarding ends.",IF(A68=40,"Existing launch cap. Higher-level decor is roadmap-only.",IF(SUM(G68:H68)&gt;0,"Event items also require their active purchase window.",IF(I68=0,"No new evergreen decor required; other progression beats carry this level.","Optional cosmetic choices; no fish power.")))))</x:f>
        <x:v>Optional cosmetic choices; no fish power.</x:v>
      </x:c>
    </x:row>
    <x:row r="69" ht="48" customHeight="1">
      <x:c r="A69" s="217" t="n">
        <x:v>65</x:v>
      </x:c>
      <x:c r="B69" s="192" t="str">
        <x:f>IF(A69&lt;='Decor Guide'!$B$12,"Launch",IF(A69&lt;='Decor Guide'!$B$13,"Wave 1",IF(A69&lt;='Decor Guide'!$B$14,"Wave 2","Wave 3")))</x:f>
        <x:v>Wave 3</x:v>
      </x:c>
      <x:c r="C69" s="199" t="n">
        <x:f>COUNTIFS('Decor Catalog'!$H$5:$H$124,A69,'Decor Catalog'!$I$5:$I$124,"Coins",'Decor Catalog'!$C$5:$C$124,"Plant",'Decor Catalog'!$F$5:$F$124,"&lt;&gt;Limited Edition")</x:f>
        <x:v>1</x:v>
      </x:c>
      <x:c r="D69" s="199" t="n">
        <x:f>COUNTIFS('Decor Catalog'!$H$5:$H$124,A69,'Decor Catalog'!$I$5:$I$124,"Coins",'Decor Catalog'!$C$5:$C$124,"Decoration",'Decor Catalog'!$F$5:$F$124,"&lt;&gt;Limited Edition")</x:f>
        <x:v>0</x:v>
      </x:c>
      <x:c r="E69" s="199" t="n">
        <x:f>COUNTIFS('Decor Catalog'!$H$5:$H$124,A69,'Decor Catalog'!$I$5:$I$124,"Pearls",'Decor Catalog'!$C$5:$C$124,"Plant",'Decor Catalog'!$F$5:$F$124,"&lt;&gt;Limited Edition")</x:f>
        <x:v>0</x:v>
      </x:c>
      <x:c r="F69" s="199" t="n">
        <x:f>COUNTIFS('Decor Catalog'!$H$5:$H$124,A69,'Decor Catalog'!$I$5:$I$124,"Pearls",'Decor Catalog'!$C$5:$C$124,"Decoration",'Decor Catalog'!$F$5:$F$124,"&lt;&gt;Limited Edition")</x:f>
        <x:v>0</x:v>
      </x:c>
      <x:c r="G69" s="199" t="n">
        <x:f>COUNTIFS('Decor Catalog'!$H$5:$H$124,A69,'Decor Catalog'!$I$5:$I$124,"Coins",'Decor Catalog'!$F$5:$F$124,"Limited Edition")</x:f>
        <x:v>0</x:v>
      </x:c>
      <x:c r="H69" s="199" t="n">
        <x:f>COUNTIFS('Decor Catalog'!$H$5:$H$124,A69,'Decor Catalog'!$I$5:$I$124,"Pearls",'Decor Catalog'!$F$5:$F$124,"Limited Edition")</x:f>
        <x:v>0</x:v>
      </x:c>
      <x:c r="I69" s="199" t="n">
        <x:f>SUM(C69:F69)</x:f>
        <x:v>1</x:v>
      </x:c>
      <x:c r="J69" s="199" t="n">
        <x:f>SUMIF('Decor Catalog'!$H$5:$H$124,A69,'Decor Catalog'!$K$5:$K$124)</x:f>
        <x:v>120</x:v>
      </x:c>
      <x:c r="K69" s="192" t="str">
        <x:f>IF(A69=1,"CP-01 tutorial: 15 total XP including top-up. Anniversary Coin item is optional.",IF(A69=2,"Preserve the 1-Pearl fish teaching beat; no decor offer before onboarding ends.",IF(A69=40,"Existing launch cap. Higher-level decor is roadmap-only.",IF(SUM(G69:H69)&gt;0,"Event items also require their active purchase window.",IF(I69=0,"No new evergreen decor required; other progression beats carry this level.","Optional cosmetic choices; no fish power.")))))</x:f>
        <x:v>Optional cosmetic choices; no fish power.</x:v>
      </x:c>
    </x:row>
    <x:row r="70" ht="48" customHeight="1">
      <x:c r="A70" s="217" t="n">
        <x:v>66</x:v>
      </x:c>
      <x:c r="B70" s="192" t="str">
        <x:f>IF(A70&lt;='Decor Guide'!$B$12,"Launch",IF(A70&lt;='Decor Guide'!$B$13,"Wave 1",IF(A70&lt;='Decor Guide'!$B$14,"Wave 2","Wave 3")))</x:f>
        <x:v>Wave 3</x:v>
      </x:c>
      <x:c r="C70" s="199" t="n">
        <x:f>COUNTIFS('Decor Catalog'!$H$5:$H$124,A70,'Decor Catalog'!$I$5:$I$124,"Coins",'Decor Catalog'!$C$5:$C$124,"Plant",'Decor Catalog'!$F$5:$F$124,"&lt;&gt;Limited Edition")</x:f>
        <x:v>0</x:v>
      </x:c>
      <x:c r="D70" s="199" t="n">
        <x:f>COUNTIFS('Decor Catalog'!$H$5:$H$124,A70,'Decor Catalog'!$I$5:$I$124,"Coins",'Decor Catalog'!$C$5:$C$124,"Decoration",'Decor Catalog'!$F$5:$F$124,"&lt;&gt;Limited Edition")</x:f>
        <x:v>0</x:v>
      </x:c>
      <x:c r="E70" s="199" t="n">
        <x:f>COUNTIFS('Decor Catalog'!$H$5:$H$124,A70,'Decor Catalog'!$I$5:$I$124,"Pearls",'Decor Catalog'!$C$5:$C$124,"Plant",'Decor Catalog'!$F$5:$F$124,"&lt;&gt;Limited Edition")</x:f>
        <x:v>0</x:v>
      </x:c>
      <x:c r="F70" s="199" t="n">
        <x:f>COUNTIFS('Decor Catalog'!$H$5:$H$124,A70,'Decor Catalog'!$I$5:$I$124,"Pearls",'Decor Catalog'!$C$5:$C$124,"Decoration",'Decor Catalog'!$F$5:$F$124,"&lt;&gt;Limited Edition")</x:f>
        <x:v>0</x:v>
      </x:c>
      <x:c r="G70" s="199" t="n">
        <x:f>COUNTIFS('Decor Catalog'!$H$5:$H$124,A70,'Decor Catalog'!$I$5:$I$124,"Coins",'Decor Catalog'!$F$5:$F$124,"Limited Edition")</x:f>
        <x:v>0</x:v>
      </x:c>
      <x:c r="H70" s="199" t="n">
        <x:f>COUNTIFS('Decor Catalog'!$H$5:$H$124,A70,'Decor Catalog'!$I$5:$I$124,"Pearls",'Decor Catalog'!$F$5:$F$124,"Limited Edition")</x:f>
        <x:v>0</x:v>
      </x:c>
      <x:c r="I70" s="199" t="n">
        <x:f>SUM(C70:F70)</x:f>
        <x:v>0</x:v>
      </x:c>
      <x:c r="J70" s="199" t="n">
        <x:f>SUMIF('Decor Catalog'!$H$5:$H$124,A70,'Decor Catalog'!$K$5:$K$124)</x:f>
        <x:v>0</x:v>
      </x:c>
      <x:c r="K70" s="192" t="str">
        <x:f>IF(A70=1,"CP-01 tutorial: 15 total XP including top-up. Anniversary Coin item is optional.",IF(A70=2,"Preserve the 1-Pearl fish teaching beat; no decor offer before onboarding ends.",IF(A70=40,"Existing launch cap. Higher-level decor is roadmap-only.",IF(SUM(G70:H70)&gt;0,"Event items also require their active purchase window.",IF(I70=0,"No new evergreen decor required; other progression beats carry this level.","Optional cosmetic choices; no fish power.")))))</x:f>
        <x:v>No new evergreen decor required; other progression beats carry this level.</x:v>
      </x:c>
    </x:row>
    <x:row r="71" ht="48" customHeight="1">
      <x:c r="A71" s="217" t="n">
        <x:v>67</x:v>
      </x:c>
      <x:c r="B71" s="192" t="str">
        <x:f>IF(A71&lt;='Decor Guide'!$B$12,"Launch",IF(A71&lt;='Decor Guide'!$B$13,"Wave 1",IF(A71&lt;='Decor Guide'!$B$14,"Wave 2","Wave 3")))</x:f>
        <x:v>Wave 3</x:v>
      </x:c>
      <x:c r="C71" s="199" t="n">
        <x:f>COUNTIFS('Decor Catalog'!$H$5:$H$124,A71,'Decor Catalog'!$I$5:$I$124,"Coins",'Decor Catalog'!$C$5:$C$124,"Plant",'Decor Catalog'!$F$5:$F$124,"&lt;&gt;Limited Edition")</x:f>
        <x:v>0</x:v>
      </x:c>
      <x:c r="D71" s="199" t="n">
        <x:f>COUNTIFS('Decor Catalog'!$H$5:$H$124,A71,'Decor Catalog'!$I$5:$I$124,"Coins",'Decor Catalog'!$C$5:$C$124,"Decoration",'Decor Catalog'!$F$5:$F$124,"&lt;&gt;Limited Edition")</x:f>
        <x:v>0</x:v>
      </x:c>
      <x:c r="E71" s="199" t="n">
        <x:f>COUNTIFS('Decor Catalog'!$H$5:$H$124,A71,'Decor Catalog'!$I$5:$I$124,"Pearls",'Decor Catalog'!$C$5:$C$124,"Plant",'Decor Catalog'!$F$5:$F$124,"&lt;&gt;Limited Edition")</x:f>
        <x:v>0</x:v>
      </x:c>
      <x:c r="F71" s="199" t="n">
        <x:f>COUNTIFS('Decor Catalog'!$H$5:$H$124,A71,'Decor Catalog'!$I$5:$I$124,"Pearls",'Decor Catalog'!$C$5:$C$124,"Decoration",'Decor Catalog'!$F$5:$F$124,"&lt;&gt;Limited Edition")</x:f>
        <x:v>0</x:v>
      </x:c>
      <x:c r="G71" s="199" t="n">
        <x:f>COUNTIFS('Decor Catalog'!$H$5:$H$124,A71,'Decor Catalog'!$I$5:$I$124,"Coins",'Decor Catalog'!$F$5:$F$124,"Limited Edition")</x:f>
        <x:v>0</x:v>
      </x:c>
      <x:c r="H71" s="199" t="n">
        <x:f>COUNTIFS('Decor Catalog'!$H$5:$H$124,A71,'Decor Catalog'!$I$5:$I$124,"Pearls",'Decor Catalog'!$F$5:$F$124,"Limited Edition")</x:f>
        <x:v>0</x:v>
      </x:c>
      <x:c r="I71" s="199" t="n">
        <x:f>SUM(C71:F71)</x:f>
        <x:v>0</x:v>
      </x:c>
      <x:c r="J71" s="199" t="n">
        <x:f>SUMIF('Decor Catalog'!$H$5:$H$124,A71,'Decor Catalog'!$K$5:$K$124)</x:f>
        <x:v>0</x:v>
      </x:c>
      <x:c r="K71" s="192" t="str">
        <x:f>IF(A71=1,"CP-01 tutorial: 15 total XP including top-up. Anniversary Coin item is optional.",IF(A71=2,"Preserve the 1-Pearl fish teaching beat; no decor offer before onboarding ends.",IF(A71=40,"Existing launch cap. Higher-level decor is roadmap-only.",IF(SUM(G71:H71)&gt;0,"Event items also require their active purchase window.",IF(I71=0,"No new evergreen decor required; other progression beats carry this level.","Optional cosmetic choices; no fish power.")))))</x:f>
        <x:v>No new evergreen decor required; other progression beats carry this level.</x:v>
      </x:c>
    </x:row>
    <x:row r="72" ht="48" customHeight="1">
      <x:c r="A72" s="217" t="n">
        <x:v>68</x:v>
      </x:c>
      <x:c r="B72" s="192" t="str">
        <x:f>IF(A72&lt;='Decor Guide'!$B$12,"Launch",IF(A72&lt;='Decor Guide'!$B$13,"Wave 1",IF(A72&lt;='Decor Guide'!$B$14,"Wave 2","Wave 3")))</x:f>
        <x:v>Wave 3</x:v>
      </x:c>
      <x:c r="C72" s="199" t="n">
        <x:f>COUNTIFS('Decor Catalog'!$H$5:$H$124,A72,'Decor Catalog'!$I$5:$I$124,"Coins",'Decor Catalog'!$C$5:$C$124,"Plant",'Decor Catalog'!$F$5:$F$124,"&lt;&gt;Limited Edition")</x:f>
        <x:v>0</x:v>
      </x:c>
      <x:c r="D72" s="199" t="n">
        <x:f>COUNTIFS('Decor Catalog'!$H$5:$H$124,A72,'Decor Catalog'!$I$5:$I$124,"Coins",'Decor Catalog'!$C$5:$C$124,"Decoration",'Decor Catalog'!$F$5:$F$124,"&lt;&gt;Limited Edition")</x:f>
        <x:v>1</x:v>
      </x:c>
      <x:c r="E72" s="199" t="n">
        <x:f>COUNTIFS('Decor Catalog'!$H$5:$H$124,A72,'Decor Catalog'!$I$5:$I$124,"Pearls",'Decor Catalog'!$C$5:$C$124,"Plant",'Decor Catalog'!$F$5:$F$124,"&lt;&gt;Limited Edition")</x:f>
        <x:v>0</x:v>
      </x:c>
      <x:c r="F72" s="199" t="n">
        <x:f>COUNTIFS('Decor Catalog'!$H$5:$H$124,A72,'Decor Catalog'!$I$5:$I$124,"Pearls",'Decor Catalog'!$C$5:$C$124,"Decoration",'Decor Catalog'!$F$5:$F$124,"&lt;&gt;Limited Edition")</x:f>
        <x:v>1</x:v>
      </x:c>
      <x:c r="G72" s="199" t="n">
        <x:f>COUNTIFS('Decor Catalog'!$H$5:$H$124,A72,'Decor Catalog'!$I$5:$I$124,"Coins",'Decor Catalog'!$F$5:$F$124,"Limited Edition")</x:f>
        <x:v>0</x:v>
      </x:c>
      <x:c r="H72" s="199" t="n">
        <x:f>COUNTIFS('Decor Catalog'!$H$5:$H$124,A72,'Decor Catalog'!$I$5:$I$124,"Pearls",'Decor Catalog'!$F$5:$F$124,"Limited Edition")</x:f>
        <x:v>0</x:v>
      </x:c>
      <x:c r="I72" s="199" t="n">
        <x:f>SUM(C72:F72)</x:f>
        <x:v>2</x:v>
      </x:c>
      <x:c r="J72" s="199" t="n">
        <x:f>SUMIF('Decor Catalog'!$H$5:$H$124,A72,'Decor Catalog'!$K$5:$K$124)</x:f>
        <x:v>240</x:v>
      </x:c>
      <x:c r="K72" s="192" t="str">
        <x:f>IF(A72=1,"CP-01 tutorial: 15 total XP including top-up. Anniversary Coin item is optional.",IF(A72=2,"Preserve the 1-Pearl fish teaching beat; no decor offer before onboarding ends.",IF(A72=40,"Existing launch cap. Higher-level decor is roadmap-only.",IF(SUM(G72:H72)&gt;0,"Event items also require their active purchase window.",IF(I72=0,"No new evergreen decor required; other progression beats carry this level.","Optional cosmetic choices; no fish power.")))))</x:f>
        <x:v>Optional cosmetic choices; no fish power.</x:v>
      </x:c>
    </x:row>
    <x:row r="73" ht="48" customHeight="1">
      <x:c r="A73" s="217" t="n">
        <x:v>69</x:v>
      </x:c>
      <x:c r="B73" s="192" t="str">
        <x:f>IF(A73&lt;='Decor Guide'!$B$12,"Launch",IF(A73&lt;='Decor Guide'!$B$13,"Wave 1",IF(A73&lt;='Decor Guide'!$B$14,"Wave 2","Wave 3")))</x:f>
        <x:v>Wave 3</x:v>
      </x:c>
      <x:c r="C73" s="199" t="n">
        <x:f>COUNTIFS('Decor Catalog'!$H$5:$H$124,A73,'Decor Catalog'!$I$5:$I$124,"Coins",'Decor Catalog'!$C$5:$C$124,"Plant",'Decor Catalog'!$F$5:$F$124,"&lt;&gt;Limited Edition")</x:f>
        <x:v>0</x:v>
      </x:c>
      <x:c r="D73" s="199" t="n">
        <x:f>COUNTIFS('Decor Catalog'!$H$5:$H$124,A73,'Decor Catalog'!$I$5:$I$124,"Coins",'Decor Catalog'!$C$5:$C$124,"Decoration",'Decor Catalog'!$F$5:$F$124,"&lt;&gt;Limited Edition")</x:f>
        <x:v>0</x:v>
      </x:c>
      <x:c r="E73" s="199" t="n">
        <x:f>COUNTIFS('Decor Catalog'!$H$5:$H$124,A73,'Decor Catalog'!$I$5:$I$124,"Pearls",'Decor Catalog'!$C$5:$C$124,"Plant",'Decor Catalog'!$F$5:$F$124,"&lt;&gt;Limited Edition")</x:f>
        <x:v>0</x:v>
      </x:c>
      <x:c r="F73" s="199" t="n">
        <x:f>COUNTIFS('Decor Catalog'!$H$5:$H$124,A73,'Decor Catalog'!$I$5:$I$124,"Pearls",'Decor Catalog'!$C$5:$C$124,"Decoration",'Decor Catalog'!$F$5:$F$124,"&lt;&gt;Limited Edition")</x:f>
        <x:v>0</x:v>
      </x:c>
      <x:c r="G73" s="199" t="n">
        <x:f>COUNTIFS('Decor Catalog'!$H$5:$H$124,A73,'Decor Catalog'!$I$5:$I$124,"Coins",'Decor Catalog'!$F$5:$F$124,"Limited Edition")</x:f>
        <x:v>0</x:v>
      </x:c>
      <x:c r="H73" s="199" t="n">
        <x:f>COUNTIFS('Decor Catalog'!$H$5:$H$124,A73,'Decor Catalog'!$I$5:$I$124,"Pearls",'Decor Catalog'!$F$5:$F$124,"Limited Edition")</x:f>
        <x:v>0</x:v>
      </x:c>
      <x:c r="I73" s="199" t="n">
        <x:f>SUM(C73:F73)</x:f>
        <x:v>0</x:v>
      </x:c>
      <x:c r="J73" s="199" t="n">
        <x:f>SUMIF('Decor Catalog'!$H$5:$H$124,A73,'Decor Catalog'!$K$5:$K$124)</x:f>
        <x:v>0</x:v>
      </x:c>
      <x:c r="K73" s="192" t="str">
        <x:f>IF(A73=1,"CP-01 tutorial: 15 total XP including top-up. Anniversary Coin item is optional.",IF(A73=2,"Preserve the 1-Pearl fish teaching beat; no decor offer before onboarding ends.",IF(A73=40,"Existing launch cap. Higher-level decor is roadmap-only.",IF(SUM(G73:H73)&gt;0,"Event items also require their active purchase window.",IF(I73=0,"No new evergreen decor required; other progression beats carry this level.","Optional cosmetic choices; no fish power.")))))</x:f>
        <x:v>No new evergreen decor required; other progression beats carry this level.</x:v>
      </x:c>
    </x:row>
    <x:row r="74" ht="48" customHeight="1">
      <x:c r="A74" s="217" t="n">
        <x:v>70</x:v>
      </x:c>
      <x:c r="B74" s="192" t="str">
        <x:f>IF(A74&lt;='Decor Guide'!$B$12,"Launch",IF(A74&lt;='Decor Guide'!$B$13,"Wave 1",IF(A74&lt;='Decor Guide'!$B$14,"Wave 2","Wave 3")))</x:f>
        <x:v>Wave 3</x:v>
      </x:c>
      <x:c r="C74" s="199" t="n">
        <x:f>COUNTIFS('Decor Catalog'!$H$5:$H$124,A74,'Decor Catalog'!$I$5:$I$124,"Coins",'Decor Catalog'!$C$5:$C$124,"Plant",'Decor Catalog'!$F$5:$F$124,"&lt;&gt;Limited Edition")</x:f>
        <x:v>1</x:v>
      </x:c>
      <x:c r="D74" s="199" t="n">
        <x:f>COUNTIFS('Decor Catalog'!$H$5:$H$124,A74,'Decor Catalog'!$I$5:$I$124,"Coins",'Decor Catalog'!$C$5:$C$124,"Decoration",'Decor Catalog'!$F$5:$F$124,"&lt;&gt;Limited Edition")</x:f>
        <x:v>0</x:v>
      </x:c>
      <x:c r="E74" s="199" t="n">
        <x:f>COUNTIFS('Decor Catalog'!$H$5:$H$124,A74,'Decor Catalog'!$I$5:$I$124,"Pearls",'Decor Catalog'!$C$5:$C$124,"Plant",'Decor Catalog'!$F$5:$F$124,"&lt;&gt;Limited Edition")</x:f>
        <x:v>1</x:v>
      </x:c>
      <x:c r="F74" s="199" t="n">
        <x:f>COUNTIFS('Decor Catalog'!$H$5:$H$124,A74,'Decor Catalog'!$I$5:$I$124,"Pearls",'Decor Catalog'!$C$5:$C$124,"Decoration",'Decor Catalog'!$F$5:$F$124,"&lt;&gt;Limited Edition")</x:f>
        <x:v>0</x:v>
      </x:c>
      <x:c r="G74" s="199" t="n">
        <x:f>COUNTIFS('Decor Catalog'!$H$5:$H$124,A74,'Decor Catalog'!$I$5:$I$124,"Coins",'Decor Catalog'!$F$5:$F$124,"Limited Edition")</x:f>
        <x:v>0</x:v>
      </x:c>
      <x:c r="H74" s="199" t="n">
        <x:f>COUNTIFS('Decor Catalog'!$H$5:$H$124,A74,'Decor Catalog'!$I$5:$I$124,"Pearls",'Decor Catalog'!$F$5:$F$124,"Limited Edition")</x:f>
        <x:v>0</x:v>
      </x:c>
      <x:c r="I74" s="199" t="n">
        <x:f>SUM(C74:F74)</x:f>
        <x:v>2</x:v>
      </x:c>
      <x:c r="J74" s="199" t="n">
        <x:f>SUMIF('Decor Catalog'!$H$5:$H$124,A74,'Decor Catalog'!$K$5:$K$124)</x:f>
        <x:v>240</x:v>
      </x:c>
      <x:c r="K74" s="192" t="str">
        <x:f>IF(A74=1,"CP-01 tutorial: 15 total XP including top-up. Anniversary Coin item is optional.",IF(A74=2,"Preserve the 1-Pearl fish teaching beat; no decor offer before onboarding ends.",IF(A74=40,"Existing launch cap. Higher-level decor is roadmap-only.",IF(SUM(G74:H74)&gt;0,"Event items also require their active purchase window.",IF(I74=0,"No new evergreen decor required; other progression beats carry this level.","Optional cosmetic choices; no fish power.")))))</x:f>
        <x:v>Optional cosmetic choices; no fish power.</x:v>
      </x:c>
    </x:row>
    <x:row r="76" ht="38" customHeight="1">
      <x:c r="A76" s="184" t="str">
        <x:v>TOTALS</x:v>
      </x:c>
      <x:c r="B76" s="184"/>
      <x:c r="C76" s="184" t="n">
        <x:f>SUM(C5:C74)</x:f>
        <x:v>32</x:v>
      </x:c>
      <x:c r="D76" s="184" t="n">
        <x:f>SUM(D5:D74)</x:f>
        <x:v>32</x:v>
      </x:c>
      <x:c r="E76" s="184" t="n">
        <x:f>SUM(E5:E74)</x:f>
        <x:v>16</x:v>
      </x:c>
      <x:c r="F76" s="184" t="n">
        <x:f>SUM(F5:F74)</x:f>
        <x:v>16</x:v>
      </x:c>
      <x:c r="G76" s="184" t="n">
        <x:f>SUM(G5:G74)</x:f>
        <x:v>12</x:v>
      </x:c>
      <x:c r="H76" s="184" t="n">
        <x:f>SUM(H5:H74)</x:f>
        <x:v>12</x:v>
      </x:c>
      <x:c r="I76" s="184" t="n">
        <x:f>SUM(I5:I74)</x:f>
        <x:v>96</x:v>
      </x:c>
      <x:c r="J76" s="184" t="n">
        <x:f>SUM(J5:J74)</x:f>
        <x:v>8629</x:v>
      </x:c>
      <x:c r="K76" s="184"/>
    </x:row>
  </x:sheetData>
  <x:mergeCells>
    <x:mergeCell ref="A1:K1"/>
    <x:mergeCell ref="A2:K2"/>
  </x:mergeCells>
  <x:conditionalFormatting sqref="I5:I74">
    <x:cfRule type="dataBar" priority="1">
      <x:dataBar>
        <x:cfvo type="min"/>
        <x:cfvo type="max"/>
        <x:color rgb="FF0F766E"/>
      </x:dataBar>
      <x:extLst>
        <x:ext xmlns:x14="http://schemas.microsoft.com/office/spreadsheetml/2009/9/main" uri="{B025F937-C7B1-47D3-B67F-A62EFF666E3E}">
          <x14:id>{77A03C6A-4224-56CA-E5D1-20AA54073E2E}</x14:id>
        </x:ext>
      </x:extLst>
    </x:cfRule>
  </x:conditionalFormatting>
  <x:pageMargins left="0.7" right="0.7" top="0.75" bottom="0.75" header="0.3" footer="0.3"/>
  <x:tableParts count="1">
    <x:tablePart xmlns:r="http://schemas.openxmlformats.org/officeDocument/2006/relationships" r:id="R6b8e8905781d488d"/>
  </x:tableParts>
  <x:extLst>
    <x:ext xmlns:x14="http://schemas.microsoft.com/office/spreadsheetml/2009/9/main" xmlns:xm="http://schemas.microsoft.com/office/excel/2006/main" uri="{78C0D931-6437-407d-A8EE-F0AAD7539E65}">
      <x14:conditionalFormattings>
        <x14:conditionalFormatting>
          <x14:cfRule type="dataBar" priority="1" id="{77A03C6A-4224-56CA-E5D1-20AA54073E2E}">
            <x14:dataBar gradient="1">
              <x14:cfvo type="min"/>
              <x14:cfvo type="max"/>
              <x14:fillColor rgb="FF0F766E"/>
            </x14:dataBar>
          </x14:cfRule>
          <xm:sqref>I5:I74</xm:sqref>
        </x14:conditionalFormatting>
      </x14:conditionalFormattings>
    </x:ext>
  </x:extLst>
</x:worksheet>
</file>

<file path=xl/worksheets/sheet23.xml><?xml version="1.0" encoding="utf-8"?>
<x:worksheet xmlns:x="http://schemas.openxmlformats.org/spreadsheetml/2006/main">
  <x:sheetFormatPr defaultRowHeight="15"/>
  <x:cols>
    <x:col min="1" max="1" width="32" hidden="0" customWidth="1"/>
    <x:col min="2" max="2" width="16" hidden="0" customWidth="1"/>
    <x:col min="3" max="3" width="40" hidden="0" customWidth="1"/>
    <x:col min="4" max="4" width="3" hidden="0" customWidth="1"/>
    <x:col min="5" max="5" width="18" hidden="0" customWidth="1"/>
    <x:col min="6" max="6" width="18" hidden="0" customWidth="1"/>
    <x:col min="7" max="7" width="16" hidden="0" customWidth="1"/>
    <x:col min="8" max="8" width="36" hidden="0" customWidth="1"/>
  </x:cols>
  <x:sheetData>
    <x:row r="1" ht="32" customHeight="1">
      <x:c r="A1" s="177" t="str">
        <x:v>PLANTS &amp; DECOR — RULES, TUNING &amp; ART DIRECTION</x:v>
      </x:c>
      <x:c r="B1" s="177"/>
      <x:c r="C1" s="177"/>
      <x:c r="D1" s="177"/>
      <x:c r="E1" s="177"/>
      <x:c r="F1" s="177"/>
      <x:c r="G1" s="177"/>
      <x:c r="H1" s="177"/>
    </x:row>
    <x:row r="2" ht="34" customHeight="1">
      <x:c r="A2" s="180" t="str">
        <x:v>Proposed catalog expansion • permanent cosmetics • no fish growth, health, capacity or income modifiers</x:v>
      </x:c>
      <x:c r="B2" s="180"/>
      <x:c r="C2" s="180"/>
      <x:c r="D2" s="180"/>
      <x:c r="E2" s="180"/>
      <x:c r="F2" s="180"/>
      <x:c r="G2" s="180"/>
      <x:c r="H2" s="180"/>
    </x:row>
    <x:row r="4" ht="38" customHeight="1">
      <x:c r="A4" s="184" t="str">
        <x:v>TUNABLE INPUT</x:v>
      </x:c>
      <x:c r="B4" s="184" t="str">
        <x:v>VALUE</x:v>
      </x:c>
      <x:c r="C4" s="184" t="str">
        <x:v>RULE / BASIS</x:v>
      </x:c>
      <x:c r="E4" s="184" t="str">
        <x:v>SIZE</x:v>
      </x:c>
      <x:c r="F4" s="184" t="str">
        <x:v>MAX DIMENSION (U)</x:v>
      </x:c>
      <x:c r="G4" s="184" t="str">
        <x:v>DECOR SCORE</x:v>
      </x:c>
      <x:c r="H4" s="184" t="str">
        <x:v>ROLE</x:v>
      </x:c>
    </x:row>
    <x:row r="5" ht="45" customHeight="1">
      <x:c r="A5" s="191" t="str">
        <x:v>Coin purchase XP rate</x:v>
      </x:c>
      <x:c r="B5" s="212" t="n">
        <x:v>0.03</x:v>
      </x:c>
      <x:c r="C5" s="191" t="str">
        <x:v>Proposal: XP per Coin; rounded before the caps apply.</x:v>
      </x:c>
      <x:c r="D5" s="191"/>
      <x:c r="E5" s="191" t="str">
        <x:v>Small</x:v>
      </x:c>
      <x:c r="F5" s="213" t="n">
        <x:v>1.2</x:v>
      </x:c>
      <x:c r="G5" s="214" t="n">
        <x:v>10</x:v>
      </x:c>
      <x:c r="H5" s="191" t="str">
        <x:v>Accent; readable without micro-detail</x:v>
      </x:c>
    </x:row>
    <x:row r="6" ht="45" customHeight="1">
      <x:c r="A6" s="191" t="str">
        <x:v>Pearl purchase XP rate</x:v>
      </x:c>
      <x:c r="B6" s="215" t="n">
        <x:f>Inputs!B49</x:f>
        <x:v>20</x:v>
      </x:c>
      <x:c r="C6" s="191" t="str">
        <x:v>Linked to the existing premium buy-XP rate (Inputs!B49).</x:v>
      </x:c>
      <x:c r="D6" s="191"/>
      <x:c r="E6" s="191" t="str">
        <x:v>Medium</x:v>
      </x:c>
      <x:c r="F6" s="213" t="n">
        <x:v>2</x:v>
      </x:c>
      <x:c r="G6" s="214" t="n">
        <x:v>20</x:v>
      </x:c>
      <x:c r="H6" s="191" t="str">
        <x:v>Supporting plant or ornament</x:v>
      </x:c>
    </x:row>
    <x:row r="7" ht="45" customHeight="1">
      <x:c r="A7" s="191" t="str">
        <x:v>Minimum first-ownership XP</x:v>
      </x:c>
      <x:c r="B7" s="216" t="n">
        <x:v>1</x:v>
      </x:c>
      <x:c r="C7" s="191" t="str">
        <x:v>Granted once per unique item ID, not once per copy.</x:v>
      </x:c>
      <x:c r="D7" s="191"/>
      <x:c r="E7" s="191" t="str">
        <x:v>Large</x:v>
      </x:c>
      <x:c r="F7" s="213" t="n">
        <x:v>3.2</x:v>
      </x:c>
      <x:c r="G7" s="214" t="n">
        <x:v>35</x:v>
      </x:c>
      <x:c r="H7" s="191" t="str">
        <x:v>Statement silhouette</x:v>
      </x:c>
    </x:row>
    <x:row r="8" ht="45" customHeight="1">
      <x:c r="A8" s="191" t="str">
        <x:v>First-ownership XP hard cap</x:v>
      </x:c>
      <x:c r="B8" s="216" t="n">
        <x:v>120</x:v>
      </x:c>
      <x:c r="C8" s="191" t="str">
        <x:v>Absolute maximum per catalog item.</x:v>
      </x:c>
      <x:c r="D8" s="191"/>
      <x:c r="E8" s="191" t="str">
        <x:v>XL</x:v>
      </x:c>
      <x:c r="F8" s="213" t="n">
        <x:v>4.5</x:v>
      </x:c>
      <x:c r="G8" s="214" t="n">
        <x:v>50</x:v>
      </x:c>
      <x:c r="H8" s="191" t="str">
        <x:v>Background / side landmark; not a tank-filling scene</x:v>
      </x:c>
    </x:row>
    <x:row r="9" ht="45" customHeight="1">
      <x:c r="A9" s="191" t="str">
        <x:v>XP cap / unlock-level next delta</x:v>
      </x:c>
      <x:c r="B9" s="212" t="n">
        <x:v>0.01</x:v>
      </x:c>
      <x:c r="C9" s="191" t="str">
        <x:v>Floor 1% of the next-level XP delta; use L70 delta at the cap.</x:v>
      </x:c>
      <x:c r="D9" s="191"/>
      <x:c r="E9" s="191"/>
      <x:c r="F9" s="191"/>
      <x:c r="G9" s="191"/>
      <x:c r="H9" s="191"/>
    </x:row>
    <x:row r="10" ht="45" customHeight="1">
      <x:c r="A10" s="191" t="str">
        <x:v>Tutorial decoration total XP</x:v>
      </x:c>
      <x:c r="B10" s="216" t="n">
        <x:v>15</x:v>
      </x:c>
      <x:c r="C10" s="191" t="str">
        <x:v>Preserve the existing total: item XP + one-time tutorial top-up = 15.</x:v>
      </x:c>
      <x:c r="D10" s="191"/>
      <x:c r="E10" s="191"/>
      <x:c r="F10" s="191"/>
      <x:c r="G10" s="191"/>
      <x:c r="H10" s="191"/>
    </x:row>
    <x:row r="11" ht="45" customHeight="1">
      <x:c r="A11" s="191" t="str">
        <x:v>Tutorial plant ID</x:v>
      </x:c>
      <x:c r="B11" s="216" t="str">
        <x:v>CP-01</x:v>
      </x:c>
      <x:c r="C11" s="191" t="str">
        <x:v>Pebble Moss Tuft; 25 Coins. No free paid Pearl spend is needed.</x:v>
      </x:c>
      <x:c r="D11" s="191"/>
      <x:c r="E11" s="191"/>
      <x:c r="F11" s="191"/>
      <x:c r="G11" s="191"/>
      <x:c r="H11" s="191"/>
    </x:row>
    <x:row r="12" ht="45" customHeight="1">
      <x:c r="A12" s="191" t="str">
        <x:v>Launch level cap</x:v>
      </x:c>
      <x:c r="B12" s="216" t="n">
        <x:v>40</x:v>
      </x:c>
      <x:c r="C12" s="191" t="str">
        <x:v>Existing Unlock Plan launch cap; event items also need their window.</x:v>
      </x:c>
      <x:c r="D12" s="191"/>
      <x:c r="E12" s="191"/>
      <x:c r="F12" s="191"/>
      <x:c r="G12" s="191"/>
      <x:c r="H12" s="191"/>
    </x:row>
    <x:row r="13" ht="45" customHeight="1">
      <x:c r="A13" s="191" t="str">
        <x:v>Post-launch wave 1 level cap</x:v>
      </x:c>
      <x:c r="B13" s="216" t="n">
        <x:v>50</x:v>
      </x:c>
      <x:c r="C13" s="191" t="str">
        <x:v>Planning split only; follows the existing L41–70 roadmap.</x:v>
      </x:c>
      <x:c r="D13" s="191"/>
      <x:c r="E13" s="191"/>
      <x:c r="F13" s="191"/>
      <x:c r="G13" s="191"/>
      <x:c r="H13" s="191"/>
    </x:row>
    <x:row r="14" ht="45" customHeight="1">
      <x:c r="A14" s="191" t="str">
        <x:v>Post-launch wave 2 level cap</x:v>
      </x:c>
      <x:c r="B14" s="216" t="n">
        <x:v>60</x:v>
      </x:c>
      <x:c r="C14" s="191" t="str">
        <x:v>L51–60 decor wave; no change to the fish roadmap.</x:v>
      </x:c>
      <x:c r="D14" s="191"/>
      <x:c r="E14" s="191"/>
      <x:c r="F14" s="191"/>
      <x:c r="G14" s="191"/>
      <x:c r="H14" s="191"/>
    </x:row>
    <x:row r="15" ht="45" customHeight="1">
      <x:c r="A15" s="191" t="str">
        <x:v>Maximum planned player level</x:v>
      </x:c>
      <x:c r="B15" s="215" t="n">
        <x:f>Inputs!B69</x:f>
        <x:v>70</x:v>
      </x:c>
      <x:c r="C15" s="191" t="str">
        <x:v>Linked to the existing progression frontier (Inputs!B69).</x:v>
      </x:c>
      <x:c r="D15" s="191"/>
      <x:c r="E15" s="191"/>
      <x:c r="F15" s="191"/>
      <x:c r="G15" s="191"/>
      <x:c r="H15" s="191"/>
    </x:row>
    <x:row r="18" ht="30" customHeight="1">
      <x:c r="A18" s="209" t="str">
        <x:v>OWNERSHIP, XP &amp; COSMETIC SCORE</x:v>
      </x:c>
      <x:c r="B18" s="209"/>
      <x:c r="C18" s="209"/>
      <x:c r="D18" s="209"/>
      <x:c r="E18" s="209"/>
      <x:c r="F18" s="209"/>
      <x:c r="G18" s="209"/>
      <x:c r="H18" s="209"/>
    </x:row>
    <x:row r="19" ht="56" customHeight="1">
      <x:c r="A19" s="211" t="str">
        <x:v>Permanent inventory</x:v>
      </x:c>
      <x:c r="B19" s="210"/>
      <x:c r="C19" s="192" t="str">
        <x:v>Every purchase creates one permanent cosmetic copy. Store, move, rotate/flip where supported, and transfer between owned tanks for free. One copy can be placed in only one tank at a time.</x:v>
      </x:c>
      <x:c r="D19" s="192"/>
      <x:c r="E19" s="192"/>
      <x:c r="F19" s="192"/>
      <x:c r="G19" s="192"/>
      <x:c r="H19" s="192"/>
    </x:row>
    <x:row r="20" ht="56" customHeight="1">
      <x:c r="A20" s="211" t="str">
        <x:v>No fish power</x:v>
      </x:c>
      <x:c r="B20" s="210"/>
      <x:c r="C20" s="192" t="str">
        <x:v>No fish growth, maturity, hunger, health, breeding, sell value, income, feed window, XP yield or tank-capacity modifiers. Plants do not grow, die or require care. Decor never occupies a production fish slot.</x:v>
      </x:c>
      <x:c r="D20" s="192"/>
      <x:c r="E20" s="192"/>
      <x:c r="F20" s="192"/>
      <x:c r="G20" s="192"/>
      <x:c r="H20" s="192"/>
    </x:row>
    <x:row r="21" ht="56" customHeight="1">
      <x:c r="A21" s="211" t="str">
        <x:v>Purchase XP, once</x:v>
      </x:c>
      <x:c r="B21" s="210"/>
      <x:c r="C21" s="192" t="str">
        <x:v>Grant the catalog XP only on first successful paid acquisition of a unique item ID. Record lifetime ownership. Duplicate purchases, storage, moving, placing and event reruns grant zero additional purchase XP. Gifted ownership does not also award purchase XP.</x:v>
      </x:c>
      <x:c r="D21" s="192"/>
      <x:c r="E21" s="192"/>
      <x:c r="F21" s="192"/>
      <x:c r="G21" s="192"/>
      <x:c r="H21" s="192"/>
    </x:row>
    <x:row r="22" ht="56" customHeight="1">
      <x:c r="A22" s="211" t="str">
        <x:v>XP formula</x:v>
      </x:c>
      <x:c r="B22" s="210"/>
      <x:c r="C22" s="192" t="str">
        <x:v>Start with Coins × coin XP rate or Pearls × the existing premium buy-XP rate; round to an integer. Then apply the hard cap and the floored 1% next-level-delta cap at the item's unlock level, with a minimum of 1 XP. At L70 use the L70 delta.</x:v>
      </x:c>
      <x:c r="D22" s="192"/>
      <x:c r="E22" s="192"/>
      <x:c r="F22" s="192"/>
      <x:c r="G22" s="192"/>
      <x:c r="H22" s="192"/>
    </x:row>
    <x:row r="23" ht="56" customHeight="1">
      <x:c r="A23" s="211" t="str">
        <x:v>Tutorial preservation</x:v>
      </x:c>
      <x:c r="B23" s="210"/>
      <x:c r="C23" s="192" t="str">
        <x:v>CP-01 Pebble Moss Tuft costs 25 Coins. Item XP plus one-time tutorial top-up must equal the existing 15 XP decoration beat. Do not add 15 on top of item XP. Keep other decor, especially Pearl offers, hidden until onboarding is complete.</x:v>
      </x:c>
      <x:c r="D23" s="192"/>
      <x:c r="E23" s="192"/>
      <x:c r="F23" s="192"/>
      <x:c r="G23" s="192"/>
      <x:c r="H23" s="192"/>
    </x:row>
    <x:row r="24" ht="56" customHeight="1">
      <x:c r="A24" s="211" t="str">
        <x:v>No resale / conversion</x:v>
      </x:c>
      <x:c r="B24" s="210"/>
      <x:c r="C24" s="192" t="str">
        <x:v>Cosmetics are not sellable for Coins, Pearls, materials or XP. Storing is not selling. No passive payouts, reward bubbles, working fountains, collectible chest contents or Pearl-to-Coin conversion are attached to an ornament.</x:v>
      </x:c>
      <x:c r="D24" s="192"/>
      <x:c r="E24" s="192"/>
      <x:c r="F24" s="192"/>
      <x:c r="G24" s="192"/>
      <x:c r="H24" s="192"/>
    </x:row>
    <x:row r="25" ht="56" customHeight="1">
      <x:c r="A25" s="211" t="str">
        <x:v>Decor Score formula</x:v>
      </x:c>
      <x:c r="B25" s="210"/>
      <x:c r="C25" s="192" t="str">
        <x:v>Score depends only on the size band in the tuning table: Small 10, Medium 20, Large 35, XL 50. Rarity, event status, currency and animation add no score multiplier. Width/height are editable design units; size and score recalculate.</x:v>
      </x:c>
      <x:c r="D25" s="192"/>
      <x:c r="E25" s="192"/>
      <x:c r="F25" s="192"/>
      <x:c r="G25" s="192"/>
      <x:c r="H25" s="192"/>
    </x:row>
    <x:row r="26" ht="56" customHeight="1">
      <x:c r="A26" s="211" t="str">
        <x:v>Score counting</x:v>
      </x:c>
      <x:c r="B26" s="210"/>
      <x:c r="C26" s="192" t="str">
        <x:v>A tank's score is the sum of base scores for distinct item IDs currently placed there. Extra copies of the same ID in that tank add 0; stored copies add 0. Removing the last placed copy removes that item's score. Titles can check best-tank score, not summed duplicate tanks.</x:v>
      </x:c>
      <x:c r="D26" s="192"/>
      <x:c r="E26" s="192"/>
      <x:c r="F26" s="192"/>
      <x:c r="G26" s="192"/>
      <x:c r="H26" s="192"/>
    </x:row>
    <x:row r="27" ht="56" customHeight="1">
      <x:c r="A27" s="211" t="str">
        <x:v>Score has no economy</x:v>
      </x:c>
      <x:c r="B27" s="210"/>
      <x:c r="C27" s="192" t="str">
        <x:v>Decor Score is not currency and is never spent. It can support cosmetic titles, backgrounds and showcases only. Do not rank prize-bearing contests by raw score; use curation/voting with cosmetic recognition, so paid breadth does not buy rewards.</x:v>
      </x:c>
      <x:c r="D27" s="192"/>
      <x:c r="E27" s="192"/>
      <x:c r="F27" s="192"/>
      <x:c r="G27" s="192"/>
      <x:c r="H27" s="192"/>
    </x:row>
    <x:row r="28" ht="56" customHeight="1">
      <x:c r="A28" s="211" t="str">
        <x:v>Optional quests</x:v>
      </x:c>
      <x:c r="B28" s="210"/>
      <x:c r="C28" s="192" t="str">
        <x:v>Tank Stylist can be completed by placing or rearranging already-owned decor; a new purchase is never required. The existing daily quest XP pool is unchanged. Quests do not directly mint extra Decor Score.</x:v>
      </x:c>
      <x:c r="D28" s="192"/>
      <x:c r="E28" s="192"/>
      <x:c r="F28" s="192"/>
      <x:c r="G28" s="192"/>
      <x:c r="H28" s="192"/>
    </x:row>
    <x:row r="29" ht="56" customHeight="1">
      <x:c r="A29" s="211" t="str">
        <x:v>Rarity versus edition</x:v>
      </x:c>
      <x:c r="B29" s="210"/>
      <x:c r="C29" s="192" t="str">
        <x:v>Common, Uncommon, Rare, Epic and Legendary describe collection/art scope. Coin, Premium and Limited Edition describe acquisition. Limited items still have an ordinary rarity, and Coin items include Legendary capstones.</x:v>
      </x:c>
      <x:c r="D29" s="192"/>
      <x:c r="E29" s="192"/>
      <x:c r="F29" s="192"/>
      <x:c r="G29" s="192"/>
      <x:c r="H29" s="192"/>
    </x:row>
    <x:row r="30" ht="56" customHeight="1">
      <x:c r="A30" s="211" t="str">
        <x:v>Pricing status</x:v>
      </x:c>
      <x:c r="B30" s="210"/>
      <x:c r="C30" s="192" t="str">
        <x:v>All item prices are proposed tuning inputs, not tested live-economy outcomes. Prices are one-copy costs: Coins in steps of 5; Pearls in whole numbers. No real-money Pearl conversion or cash purchase recommendation is included.</x:v>
      </x:c>
      <x:c r="D30" s="192"/>
      <x:c r="E30" s="192"/>
      <x:c r="F30" s="192"/>
      <x:c r="G30" s="192"/>
      <x:c r="H30" s="192"/>
    </x:row>
    <x:row r="31" ht="56" customHeight="1">
      <x:c r="A31" s="211" t="str">
        <x:v>Simulation boundary</x:v>
      </x:c>
      <x:c r="B31" s="210"/>
      <x:c r="C31" s="192" t="str">
        <x:v>Existing fish, tank, XP-curve and economy-simulation formulas remain intact. Decor acquisition spend and first-ownership XP have not been added to the forecast. Dashboard collection totals are optional completion costs, not a required spending plan.</x:v>
      </x:c>
      <x:c r="D31" s="192"/>
      <x:c r="E31" s="192"/>
      <x:c r="F31" s="192"/>
      <x:c r="G31" s="192"/>
      <x:c r="H31" s="192"/>
    </x:row>
    <x:row r="33" ht="30" customHeight="1">
      <x:c r="A33" s="209" t="str">
        <x:v>RELEASE, EVENTS &amp; COLLECTION DESIGN</x:v>
      </x:c>
      <x:c r="B33" s="209"/>
      <x:c r="C33" s="209"/>
      <x:c r="D33" s="209"/>
      <x:c r="E33" s="209"/>
      <x:c r="F33" s="209"/>
      <x:c r="G33" s="209"/>
      <x:c r="H33" s="209"/>
    </x:row>
    <x:row r="34" ht="56" customHeight="1">
      <x:c r="A34" s="211" t="str">
        <x:v>Launch and roadmap</x:v>
      </x:c>
      <x:c r="B34" s="210"/>
      <x:c r="C34" s="192" t="str">
        <x:v>Respect the existing L40 launch cap. Evergreen items at L41–50, L51–60 and L61–70 are proposed decor waves, not changes to the fish roadmap. Reaching a level never makes a purchase mandatory.</x:v>
      </x:c>
      <x:c r="D34" s="192"/>
      <x:c r="E34" s="192"/>
      <x:c r="F34" s="192"/>
      <x:c r="G34" s="192"/>
      <x:c r="H34" s="192"/>
    </x:row>
    <x:row r="35" ht="56" customHeight="1">
      <x:c r="A35" s="211" t="str">
        <x:v>Limited purchase windows</x:v>
      </x:c>
      <x:c r="B35" s="210"/>
      <x:c r="C35" s="192" t="str">
        <x:v>Each of 12 events has one Coin-priced and one Pearl-priced item. Both require completed onboarding, the item's level and an active server-configured event window. The window limits buying, not ownership, use or animation.</x:v>
      </x:c>
      <x:c r="D35" s="192"/>
      <x:c r="E35" s="192"/>
      <x:c r="F35" s="192"/>
      <x:c r="G35" s="192"/>
      <x:c r="H35" s="192"/>
    </x:row>
    <x:row r="36" ht="56" customHeight="1">
      <x:c r="A36" s="211" t="str">
        <x:v>Returns and dates</x:v>
      </x:c>
      <x:c r="B36" s="210"/>
      <x:c r="C36" s="192" t="str">
        <x:v>Limited items may return in later runs; do not promise permanent exclusivity or invent stock scarcity. Dates are proposed annual game windows. Lunar New Year and the anniversary require yearly scheduling; no real calendar verification is implied.</x:v>
      </x:c>
      <x:c r="D36" s="192"/>
      <x:c r="E36" s="192"/>
      <x:c r="F36" s="192"/>
      <x:c r="G36" s="192"/>
      <x:c r="H36" s="192"/>
    </x:row>
    <x:row r="37" ht="56" customHeight="1">
      <x:c r="A37" s="211" t="str">
        <x:v>Event fairness</x:v>
      </x:c>
      <x:c r="B37" s="210"/>
      <x:c r="C37" s="192" t="str">
        <x:v>All events include an accessible Coin route. No set bonus, event-only power, score multiplier or reward-generating animation. Existing limited fish prices, gifts and event dates are not changed by the new decor calendar.</x:v>
      </x:c>
      <x:c r="D37" s="192"/>
      <x:c r="E37" s="192"/>
      <x:c r="F37" s="192"/>
      <x:c r="G37" s="192"/>
      <x:c r="H37" s="192"/>
    </x:row>
    <x:row r="38" ht="56" customHeight="1">
      <x:c r="A38" s="211" t="str">
        <x:v>Coherent collections</x:v>
      </x:c>
      <x:c r="B38" s="210"/>
      <x:c r="C38" s="192" t="str">
        <x:v>Match shape/material motifs within a collection while varying silhouette and focal colour. Premium pieces add motion and craftsmanship, not better fish stats. Complete-set badges, when implemented, remain cosmetic and give no additional economy reward.</x:v>
      </x:c>
      <x:c r="D38" s="192"/>
      <x:c r="E38" s="192"/>
      <x:c r="F38" s="192"/>
      <x:c r="G38" s="192"/>
      <x:c r="H38" s="192"/>
    </x:row>
    <x:row r="39" ht="56" customHeight="1">
      <x:c r="A39" s="211" t="str">
        <x:v>Catalog identifiers</x:v>
      </x:c>
      <x:c r="B39" s="210"/>
      <x:c r="C39" s="192" t="str">
        <x:v>CP = Coin Plant; CD = Coin Decoration; PP = Pearl Plant; PD = Pearl Decoration; CL = limited Coin item; PL = limited Pearl item. IDs are permanent and are the join key between the catalog, art briefs and event calendar.</x:v>
      </x:c>
      <x:c r="D39" s="192"/>
      <x:c r="E39" s="192"/>
      <x:c r="F39" s="192"/>
      <x:c r="G39" s="192"/>
      <x:c r="H39" s="192"/>
    </x:row>
    <x:row r="41" ht="30" customHeight="1">
      <x:c r="A41" s="209" t="str">
        <x:v>VISUAL STYLE &amp; ASSET DELIVERY</x:v>
      </x:c>
      <x:c r="B41" s="209"/>
      <x:c r="C41" s="209"/>
      <x:c r="D41" s="209"/>
      <x:c r="E41" s="209"/>
      <x:c r="F41" s="209"/>
      <x:c r="G41" s="209"/>
      <x:c r="H41" s="209"/>
    </x:row>
    <x:row r="42" ht="56" customHeight="1">
      <x:c r="A42" s="211" t="str">
        <x:v>Shared 2D language</x:v>
      </x:c>
      <x:c r="B42" s="210"/>
      <x:c r="C42" s="192" t="str">
        <x:v>Cheerful, colourful, chunky 2D aquarium-game illustration. Use rounded, confident silhouettes, a clean dark-teal contour and two or three matte cel-shaded planes. No photorealism, wet gloss, white sticker border or decorative gold frame.</x:v>
      </x:c>
      <x:c r="D42" s="192"/>
      <x:c r="E42" s="192"/>
      <x:c r="F42" s="192"/>
      <x:c r="G42" s="192"/>
      <x:c r="H42" s="192"/>
    </x:row>
    <x:row r="43" ht="56" customHeight="1">
      <x:c r="A43" s="211" t="str">
        <x:v>Colour discipline</x:v>
      </x:c>
      <x:c r="B43" s="210"/>
      <x:c r="C43" s="192" t="str">
        <x:v>Use one dominant hue, one supporting hue and one restrained accent per readable mass. Keep shadows coloured rather than black. Preserve separation from blue water and from living fish. Premium should not simply mean brighter or more saturated.</x:v>
      </x:c>
      <x:c r="D43" s="192"/>
      <x:c r="E43" s="192"/>
      <x:c r="F43" s="192"/>
      <x:c r="G43" s="192"/>
      <x:c r="H43" s="192"/>
    </x:row>
    <x:row r="44" ht="56" customHeight="1">
      <x:c r="A44" s="211" t="str">
        <x:v>View and scale</x:v>
      </x:c>
      <x:c r="B44" s="210"/>
      <x:c r="C44" s="192" t="str">
        <x:v>Use a consistent slightly top-down three-quarter front view without strong perspective. Reference tank design frame: 12 U wide × 7 U high. A starter fish body is approximately 1 U long, excluding fins. Catalog dimensions are placement bounding boxes, not real-world centimetres.</x:v>
      </x:c>
      <x:c r="D44" s="192"/>
      <x:c r="E44" s="192"/>
      <x:c r="F44" s="192"/>
      <x:c r="G44" s="192"/>
      <x:c r="H44" s="192"/>
    </x:row>
    <x:row r="45" ht="56" customHeight="1">
      <x:c r="A45" s="211" t="str">
        <x:v>Size and placement</x:v>
      </x:c>
      <x:c r="B45" s="210"/>
      <x:c r="C45" s="192" t="str">
        <x:v>Size uses the larger of width and height; thresholds are in the table above. Full moving mesh bounds must fit the stated footprint. Tall/XL items belong at rear sides; reserve roughly the central half of the view as uncluttered swimming and feeding space.</x:v>
      </x:c>
      <x:c r="D45" s="192"/>
      <x:c r="E45" s="192"/>
      <x:c r="F45" s="192"/>
      <x:c r="G45" s="192"/>
      <x:c r="H45" s="192"/>
    </x:row>
    <x:row r="46" ht="56" customHeight="1">
      <x:c r="A46" s="211" t="str">
        <x:v>No baked environment</x:v>
      </x:c>
      <x:c r="B46" s="210"/>
      <x:c r="C46" s="192" t="str">
        <x:v>Deliver isolated centred transparent PNG or lossless WebP sprites. No water rectangle, tank, floor scene, cast shadow, bubbles, reflections, labels, UI, fish or extra surrounding scenery baked into an asset. Runtime FX must be separate.</x:v>
      </x:c>
      <x:c r="D46" s="192"/>
      <x:c r="E46" s="192"/>
      <x:c r="F46" s="192"/>
      <x:c r="G46" s="192"/>
      <x:c r="H46" s="192"/>
    </x:row>
    <x:row r="47" ht="56" customHeight="1">
      <x:c r="A47" s="211" t="str">
        <x:v>Botanical interpretation</x:v>
      </x:c>
      <x:c r="B47" s="210"/>
      <x:c r="C47" s="192" t="str">
        <x:v>Plant is a shop category, not husbandry advice. Real-inspired and fantasy foliage may coexist in this toy aquarium. Coral items are explicitly inanimate sculptures; animal-shaped ornaments are visibly stone, ceramic or mechanical toys.</x:v>
      </x:c>
      <x:c r="D47" s="192"/>
      <x:c r="E47" s="192"/>
      <x:c r="F47" s="192"/>
      <x:c r="G47" s="192"/>
      <x:c r="H47" s="192"/>
    </x:row>
    <x:row r="48" ht="56" customHeight="1">
      <x:c r="A48" s="211" t="str">
        <x:v>Mobile readability</x:v>
      </x:c>
      <x:c r="B48" s="210"/>
      <x:c r="C48" s="192" t="str">
        <x:v>Test every item at 64–96 px icon size and at intended placement size. Prefer 3–5 main masses, thick stems, large cutouts and broad texture cues. Remove hairline leaves, tiny glyphs, glitter noise and busy micro-patterns.</x:v>
      </x:c>
      <x:c r="D48" s="192"/>
      <x:c r="E48" s="192"/>
      <x:c r="F48" s="192"/>
      <x:c r="G48" s="192"/>
      <x:c r="H48" s="192"/>
    </x:row>
    <x:row r="49" ht="56" customHeight="1">
      <x:c r="A49" s="211" t="str">
        <x:v>Sprite package</x:v>
      </x:c>
      <x:c r="B49" s="210"/>
      <x:c r="C49" s="192" t="str">
        <x:v>Proposed master: 1024 px on the longest side; icon export: 256 px square. Keep about 8% padding inside the canvas. Use a bottom-centre anchor at the root/base, named layers, stable pivots and a still/icon pose for every animated item.</x:v>
      </x:c>
      <x:c r="D49" s="192"/>
      <x:c r="E49" s="192"/>
      <x:c r="F49" s="192"/>
      <x:c r="G49" s="192"/>
      <x:c r="H49" s="192"/>
    </x:row>
    <x:row r="50" ht="56" customHeight="1">
      <x:c r="A50" s="211" t="str">
        <x:v>Layering and interaction</x:v>
      </x:c>
      <x:c r="B50" s="210"/>
      <x:c r="C50" s="192" t="str">
        <x:v>Use the catalog's Foreground, Midground or Background layer. Keep fish selectable and visually readable; decor hit-testing is active only in decorate mode. Doorways, arches and caves are visual negative space, not collision, hiding or pathing mechanics.</x:v>
      </x:c>
      <x:c r="D50" s="192"/>
      <x:c r="E50" s="192"/>
      <x:c r="F50" s="192"/>
      <x:c r="G50" s="192"/>
      <x:c r="H50" s="192"/>
    </x:row>
    <x:row r="51" ht="56" customHeight="1">
      <x:c r="A51" s="211" t="str">
        <x:v>Re-use without sameness</x:v>
      </x:c>
      <x:c r="B51" s="210"/>
      <x:c r="C51" s="192" t="str">
        <x:v>Shared materials and leaf rigs are encouraged, but do not replace the authored designs with palette swaps. Preserve each item's distinct silhouette, material story, colour accents and stated thumbnail hook.</x:v>
      </x:c>
      <x:c r="D51" s="192"/>
      <x:c r="E51" s="192"/>
      <x:c r="F51" s="192"/>
      <x:c r="G51" s="192"/>
      <x:c r="H51" s="192"/>
    </x:row>
    <x:row r="53" ht="30" customHeight="1">
      <x:c r="A53" s="209" t="str">
        <x:v>ANIMATION, ACCESSIBILITY &amp; IMPLEMENTATION</x:v>
      </x:c>
      <x:c r="B53" s="209"/>
      <x:c r="C53" s="209"/>
      <x:c r="D53" s="209"/>
      <x:c r="E53" s="209"/>
      <x:c r="F53" s="209"/>
      <x:c r="G53" s="209"/>
      <x:c r="H53" s="209"/>
    </x:row>
    <x:row r="54" ht="56" customHeight="1">
      <x:c r="A54" s="211" t="str">
        <x:v>Tasteful movement</x:v>
      </x:c>
      <x:c r="B54" s="210"/>
      <x:c r="C54" s="192" t="str">
        <x:v>Prefer slow eased leaf sway, local tip brightness, opening shells and rare tiny bubbles. The per-item art brief is authoritative for timing and amplitude. No screen shake, strobing, rapid flashes, noisy confetti, broad light beams or attention-grabbing audio.</x:v>
      </x:c>
      <x:c r="D54" s="192"/>
      <x:c r="E54" s="192"/>
      <x:c r="F54" s="192"/>
      <x:c r="G54" s="192"/>
      <x:c r="H54" s="192"/>
    </x:row>
    <x:row r="55" ht="56" customHeight="1">
      <x:c r="A55" s="211" t="str">
        <x:v>Proposed mobile budget</x:v>
      </x:c>
      <x:c r="B55" s="210"/>
      <x:c r="C55" s="192" t="str">
        <x:v>Start with at most 32 placed decor copies per tank, separate from fish capacity; this is a tunable rendering limit, not a production mechanic. Animate at most 6 visible decor items simultaneously. Pause offscreen motion and stagger loop phases.</x:v>
      </x:c>
      <x:c r="D55" s="192"/>
      <x:c r="E55" s="192"/>
      <x:c r="F55" s="192"/>
      <x:c r="G55" s="192"/>
      <x:c r="H55" s="192"/>
    </x:row>
    <x:row r="56" ht="56" customHeight="1">
      <x:c r="A56" s="211" t="str">
        <x:v>FX budget</x:v>
      </x:c>
      <x:c r="B56" s="210"/>
      <x:c r="C56" s="192" t="str">
        <x:v>Allow at most 2 visible bubble emitters and 6 live decor FX particles across the tank. Per-item caps in the art briefs still apply. Clip internal hourglass/snowglobe sprites to their object; do not let them become global water or snow effects.</x:v>
      </x:c>
      <x:c r="D56" s="192"/>
      <x:c r="E56" s="192"/>
      <x:c r="F56" s="192"/>
      <x:c r="G56" s="192"/>
      <x:c r="H56" s="192"/>
    </x:row>
    <x:row r="57" ht="56" customHeight="1">
      <x:c r="A57" s="211" t="str">
        <x:v>Implementation approach</x:v>
      </x:c>
      <x:c r="B57" s="210"/>
      <x:c r="C57" s="192" t="str">
        <x:v>Prefer simple transforms and 3–6 grouped sprites/masks over full physics or expensive shaders. The Snowglobe's internal chips are tiny clipped sprites. Motion budgets are proposals to profile on target phones, not benchmarked performance claims.</x:v>
      </x:c>
      <x:c r="D57" s="192"/>
      <x:c r="E57" s="192"/>
      <x:c r="F57" s="192"/>
      <x:c r="G57" s="192"/>
      <x:c r="H57" s="192"/>
    </x:row>
    <x:row r="58" ht="56" customHeight="1">
      <x:c r="A58" s="211" t="str">
        <x:v>Reduced motion</x:v>
      </x:c>
      <x:c r="B58" s="210"/>
      <x:c r="C58" s="192" t="str">
        <x:v>Respect a user-controlled reduced-motion switch. Disable pulses, sways, spins and particles, using the authored still pose. If over budget, freeze lower-priority ornaments in that same pose. The full collectible remains attractive and identifiable when static.</x:v>
      </x:c>
      <x:c r="D58" s="192"/>
      <x:c r="E58" s="192"/>
      <x:c r="F58" s="192"/>
      <x:c r="G58" s="192"/>
      <x:c r="H58" s="192"/>
    </x:row>
    <x:row r="59" ht="56" customHeight="1">
      <x:c r="A59" s="211" t="str">
        <x:v>Animation bounds</x:v>
      </x:c>
      <x:c r="B59" s="210"/>
      <x:c r="C59" s="192" t="str">
        <x:v>Leaves/root bases never drift. Shell/chest dimensions include the maximum lid pose. Rare bubbles travel no more than the per-item distance (up to 0.7 U) in a reserved lane; stop effects before the tank edge, fish UI or HUD.</x:v>
      </x:c>
      <x:c r="D59" s="192"/>
      <x:c r="E59" s="192"/>
      <x:c r="F59" s="192"/>
      <x:c r="G59" s="192"/>
      <x:c r="H59" s="192"/>
    </x:row>
    <x:row r="60" ht="56" customHeight="1">
      <x:c r="A60" s="211" t="str">
        <x:v>Collection-safe effects</x:v>
      </x:c>
      <x:c r="B60" s="210"/>
      <x:c r="C60" s="192" t="str">
        <x:v>Decorative pearls, gems, lamps, chests, volcanoes, water wheels, watering cans and portals are visual motifs only. Never emit pickup objects or imply income, oxygen, heating, growth, teleportation or a countdown timer.</x:v>
      </x:c>
      <x:c r="D60" s="192"/>
      <x:c r="E60" s="192"/>
      <x:c r="F60" s="192"/>
      <x:c r="G60" s="192"/>
      <x:c r="H60" s="192"/>
    </x:row>
    <x:row r="61" ht="56" customHeight="1">
      <x:c r="A61" s="211" t="str">
        <x:v>Authoring hand-off</x:v>
      </x:c>
      <x:c r="B61" s="210"/>
      <x:c r="C61" s="192" t="str">
        <x:v>Join by item ID, not name. Editing price/level updates XP; editing dimensions updates size/score. Any dimension or silhouette change requires an art/placement review. When adding rows, extend both tables, reference ranges and the event/progression checks.</x:v>
      </x:c>
      <x:c r="D61" s="192"/>
      <x:c r="E61" s="192"/>
      <x:c r="F61" s="192"/>
      <x:c r="G61" s="192"/>
      <x:c r="H61" s="192"/>
    </x:row>
    <x:row r="62" ht="56" customHeight="1">
      <x:c r="A62" s="211" t="str">
        <x:v>QA acceptance</x:v>
      </x:c>
      <x:c r="B62" s="210"/>
      <x:c r="C62" s="192" t="str">
        <x:v>Every item needs a readable 64 px icon, clean alpha edges, unobstructed fish selection, a verified anchor, a maximum-animation bounds test, a reduced-motion still and a check that owning/moving duplicates grants no extra XP or tank score.</x:v>
      </x:c>
      <x:c r="D62" s="192"/>
      <x:c r="E62" s="192"/>
      <x:c r="F62" s="192"/>
      <x:c r="G62" s="192"/>
      <x:c r="H62" s="192"/>
    </x:row>
  </x:sheetData>
  <x:mergeCells>
    <x:mergeCell ref="A1:H1"/>
    <x:mergeCell ref="A2:H2"/>
    <x:mergeCell ref="A18:H18"/>
    <x:mergeCell ref="A19:B19"/>
    <x:mergeCell ref="C19:H19"/>
    <x:mergeCell ref="A20:B20"/>
    <x:mergeCell ref="C20:H20"/>
    <x:mergeCell ref="A21:B21"/>
    <x:mergeCell ref="C21:H21"/>
    <x:mergeCell ref="A22:B22"/>
    <x:mergeCell ref="C22:H22"/>
    <x:mergeCell ref="A23:B23"/>
    <x:mergeCell ref="C23:H23"/>
    <x:mergeCell ref="A24:B24"/>
    <x:mergeCell ref="C24:H24"/>
    <x:mergeCell ref="A25:B25"/>
    <x:mergeCell ref="C25:H25"/>
    <x:mergeCell ref="A26:B26"/>
    <x:mergeCell ref="C26:H26"/>
    <x:mergeCell ref="A27:B27"/>
    <x:mergeCell ref="C27:H27"/>
    <x:mergeCell ref="A28:B28"/>
    <x:mergeCell ref="C28:H28"/>
    <x:mergeCell ref="A29:B29"/>
    <x:mergeCell ref="C29:H29"/>
    <x:mergeCell ref="A30:B30"/>
    <x:mergeCell ref="C30:H30"/>
    <x:mergeCell ref="A31:B31"/>
    <x:mergeCell ref="C31:H31"/>
    <x:mergeCell ref="A33:H33"/>
    <x:mergeCell ref="A34:B34"/>
    <x:mergeCell ref="C34:H34"/>
    <x:mergeCell ref="A35:B35"/>
    <x:mergeCell ref="C35:H35"/>
    <x:mergeCell ref="A36:B36"/>
    <x:mergeCell ref="C36:H36"/>
    <x:mergeCell ref="A37:B37"/>
    <x:mergeCell ref="C37:H37"/>
    <x:mergeCell ref="A38:B38"/>
    <x:mergeCell ref="C38:H38"/>
    <x:mergeCell ref="A39:B39"/>
    <x:mergeCell ref="C39:H39"/>
    <x:mergeCell ref="A41:H41"/>
    <x:mergeCell ref="A42:B42"/>
    <x:mergeCell ref="C42:H42"/>
    <x:mergeCell ref="A43:B43"/>
    <x:mergeCell ref="C43:H43"/>
    <x:mergeCell ref="A44:B44"/>
    <x:mergeCell ref="C44:H44"/>
    <x:mergeCell ref="A45:B45"/>
    <x:mergeCell ref="C45:H45"/>
    <x:mergeCell ref="A46:B46"/>
    <x:mergeCell ref="C46:H46"/>
    <x:mergeCell ref="A47:B47"/>
    <x:mergeCell ref="C47:H47"/>
    <x:mergeCell ref="A48:B48"/>
    <x:mergeCell ref="C48:H48"/>
    <x:mergeCell ref="A49:B49"/>
    <x:mergeCell ref="C49:H49"/>
    <x:mergeCell ref="A50:B50"/>
    <x:mergeCell ref="C50:H50"/>
    <x:mergeCell ref="A51:B51"/>
    <x:mergeCell ref="C51:H51"/>
    <x:mergeCell ref="A53:H53"/>
    <x:mergeCell ref="A54:B54"/>
    <x:mergeCell ref="C54:H54"/>
    <x:mergeCell ref="A55:B55"/>
    <x:mergeCell ref="C55:H55"/>
    <x:mergeCell ref="A56:B56"/>
    <x:mergeCell ref="C56:H56"/>
    <x:mergeCell ref="A57:B57"/>
    <x:mergeCell ref="C57:H57"/>
    <x:mergeCell ref="A58:B58"/>
    <x:mergeCell ref="C58:H58"/>
    <x:mergeCell ref="A59:B59"/>
    <x:mergeCell ref="C59:H59"/>
    <x:mergeCell ref="A60:B60"/>
    <x:mergeCell ref="C60:H60"/>
    <x:mergeCell ref="A61:B61"/>
    <x:mergeCell ref="C61:H61"/>
    <x:mergeCell ref="A62:B62"/>
    <x:mergeCell ref="C62:H62"/>
  </x:mergeCells>
  <x:pageMargins left="0.7" right="0.7" top="0.75" bottom="0.75" header="0.3" footer="0.3"/>
</x:worksheet>
</file>