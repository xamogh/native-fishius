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tables/table33.xml" ContentType="application/vnd.openxmlformats-officedocument.spreadsheetml.table+xml"/>
  <Override PartName="/xl/worksheets/sheet36.xml" ContentType="application/vnd.openxmlformats-officedocument.spreadsheetml.worksheet+xml"/>
  <Override PartName="/xl/tables/table34.xml" ContentType="application/vnd.openxmlformats-officedocument.spreadsheetml.table+xml"/>
  <Override PartName="/xl/worksheets/sheet37.xml" ContentType="application/vnd.openxmlformats-officedocument.spreadsheetml.worksheet+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tables/table3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dc64a310374ec7" /></Relationships>
</file>

<file path=xl/workbook.xml><?xml version="1.0" encoding="utf-8"?>
<x:workbook xmlns:x="http://schemas.openxmlformats.org/spreadsheetml/2006/main">
  <x:sheets>
    <x:sheet xmlns:r="http://schemas.openxmlformats.org/officeDocument/2006/relationships" name="Read Me" sheetId="1" r:id="R7ac39e27772241af"/>
    <x:sheet xmlns:r="http://schemas.openxmlformats.org/officeDocument/2006/relationships" name="Dashboard" sheetId="2" r:id="Rc053821935d34189"/>
    <x:sheet xmlns:r="http://schemas.openxmlformats.org/officeDocument/2006/relationships" name="Critical Audit" sheetId="3" r:id="R3189ebaed0384d1e"/>
    <x:sheet xmlns:r="http://schemas.openxmlformats.org/officeDocument/2006/relationships" name="Core Loop" sheetId="4" r:id="R0959d11e63ee4d3c"/>
    <x:sheet xmlns:r="http://schemas.openxmlformats.org/officeDocument/2006/relationships" name="Rules" sheetId="5" r:id="R50118e5871144aae"/>
    <x:sheet xmlns:r="http://schemas.openxmlformats.org/officeDocument/2006/relationships" name="Inputs" sheetId="6" r:id="R30210158494e4b4d"/>
    <x:sheet xmlns:r="http://schemas.openxmlformats.org/officeDocument/2006/relationships" name="Schedules" sheetId="7" r:id="Rcd99515e593a4aed"/>
    <x:sheet xmlns:r="http://schemas.openxmlformats.org/officeDocument/2006/relationships" name="Coin Fish" sheetId="8" r:id="Rd4c7df6f6a1e4015"/>
    <x:sheet xmlns:r="http://schemas.openxmlformats.org/officeDocument/2006/relationships" name="Fish Collectibles" sheetId="9" r:id="Ra4cb759af0f94665"/>
    <x:sheet xmlns:r="http://schemas.openxmlformats.org/officeDocument/2006/relationships" name="XP &amp; Unlocks" sheetId="10" r:id="Re963cbb1b5034e09"/>
    <x:sheet xmlns:r="http://schemas.openxmlformats.org/officeDocument/2006/relationships" name="Tanks" sheetId="11" r:id="Rdc831505498c46b3"/>
    <x:sheet xmlns:r="http://schemas.openxmlformats.org/officeDocument/2006/relationships" name="Onboarding" sheetId="12" r:id="R1126c90997e64dd3"/>
    <x:sheet xmlns:r="http://schemas.openxmlformats.org/officeDocument/2006/relationships" name="Quest Rewards" sheetId="13" r:id="Rb24bc6b0df87441c"/>
    <x:sheet xmlns:r="http://schemas.openxmlformats.org/officeDocument/2006/relationships" name="Quests" sheetId="14" r:id="Rec0f1ba0158145db"/>
    <x:sheet xmlns:r="http://schemas.openxmlformats.org/officeDocument/2006/relationships" name="Mastery" sheetId="15" r:id="Re1715743dbb3491a"/>
    <x:sheet xmlns:r="http://schemas.openxmlformats.org/officeDocument/2006/relationships" name="Social" sheetId="16" r:id="R2d46617c6fb14a5c"/>
    <x:sheet xmlns:r="http://schemas.openxmlformats.org/officeDocument/2006/relationships" name="Events" sheetId="17" r:id="Rd2faac08cb174188"/>
    <x:sheet xmlns:r="http://schemas.openxmlformats.org/officeDocument/2006/relationships" name="Shop" sheetId="18" r:id="Rd436568c47254537"/>
    <x:sheet xmlns:r="http://schemas.openxmlformats.org/officeDocument/2006/relationships" name="Pearl Budget" sheetId="19" r:id="R95749448031c4f6b"/>
    <x:sheet xmlns:r="http://schemas.openxmlformats.org/officeDocument/2006/relationships" name="Decor Catalog" sheetId="20" r:id="R7e37ebd3a6404768"/>
    <x:sheet xmlns:r="http://schemas.openxmlformats.org/officeDocument/2006/relationships" name="Decor Art Briefs" sheetId="21" r:id="R4fc95877ba984783"/>
    <x:sheet xmlns:r="http://schemas.openxmlformats.org/officeDocument/2006/relationships" name="Decor Rules" sheetId="22" r:id="Ra3c66952e1ec485f"/>
    <x:sheet xmlns:r="http://schemas.openxmlformats.org/officeDocument/2006/relationships" name="Retention Journey" sheetId="23" r:id="R856409d88ae847d6"/>
    <x:sheet xmlns:r="http://schemas.openxmlformats.org/officeDocument/2006/relationships" name="UX &amp; Accessibility" sheetId="24" r:id="R908f12ce72064e2a"/>
    <x:sheet xmlns:r="http://schemas.openxmlformats.org/officeDocument/2006/relationships" name="Model Contract" sheetId="25" r:id="Rbde37ca0a4aa4d0b"/>
    <x:sheet xmlns:r="http://schemas.openxmlformats.org/officeDocument/2006/relationships" name="Economy Model" sheetId="26" r:id="Re4275135fc0d44de"/>
    <x:sheet xmlns:r="http://schemas.openxmlformats.org/officeDocument/2006/relationships" name="Simulation Profiles" sheetId="27" r:id="R28a5f891cc9a412d"/>
    <x:sheet xmlns:r="http://schemas.openxmlformats.org/officeDocument/2006/relationships" name="Simulation Summary" sheetId="28" r:id="R7eceb01808fd448a"/>
    <x:sheet xmlns:r="http://schemas.openxmlformats.org/officeDocument/2006/relationships" name="Daily Ledger" sheetId="29" r:id="R091154bf30da443f"/>
    <x:sheet xmlns:r="http://schemas.openxmlformats.org/officeDocument/2006/relationships" name="Balance Tests" sheetId="30" r:id="R212d052641cd4bbf"/>
    <x:sheet xmlns:r="http://schemas.openxmlformats.org/officeDocument/2006/relationships" name="Telemetry" sheetId="31" r:id="R2ddff54cfd5f46a0"/>
    <x:sheet xmlns:r="http://schemas.openxmlformats.org/officeDocument/2006/relationships" name="Experiments" sheetId="32" r:id="Rb3b12009074a4e00"/>
    <x:sheet xmlns:r="http://schemas.openxmlformats.org/officeDocument/2006/relationships" name="Release Plan" sheetId="33" r:id="R11075039e7a94c2f"/>
    <x:sheet xmlns:r="http://schemas.openxmlformats.org/officeDocument/2006/relationships" name="Migration" sheetId="34" r:id="R9c47598ab6b74ea6"/>
    <x:sheet xmlns:r="http://schemas.openxmlformats.org/officeDocument/2006/relationships" name="Source Coverage" sheetId="35" r:id="R60aee801557c4bd3"/>
    <x:sheet xmlns:r="http://schemas.openxmlformats.org/officeDocument/2006/relationships" name="Sources" sheetId="36" r:id="R8a0a12a4df154761"/>
    <x:sheet xmlns:r="http://schemas.openxmlformats.org/officeDocument/2006/relationships" name="Data Contracts" sheetId="37" r:id="Rcaf1b5607e964bbc"/>
    <x:sheet xmlns:r="http://schemas.openxmlformats.org/officeDocument/2006/relationships" name="Art Production" sheetId="38" r:id="R51e18e9d5d2f4d88"/>
    <x:sheet xmlns:r="http://schemas.openxmlformats.org/officeDocument/2006/relationships" name="Aquascape Projects" sheetId="39" r:id="R0e5e325aa64747cc"/>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00"/>
    <x:numFmt numFmtId="201" formatCode="#,##0"/>
    <x:numFmt numFmtId="202" formatCode="0.000"/>
    <x:numFmt numFmtId="203" formatCode="$#,##0.00"/>
    <x:numFmt numFmtId="204" formatCode="0.0"/>
    <x:numFmt numFmtId="205" formatCode="$0.00"/>
    <x:numFmt numFmtId="206" formatCode="#,##0.00"/>
    <x:numFmt numFmtId="207" formatCode="0.000000"/>
    <x:numFmt numFmtId="208" formatCode="0"/>
  </x:numFmts>
  <x:fonts count="19">
    <x:font>
      <x:sz val="11"/>
      <x:name val="Carlito"/>
    </x:font>
    <x:font>
      <x:sz val="10"/>
      <x:color rgb="FF183747"/>
      <x:name val="Aptos"/>
    </x:font>
    <x:font>
      <x:b/>
      <x:sz val="18"/>
      <x:color rgb="FFFFFFFF"/>
      <x:name val="Aptos"/>
    </x:font>
    <x:font>
      <x:sz val="10"/>
      <x:color rgb="FF516B79"/>
      <x:name val="Aptos"/>
    </x:font>
    <x:font>
      <x:b/>
      <x:sz val="10"/>
      <x:color rgb="FFFFFFFF"/>
      <x:name val="Aptos"/>
    </x:font>
    <x:font>
      <x:sz val="10"/>
      <x:color rgb="FF1562A4"/>
      <x:name val="Aptos"/>
    </x:font>
    <x:font>
      <x:b/>
      <x:sz val="11"/>
      <x:color rgb="FFFFFFFF"/>
      <x:name val="Carlito"/>
    </x:font>
    <x:font>
      <x:b/>
      <x:sz val="11"/>
      <x:name val="Carlito"/>
    </x:font>
    <x:font>
      <x:b/>
      <x:sz val="22"/>
      <x:color rgb="FFFFFFFF"/>
      <x:name val="Aptos Display"/>
    </x:font>
    <x:font>
      <x:sz val="12"/>
      <x:color rgb="FF183747"/>
      <x:name val="Aptos"/>
    </x:font>
    <x:font>
      <x:b/>
      <x:sz val="12"/>
      <x:color rgb="FFFFFFFF"/>
      <x:name val="Carlito"/>
    </x:font>
    <x:font>
      <x:sz val="11"/>
      <x:color rgb="FF183747"/>
      <x:name val="Aptos"/>
    </x:font>
    <x:font>
      <x:b/>
      <x:sz val="11"/>
      <x:color rgb="FFFFFFFF"/>
      <x:name val="Aptos"/>
    </x:font>
    <x:font>
      <x:b/>
      <x:sz val="11"/>
      <x:color rgb="FF183747"/>
      <x:name val="Aptos"/>
    </x:font>
    <x:font>
      <x:b/>
      <x:sz val="23"/>
      <x:color rgb="FFFFFFFF"/>
      <x:name val="Aptos Display"/>
    </x:font>
    <x:font>
      <x:sz val="11"/>
      <x:color rgb="FF516B79"/>
      <x:name val="Aptos"/>
    </x:font>
    <x:font>
      <x:b/>
      <x:sz val="26"/>
      <x:color rgb="FF102B3A"/>
      <x:name val="Aptos Display"/>
    </x:font>
    <x:font>
      <x:b/>
      <x:sz val="12"/>
      <x:color rgb="FF865800"/>
      <x:name val="Aptos"/>
    </x:font>
    <x:font>
      <x:b/>
      <x:sz val="12"/>
      <x:color rgb="FFFFFFFF"/>
      <x:name val="Aptos"/>
    </x:font>
  </x:fonts>
  <x:fills count="7">
    <x:fill>
      <x:patternFill patternType="none"/>
    </x:fill>
    <x:fill>
      <x:patternFill patternType="gray125"/>
    </x:fill>
    <x:fill>
      <x:patternFill patternType="solid">
        <x:fgColor rgb="FF102B3A"/>
      </x:patternFill>
    </x:fill>
    <x:fill>
      <x:patternFill patternType="solid">
        <x:fgColor rgb="FFEAF5F5"/>
      </x:patternFill>
    </x:fill>
    <x:fill>
      <x:patternFill patternType="solid">
        <x:fgColor rgb="FF087E86"/>
      </x:patternFill>
    </x:fill>
    <x:fill>
      <x:patternFill patternType="solid">
        <x:fgColor rgb="FFFFF1C7"/>
      </x:patternFill>
    </x:fill>
    <x:fill>
      <x:patternFill patternType="solid">
        <x:fgColor rgb="FFFFFFFF"/>
      </x:patternFill>
    </x:fill>
  </x:fills>
  <x:borders count="2">
    <x:border/>
    <x:border/>
  </x:borders>
  <x:cellStyleXfs count="1">
    <x:xf numFmtId="0" fontId="0" fillId="0" borderId="0"/>
  </x:cellStyleXfs>
  <x:cellXfs count="14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1"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200" fontId="5" fillId="5" borderId="0" xfId="0" applyNumberFormat="1" applyFont="1" applyFill="1" applyBorder="1" applyAlignment="1">
      <x:alignment vertical="top" wrapText="1"/>
    </x:xf>
    <x:xf numFmtId="200" fontId="5" fillId="5" borderId="1" xfId="0" applyNumberFormat="1" applyFont="1" applyFill="1" applyBorder="1" applyAlignment="1">
      <x:alignment vertical="top" wrapText="1"/>
    </x:xf>
    <x:xf numFmtId="201" fontId="5" fillId="5" borderId="0" xfId="0" applyNumberFormat="1" applyFont="1" applyFill="1" applyBorder="1" applyAlignment="1">
      <x:alignment vertical="top" wrapText="1"/>
    </x:xf>
    <x:xf numFmtId="201" fontId="5" fillId="5" borderId="1"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2" fontId="5" fillId="5" borderId="0" xfId="0" applyNumberFormat="1" applyFont="1" applyFill="1" applyBorder="1" applyAlignment="1">
      <x:alignment vertical="top" wrapText="1"/>
    </x:xf>
    <x:xf numFmtId="202" fontId="5" fillId="5" borderId="1"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3" fontId="1" fillId="0" borderId="1"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4" fontId="1" fillId="0" borderId="1" xfId="0" applyNumberFormat="1" applyFont="1" applyFill="1" applyBorder="1" applyAlignment="1">
      <x:alignment vertical="top" wrapText="1"/>
    </x:xf>
    <x:xf numFmtId="205" fontId="1" fillId="0" borderId="0" xfId="0" applyNumberFormat="1" applyFont="1" applyFill="1" applyBorder="1" applyAlignment="1">
      <x:alignment vertical="top" wrapText="1"/>
    </x:xf>
    <x:xf numFmtId="205" fontId="1" fillId="0" borderId="1" xfId="0" applyNumberFormat="1" applyFont="1" applyFill="1" applyBorder="1" applyAlignment="1">
      <x:alignment vertical="top" wrapText="1"/>
    </x:xf>
    <x:xf numFmtId="206" fontId="1" fillId="0" borderId="0" xfId="0" applyNumberFormat="1" applyFont="1" applyFill="1" applyBorder="1" applyAlignment="1">
      <x:alignment vertical="top" wrapText="1"/>
    </x:xf>
    <x:xf numFmtId="206" fontId="1" fillId="0" borderId="1" xfId="0" applyNumberFormat="1" applyFont="1" applyFill="1" applyBorder="1" applyAlignment="1">
      <x:alignment vertical="top" wrapText="1"/>
    </x:xf>
    <x:xf numFmtId="0" fontId="0" fillId="2" borderId="0" xfId="0" applyNumberFormat="1" applyFont="1" applyFill="1" applyBorder="1"/>
    <x:xf numFmtId="0" fontId="6" fillId="2" borderId="0" xfId="0" applyNumberFormat="1" applyFont="1" applyFill="1" applyBorder="1"/>
    <x:xf numFmtId="0" fontId="0" fillId="2" borderId="1" xfId="0" applyNumberFormat="1" applyFont="1" applyFill="1" applyBorder="1"/>
    <x:xf numFmtId="0" fontId="6" fillId="2" borderId="1" xfId="0" applyNumberFormat="1" applyFont="1" applyFill="1" applyBorder="1"/>
    <x:xf numFmtId="207" fontId="0" fillId="0" borderId="0" xfId="0" applyNumberFormat="1" applyFont="1" applyFill="1" applyBorder="1"/>
    <x:xf numFmtId="207" fontId="0" fillId="0" borderId="1"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2" borderId="0" xfId="0" applyNumberFormat="1" applyFont="1" applyFill="1" applyBorder="1"/>
    <x:xf numFmtId="0" fontId="8" fillId="2" borderId="1" xfId="0" applyNumberFormat="1" applyFont="1" applyFill="1" applyBorder="1"/>
    <x:xf numFmtId="0" fontId="0" fillId="3" borderId="0" xfId="0" applyNumberFormat="1" applyFont="1" applyFill="1" applyBorder="1"/>
    <x:xf numFmtId="0" fontId="9" fillId="3" borderId="0" xfId="0" applyNumberFormat="1" applyFont="1" applyFill="1" applyBorder="1"/>
    <x:xf numFmtId="0" fontId="9" fillId="3" borderId="0" xfId="0" applyNumberFormat="1" applyFont="1" applyFill="1" applyBorder="1" applyAlignment="1">
      <x:alignment wrapText="1"/>
    </x:xf>
    <x:xf numFmtId="0" fontId="9" fillId="3" borderId="0" xfId="0" applyNumberFormat="1" applyFont="1" applyFill="1" applyBorder="1" applyAlignment="1">
      <x:alignment vertical="center" wrapText="1"/>
    </x:xf>
    <x:xf numFmtId="0" fontId="0" fillId="3" borderId="1" xfId="0" applyNumberFormat="1" applyFont="1" applyFill="1" applyBorder="1"/>
    <x:xf numFmtId="0" fontId="9" fillId="3" borderId="1" xfId="0" applyNumberFormat="1" applyFont="1" applyFill="1" applyBorder="1"/>
    <x:xf numFmtId="0" fontId="9" fillId="3" borderId="1" xfId="0" applyNumberFormat="1" applyFont="1" applyFill="1" applyBorder="1" applyAlignment="1">
      <x:alignment wrapText="1"/>
    </x:xf>
    <x:xf numFmtId="0" fontId="9" fillId="3" borderId="1" xfId="0" applyNumberFormat="1" applyFont="1" applyFill="1" applyBorder="1" applyAlignment="1">
      <x:alignment vertical="center" wrapText="1"/>
    </x:xf>
    <x:xf numFmtId="0" fontId="0" fillId="4" borderId="0" xfId="0" applyNumberFormat="1" applyFont="1" applyFill="1" applyBorder="1"/>
    <x:xf numFmtId="0" fontId="10" fillId="4" borderId="0" xfId="0" applyNumberFormat="1" applyFont="1" applyFill="1" applyBorder="1"/>
    <x:xf numFmtId="0" fontId="0" fillId="4" borderId="1" xfId="0" applyNumberFormat="1" applyFont="1" applyFill="1" applyBorder="1"/>
    <x:xf numFmtId="0" fontId="10" fillId="4" borderId="1" xfId="0" applyNumberFormat="1" applyFont="1" applyFill="1" applyBorder="1"/>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center" wrapText="1"/>
    </x:xf>
    <x:xf numFmtId="0" fontId="11" fillId="2" borderId="0" xfId="0" applyNumberFormat="1" applyFont="1" applyFill="1" applyBorder="1" applyAlignment="1">
      <x:alignment vertical="center" wrapText="1"/>
    </x:xf>
    <x:xf numFmtId="0" fontId="12" fillId="2" borderId="0" xfId="0" applyNumberFormat="1" applyFont="1" applyFill="1" applyBorder="1" applyAlignment="1">
      <x:alignment vertical="center" wrapText="1"/>
    </x:xf>
    <x:xf numFmtId="0" fontId="11" fillId="2" borderId="1" xfId="0" applyNumberFormat="1" applyFont="1" applyFill="1" applyBorder="1" applyAlignment="1">
      <x:alignment vertical="center" wrapText="1"/>
    </x:xf>
    <x:xf numFmtId="0" fontId="12" fillId="2" borderId="1" xfId="0" applyNumberFormat="1" applyFont="1" applyFill="1" applyBorder="1" applyAlignment="1">
      <x:alignment vertical="center" wrapText="1"/>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11" fillId="3" borderId="1" xfId="0" applyNumberFormat="1" applyFont="1" applyFill="1" applyBorder="1"/>
    <x:xf numFmtId="0" fontId="11" fillId="3" borderId="1" xfId="0" applyNumberFormat="1" applyFont="1" applyFill="1" applyBorder="1" applyAlignment="1">
      <x:alignment wrapText="1"/>
    </x:xf>
    <x:xf numFmtId="0" fontId="11" fillId="3" borderId="1" xfId="0" applyNumberFormat="1" applyFont="1" applyFill="1" applyBorder="1" applyAlignment="1">
      <x:alignment vertical="center" wrapText="1"/>
    </x:xf>
    <x:xf numFmtId="0" fontId="13" fillId="3" borderId="0" xfId="0" applyNumberFormat="1" applyFont="1" applyFill="1" applyBorder="1" applyAlignment="1">
      <x:alignment vertical="center" wrapText="1"/>
    </x:xf>
    <x:xf numFmtId="0" fontId="13" fillId="3" borderId="1" xfId="0" applyNumberFormat="1" applyFont="1" applyFill="1" applyBorder="1" applyAlignment="1">
      <x:alignment vertical="center" wrapText="1"/>
    </x:xf>
    <x:xf numFmtId="0" fontId="0" fillId="6" borderId="0" xfId="0" applyNumberFormat="1" applyFont="1" applyFill="1" applyBorder="1"/>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0" xfId="0" applyNumberFormat="1" applyFont="1" applyFill="1" applyBorder="1" applyAlignment="1">
      <x:alignment vertical="center" wrapText="1"/>
    </x:xf>
    <x:xf numFmtId="0" fontId="0" fillId="6" borderId="1" xfId="0" applyNumberFormat="1" applyFont="1" applyFill="1" applyBorder="1"/>
    <x:xf numFmtId="0" fontId="11" fillId="6" borderId="1" xfId="0" applyNumberFormat="1" applyFont="1" applyFill="1" applyBorder="1"/>
    <x:xf numFmtId="0" fontId="11" fillId="6" borderId="1" xfId="0" applyNumberFormat="1" applyFont="1" applyFill="1" applyBorder="1" applyAlignment="1">
      <x:alignment wrapText="1"/>
    </x:xf>
    <x:xf numFmtId="0" fontId="11" fillId="6" borderId="1" xfId="0" applyNumberFormat="1" applyFont="1" applyFill="1" applyBorder="1" applyAlignment="1">
      <x:alignment vertical="center" wrapText="1"/>
    </x:xf>
    <x:xf numFmtId="0" fontId="13" fillId="6" borderId="0" xfId="0" applyNumberFormat="1" applyFont="1" applyFill="1" applyBorder="1" applyAlignment="1">
      <x:alignment vertical="center" wrapText="1"/>
    </x:xf>
    <x:xf numFmtId="0" fontId="13" fillId="6" borderId="1" xfId="0" applyNumberFormat="1" applyFont="1" applyFill="1" applyBorder="1" applyAlignment="1">
      <x:alignment vertical="center" wrapText="1"/>
    </x:xf>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11" fillId="5" borderId="1" xfId="0" applyNumberFormat="1" applyFont="1" applyFill="1" applyBorder="1"/>
    <x:xf numFmtId="0" fontId="11" fillId="5"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0" fontId="14" fillId="2" borderId="0" xfId="0" applyNumberFormat="1" applyFont="1" applyFill="1" applyBorder="1"/>
    <x:xf numFmtId="0" fontId="14" fillId="2" borderId="0" xfId="0" applyNumberFormat="1" applyFont="1" applyFill="1" applyBorder="1" applyAlignment="1">
      <x:alignment vertical="center"/>
    </x:xf>
    <x:xf numFmtId="0" fontId="14" fillId="2" borderId="1" xfId="0" applyNumberFormat="1" applyFont="1" applyFill="1" applyBorder="1"/>
    <x:xf numFmtId="0" fontId="14" fillId="2" borderId="1" xfId="0" applyNumberFormat="1" applyFont="1" applyFill="1" applyBorder="1" applyAlignment="1">
      <x:alignment vertical="center"/>
    </x:xf>
    <x:xf numFmtId="0" fontId="15" fillId="3" borderId="0" xfId="0" applyNumberFormat="1" applyFont="1" applyFill="1" applyBorder="1"/>
    <x:xf numFmtId="0" fontId="15" fillId="3" borderId="1" xfId="0" applyNumberFormat="1" applyFont="1" applyFill="1" applyBorder="1"/>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16" fillId="3" borderId="0" xfId="0" applyNumberFormat="1" applyFont="1" applyFill="1" applyBorder="1"/>
    <x:xf numFmtId="0" fontId="16" fillId="3" borderId="0" xfId="0" applyNumberFormat="1" applyFont="1" applyFill="1" applyBorder="1" applyAlignment="1">
      <x:alignment horizontal="center"/>
    </x:xf>
    <x:xf numFmtId="0" fontId="16" fillId="3" borderId="0" xfId="0" applyNumberFormat="1" applyFont="1" applyFill="1" applyBorder="1" applyAlignment="1">
      <x:alignment horizontal="center" vertical="center"/>
    </x:xf>
    <x:xf numFmtId="0" fontId="16" fillId="3" borderId="1" xfId="0" applyNumberFormat="1" applyFont="1" applyFill="1" applyBorder="1"/>
    <x:xf numFmtId="0" fontId="16" fillId="3" borderId="1" xfId="0" applyNumberFormat="1" applyFont="1" applyFill="1" applyBorder="1" applyAlignment="1">
      <x:alignment horizontal="center"/>
    </x:xf>
    <x:xf numFmtId="0" fontId="16" fillId="3" borderId="1" xfId="0" applyNumberFormat="1" applyFont="1" applyFill="1" applyBorder="1" applyAlignment="1">
      <x:alignment horizontal="center" vertical="center"/>
    </x:xf>
    <x:xf numFmtId="208" fontId="16" fillId="3" borderId="0" xfId="0" applyNumberFormat="1" applyFont="1" applyFill="1" applyBorder="1" applyAlignment="1">
      <x:alignment horizontal="center" vertical="center"/>
    </x:xf>
    <x:xf numFmtId="208" fontId="16" fillId="3" borderId="1" xfId="0" applyNumberFormat="1" applyFont="1" applyFill="1" applyBorder="1" applyAlignment="1">
      <x:alignment horizontal="center" vertical="center"/>
    </x:xf>
    <x:xf numFmtId="204" fontId="16" fillId="3" borderId="0" xfId="0" applyNumberFormat="1" applyFont="1" applyFill="1" applyBorder="1" applyAlignment="1">
      <x:alignment horizontal="center" vertical="center"/>
    </x:xf>
    <x:xf numFmtId="204" fontId="16" fillId="3" borderId="1" xfId="0" applyNumberFormat="1" applyFont="1" applyFill="1" applyBorder="1" applyAlignment="1">
      <x:alignment horizontal="center" vertical="center"/>
    </x:xf>
    <x:xf numFmtId="0" fontId="6" fillId="4" borderId="0" xfId="0" applyNumberFormat="1" applyFont="1" applyFill="1" applyBorder="1"/>
    <x:xf numFmtId="0" fontId="6" fillId="4"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17" fillId="5" borderId="0" xfId="0" applyNumberFormat="1" applyFont="1" applyFill="1" applyBorder="1"/>
    <x:xf numFmtId="0" fontId="17" fillId="5" borderId="1" xfId="0" applyNumberFormat="1" applyFont="1" applyFill="1" applyBorder="1"/>
    <x:xf numFmtId="0" fontId="18" fillId="2" borderId="0" xfId="0" applyNumberFormat="1" applyFont="1" applyFill="1" applyBorder="1"/>
    <x:xf numFmtId="0" fontId="18" fillId="2" borderId="1" xfId="0" applyNumberFormat="1" applyFont="1" applyFill="1" applyBorder="1"/>
  </x:cellXfs>
  <x:cellStyles count="1">
    <x:cellStyle name="Normal" xfId="0"/>
  </x:cellStyles>
  <x:dxfs count="4">
    <x:dxf>
      <x:font>
        <x:b/>
        <x:color rgb="FF206641"/>
      </x:font>
      <x:fill>
        <x:patternFill patternType="solid">
          <x:bgColor rgb="FFE1F2E8"/>
        </x:patternFill>
      </x:fill>
    </x:dxf>
    <x:dxf>
      <x:font>
        <x:b/>
        <x:color rgb="FFA12626"/>
      </x:font>
      <x:fill>
        <x:patternFill patternType="solid">
          <x:bgColor rgb="FFFADDDC"/>
        </x:patternFill>
      </x:fill>
    </x:dxf>
    <x:dxf>
      <x:font>
        <x:b/>
        <x:color rgb="FF865800"/>
      </x:font>
      <x:fill>
        <x:patternFill patternType="solid">
          <x:bgColor rgb="FFFFF1C7"/>
        </x:patternFill>
      </x:fill>
    </x:dxf>
    <x:dxf>
      <x:font>
        <x:b/>
        <x:color rgb="FF596875"/>
      </x:font>
      <x:fill>
        <x:patternFill patternType="solid">
          <x:bgColor rgb="FFEDF0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3dfb52636f42d4" /><Relationship Type="http://schemas.openxmlformats.org/officeDocument/2006/relationships/theme" Target="/xl/theme/theme1.xml" Id="R1d705d276d84453c" /><Relationship Type="http://schemas.microsoft.com/office/2022/11/relationships/FeaturePropertyBag" Target="/xl/featurePropertyBag/featurePropertyBag.xml" Id="R83338054e7f041ee" /><Relationship Type="http://schemas.openxmlformats.org/officeDocument/2006/relationships/sharedStrings" Target="/xl/sharedStrings.xml" Id="R105e99718161442d" /><Relationship Type="http://schemas.openxmlformats.org/officeDocument/2006/relationships/worksheet" Target="/xl/worksheets/sheet1.xml" Id="R7ac39e27772241af" /><Relationship Type="http://schemas.openxmlformats.org/officeDocument/2006/relationships/worksheet" Target="/xl/worksheets/sheet2.xml" Id="Rc053821935d34189" /><Relationship Type="http://schemas.openxmlformats.org/officeDocument/2006/relationships/worksheet" Target="/xl/worksheets/sheet3.xml" Id="R3189ebaed0384d1e" /><Relationship Type="http://schemas.openxmlformats.org/officeDocument/2006/relationships/worksheet" Target="/xl/worksheets/sheet4.xml" Id="R0959d11e63ee4d3c" /><Relationship Type="http://schemas.openxmlformats.org/officeDocument/2006/relationships/worksheet" Target="/xl/worksheets/sheet5.xml" Id="R50118e5871144aae" /><Relationship Type="http://schemas.openxmlformats.org/officeDocument/2006/relationships/worksheet" Target="/xl/worksheets/sheet6.xml" Id="R30210158494e4b4d" /><Relationship Type="http://schemas.openxmlformats.org/officeDocument/2006/relationships/worksheet" Target="/xl/worksheets/sheet7.xml" Id="Rcd99515e593a4aed" /><Relationship Type="http://schemas.openxmlformats.org/officeDocument/2006/relationships/worksheet" Target="/xl/worksheets/sheet8.xml" Id="Rd4c7df6f6a1e4015" /><Relationship Type="http://schemas.openxmlformats.org/officeDocument/2006/relationships/worksheet" Target="/xl/worksheets/sheet9.xml" Id="Ra4cb759af0f94665" /><Relationship Type="http://schemas.openxmlformats.org/officeDocument/2006/relationships/worksheet" Target="/xl/worksheets/sheet10.xml" Id="Re963cbb1b5034e09" /><Relationship Type="http://schemas.openxmlformats.org/officeDocument/2006/relationships/worksheet" Target="/xl/worksheets/sheet11.xml" Id="Rdc831505498c46b3" /><Relationship Type="http://schemas.openxmlformats.org/officeDocument/2006/relationships/worksheet" Target="/xl/worksheets/sheet12.xml" Id="R1126c90997e64dd3" /><Relationship Type="http://schemas.openxmlformats.org/officeDocument/2006/relationships/worksheet" Target="/xl/worksheets/sheet13.xml" Id="Rb24bc6b0df87441c" /><Relationship Type="http://schemas.openxmlformats.org/officeDocument/2006/relationships/worksheet" Target="/xl/worksheets/sheet14.xml" Id="Rec0f1ba0158145db" /><Relationship Type="http://schemas.openxmlformats.org/officeDocument/2006/relationships/worksheet" Target="/xl/worksheets/sheet15.xml" Id="Re1715743dbb3491a" /><Relationship Type="http://schemas.openxmlformats.org/officeDocument/2006/relationships/worksheet" Target="/xl/worksheets/sheet16.xml" Id="R2d46617c6fb14a5c" /><Relationship Type="http://schemas.openxmlformats.org/officeDocument/2006/relationships/worksheet" Target="/xl/worksheets/sheet17.xml" Id="Rd2faac08cb174188" /><Relationship Type="http://schemas.openxmlformats.org/officeDocument/2006/relationships/worksheet" Target="/xl/worksheets/sheet18.xml" Id="Rd436568c47254537" /><Relationship Type="http://schemas.openxmlformats.org/officeDocument/2006/relationships/worksheet" Target="/xl/worksheets/sheet19.xml" Id="R95749448031c4f6b" /><Relationship Type="http://schemas.openxmlformats.org/officeDocument/2006/relationships/worksheet" Target="/xl/worksheets/sheet20.xml" Id="R7e37ebd3a6404768" /><Relationship Type="http://schemas.openxmlformats.org/officeDocument/2006/relationships/worksheet" Target="/xl/worksheets/sheet21.xml" Id="R4fc95877ba984783" /><Relationship Type="http://schemas.openxmlformats.org/officeDocument/2006/relationships/worksheet" Target="/xl/worksheets/sheet22.xml" Id="Ra3c66952e1ec485f" /><Relationship Type="http://schemas.openxmlformats.org/officeDocument/2006/relationships/worksheet" Target="/xl/worksheets/sheet23.xml" Id="R856409d88ae847d6" /><Relationship Type="http://schemas.openxmlformats.org/officeDocument/2006/relationships/worksheet" Target="/xl/worksheets/sheet24.xml" Id="R908f12ce72064e2a" /><Relationship Type="http://schemas.openxmlformats.org/officeDocument/2006/relationships/worksheet" Target="/xl/worksheets/sheet25.xml" Id="Rbde37ca0a4aa4d0b" /><Relationship Type="http://schemas.openxmlformats.org/officeDocument/2006/relationships/worksheet" Target="/xl/worksheets/sheet26.xml" Id="Re4275135fc0d44de" /><Relationship Type="http://schemas.openxmlformats.org/officeDocument/2006/relationships/worksheet" Target="/xl/worksheets/sheet27.xml" Id="R28a5f891cc9a412d" /><Relationship Type="http://schemas.openxmlformats.org/officeDocument/2006/relationships/worksheet" Target="/xl/worksheets/sheet28.xml" Id="R7eceb01808fd448a" /><Relationship Type="http://schemas.openxmlformats.org/officeDocument/2006/relationships/worksheet" Target="/xl/worksheets/sheet29.xml" Id="R091154bf30da443f" /><Relationship Type="http://schemas.openxmlformats.org/officeDocument/2006/relationships/worksheet" Target="/xl/worksheets/sheet30.xml" Id="R212d052641cd4bbf" /><Relationship Type="http://schemas.openxmlformats.org/officeDocument/2006/relationships/worksheet" Target="/xl/worksheets/sheet31.xml" Id="R2ddff54cfd5f46a0" /><Relationship Type="http://schemas.openxmlformats.org/officeDocument/2006/relationships/worksheet" Target="/xl/worksheets/sheet32.xml" Id="Rb3b12009074a4e00" /><Relationship Type="http://schemas.openxmlformats.org/officeDocument/2006/relationships/worksheet" Target="/xl/worksheets/sheet33.xml" Id="R11075039e7a94c2f" /><Relationship Type="http://schemas.openxmlformats.org/officeDocument/2006/relationships/worksheet" Target="/xl/worksheets/sheet34.xml" Id="R9c47598ab6b74ea6" /><Relationship Type="http://schemas.openxmlformats.org/officeDocument/2006/relationships/worksheet" Target="/xl/worksheets/sheet35.xml" Id="R60aee801557c4bd3" /><Relationship Type="http://schemas.openxmlformats.org/officeDocument/2006/relationships/worksheet" Target="/xl/worksheets/sheet36.xml" Id="R8a0a12a4df154761" /><Relationship Type="http://schemas.openxmlformats.org/officeDocument/2006/relationships/worksheet" Target="/xl/worksheets/sheet37.xml" Id="Rcaf1b5607e964bbc" /><Relationship Type="http://schemas.openxmlformats.org/officeDocument/2006/relationships/worksheet" Target="/xl/worksheets/sheet38.xml" Id="R51e18e9d5d2f4d88" /><Relationship Type="http://schemas.openxmlformats.org/officeDocument/2006/relationships/worksheet" Target="/xl/worksheets/sheet39.xml" Id="R0e5e325aa64747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d83a2d4ea6ea427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Simulated progression • owned capacity, actual spending and visits</a:t>
            </a:r>
          </a:p>
        </c:rich>
      </c:tx>
    </c:title>
    <c:plotArea>
      <c:lineChart>
        <c:grouping val="standard"/>
        <c:ser>
          <c:idx val="0"/>
          <c:order val="0"/>
          <c:tx>
            <c:v>Casual F2P</c:v>
          </c:tx>
          <c:marker>
            <c:symbol val="none"/>
          </c:marker>
          <c:cat>
            <c:strRef>
              <c:f>'Dashboard'!$J$5:$J$124</c:f>
              <c:strCache>
                <c:ptCount val="0"/>
              </c:strCache>
            </c:strRef>
          </c:cat>
          <c:val>
            <c:numRef>
              <c:f>'Dashboard'!$K$5:$K$124</c:f>
              <c:numCache>
                <c:formatCode>0</c:formatCode>
                <c:ptCount val="0"/>
              </c:numCache>
            </c:numRef>
          </c:val>
        </c:ser>
        <c:ser>
          <c:idx val="1"/>
          <c:order val="1"/>
          <c:tx>
            <c:v>Core F2P</c:v>
          </c:tx>
          <c:marker>
            <c:symbol val="none"/>
          </c:marker>
          <c:cat>
            <c:strRef>
              <c:f>'Dashboard'!$J$5:$J$124</c:f>
              <c:strCache>
                <c:ptCount val="0"/>
              </c:strCache>
            </c:strRef>
          </c:cat>
          <c:val>
            <c:numRef>
              <c:f>'Dashboard'!$L$5:$L$124</c:f>
              <c:numCache>
                <c:formatCode>0</c:formatCode>
                <c:ptCount val="0"/>
              </c:numCache>
            </c:numRef>
          </c:val>
        </c:ser>
        <c:ser>
          <c:idx val="2"/>
          <c:order val="2"/>
          <c:tx>
            <c:v>Optimizer stress</c:v>
          </c:tx>
          <c:marker>
            <c:symbol val="none"/>
          </c:marker>
          <c:cat>
            <c:strRef>
              <c:f>'Dashboard'!$J$5:$J$124</c:f>
              <c:strCache>
                <c:ptCount val="0"/>
              </c:strCache>
            </c:strRef>
          </c:cat>
          <c:val>
            <c:numRef>
              <c:f>'Dashboard'!$M$5:$M$124</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Elapsed day after tutorial</a:t>
                </a:r>
              </a:p>
            </c:rich>
          </c:tx>
        </c:title>
        <c:numFmt formatCode="General"/>
        <c:majorTickMark val="none"/>
        <c:minorTickMark val="none"/>
        <c:tickLblPos val="nextTo"/>
        <c:tickLblSkip val="15"/>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Account level</a:t>
                </a:r>
              </a:p>
            </c:rich>
          </c:tx>
        </c:title>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3a2d4ea6ea427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1" name="T_Critical_Audit" displayName="T_Critical_Audit" ref="A4:I41" headerRowCount="1" totalsRowCount="0" totalsRowShown="0">
  <x:tableColumns count="9">
    <x:tableColumn id="1" name="ID"/>
    <x:tableColumn id="2" name="Priority"/>
    <x:tableColumn id="3" name="Source sheet / area"/>
    <x:tableColumn id="4" name="Original issue"/>
    <x:tableColumn id="5" name="Why it matters"/>
    <x:tableColumn id="6" name="Replacement decision"/>
    <x:tableColumn id="7" name="Acceptance criterion"/>
    <x:tableColumn id="8" name="Evidence type"/>
    <x:tableColumn id="9" name="Disposition"/>
  </x:tableColumns>
  <x:tableStyleInfo name="TableStyleMedium2" showFirstColumn="0" showLastColumn="0" showRowStripes="1" showColumnStripes="0"/>
</x:table>
</file>

<file path=xl/tables/table2.xml><?xml version="1.0" encoding="utf-8"?>
<x:table xmlns:x="http://schemas.openxmlformats.org/spreadsheetml/2006/main" id="12" name="T_Core_Loop" displayName="T_Core_Loop" ref="A4:G16" headerRowCount="1" totalsRowCount="0" totalsRowShown="0">
  <x:tableColumns count="7">
    <x:tableColumn id="1" name="Step"/>
    <x:tableColumn id="2" name="Moment"/>
    <x:tableColumn id="3" name="Player action / choice"/>
    <x:tableColumn id="4" name="Rule / reward"/>
    <x:tableColumn id="5" name="Intended feeling"/>
    <x:tableColumn id="6" name="Reason to return"/>
    <x:tableColumn id="7" name="Telemetry"/>
  </x:tableColumns>
  <x:tableStyleInfo name="TableStyleMedium2" showFirstColumn="0" showLastColumn="0" showRowStripes="1" showColumnStripes="0"/>
</x:table>
</file>

<file path=xl/tables/table3.xml><?xml version="1.0" encoding="utf-8"?>
<x:table xmlns:x="http://schemas.openxmlformats.org/spreadsheetml/2006/main" id="13" name="T_Rules" displayName="T_Rules" ref="A4:F32" headerRowCount="1" totalsRowCount="0" totalsRowShown="0">
  <x:tableColumns count="6">
    <x:tableColumn id="1" name="Rule"/>
    <x:tableColumn id="2" name="System"/>
    <x:tableColumn id="3" name="Decision"/>
    <x:tableColumn id="4" name="Canonical behavior"/>
    <x:tableColumn id="5" name="Source of truth"/>
    <x:tableColumn id="6" name="Required edge-case check"/>
  </x:tableColumns>
  <x:tableStyleInfo name="TableStyleMedium2" showFirstColumn="0" showLastColumn="0" showRowStripes="1" showColumnStripes="0"/>
</x:table>
</file>

<file path=xl/tables/table4.xml><?xml version="1.0" encoding="utf-8"?>
<x:table xmlns:x="http://schemas.openxmlformats.org/spreadsheetml/2006/main" id="1" name="T_Inputs" displayName="T_Inputs" ref="A4:F64" headerRowCount="1" totalsRowCount="0" totalsRowShown="0">
  <x:tableColumns count="6">
    <x:tableColumn id="1" name="Key"/>
    <x:tableColumn id="2" name="Value"/>
    <x:tableColumn id="3" name="Unit"/>
    <x:tableColumn id="4" name="Definition / boundary"/>
    <x:tableColumn id="5" name="Evidence status"/>
    <x:tableColumn id="6" name="Checksum weight"/>
  </x:tableColumns>
  <x:tableStyleInfo name="TableStyleMedium2" showFirstColumn="0" showLastColumn="0" showRowStripes="1" showColumnStripes="0"/>
</x:table>
</file>

<file path=xl/tables/table5.xml><?xml version="1.0" encoding="utf-8"?>
<x:table xmlns:x="http://schemas.openxmlformats.org/spreadsheetml/2006/main" id="2" name="T_Schedules" displayName="T_Schedules" ref="A4:G9" headerRowCount="1" totalsRowCount="0" totalsRowShown="0">
  <x:tableColumns count="7">
    <x:tableColumn id="1" name="Schedule ID"/>
    <x:tableColumn id="2" name="Purpose"/>
    <x:tableColumn id="3" name="Adult hours"/>
    <x:tableColumn id="4" name="Coin rate factor"/>
    <x:tableColumn id="5" name="XP rate factor"/>
    <x:tableColumn id="6" name="Shop timer"/>
    <x:tableColumn id="7" name="Player promise"/>
  </x:tableColumns>
  <x:tableStyleInfo name="TableStyleMedium2" showFirstColumn="0" showLastColumn="0" showRowStripes="1" showColumnStripes="0"/>
</x:table>
</file>

<file path=xl/tables/table6.xml><?xml version="1.0" encoding="utf-8"?>
<x:table xmlns:x="http://schemas.openxmlformats.org/spreadsheetml/2006/main" id="4" name="T_Coin_Fish" displayName="T_Coin_Fish" ref="A4:AB76" headerRowCount="1" totalsRowCount="0" totalsRowShown="0">
  <x:tableColumns count="28">
    <x:tableColumn id="1" name="ID"/>
    <x:tableColumn id="2" name="Species"/>
    <x:tableColumn id="3" name="Rarity"/>
    <x:tableColumn id="4" name="Unlock level"/>
    <x:tableColumn id="5" name="Release gate"/>
    <x:tableColumn id="6" name="Schedule ID"/>
    <x:tableColumn id="7" name="Role"/>
    <x:tableColumn id="8" name="Coin weight"/>
    <x:tableColumn id="9" name="XP weight"/>
    <x:tableColumn id="10" name="Adult hours"/>
    <x:tableColumn id="11" name="Net profit"/>
    <x:tableColumn id="12" name="Egg price"/>
    <x:tableColumn id="13" name="Adult settlement"/>
    <x:tableColumn id="14" name="Adult XP"/>
    <x:tableColumn id="15" name="Junior settlement"/>
    <x:tableColumn id="16" name="Junior XP"/>
    <x:tableColumn id="17" name="Young settlement"/>
    <x:tableColumn id="18" name="Young XP"/>
    <x:tableColumn id="19" name="Mature settlement"/>
    <x:tableColumn id="20" name="Mature XP"/>
    <x:tableColumn id="21" name="Buy XP"/>
    <x:tableColumn id="22" name="Normalized coin rate"/>
    <x:tableColumn id="23" name="Normalized XP rate"/>
    <x:tableColumn id="24" name="Original coin price"/>
    <x:tableColumn id="25" name="Original adult hours"/>
    <x:tableColumn id="26" name="Original source"/>
    <x:tableColumn id="27" name="Player purpose"/>
    <x:tableColumn id="28" name="Formula check"/>
  </x:tableColumns>
  <x:tableStyleInfo name="TableStyleMedium2" showFirstColumn="0" showLastColumn="0" showRowStripes="1" showColumnStripes="0"/>
</x:table>
</file>

<file path=xl/tables/table7.xml><?xml version="1.0" encoding="utf-8"?>
<x:table xmlns:x="http://schemas.openxmlformats.org/spreadsheetml/2006/main" id="5" name="T_Fish_Collectibles" displayName="T_Fish_Collectibles" ref="A4:R31" headerRowCount="1" totalsRowCount="0" totalsRowShown="0">
  <x:tableColumns count="18">
    <x:tableColumn id="1" name="ID"/>
    <x:tableColumn id="2" name="Companion"/>
    <x:tableColumn id="3" name="Edition"/>
    <x:tableColumn id="4" name="Unlock level"/>
    <x:tableColumn id="5" name="Release gate"/>
    <x:tableColumn id="6" name="Acquisition"/>
    <x:tableColumn id="7" name="Pearl price"/>
    <x:tableColumn id="8" name="Event"/>
    <x:tableColumn id="9" name="Ownership"/>
    <x:tableColumn id="10" name="Buy XP"/>
    <x:tableColumn id="11" name="Sell Coins"/>
    <x:tableColumn id="12" name="Harvest XP"/>
    <x:tableColumn id="13" name="Production slots"/>
    <x:tableColumn id="14" name="Guaranteed route"/>
    <x:tableColumn id="15" name="Visual hook"/>
    <x:tableColumn id="16" name="Original price"/>
    <x:tableColumn id="17" name="Original adult hours"/>
    <x:tableColumn id="18" name="Original source"/>
  </x:tableColumns>
  <x:tableStyleInfo name="TableStyleMedium2" showFirstColumn="0" showLastColumn="0" showRowStripes="1" showColumnStripes="0"/>
</x:table>
</file>

<file path=xl/tables/table8.xml><?xml version="1.0" encoding="utf-8"?>
<x:table xmlns:x="http://schemas.openxmlformats.org/spreadsheetml/2006/main" id="6" name="T_XP___Unlocks" displayName="T_XP___Unlocks" ref="A4:N74" headerRowCount="1" totalsRowCount="0" totalsRowShown="0">
  <x:tableColumns count="14">
    <x:tableColumn id="1" name="Level"/>
    <x:tableColumn id="2" name="Release state"/>
    <x:tableColumn id="3" name="Reference eligible slots"/>
    <x:tableColumn id="4" name="Reference Coins/day"/>
    <x:tableColumn id="5" name="Reference XP/day"/>
    <x:tableColumn id="6" name="Target days to next"/>
    <x:tableColumn id="7" name="XP to next level"/>
    <x:tableColumn id="8" name="Cumulative entry XP"/>
    <x:tableColumn id="9" name="Level-up Coins"/>
    <x:tableColumn id="10" name="Level-up Pearls"/>
    <x:tableColumn id="11" name="Launch fish count"/>
    <x:tableColumn id="12" name="Launch decor count"/>
    <x:tableColumn id="13" name="Player-visible beat"/>
    <x:tableColumn id="14" name="Cap rule"/>
  </x:tableColumns>
  <x:tableStyleInfo name="TableStyleMedium2" showFirstColumn="0" showLastColumn="0" showRowStripes="1" showColumnStripes="0"/>
</x:table>
</file>

<file path=xl/tables/table9.xml><?xml version="1.0" encoding="utf-8"?>
<x:table xmlns:x="http://schemas.openxmlformats.org/spreadsheetml/2006/main" id="3" name="T_Tanks" displayName="T_Tanks" ref="A4:M19" headerRowCount="1" totalsRowCount="0" totalsRowShown="0">
  <x:tableColumns count="13">
    <x:tableColumn id="1" name="Transaction ID"/>
    <x:tableColumn id="2" name="Tank"/>
    <x:tableColumn id="3" name="Unlock level"/>
    <x:tableColumn id="4" name="Added slots"/>
    <x:tableColumn id="5" name="Coin cost"/>
    <x:tableColumn id="6" name="Pearl alternative"/>
    <x:tableColumn id="7" name="Prerequisite ID"/>
    <x:tableColumn id="8" name="Action"/>
    <x:tableColumn id="9" name="Resulting tank slots"/>
    <x:tableColumn id="10" name="Eligible global slots"/>
    <x:tableColumn id="11" name="Reference coins/day"/>
    <x:tableColumn id="12" name="Price / reference day"/>
    <x:tableColumn id="13" name="Purchase rule"/>
  </x:tableColumns>
  <x:tableStyleInfo name="TableStyleMedium2" showFirstColumn="0" showLastColumn="0" showRowStripes="1" showColumnStripes="0"/>
</x:table>
</file>

<file path=xl/tables/table10.xml><?xml version="1.0" encoding="utf-8"?>
<x:table xmlns:x="http://schemas.openxmlformats.org/spreadsheetml/2006/main" id="14" name="T_Onboarding" displayName="T_Onboarding" ref="A4:M16" headerRowCount="1" totalsRowCount="0" totalsRowShown="0">
  <x:tableColumns count="13">
    <x:tableColumn id="1" name="Step"/>
    <x:tableColumn id="2" name="Approx. time"/>
    <x:tableColumn id="3" name="Action"/>
    <x:tableColumn id="4" name="Experience / copy"/>
    <x:tableColumn id="5" name="Coin delta"/>
    <x:tableColumn id="6" name="XP delta"/>
    <x:tableColumn id="7" name="Pearl delta"/>
    <x:tableColumn id="8" name="Growing delta"/>
    <x:tableColumn id="9" name="Coin balance"/>
    <x:tableColumn id="10" name="Total XP"/>
    <x:tableColumn id="11" name="Pearls"/>
    <x:tableColumn id="12" name="Growing fish"/>
    <x:tableColumn id="13" name="Implementation detail"/>
  </x:tableColumns>
  <x:tableStyleInfo name="TableStyleMedium2" showFirstColumn="0" showLastColumn="0" showRowStripes="1" showColumnStripes="0"/>
</x:table>
</file>

<file path=xl/tables/table11.xml><?xml version="1.0" encoding="utf-8"?>
<x:table xmlns:x="http://schemas.openxmlformats.org/spreadsheetml/2006/main" id="7" name="T_Quest_Rewards" displayName="T_Quest_Rewards" ref="A4:L44" headerRowCount="1" totalsRowCount="0" totalsRowShown="0">
  <x:tableColumns count="12">
    <x:tableColumn id="1" name="Level"/>
    <x:tableColumn id="2" name="Reference Coins/day"/>
    <x:tableColumn id="3" name="Reference XP/day"/>
    <x:tableColumn id="4" name="Daily XP pool"/>
    <x:tableColumn id="5" name="Daily Coin pool"/>
    <x:tableColumn id="6" name="Choice 1 XP"/>
    <x:tableColumn id="7" name="Choice 2 XP"/>
    <x:tableColumn id="8" name="Choice 3 XP"/>
    <x:tableColumn id="9" name="Weekly XP pool"/>
    <x:tableColumn id="10" name="Weekly Coins"/>
    <x:tableColumn id="11" name="Weekly Pearls"/>
    <x:tableColumn id="12" name="Grant rule"/>
  </x:tableColumns>
  <x:tableStyleInfo name="TableStyleMedium2" showFirstColumn="0" showLastColumn="0" showRowStripes="1" showColumnStripes="0"/>
</x:table>
</file>

<file path=xl/tables/table12.xml><?xml version="1.0" encoding="utf-8"?>
<x:table xmlns:x="http://schemas.openxmlformats.org/spreadsheetml/2006/main" id="19" name="T_Quests" displayName="T_Quests" ref="A4:G16" headerRowCount="1" totalsRowCount="0" totalsRowShown="0">
  <x:tableColumns count="7">
    <x:tableColumn id="1" name="ID"/>
    <x:tableColumn id="2" name="Type"/>
    <x:tableColumn id="3" name="Goal"/>
    <x:tableColumn id="4" name="Eligibility / implementation"/>
    <x:tableColumn id="5" name="Completion rule"/>
    <x:tableColumn id="6" name="Reward authority"/>
    <x:tableColumn id="7" name="Guardrail"/>
  </x:tableColumns>
  <x:tableStyleInfo name="TableStyleMedium2" showFirstColumn="0" showLastColumn="0" showRowStripes="1" showColumnStripes="0"/>
</x:table>
</file>

<file path=xl/tables/table13.xml><?xml version="1.0" encoding="utf-8"?>
<x:table xmlns:x="http://schemas.openxmlformats.org/spreadsheetml/2006/main" id="20" name="T_Mastery" displayName="T_Mastery" ref="A4:G19" headerRowCount="1" totalsRowCount="0" totalsRowShown="0">
  <x:tableColumns count="7">
    <x:tableColumn id="1" name="ID"/>
    <x:tableColumn id="2" name="Scope"/>
    <x:tableColumn id="3" name="Eligible species / population"/>
    <x:tableColumn id="4" name="Requirement"/>
    <x:tableColumn id="5" name="Reward"/>
    <x:tableColumn id="6" name="Pearls (once)"/>
    <x:tableColumn id="7" name="Implementation / fairness"/>
  </x:tableColumns>
  <x:tableStyleInfo name="TableStyleMedium2" showFirstColumn="0" showLastColumn="0" showRowStripes="1" showColumnStripes="0"/>
</x:table>
</file>

<file path=xl/tables/table14.xml><?xml version="1.0" encoding="utf-8"?>
<x:table xmlns:x="http://schemas.openxmlformats.org/spreadsheetml/2006/main" id="21" name="T_Social" displayName="T_Social" ref="A4:F14" headerRowCount="1" totalsRowCount="0" totalsRowShown="0">
  <x:tableColumns count="6">
    <x:tableColumn id="1" name="ID"/>
    <x:tableColumn id="2" name="System"/>
    <x:tableColumn id="3" name="Design"/>
    <x:tableColumn id="4" name="Behavior"/>
    <x:tableColumn id="5" name="Limit / economy"/>
    <x:tableColumn id="6" name="Guardrail"/>
  </x:tableColumns>
  <x:tableStyleInfo name="TableStyleMedium2" showFirstColumn="0" showLastColumn="0" showRowStripes="1" showColumnStripes="0"/>
</x:table>
</file>

<file path=xl/tables/table15.xml><?xml version="1.0" encoding="utf-8"?>
<x:table xmlns:x="http://schemas.openxmlformats.org/spreadsheetml/2006/main" id="22" name="T_Events" displayName="T_Events" ref="A4:P16" headerRowCount="1" totalsRowCount="0" totalsRowShown="0">
  <x:tableColumns count="16">
    <x:tableColumn id="1" name="ID"/>
    <x:tableColumn id="2" name="Theme"/>
    <x:tableColumn id="3" name="Proposed cadence"/>
    <x:tableColumn id="4" name="Coin decor ID"/>
    <x:tableColumn id="5" name="Pearl decor ID"/>
    <x:tableColumn id="6" name="Main free reward"/>
    <x:tableColumn id="7" name="Extended reward"/>
    <x:tableColumn id="8" name="Points opportunity/day"/>
    <x:tableColumn id="9" name="Catch-up cap/day"/>
    <x:tableColumn id="10" name="Main threshold"/>
    <x:tableColumn id="11" name="Extended threshold"/>
    <x:tableColumn id="12" name="Pearls/main claim"/>
    <x:tableColumn id="13" name="Points contract"/>
    <x:tableColumn id="14" name="Reward contract"/>
    <x:tableColumn id="15" name="Shop separation"/>
    <x:tableColumn id="16" name="Calendar / production gate"/>
  </x:tableColumns>
  <x:tableStyleInfo name="TableStyleMedium2" showFirstColumn="0" showLastColumn="0" showRowStripes="1" showColumnStripes="0"/>
</x:table>
</file>

<file path=xl/tables/table16.xml><?xml version="1.0" encoding="utf-8"?>
<x:table xmlns:x="http://schemas.openxmlformats.org/spreadsheetml/2006/main" id="23" name="T_Shop" displayName="T_Shop" ref="A4:L14" headerRowCount="1" totalsRowCount="0" totalsRowShown="0">
  <x:tableColumns count="12">
    <x:tableColumn id="1" name="SKU"/>
    <x:tableColumn id="2" name="Type"/>
    <x:tableColumn id="3" name="Offer"/>
    <x:tableColumn id="4" name="Proposed USD"/>
    <x:tableColumn id="5" name="Pearls"/>
    <x:tableColumn id="6" name="Reference coin-days"/>
    <x:tableColumn id="7" name="Pearls per USD"/>
    <x:tableColumn id="8" name="Eligibility"/>
    <x:tableColumn id="9" name="Purchase cap"/>
    <x:tableColumn id="10" name="Permanent frame"/>
    <x:tableColumn id="11" name="Value / fairness"/>
    <x:tableColumn id="12" name="Fulfillment"/>
  </x:tableColumns>
  <x:tableStyleInfo name="TableStyleMedium2" showFirstColumn="0" showLastColumn="0" showRowStripes="1" showColumnStripes="0"/>
</x:table>
</file>

<file path=xl/tables/table17.xml><?xml version="1.0" encoding="utf-8"?>
<x:table xmlns:x="http://schemas.openxmlformats.org/spreadsheetml/2006/main" id="24" name="T_Pearl_Budget" displayName="T_Pearl_Budget" ref="A4:J36" headerRowCount="1" totalsRowCount="0" totalsRowShown="0">
  <x:tableColumns count="10">
    <x:tableColumn id="1" name="Actor"/>
    <x:tableColumn id="2" name="Day"/>
    <x:tableColumn id="3" name="All grants to date"/>
    <x:tableColumn id="4" name="Purchased grants"/>
    <x:tableColumn id="5" name="Earned grants"/>
    <x:tableColumn id="6" name="Spent to date"/>
    <x:tableColumn id="7" name="Recomputed balance"/>
    <x:tableColumn id="8" name="Snapshot balance"/>
    <x:tableColumn id="9" name="Residual"/>
    <x:tableColumn id="10" name="Assumption"/>
  </x:tableColumns>
  <x:tableStyleInfo name="TableStyleMedium2" showFirstColumn="0" showLastColumn="0" showRowStripes="1" showColumnStripes="0"/>
</x:table>
</file>

<file path=xl/tables/table18.xml><?xml version="1.0" encoding="utf-8"?>
<x:table xmlns:x="http://schemas.openxmlformats.org/spreadsheetml/2006/main" id="8" name="T_Decor_Catalog" displayName="T_Decor_Catalog" ref="A4:X124" headerRowCount="1" totalsRowCount="0" totalsRowShown="0">
  <x:tableColumns count="24">
    <x:tableColumn id="1" name="ID"/>
    <x:tableColumn id="2" name="Item"/>
    <x:tableColumn id="3" name="Category"/>
    <x:tableColumn id="4" name="Collection / theme"/>
    <x:tableColumn id="5" name="Edition"/>
    <x:tableColumn id="6" name="Rarity"/>
    <x:tableColumn id="7" name="Unlock level"/>
    <x:tableColumn id="8" name="Currency"/>
    <x:tableColumn id="9" name="Price override (0=auto)"/>
    <x:tableColumn id="10" name="Coin price / ref day"/>
    <x:tableColumn id="11" name="Pearl price input"/>
    <x:tableColumn id="12" name="Final price"/>
    <x:tableColumn id="13" name="Purchase XP"/>
    <x:tableColumn id="14" name="Decor Score"/>
    <x:tableColumn id="15" name="Width U"/>
    <x:tableColumn id="16" name="Height U"/>
    <x:tableColumn id="17" name="Size"/>
    <x:tableColumn id="18" name="Layer"/>
    <x:tableColumn id="19" name="Event"/>
    <x:tableColumn id="20" name="Release gate"/>
    <x:tableColumn id="21" name="Original price"/>
    <x:tableColumn id="22" name="Subcategory"/>
    <x:tableColumn id="23" name="Formula check"/>
    <x:tableColumn id="24" name="Original source"/>
  </x:tableColumns>
  <x:tableStyleInfo name="TableStyleMedium2" showFirstColumn="0" showLastColumn="0" showRowStripes="1" showColumnStripes="0"/>
</x:table>
</file>

<file path=xl/tables/table19.xml><?xml version="1.0" encoding="utf-8"?>
<x:table xmlns:x="http://schemas.openxmlformats.org/spreadsheetml/2006/main" id="9" name="T_Decor_Art_Briefs" displayName="T_Decor_Art_Briefs" ref="A4:L124" headerRowCount="1" totalsRowCount="0" totalsRowShown="0">
  <x:tableColumns count="12">
    <x:tableColumn id="1" name="ID"/>
    <x:tableColumn id="2" name="Item"/>
    <x:tableColumn id="3" name="Shape &amp; silhouette"/>
    <x:tableColumn id="4" name="Palette"/>
    <x:tableColumn id="5" name="Materials &amp; finish"/>
    <x:tableColumn id="6" name="Size / footprint"/>
    <x:tableColumn id="7" name="Placement &amp; layering"/>
    <x:tableColumn id="8" name="Animation brief"/>
    <x:tableColumn id="9" name="Motion class"/>
    <x:tableColumn id="10" name="Reduced-motion still"/>
    <x:tableColumn id="11" name="Mobile read / distinctive hook"/>
    <x:tableColumn id="12" name="Asset construction"/>
  </x:tableColumns>
  <x:tableStyleInfo name="TableStyleMedium2" showFirstColumn="0" showLastColumn="0" showRowStripes="1" showColumnStripes="0"/>
</x:table>
</file>

<file path=xl/tables/table20.xml><?xml version="1.0" encoding="utf-8"?>
<x:table xmlns:x="http://schemas.openxmlformats.org/spreadsheetml/2006/main" id="25" name="T_Decor_Rules" displayName="T_Decor_Rules" ref="A4:E18" headerRowCount="1" totalsRowCount="0" totalsRowShown="0">
  <x:tableColumns count="5">
    <x:tableColumn id="1" name="Rule"/>
    <x:tableColumn id="2" name="Area"/>
    <x:tableColumn id="3" name="Canonical behavior"/>
    <x:tableColumn id="4" name="Economy / trust guardrail"/>
    <x:tableColumn id="5" name="Acceptance check"/>
  </x:tableColumns>
  <x:tableStyleInfo name="TableStyleMedium2" showFirstColumn="0" showLastColumn="0" showRowStripes="1" showColumnStripes="0"/>
</x:table>
</file>

<file path=xl/tables/table21.xml><?xml version="1.0" encoding="utf-8"?>
<x:table xmlns:x="http://schemas.openxmlformats.org/spreadsheetml/2006/main" id="26" name="T_Retention_Journey" displayName="T_Retention_Journey" ref="A4:H16" headerRowCount="1" totalsRowCount="0" totalsRowShown="0">
  <x:tableColumns count="8">
    <x:tableColumn id="1" name="When"/>
    <x:tableColumn id="2" name="Player need"/>
    <x:tableColumn id="3" name="Desired motivation"/>
    <x:tableColumn id="4" name="Concrete mechanic"/>
    <x:tableColumn id="5" name="Meaningful milestone"/>
    <x:tableColumn id="6" name="Pressure guardrail"/>
    <x:tableColumn id="7" name="What to measure"/>
    <x:tableColumn id="8" name="Qualitative test"/>
  </x:tableColumns>
  <x:tableStyleInfo name="TableStyleMedium2" showFirstColumn="0" showLastColumn="0" showRowStripes="1" showColumnStripes="0"/>
</x:table>
</file>

<file path=xl/tables/table22.xml><?xml version="1.0" encoding="utf-8"?>
<x:table xmlns:x="http://schemas.openxmlformats.org/spreadsheetml/2006/main" id="27" name="T_UX___Accessibility" displayName="T_UX___Accessibility" ref="A4:E22" headerRowCount="1" totalsRowCount="0" totalsRowShown="0">
  <x:tableColumns count="5">
    <x:tableColumn id="1" name="ID"/>
    <x:tableColumn id="2" name="Area"/>
    <x:tableColumn id="3" name="Goal"/>
    <x:tableColumn id="4" name="Implementation behavior"/>
    <x:tableColumn id="5" name="Acceptance / guardrail"/>
  </x:tableColumns>
  <x:tableStyleInfo name="TableStyleMedium2" showFirstColumn="0" showLastColumn="0" showRowStripes="1" showColumnStripes="0"/>
</x:table>
</file>

<file path=xl/tables/table23.xml><?xml version="1.0" encoding="utf-8"?>
<x:table xmlns:x="http://schemas.openxmlformats.org/spreadsheetml/2006/main" id="29" name="T_Model_Contract" displayName="T_Model_Contract" ref="A4:E24" headerRowCount="1" totalsRowCount="0" totalsRowShown="0">
  <x:tableColumns count="5">
    <x:tableColumn id="1" name="ID"/>
    <x:tableColumn id="2" name="Area"/>
    <x:tableColumn id="3" name="Definition / assumption"/>
    <x:tableColumn id="4" name="How to use it"/>
    <x:tableColumn id="5" name="Limitation / guardrail"/>
  </x:tableColumns>
  <x:tableStyleInfo name="TableStyleMedium2" showFirstColumn="0" showLastColumn="0" showRowStripes="1" showColumnStripes="0"/>
</x:table>
</file>

<file path=xl/tables/table24.xml><?xml version="1.0" encoding="utf-8"?>
<x:table xmlns:x="http://schemas.openxmlformats.org/spreadsheetml/2006/main" id="18" name="T_Economy_Model" displayName="T_Economy_Model" ref="A4:M94" headerRowCount="1" totalsRowCount="0" totalsRowShown="0">
  <x:tableColumns count="13">
    <x:tableColumn id="1" name="Level"/>
    <x:tableColumn id="2" name="Visits/day"/>
    <x:tableColumn id="3" name="Schedule"/>
    <x:tableColumn id="4" name="Adult hours"/>
    <x:tableColumn id="5" name="Coin factor"/>
    <x:tableColumn id="6" name="XP factor"/>
    <x:tableColumn id="7" name="Profit/cycle"/>
    <x:tableColumn id="8" name="Egg price"/>
    <x:tableColumn id="9" name="XP/cycle"/>
    <x:tableColumn id="10" name="Actual claim interval h"/>
    <x:tableColumn id="11" name="Realized coins/day"/>
    <x:tableColumn id="12" name="Realized XP/day"/>
    <x:tableColumn id="13" name="Scope"/>
  </x:tableColumns>
  <x:tableStyleInfo name="TableStyleMedium2" showFirstColumn="0" showLastColumn="0" showRowStripes="1" showColumnStripes="0"/>
</x:table>
</file>

<file path=xl/tables/table25.xml><?xml version="1.0" encoding="utf-8"?>
<x:table xmlns:x="http://schemas.openxmlformats.org/spreadsheetml/2006/main" id="15" name="T_Simulation_Profiles" displayName="T_Simulation_Profiles" ref="A4:L12" headerRowCount="1" totalsRowCount="0" totalsRowShown="0">
  <x:tableColumns count="12">
    <x:tableColumn id="1" name="Actor"/>
    <x:tableColumn id="2" name="Visits/day"/>
    <x:tableColumn id="3" name="Daily pool completion"/>
    <x:tableColumn id="4" name="Decor profit budget"/>
    <x:tableColumn id="5" name="Decor interval days"/>
    <x:tableColumn id="6" name="New-species preference"/>
    <x:tableColumn id="7" name="Project profit budget"/>
    <x:tableColumn id="8" name="Ads/day"/>
    <x:tableColumn id="9" name="Purchases"/>
    <x:tableColumn id="10" name="Missed days"/>
    <x:tableColumn id="11" name="Timing / limitation"/>
    <x:tableColumn id="12" name="Interpretation"/>
  </x:tableColumns>
  <x:tableStyleInfo name="TableStyleMedium2" showFirstColumn="0" showLastColumn="0" showRowStripes="1" showColumnStripes="0"/>
</x:table>
</file>

<file path=xl/tables/table26.xml><?xml version="1.0" encoding="utf-8"?>
<x:table xmlns:x="http://schemas.openxmlformats.org/spreadsheetml/2006/main" id="17" name="T_Simulation_Summary" displayName="T_Simulation_Summary" ref="A4:S12" headerRowCount="1" totalsRowCount="0" totalsRowShown="0">
  <x:tableColumns count="19">
    <x:tableColumn id="1" name="Actor"/>
    <x:tableColumn id="2" name="Day-7 level"/>
    <x:tableColumn id="3" name="Day-30 level"/>
    <x:tableColumn id="4" name="Days to L10"/>
    <x:tableColumn id="5" name="Days to L20"/>
    <x:tableColumn id="6" name="Days to L30"/>
    <x:tableColumn id="7" name="Days to L40"/>
    <x:tableColumn id="8" name="Day-30 coins"/>
    <x:tableColumn id="9" name="Day-90 coins"/>
    <x:tableColumn id="10" name="Day-120 coins"/>
    <x:tableColumn id="11" name="Final slots"/>
    <x:tableColumn id="12" name="Projects complete"/>
    <x:tableColumn id="13" name="Min day-end coins"/>
    <x:tableColumn id="14" name="Blocked slots"/>
    <x:tableColumn id="15" name="USD spent total"/>
    <x:tableColumn id="16" name="End cash / ref coin-day"/>
    <x:tableColumn id="17" name="Unique species"/>
    <x:tableColumn id="18" name="Decor owned"/>
    <x:tableColumn id="19" name="Readout"/>
  </x:tableColumns>
  <x:tableStyleInfo name="TableStyleMedium2" showFirstColumn="0" showLastColumn="0" showRowStripes="1" showColumnStripes="0"/>
</x:table>
</file>

<file path=xl/tables/table27.xml><?xml version="1.0" encoding="utf-8"?>
<x:table xmlns:x="http://schemas.openxmlformats.org/spreadsheetml/2006/main" id="16" name="T_Daily_Ledger" displayName="T_Daily_Ledger" ref="A4:AE964" headerRowCount="1" totalsRowCount="0" totalsRowShown="0">
  <x:tableColumns count="31">
    <x:tableColumn id="1" name="Actor"/>
    <x:tableColumn id="2" name="Day"/>
    <x:tableColumn id="3" name="Level"/>
    <x:tableColumn id="4" name="Account XP"/>
    <x:tableColumn id="5" name="Owned slots"/>
    <x:tableColumn id="6" name="Opening coins"/>
    <x:tableColumn id="7" name="Harvest settlement"/>
    <x:tableColumn id="8" name="Egg principal spent"/>
    <x:tableColumn id="9" name="Quest coins"/>
    <x:tableColumn id="10" name="Level coins"/>
    <x:tableColumn id="11" name="Paid coins"/>
    <x:tableColumn id="12" name="Ad coins"/>
    <x:tableColumn id="13" name="Tank coins"/>
    <x:tableColumn id="14" name="Decor coins"/>
    <x:tableColumn id="15" name="Project coins"/>
    <x:tableColumn id="16" name="Recomputed closing"/>
    <x:tableColumn id="17" name="Simulation closing"/>
    <x:tableColumn id="18" name="Cash residual"/>
    <x:tableColumn id="19" name="Fish net profit"/>
    <x:tableColumn id="20" name="Account XP delta"/>
    <x:tableColumn id="21" name="Pearl balance"/>
    <x:tableColumn id="22" name="Pearls in"/>
    <x:tableColumn id="23" name="Pearls out"/>
    <x:tableColumn id="24" name="Cumulative USD"/>
    <x:tableColumn id="25" name="Adults settled"/>
    <x:tableColumn id="26" name="Unique species"/>
    <x:tableColumn id="27" name="Decor owned"/>
    <x:tableColumn id="28" name="Projects complete"/>
    <x:tableColumn id="29" name="Inventory principal"/>
    <x:tableColumn id="30" name="Blocked slots"/>
    <x:tableColumn id="31" name="Opening residual"/>
  </x:tableColumns>
  <x:tableStyleInfo name="TableStyleMedium2" showFirstColumn="0" showLastColumn="0" showRowStripes="1" showColumnStripes="0"/>
</x:table>
</file>

<file path=xl/tables/table28.xml><?xml version="1.0" encoding="utf-8"?>
<x:table xmlns:x="http://schemas.openxmlformats.org/spreadsheetml/2006/main" id="37" name="T_Balance_Tests" displayName="T_Balance_Tests" ref="A4:H39" headerRowCount="1" totalsRowCount="0" totalsRowShown="0">
  <x:tableColumns count="8">
    <x:tableColumn id="1" name="ID"/>
    <x:tableColumn id="2" name="Check class"/>
    <x:tableColumn id="3" name="Test"/>
    <x:tableColumn id="4" name="Observed / formula"/>
    <x:tableColumn id="5" name="Criterion"/>
    <x:tableColumn id="6" name="Status"/>
    <x:tableColumn id="7" name="Scope / limitation"/>
    <x:tableColumn id="8" name="Next required action"/>
  </x:tableColumns>
  <x:tableStyleInfo name="TableStyleMedium2" showFirstColumn="0" showLastColumn="0" showRowStripes="1" showColumnStripes="0"/>
</x:table>
</file>

<file path=xl/tables/table29.xml><?xml version="1.0" encoding="utf-8"?>
<x:table xmlns:x="http://schemas.openxmlformats.org/spreadsheetml/2006/main" id="31" name="T_Telemetry" displayName="T_Telemetry" ref="A4:F26" headerRowCount="1" totalsRowCount="0" totalsRowShown="0">
  <x:tableColumns count="6">
    <x:tableColumn id="1" name="Kind"/>
    <x:tableColumn id="2" name="Metric / event"/>
    <x:tableColumn id="3" name="Exact definition / payload"/>
    <x:tableColumn id="4" name="Cadence / source / segments"/>
    <x:tableColumn id="5" name="Target / state"/>
    <x:tableColumn id="6" name="Caveat / guardrail"/>
  </x:tableColumns>
  <x:tableStyleInfo name="TableStyleMedium2" showFirstColumn="0" showLastColumn="0" showRowStripes="1" showColumnStripes="0"/>
</x:table>
</file>

<file path=xl/tables/table30.xml><?xml version="1.0" encoding="utf-8"?>
<x:table xmlns:x="http://schemas.openxmlformats.org/spreadsheetml/2006/main" id="32" name="T_Experiments" displayName="T_Experiments" ref="A4:H14" headerRowCount="1" totalsRowCount="0" totalsRowShown="0">
  <x:tableColumns count="8">
    <x:tableColumn id="1" name="ID"/>
    <x:tableColumn id="2" name="Decision"/>
    <x:tableColumn id="3" name="Hypothesis"/>
    <x:tableColumn id="4" name="Population / design"/>
    <x:tableColumn id="5" name="Primary metric"/>
    <x:tableColumn id="6" name="Guardrails"/>
    <x:tableColumn id="7" name="Duration / analysis discipline"/>
    <x:tableColumn id="8" name="Decision rule / limit"/>
  </x:tableColumns>
  <x:tableStyleInfo name="TableStyleMedium2" showFirstColumn="0" showLastColumn="0" showRowStripes="1" showColumnStripes="0"/>
</x:table>
</file>

<file path=xl/tables/table31.xml><?xml version="1.0" encoding="utf-8"?>
<x:table xmlns:x="http://schemas.openxmlformats.org/spreadsheetml/2006/main" id="34" name="T_Release_Plan" displayName="T_Release_Plan" ref="A4:G15" headerRowCount="1" totalsRowCount="0" totalsRowShown="0">
  <x:tableColumns count="7">
    <x:tableColumn id="1" name="Gate"/>
    <x:tableColumn id="2" name="Priority / phase"/>
    <x:tableColumn id="3" name="Decision"/>
    <x:tableColumn id="4" name="Owner role"/>
    <x:tableColumn id="5" name="Scope"/>
    <x:tableColumn id="6" name="Exit criterion"/>
    <x:tableColumn id="7" name="Do not assume"/>
  </x:tableColumns>
  <x:tableStyleInfo name="TableStyleMedium2" showFirstColumn="0" showLastColumn="0" showRowStripes="1" showColumnStripes="0"/>
</x:table>
</file>

<file path=xl/tables/table32.xml><?xml version="1.0" encoding="utf-8"?>
<x:table xmlns:x="http://schemas.openxmlformats.org/spreadsheetml/2006/main" id="35" name="T_Migration" displayName="T_Migration" ref="A4:F16" headerRowCount="1" totalsRowCount="0" totalsRowShown="0">
  <x:tableColumns count="6">
    <x:tableColumn id="1" name="ID"/>
    <x:tableColumn id="2" name="Area"/>
    <x:tableColumn id="3" name="Affected population"/>
    <x:tableColumn id="4" name="Conversion rule"/>
    <x:tableColumn id="5" name="Verification / recovery"/>
    <x:tableColumn id="6" name="Risk / guardrail"/>
  </x:tableColumns>
  <x:tableStyleInfo name="TableStyleMedium2" showFirstColumn="0" showLastColumn="0" showRowStripes="1" showColumnStripes="0"/>
</x:table>
</file>

<file path=xl/tables/table33.xml><?xml version="1.0" encoding="utf-8"?>
<x:table xmlns:x="http://schemas.openxmlformats.org/spreadsheetml/2006/main" id="33" name="T_Source_Coverage" displayName="T_Source_Coverage" ref="A4:H27" headerRowCount="1" totalsRowCount="0" totalsRowShown="0">
  <x:tableColumns count="8">
    <x:tableColumn id="1" name="Source sheet"/>
    <x:tableColumn id="2" name="Last used row"/>
    <x:tableColumn id="3" name="Formula count"/>
    <x:tableColumn id="4" name="Extracted cells"/>
    <x:tableColumn id="5" name="New location / authority"/>
    <x:tableColumn id="6" name="Disposition"/>
    <x:tableColumn id="7" name="Preservation / change"/>
    <x:tableColumn id="8" name="Audit trail"/>
  </x:tableColumns>
  <x:tableStyleInfo name="TableStyleMedium2" showFirstColumn="0" showLastColumn="0" showRowStripes="1" showColumnStripes="0"/>
</x:table>
</file>

<file path=xl/tables/table34.xml><?xml version="1.0" encoding="utf-8"?>
<x:table xmlns:x="http://schemas.openxmlformats.org/spreadsheetml/2006/main" id="36" name="T_Sources" displayName="T_Sources" ref="A4:H13" headerRowCount="1" totalsRowCount="0" totalsRowShown="0">
  <x:tableColumns count="8">
    <x:tableColumn id="1" name="ID"/>
    <x:tableColumn id="2" name="Evidence class"/>
    <x:tableColumn id="3" name="Source"/>
    <x:tableColumn id="4" name="Location / URL"/>
    <x:tableColumn id="5" name="Reviewed"/>
    <x:tableColumn id="6" name="What it supports"/>
    <x:tableColumn id="7" name="What it cannot establish"/>
    <x:tableColumn id="8" name="Application / audit trail"/>
  </x:tableColumns>
  <x:tableStyleInfo name="TableStyleMedium2" showFirstColumn="0" showLastColumn="0" showRowStripes="1" showColumnStripes="0"/>
</x:table>
</file>

<file path=xl/tables/table35.xml><?xml version="1.0" encoding="utf-8"?>
<x:table xmlns:x="http://schemas.openxmlformats.org/spreadsheetml/2006/main" id="30" name="T_Data_Contracts" displayName="T_Data_Contracts" ref="A4:E26" headerRowCount="1" totalsRowCount="0" totalsRowShown="0">
  <x:tableColumns count="5">
    <x:tableColumn id="1" name="ID"/>
    <x:tableColumn id="2" name="Entity / service"/>
    <x:tableColumn id="3" name="Required fields"/>
    <x:tableColumn id="4" name="Invariant / state rule"/>
    <x:tableColumn id="5" name="Failure / recovery behavior"/>
  </x:tableColumns>
  <x:tableStyleInfo name="TableStyleMedium2" showFirstColumn="0" showLastColumn="0" showRowStripes="1" showColumnStripes="0"/>
</x:table>
</file>

<file path=xl/tables/table36.xml><?xml version="1.0" encoding="utf-8"?>
<x:table xmlns:x="http://schemas.openxmlformats.org/spreadsheetml/2006/main" id="28" name="T_Art_Production" displayName="T_Art_Production" ref="A4:F18" headerRowCount="1" totalsRowCount="0" totalsRowShown="0">
  <x:tableColumns count="6">
    <x:tableColumn id="1" name="ID"/>
    <x:tableColumn id="2" name="Workstream"/>
    <x:tableColumn id="3" name="Scope"/>
    <x:tableColumn id="4" name="Creative / technical brief"/>
    <x:tableColumn id="5" name="Acceptance condition"/>
    <x:tableColumn id="6" name="Status / risk"/>
  </x:tableColumns>
  <x:tableStyleInfo name="TableStyleMedium2" showFirstColumn="0" showLastColumn="0" showRowStripes="1" showColumnStripes="0"/>
</x:table>
</file>

<file path=xl/tables/table37.xml><?xml version="1.0" encoding="utf-8"?>
<x:table xmlns:x="http://schemas.openxmlformats.org/spreadsheetml/2006/main" id="10" name="T_Aquascape_Projects" displayName="T_Aquascape_Projects" ref="A4:L14" headerRowCount="1" totalsRowCount="0" totalsRowShown="0">
  <x:tableColumns count="12">
    <x:tableColumn id="1" name="Project ID"/>
    <x:tableColumn id="2" name="Project"/>
    <x:tableColumn id="3" name="Unlock"/>
    <x:tableColumn id="4" name="Price / reference day"/>
    <x:tableColumn id="5" name="Total coin cost"/>
    <x:tableColumn id="6" name="Milestone fractions"/>
    <x:tableColumn id="7" name="Guaranteed rewards"/>
    <x:tableColumn id="8" name="XP"/>
    <x:tableColumn id="9" name="Production bonus"/>
    <x:tableColumn id="10" name="Visual brief"/>
    <x:tableColumn id="11" name="Player rule"/>
    <x:tableColumn id="12" name="Production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50e522a1c3de4238" /></Relationships>
</file>

<file path=xl/worksheets/_rels/sheet3.xml.rels>&#65279;<?xml version="1.0" encoding="utf-8"?><Relationships xmlns="http://schemas.openxmlformats.org/package/2006/relationships"><Relationship Type="http://schemas.openxmlformats.org/officeDocument/2006/relationships/table" Target="/xl/tables/table1.xml" Id="R8c88cacb2f20442d" /></Relationships>
</file>

<file path=xl/worksheets/_rels/sheet4.xml.rels>&#65279;<?xml version="1.0" encoding="utf-8"?><Relationships xmlns="http://schemas.openxmlformats.org/package/2006/relationships"><Relationship Type="http://schemas.openxmlformats.org/officeDocument/2006/relationships/table" Target="/xl/tables/table2.xml" Id="Rf17fe35ff37e491c" /></Relationships>
</file>

<file path=xl/worksheets/_rels/sheet5.xml.rels>&#65279;<?xml version="1.0" encoding="utf-8"?><Relationships xmlns="http://schemas.openxmlformats.org/package/2006/relationships"><Relationship Type="http://schemas.openxmlformats.org/officeDocument/2006/relationships/table" Target="/xl/tables/table3.xml" Id="R5e178e71c48c4584" /></Relationships>
</file>

<file path=xl/worksheets/_rels/sheet6.xml.rels>&#65279;<?xml version="1.0" encoding="utf-8"?><Relationships xmlns="http://schemas.openxmlformats.org/package/2006/relationships"><Relationship Type="http://schemas.openxmlformats.org/officeDocument/2006/relationships/table" Target="/xl/tables/table4.xml" Id="R45d704c304d44a31" /></Relationships>
</file>

<file path=xl/worksheets/_rels/sheet7.xml.rels>&#65279;<?xml version="1.0" encoding="utf-8"?><Relationships xmlns="http://schemas.openxmlformats.org/package/2006/relationships"><Relationship Type="http://schemas.openxmlformats.org/officeDocument/2006/relationships/table" Target="/xl/tables/table5.xml" Id="Rf3c384b9e3b24b9c" /></Relationships>
</file>

<file path=xl/worksheets/_rels/sheet8.xml.rels>&#65279;<?xml version="1.0" encoding="utf-8"?><Relationships xmlns="http://schemas.openxmlformats.org/package/2006/relationships"><Relationship Type="http://schemas.openxmlformats.org/officeDocument/2006/relationships/table" Target="/xl/tables/table6.xml" Id="Rfcd01e9155d64279" /></Relationships>
</file>

<file path=xl/worksheets/_rels/sheet9.xml.rels>&#65279;<?xml version="1.0" encoding="utf-8"?><Relationships xmlns="http://schemas.openxmlformats.org/package/2006/relationships"><Relationship Type="http://schemas.openxmlformats.org/officeDocument/2006/relationships/table" Target="/xl/tables/table7.xml" Id="R4d13d427eec942e0" /></Relationships>
</file>

<file path=xl/worksheets/_rels/sheet10.xml.rels>&#65279;<?xml version="1.0" encoding="utf-8"?><Relationships xmlns="http://schemas.openxmlformats.org/package/2006/relationships"><Relationship Type="http://schemas.openxmlformats.org/officeDocument/2006/relationships/table" Target="/xl/tables/table8.xml" Id="Rde32343cbd714a66" /></Relationships>
</file>

<file path=xl/worksheets/_rels/sheet11.xml.rels>&#65279;<?xml version="1.0" encoding="utf-8"?><Relationships xmlns="http://schemas.openxmlformats.org/package/2006/relationships"><Relationship Type="http://schemas.openxmlformats.org/officeDocument/2006/relationships/table" Target="/xl/tables/table9.xml" Id="R3358da10b0ce4e87" /></Relationships>
</file>

<file path=xl/worksheets/_rels/sheet12.xml.rels>&#65279;<?xml version="1.0" encoding="utf-8"?><Relationships xmlns="http://schemas.openxmlformats.org/package/2006/relationships"><Relationship Type="http://schemas.openxmlformats.org/officeDocument/2006/relationships/table" Target="/xl/tables/table10.xml" Id="R2524c8070be048ca" /></Relationships>
</file>

<file path=xl/worksheets/_rels/sheet13.xml.rels>&#65279;<?xml version="1.0" encoding="utf-8"?><Relationships xmlns="http://schemas.openxmlformats.org/package/2006/relationships"><Relationship Type="http://schemas.openxmlformats.org/officeDocument/2006/relationships/table" Target="/xl/tables/table11.xml" Id="R35c764c7f2314019" /></Relationships>
</file>

<file path=xl/worksheets/_rels/sheet14.xml.rels>&#65279;<?xml version="1.0" encoding="utf-8"?><Relationships xmlns="http://schemas.openxmlformats.org/package/2006/relationships"><Relationship Type="http://schemas.openxmlformats.org/officeDocument/2006/relationships/table" Target="/xl/tables/table12.xml" Id="R0c160612047546d6" /></Relationships>
</file>

<file path=xl/worksheets/_rels/sheet15.xml.rels>&#65279;<?xml version="1.0" encoding="utf-8"?><Relationships xmlns="http://schemas.openxmlformats.org/package/2006/relationships"><Relationship Type="http://schemas.openxmlformats.org/officeDocument/2006/relationships/table" Target="/xl/tables/table13.xml" Id="Rf5717027c56348c6" /></Relationships>
</file>

<file path=xl/worksheets/_rels/sheet16.xml.rels>&#65279;<?xml version="1.0" encoding="utf-8"?><Relationships xmlns="http://schemas.openxmlformats.org/package/2006/relationships"><Relationship Type="http://schemas.openxmlformats.org/officeDocument/2006/relationships/table" Target="/xl/tables/table14.xml" Id="R8e21d66045f84645" /></Relationships>
</file>

<file path=xl/worksheets/_rels/sheet17.xml.rels>&#65279;<?xml version="1.0" encoding="utf-8"?><Relationships xmlns="http://schemas.openxmlformats.org/package/2006/relationships"><Relationship Type="http://schemas.openxmlformats.org/officeDocument/2006/relationships/table" Target="/xl/tables/table15.xml" Id="R0bee477ace144e63" /></Relationships>
</file>

<file path=xl/worksheets/_rels/sheet18.xml.rels>&#65279;<?xml version="1.0" encoding="utf-8"?><Relationships xmlns="http://schemas.openxmlformats.org/package/2006/relationships"><Relationship Type="http://schemas.openxmlformats.org/officeDocument/2006/relationships/table" Target="/xl/tables/table16.xml" Id="Rdcbc7d8aad3c44cc" /></Relationships>
</file>

<file path=xl/worksheets/_rels/sheet19.xml.rels>&#65279;<?xml version="1.0" encoding="utf-8"?><Relationships xmlns="http://schemas.openxmlformats.org/package/2006/relationships"><Relationship Type="http://schemas.openxmlformats.org/officeDocument/2006/relationships/table" Target="/xl/tables/table17.xml" Id="Rafc16643bc7d460d" /></Relationships>
</file>

<file path=xl/worksheets/_rels/sheet20.xml.rels>&#65279;<?xml version="1.0" encoding="utf-8"?><Relationships xmlns="http://schemas.openxmlformats.org/package/2006/relationships"><Relationship Type="http://schemas.openxmlformats.org/officeDocument/2006/relationships/table" Target="/xl/tables/table18.xml" Id="Rbd789f6517c34efd" /></Relationships>
</file>

<file path=xl/worksheets/_rels/sheet21.xml.rels>&#65279;<?xml version="1.0" encoding="utf-8"?><Relationships xmlns="http://schemas.openxmlformats.org/package/2006/relationships"><Relationship Type="http://schemas.openxmlformats.org/officeDocument/2006/relationships/table" Target="/xl/tables/table19.xml" Id="Rc9be6cde28ab44bd" /></Relationships>
</file>

<file path=xl/worksheets/_rels/sheet22.xml.rels>&#65279;<?xml version="1.0" encoding="utf-8"?><Relationships xmlns="http://schemas.openxmlformats.org/package/2006/relationships"><Relationship Type="http://schemas.openxmlformats.org/officeDocument/2006/relationships/table" Target="/xl/tables/table20.xml" Id="Re8d46ef7dfb24497" /></Relationships>
</file>

<file path=xl/worksheets/_rels/sheet23.xml.rels>&#65279;<?xml version="1.0" encoding="utf-8"?><Relationships xmlns="http://schemas.openxmlformats.org/package/2006/relationships"><Relationship Type="http://schemas.openxmlformats.org/officeDocument/2006/relationships/table" Target="/xl/tables/table21.xml" Id="Rf8aa933d76ec4c2a" /></Relationships>
</file>

<file path=xl/worksheets/_rels/sheet24.xml.rels>&#65279;<?xml version="1.0" encoding="utf-8"?><Relationships xmlns="http://schemas.openxmlformats.org/package/2006/relationships"><Relationship Type="http://schemas.openxmlformats.org/officeDocument/2006/relationships/table" Target="/xl/tables/table22.xml" Id="Rb571099936344487" /></Relationships>
</file>

<file path=xl/worksheets/_rels/sheet25.xml.rels>&#65279;<?xml version="1.0" encoding="utf-8"?><Relationships xmlns="http://schemas.openxmlformats.org/package/2006/relationships"><Relationship Type="http://schemas.openxmlformats.org/officeDocument/2006/relationships/table" Target="/xl/tables/table23.xml" Id="R2388f14db6bb4e8d" /></Relationships>
</file>

<file path=xl/worksheets/_rels/sheet26.xml.rels>&#65279;<?xml version="1.0" encoding="utf-8"?><Relationships xmlns="http://schemas.openxmlformats.org/package/2006/relationships"><Relationship Type="http://schemas.openxmlformats.org/officeDocument/2006/relationships/table" Target="/xl/tables/table24.xml" Id="R137fbc16f57744e1" /></Relationships>
</file>

<file path=xl/worksheets/_rels/sheet27.xml.rels>&#65279;<?xml version="1.0" encoding="utf-8"?><Relationships xmlns="http://schemas.openxmlformats.org/package/2006/relationships"><Relationship Type="http://schemas.openxmlformats.org/officeDocument/2006/relationships/table" Target="/xl/tables/table25.xml" Id="R4edb29975b1d43df" /></Relationships>
</file>

<file path=xl/worksheets/_rels/sheet28.xml.rels>&#65279;<?xml version="1.0" encoding="utf-8"?><Relationships xmlns="http://schemas.openxmlformats.org/package/2006/relationships"><Relationship Type="http://schemas.openxmlformats.org/officeDocument/2006/relationships/table" Target="/xl/tables/table26.xml" Id="R7feac7b226904afc" /></Relationships>
</file>

<file path=xl/worksheets/_rels/sheet29.xml.rels>&#65279;<?xml version="1.0" encoding="utf-8"?><Relationships xmlns="http://schemas.openxmlformats.org/package/2006/relationships"><Relationship Type="http://schemas.openxmlformats.org/officeDocument/2006/relationships/table" Target="/xl/tables/table27.xml" Id="Re252abfa2f064e76" /></Relationships>
</file>

<file path=xl/worksheets/_rels/sheet30.xml.rels>&#65279;<?xml version="1.0" encoding="utf-8"?><Relationships xmlns="http://schemas.openxmlformats.org/package/2006/relationships"><Relationship Type="http://schemas.openxmlformats.org/officeDocument/2006/relationships/table" Target="/xl/tables/table28.xml" Id="R7752ef5bd0264971" /></Relationships>
</file>

<file path=xl/worksheets/_rels/sheet31.xml.rels>&#65279;<?xml version="1.0" encoding="utf-8"?><Relationships xmlns="http://schemas.openxmlformats.org/package/2006/relationships"><Relationship Type="http://schemas.openxmlformats.org/officeDocument/2006/relationships/table" Target="/xl/tables/table29.xml" Id="Rf520f0d236634b35" /></Relationships>
</file>

<file path=xl/worksheets/_rels/sheet32.xml.rels>&#65279;<?xml version="1.0" encoding="utf-8"?><Relationships xmlns="http://schemas.openxmlformats.org/package/2006/relationships"><Relationship Type="http://schemas.openxmlformats.org/officeDocument/2006/relationships/table" Target="/xl/tables/table30.xml" Id="Rb6cb7afebb804df5" /></Relationships>
</file>

<file path=xl/worksheets/_rels/sheet33.xml.rels>&#65279;<?xml version="1.0" encoding="utf-8"?><Relationships xmlns="http://schemas.openxmlformats.org/package/2006/relationships"><Relationship Type="http://schemas.openxmlformats.org/officeDocument/2006/relationships/table" Target="/xl/tables/table31.xml" Id="R6934842f72044cf3" /></Relationships>
</file>

<file path=xl/worksheets/_rels/sheet34.xml.rels>&#65279;<?xml version="1.0" encoding="utf-8"?><Relationships xmlns="http://schemas.openxmlformats.org/package/2006/relationships"><Relationship Type="http://schemas.openxmlformats.org/officeDocument/2006/relationships/table" Target="/xl/tables/table32.xml" Id="Ra99becac6785428c" /></Relationships>
</file>

<file path=xl/worksheets/_rels/sheet35.xml.rels>&#65279;<?xml version="1.0" encoding="utf-8"?><Relationships xmlns="http://schemas.openxmlformats.org/package/2006/relationships"><Relationship Type="http://schemas.openxmlformats.org/officeDocument/2006/relationships/table" Target="/xl/tables/table33.xml" Id="R014b7901932843d1" /></Relationships>
</file>

<file path=xl/worksheets/_rels/sheet36.xml.rels>&#65279;<?xml version="1.0" encoding="utf-8"?><Relationships xmlns="http://schemas.openxmlformats.org/package/2006/relationships"><Relationship Type="http://schemas.openxmlformats.org/officeDocument/2006/relationships/table" Target="/xl/tables/table34.xml" Id="R2736b629d5364144" /></Relationships>
</file>

<file path=xl/worksheets/_rels/sheet37.xml.rels>&#65279;<?xml version="1.0" encoding="utf-8"?><Relationships xmlns="http://schemas.openxmlformats.org/package/2006/relationships"><Relationship Type="http://schemas.openxmlformats.org/officeDocument/2006/relationships/table" Target="/xl/tables/table35.xml" Id="R208e9354044d4770" /></Relationships>
</file>

<file path=xl/worksheets/_rels/sheet38.xml.rels>&#65279;<?xml version="1.0" encoding="utf-8"?><Relationships xmlns="http://schemas.openxmlformats.org/package/2006/relationships"><Relationship Type="http://schemas.openxmlformats.org/officeDocument/2006/relationships/table" Target="/xl/tables/table36.xml" Id="R0aeb0ccfaa3d423a" /></Relationships>
</file>

<file path=xl/worksheets/_rels/sheet39.xml.rels>&#65279;<?xml version="1.0" encoding="utf-8"?><Relationships xmlns="http://schemas.openxmlformats.org/package/2006/relationships"><Relationship Type="http://schemas.openxmlformats.org/officeDocument/2006/relationships/table" Target="/xl/tables/table37.xml" Id="R118dbcb80b2547df"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49" customHeight="1">
      <x:c r="A1" s="72" t="str">
        <x:v>AQUARIUM | GAME DESIGN &amp; BALANCE MASTER v4</x:v>
      </x:c>
      <x:c r="B1" s="72" t="str">
        <x:v>AQUARIUM | GAME DESIGN &amp; BALANCE MASTER v4</x:v>
      </x:c>
      <x:c r="C1" s="72" t="str">
        <x:v>AQUARIUM | GAME DESIGN &amp; BALANCE MASTER v4</x:v>
      </x:c>
      <x:c r="D1" s="72" t="str">
        <x:v>AQUARIUM | GAME DESIGN &amp; BALANCE MASTER v4</x:v>
      </x:c>
      <x:c r="E1" s="72" t="str">
        <x:v>AQUARIUM | GAME DESIGN &amp; BALANCE MASTER v4</x:v>
      </x:c>
      <x:c r="F1" s="72" t="str">
        <x:v>AQUARIUM | GAME DESIGN &amp; BALANCE MASTER v4</x:v>
      </x:c>
      <x:c r="G1" s="72" t="str">
        <x:v>AQUARIUM | GAME DESIGN &amp; BALANCE MASTER v4</x:v>
      </x:c>
      <x:c r="H1" s="72" t="str">
        <x:v>AQUARIUM | GAME DESIGN &amp; BALANCE MASTER v4</x:v>
      </x:c>
    </x:row>
    <x:row r="2" ht="27" customHeight="1">
      <x:c r="A2" s="77" t="str">
        <x:v>A stronger candidate game specification: build affection, creative ownership and satisfying progress. Reviewed and rebuilt from all 23 source sheets. This is not a guarantee of retention, spending or commercial success.</x:v>
      </x:c>
      <x:c r="B2" s="77"/>
      <x:c r="C2" s="77"/>
      <x:c r="D2" s="77"/>
      <x:c r="E2" s="77"/>
      <x:c r="F2" s="77"/>
      <x:c r="G2" s="77"/>
      <x:c r="H2" s="77"/>
    </x:row>
    <x:row r="3" ht="27" customHeight="1">
      <x:c r="A3" s="77"/>
      <x:c r="B3" s="77"/>
      <x:c r="C3" s="77"/>
      <x:c r="D3" s="77"/>
      <x:c r="E3" s="77"/>
      <x:c r="F3" s="77"/>
      <x:c r="G3" s="77"/>
      <x:c r="H3" s="77"/>
    </x:row>
    <x:row r="5" ht="31" customHeight="1">
      <x:c r="A5" s="83" t="str">
        <x:v>START HERE  •  Dashboard → Critical Audit → Rules → Catalogs → Balance Tests → Release Plan</x:v>
      </x:c>
      <x:c r="B5" s="83"/>
      <x:c r="C5" s="83"/>
      <x:c r="D5" s="83"/>
      <x:c r="E5" s="83"/>
      <x:c r="F5" s="83"/>
      <x:c r="G5" s="83"/>
      <x:c r="H5" s="83"/>
    </x:row>
    <x:row r="6" ht="28" customHeight="1">
      <x:c r="A6" s="93" t="str">
        <x:v>WHAT THIS VERSION CHANGES</x:v>
      </x:c>
      <x:c r="B6" s="93"/>
      <x:c r="C6" s="93"/>
      <x:c r="D6" s="93"/>
      <x:c r="E6" s="93"/>
      <x:c r="F6" s="93"/>
      <x:c r="G6" s="93"/>
      <x:c r="H6" s="93"/>
    </x:row>
    <x:row r="7" ht="24" customHeight="1">
      <x:c r="A7" s="88" t="str">
        <x:v>Safe offline growth; mature fish settle once, then Keep or Rehome with the same payout. Paid companions and all decor are permanent, nonproducing cosmetics. Capacity can use coins OR pearls, with no mandatory friends.</x:v>
      </x:c>
      <x:c r="B7" s="88"/>
      <x:c r="C7" s="88"/>
      <x:c r="D7" s="88"/>
      <x:c r="E7" s="88"/>
      <x:c r="F7" s="88"/>
      <x:c r="G7" s="88"/>
      <x:c r="H7" s="88"/>
    </x:row>
    <x:row r="8" ht="24" customHeight="1">
      <x:c r="A8" s="88"/>
      <x:c r="B8" s="88"/>
      <x:c r="C8" s="88"/>
      <x:c r="D8" s="88"/>
      <x:c r="E8" s="88"/>
      <x:c r="F8" s="88"/>
      <x:c r="G8" s="88"/>
      <x:c r="H8" s="88"/>
    </x:row>
    <x:row r="10" ht="28" customHeight="1">
      <x:c r="A10" s="93" t="str">
        <x:v>WHAT IS INSIDE</x:v>
      </x:c>
      <x:c r="B10" s="93"/>
      <x:c r="C10" s="93"/>
      <x:c r="D10" s="93"/>
      <x:c r="E10" s="93"/>
      <x:c r="F10" s="93"/>
      <x:c r="G10" s="93"/>
      <x:c r="H10" s="93"/>
    </x:row>
    <x:row r="11" ht="24" customHeight="1">
      <x:c r="A11" s="88" t="str">
        <x:v>40 launch coin species • 72 coin species planned • 27 companion concepts • all 120 decor items and full art briefs • 70-level planning curve with L40 launch cap • 10 cosmetic projects • 8 simulated play styles × 120 days.</x:v>
      </x:c>
      <x:c r="B11" s="88"/>
      <x:c r="C11" s="88"/>
      <x:c r="D11" s="88"/>
      <x:c r="E11" s="88"/>
      <x:c r="F11" s="88"/>
      <x:c r="G11" s="88"/>
      <x:c r="H11" s="88"/>
    </x:row>
    <x:row r="12" ht="24" customHeight="1">
      <x:c r="A12" s="88"/>
      <x:c r="B12" s="88"/>
      <x:c r="C12" s="88"/>
      <x:c r="D12" s="88"/>
      <x:c r="E12" s="88"/>
      <x:c r="F12" s="88"/>
      <x:c r="G12" s="88"/>
      <x:c r="H12" s="88"/>
    </x:row>
    <x:row r="14" ht="28" customHeight="1">
      <x:c r="A14" s="93" t="str">
        <x:v>READ THE NUMBERS CORRECTLY</x:v>
      </x:c>
      <x:c r="B14" s="93"/>
      <x:c r="C14" s="93"/>
      <x:c r="D14" s="93"/>
      <x:c r="E14" s="93"/>
      <x:c r="F14" s="93"/>
      <x:c r="G14" s="93"/>
      <x:c r="H14" s="93"/>
    </x:row>
    <x:row r="15" ht="24" customHeight="1">
      <x:c r="A15" s="88" t="str">
        <x:v>Gold cells are candidate tuning inputs; formulas update catalog/XP comparisons. Daily Ledger and progression scenarios are FROZEN simulation outputs. Editing Excel does not rerun player behavior. The companion Python model/config regenerates CSVs. Model Contract includes a numeric freshness warning; text/ID/rule changes also require a rerun.</x:v>
      </x:c>
      <x:c r="B15" s="88"/>
      <x:c r="C15" s="88"/>
      <x:c r="D15" s="88"/>
      <x:c r="E15" s="88"/>
      <x:c r="F15" s="88"/>
      <x:c r="G15" s="88"/>
      <x:c r="H15" s="88"/>
    </x:row>
    <x:row r="16" ht="24" customHeight="1">
      <x:c r="A16" s="88"/>
      <x:c r="B16" s="88"/>
      <x:c r="C16" s="88"/>
      <x:c r="D16" s="88"/>
      <x:c r="E16" s="88"/>
      <x:c r="F16" s="88"/>
      <x:c r="G16" s="88"/>
      <x:c r="H16" s="88"/>
    </x:row>
    <x:row r="17" ht="24" customHeight="1">
      <x:c r="A17" s="88"/>
      <x:c r="B17" s="88"/>
      <x:c r="C17" s="88"/>
      <x:c r="D17" s="88"/>
      <x:c r="E17" s="88"/>
      <x:c r="F17" s="88"/>
      <x:c r="G17" s="88"/>
      <x:c r="H17" s="88"/>
    </x:row>
    <x:row r="19" ht="28" customHeight="1">
      <x:c r="A19" s="93" t="str">
        <x:v>IMPLEMENTATION ORDER</x:v>
      </x:c>
      <x:c r="B19" s="93"/>
      <x:c r="C19" s="93"/>
      <x:c r="D19" s="93"/>
      <x:c r="E19" s="93"/>
      <x:c r="F19" s="93"/>
      <x:c r="G19" s="93"/>
      <x:c r="H19" s="93"/>
    </x:row>
    <x:row r="20" ht="24" customHeight="1">
      <x:c r="A20" s="88" t="str">
        <x:v>Build the four-fish vertical slice and transactional server first. Test care, keeping favorites and scene creation with real players before producing the full catalog. Enable only asset-complete IDs and reachable rewards. Do not activate future levels merely because they appear in the planning table.</x:v>
      </x:c>
      <x:c r="B20" s="88"/>
      <x:c r="C20" s="88"/>
      <x:c r="D20" s="88"/>
      <x:c r="E20" s="88"/>
      <x:c r="F20" s="88"/>
      <x:c r="G20" s="88"/>
      <x:c r="H20" s="88"/>
    </x:row>
    <x:row r="21" ht="24" customHeight="1">
      <x:c r="A21" s="88"/>
      <x:c r="B21" s="88"/>
      <x:c r="C21" s="88"/>
      <x:c r="D21" s="88"/>
      <x:c r="E21" s="88"/>
      <x:c r="F21" s="88"/>
      <x:c r="G21" s="88"/>
      <x:c r="H21" s="88"/>
    </x:row>
    <x:row r="23" ht="28" customHeight="1">
      <x:c r="A23" s="93" t="str">
        <x:v>KNOWN LIMITS — DO NOT HIDE THESE</x:v>
      </x:c>
      <x:c r="B23" s="93"/>
      <x:c r="C23" s="93"/>
      <x:c r="D23" s="93"/>
      <x:c r="E23" s="93"/>
      <x:c r="F23" s="93"/>
      <x:c r="G23" s="93"/>
      <x:c r="H23" s="93"/>
    </x:row>
    <x:row r="24" ht="24" customHeight="1">
      <x:c r="A24" s="88" t="str">
        <x:v>Finite sinks eventually run out, especially for the optimizer and pearl-funded-capacity actors. Live retention, fun, cosmetic demand, refunds, ad revenue, operating costs and acquisition economics are not measured. Runtime transaction safety, device performance and store approval still require verification. PASS means only the named calculation or modeled scenario.</x:v>
      </x:c>
      <x:c r="B24" s="88"/>
      <x:c r="C24" s="88"/>
      <x:c r="D24" s="88"/>
      <x:c r="E24" s="88"/>
      <x:c r="F24" s="88"/>
      <x:c r="G24" s="88"/>
      <x:c r="H24" s="88"/>
    </x:row>
    <x:row r="25" ht="24" customHeight="1">
      <x:c r="A25" s="88"/>
      <x:c r="B25" s="88"/>
      <x:c r="C25" s="88"/>
      <x:c r="D25" s="88"/>
      <x:c r="E25" s="88"/>
      <x:c r="F25" s="88"/>
      <x:c r="G25" s="88"/>
      <x:c r="H25" s="88"/>
    </x:row>
    <x:row r="26" ht="24" customHeight="1">
      <x:c r="A26" s="88"/>
      <x:c r="B26" s="88"/>
      <x:c r="C26" s="88"/>
      <x:c r="D26" s="88"/>
      <x:c r="E26" s="88"/>
      <x:c r="F26" s="88"/>
      <x:c r="G26" s="88"/>
      <x:c r="H26" s="88"/>
    </x:row>
    <x:row r="28" ht="28" customHeight="1">
      <x:c r="A28" s="93" t="str">
        <x:v>NAVIGATION</x:v>
      </x:c>
      <x:c r="B28" s="93"/>
      <x:c r="C28" s="93"/>
      <x:c r="D28" s="93"/>
      <x:c r="E28" s="93"/>
      <x:c r="F28" s="93"/>
      <x:c r="G28" s="93"/>
      <x:c r="H28" s="93"/>
    </x:row>
    <x:row r="29" ht="36" customHeight="1">
      <x:c r="A29" s="102" t="str">
        <x:v>Understand decisions</x:v>
      </x:c>
      <x:c r="B29" s="98"/>
      <x:c r="C29" s="98" t="str">
        <x:v>Dashboard; Critical Audit; Core Loop; Rules</x:v>
      </x:c>
      <x:c r="D29" s="98"/>
      <x:c r="E29" s="98"/>
      <x:c r="F29" s="98"/>
      <x:c r="G29" s="98"/>
      <x:c r="H29" s="98"/>
    </x:row>
    <x:row r="30" ht="36" customHeight="1">
      <x:c r="A30" s="112" t="str">
        <x:v>Tune progression</x:v>
      </x:c>
      <x:c r="B30" s="107"/>
      <x:c r="C30" s="107" t="str">
        <x:v>Inputs; Schedules; Coin Fish; XP &amp; Unlocks; Tanks; Quest Rewards</x:v>
      </x:c>
      <x:c r="D30" s="107"/>
      <x:c r="E30" s="107"/>
      <x:c r="F30" s="107"/>
      <x:c r="G30" s="107"/>
      <x:c r="H30" s="107"/>
    </x:row>
    <x:row r="31" ht="36" customHeight="1">
      <x:c r="A31" s="102" t="str">
        <x:v>Build content</x:v>
      </x:c>
      <x:c r="B31" s="98"/>
      <x:c r="C31" s="98" t="str">
        <x:v>Fish Collectibles; Decor Catalog; Decor Art Briefs; Aquascape Projects; Art Production</x:v>
      </x:c>
      <x:c r="D31" s="98"/>
      <x:c r="E31" s="98"/>
      <x:c r="F31" s="98"/>
      <x:c r="G31" s="98"/>
      <x:c r="H31" s="98"/>
    </x:row>
    <x:row r="32" ht="36" customHeight="1">
      <x:c r="A32" s="112" t="str">
        <x:v>Design returning play</x:v>
      </x:c>
      <x:c r="B32" s="107"/>
      <x:c r="C32" s="107" t="str">
        <x:v>Onboarding; Quests; Mastery; Social; Events; Retention Journey; UX &amp; Accessibility</x:v>
      </x:c>
      <x:c r="D32" s="107"/>
      <x:c r="E32" s="107"/>
      <x:c r="F32" s="107"/>
      <x:c r="G32" s="107"/>
      <x:c r="H32" s="107"/>
    </x:row>
    <x:row r="33" ht="36" customHeight="1">
      <x:c r="A33" s="102" t="str">
        <x:v>Review monetization</x:v>
      </x:c>
      <x:c r="B33" s="98"/>
      <x:c r="C33" s="98" t="str">
        <x:v>Shop; Pearl Budget; Decor Rules</x:v>
      </x:c>
      <x:c r="D33" s="98"/>
      <x:c r="E33" s="98"/>
      <x:c r="F33" s="98"/>
      <x:c r="G33" s="98"/>
      <x:c r="H33" s="98"/>
    </x:row>
    <x:row r="34" ht="36" customHeight="1">
      <x:c r="A34" s="112" t="str">
        <x:v>Inspect the simulation</x:v>
      </x:c>
      <x:c r="B34" s="107"/>
      <x:c r="C34" s="107" t="str">
        <x:v>Model Contract; Economy Model; Simulation Profiles; Simulation Summary; Daily Ledger</x:v>
      </x:c>
      <x:c r="D34" s="107"/>
      <x:c r="E34" s="107"/>
      <x:c r="F34" s="107"/>
      <x:c r="G34" s="107"/>
      <x:c r="H34" s="107"/>
    </x:row>
    <x:row r="35" ht="36" customHeight="1">
      <x:c r="A35" s="102" t="str">
        <x:v>Prove and release</x:v>
      </x:c>
      <x:c r="B35" s="98"/>
      <x:c r="C35" s="98" t="str">
        <x:v>Balance Tests; Telemetry; Experiments; Data Contracts; Migration; Release Plan</x:v>
      </x:c>
      <x:c r="D35" s="98"/>
      <x:c r="E35" s="98"/>
      <x:c r="F35" s="98"/>
      <x:c r="G35" s="98"/>
      <x:c r="H35" s="98"/>
    </x:row>
    <x:row r="36" ht="36" customHeight="1">
      <x:c r="A36" s="112" t="str">
        <x:v>Trace every source</x:v>
      </x:c>
      <x:c r="B36" s="107"/>
      <x:c r="C36" s="107" t="str">
        <x:v>Source Coverage; Sources; original workbook + extracted cells in companion package</x:v>
      </x:c>
      <x:c r="D36" s="107"/>
      <x:c r="E36" s="107"/>
      <x:c r="F36" s="107"/>
      <x:c r="G36" s="107"/>
      <x:c r="H36" s="107"/>
    </x:row>
    <x:row r="38" ht="22" customHeight="1">
      <x:c r="A38" s="116" t="str">
        <x:v>HANDOFF • The .xlsx is the main specification. The companion ZIP preserves the original workbook and contains the exact baseline simulator, JSON config, extracted source cells, daily ledger CSV, summary CSV and validation output. Revised values are authored proposals dated 13 September 2026.</x:v>
      </x:c>
      <x:c r="B38" s="116"/>
      <x:c r="C38" s="116"/>
      <x:c r="D38" s="116"/>
      <x:c r="E38" s="116"/>
      <x:c r="F38" s="116"/>
      <x:c r="G38" s="116"/>
      <x:c r="H38" s="116"/>
    </x:row>
    <x:row r="39" ht="22" customHeight="1">
      <x:c r="A39" s="116"/>
      <x:c r="B39" s="116"/>
      <x:c r="C39" s="116"/>
      <x:c r="D39" s="116"/>
      <x:c r="E39" s="116"/>
      <x:c r="F39" s="116"/>
      <x:c r="G39" s="116"/>
      <x:c r="H39" s="116"/>
    </x:row>
    <x:row r="40" ht="22" customHeight="1">
      <x:c r="A40" s="116"/>
      <x:c r="B40" s="116"/>
      <x:c r="C40" s="116"/>
      <x:c r="D40" s="116"/>
      <x:c r="E40" s="116"/>
      <x:c r="F40" s="116"/>
      <x:c r="G40" s="116"/>
      <x:c r="H40" s="116"/>
    </x:row>
  </x:sheetData>
  <x:mergeCells>
    <x:mergeCell ref="A1:H1"/>
    <x:mergeCell ref="A2:H3"/>
    <x:mergeCell ref="A5:H5"/>
    <x:mergeCell ref="A6:H6"/>
    <x:mergeCell ref="A7:H8"/>
    <x:mergeCell ref="A10:H10"/>
    <x:mergeCell ref="A11:H12"/>
    <x:mergeCell ref="A14:H14"/>
    <x:mergeCell ref="A15:H17"/>
    <x:mergeCell ref="A19:H19"/>
    <x:mergeCell ref="A20:H21"/>
    <x:mergeCell ref="A23:H23"/>
    <x:mergeCell ref="A24:H26"/>
    <x:mergeCell ref="A28:H28"/>
    <x:mergeCell ref="A29:B29"/>
    <x:mergeCell ref="C29:H29"/>
    <x:mergeCell ref="A30:B30"/>
    <x:mergeCell ref="C30:H30"/>
    <x:mergeCell ref="A31:B31"/>
    <x:mergeCell ref="C31:H31"/>
    <x:mergeCell ref="A32:B32"/>
    <x:mergeCell ref="C32:H32"/>
    <x:mergeCell ref="A33:B33"/>
    <x:mergeCell ref="C33:H33"/>
    <x:mergeCell ref="A34:B34"/>
    <x:mergeCell ref="C34:H34"/>
    <x:mergeCell ref="A35:B35"/>
    <x:mergeCell ref="C35:H35"/>
    <x:mergeCell ref="A36:B36"/>
    <x:mergeCell ref="C36:H36"/>
    <x:mergeCell ref="A38:H40"/>
  </x:mergeCells>
  <x:pageMargins left="0.7" right="0.7" top="0.75" bottom="0.75" header="0.3" footer="0.3"/>
</x:worksheet>
</file>

<file path=xl/worksheets/sheet2.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8" customHeight="1">
      <x:c r="A1" s="121" t="str">
        <x:v>AQUARIUM  /  BALANCE AT A GLANCE</x:v>
      </x:c>
      <x:c r="B1" s="121"/>
      <x:c r="C1" s="121"/>
      <x:c r="D1" s="121"/>
      <x:c r="E1" s="121"/>
      <x:c r="F1" s="121"/>
      <x:c r="G1" s="121"/>
      <x:c r="H1" s="121"/>
    </x:row>
    <x:row r="2" ht="28" customHeight="1">
      <x:c r="A2" s="121"/>
      <x:c r="B2" s="121"/>
      <x:c r="C2" s="121"/>
      <x:c r="D2" s="121"/>
      <x:c r="E2" s="121"/>
      <x:c r="F2" s="121"/>
      <x:c r="G2" s="121"/>
      <x:c r="H2" s="121"/>
    </x:row>
    <x:row r="3" ht="26" customHeight="1">
      <x:c r="A3" s="124" t="str">
        <x:v>Candidate v4 • 120-day deterministic scenarios • No live retention or revenue data</x:v>
      </x:c>
      <x:c r="B3" s="124"/>
      <x:c r="C3" s="124"/>
      <x:c r="D3" s="124"/>
      <x:c r="E3" s="124"/>
      <x:c r="F3" s="124"/>
      <x:c r="G3" s="124"/>
      <x:c r="H3" s="124"/>
    </x:row>
    <x:row r="4">
      <x:c r="J4" s="140" t="str">
        <x:v>Day</x:v>
      </x:c>
      <x:c r="K4" s="140" t="str">
        <x:v>Casual F2P</x:v>
      </x:c>
      <x:c r="L4" s="140" t="str">
        <x:v>Core F2P</x:v>
      </x:c>
      <x:c r="M4" s="140" t="str">
        <x:v>Optimizer stress</x:v>
      </x:c>
    </x:row>
    <x:row r="5" ht="29" customHeight="1">
      <x:c r="A5" s="127" t="str">
        <x:v>LAUNCH COIN SPECIES</x:v>
      </x:c>
      <x:c r="B5" s="127"/>
      <x:c r="C5" s="127" t="str">
        <x:v>DECOR + FULL ART BRIEFS</x:v>
      </x:c>
      <x:c r="D5" s="127"/>
      <x:c r="E5" s="127" t="str">
        <x:v>CORE DAYS TO LEVEL 40</x:v>
      </x:c>
      <x:c r="F5" s="127"/>
      <x:c r="G5" s="127" t="str">
        <x:v>START / MAX GROWTH SLOTS</x:v>
      </x:c>
      <x:c r="H5" s="127"/>
      <x:c r="J5" s="142" t="n">
        <x:v>1</x:v>
      </x:c>
      <x:c r="K5" s="142" t="n">
        <x:v>2</x:v>
      </x:c>
      <x:c r="L5" s="142" t="n">
        <x:v>3</x:v>
      </x:c>
      <x:c r="M5" s="142" t="n">
        <x:v>5</x:v>
      </x:c>
    </x:row>
    <x:row r="6" ht="30" customHeight="1">
      <x:c r="A6" s="136" t="n">
        <x:f>COUNTIF('Coin Fish'!E5:E76,"Launch")</x:f>
        <x:v>40</x:v>
      </x:c>
      <x:c r="B6" s="136"/>
      <x:c r="C6" s="136" t="n">
        <x:f>COUNTA('Decor Catalog'!A5:A124)</x:f>
        <x:v>120</x:v>
      </x:c>
      <x:c r="D6" s="136"/>
      <x:c r="E6" s="138" t="n">
        <x:f>'Simulation Summary'!G6</x:f>
        <x:v>91.5</x:v>
      </x:c>
      <x:c r="F6" s="138"/>
      <x:c r="G6" s="132" t="str">
        <x:v>10 → 100</x:v>
      </x:c>
      <x:c r="H6" s="132"/>
      <x:c r="J6" s="142" t="n">
        <x:v>2</x:v>
      </x:c>
      <x:c r="K6" s="142" t="n">
        <x:v>4</x:v>
      </x:c>
      <x:c r="L6" s="142" t="n">
        <x:v>5</x:v>
      </x:c>
      <x:c r="M6" s="142" t="n">
        <x:v>7</x:v>
      </x:c>
    </x:row>
    <x:row r="7" ht="30" customHeight="1">
      <x:c r="A7" s="136"/>
      <x:c r="B7" s="136"/>
      <x:c r="C7" s="136"/>
      <x:c r="D7" s="136"/>
      <x:c r="E7" s="138"/>
      <x:c r="F7" s="138"/>
      <x:c r="G7" s="132"/>
      <x:c r="H7" s="132"/>
      <x:c r="J7" s="142" t="n">
        <x:v>3</x:v>
      </x:c>
      <x:c r="K7" s="142" t="n">
        <x:v>5</x:v>
      </x:c>
      <x:c r="L7" s="142" t="n">
        <x:v>7</x:v>
      </x:c>
      <x:c r="M7" s="142" t="n">
        <x:v>8</x:v>
      </x:c>
    </x:row>
    <x:row r="8">
      <x:c r="J8" s="142" t="n">
        <x:v>4</x:v>
      </x:c>
      <x:c r="K8" s="142" t="n">
        <x:v>6</x:v>
      </x:c>
      <x:c r="L8" s="142" t="n">
        <x:v>8</x:v>
      </x:c>
      <x:c r="M8" s="142" t="n">
        <x:v>9</x:v>
      </x:c>
    </x:row>
    <x:row r="9" ht="29" customHeight="1">
      <x:c r="A9" s="127" t="str">
        <x:v>CASUAL DAYS TO LEVEL 40</x:v>
      </x:c>
      <x:c r="B9" s="127"/>
      <x:c r="C9" s="127" t="str">
        <x:v>MATH / MODEL CHECKS</x:v>
      </x:c>
      <x:c r="D9" s="127"/>
      <x:c r="E9" s="127" t="str">
        <x:v>READY FOR FULL LAUNCH?</x:v>
      </x:c>
      <x:c r="F9" s="127"/>
      <x:c r="G9" s="127" t="str">
        <x:v>NUMERIC SNAPSHOT</x:v>
      </x:c>
      <x:c r="H9" s="127"/>
      <x:c r="J9" s="142" t="n">
        <x:v>5</x:v>
      </x:c>
      <x:c r="K9" s="142" t="n">
        <x:v>7</x:v>
      </x:c>
      <x:c r="L9" s="142" t="n">
        <x:v>9</x:v>
      </x:c>
      <x:c r="M9" s="142" t="n">
        <x:v>11</x:v>
      </x:c>
    </x:row>
    <x:row r="10" ht="30" customHeight="1">
      <x:c r="A10" s="138" t="n">
        <x:f>'Simulation Summary'!G5</x:f>
        <x:v>99</x:v>
      </x:c>
      <x:c r="B10" s="138"/>
      <x:c r="C10" s="132" t="str">
        <x:f>COUNTIF('Balance Tests'!F5:F39,"PASS")&amp;" passed"</x:f>
        <x:v>27 passed</x:v>
      </x:c>
      <x:c r="D10" s="132"/>
      <x:c r="E10" s="132" t="str">
        <x:v>NOT YET</x:v>
      </x:c>
      <x:c r="F10" s="132"/>
      <x:c r="G10" s="132" t="str">
        <x:f>IF('Model Contract'!B30="CURRENT NUMERIC INPUTS","CURRENT","STALE")</x:f>
        <x:v>CURRENT</x:v>
      </x:c>
      <x:c r="H10" s="132"/>
      <x:c r="J10" s="142" t="n">
        <x:v>6</x:v>
      </x:c>
      <x:c r="K10" s="142" t="n">
        <x:v>7</x:v>
      </x:c>
      <x:c r="L10" s="142" t="n">
        <x:v>10</x:v>
      </x:c>
      <x:c r="M10" s="142" t="n">
        <x:v>12</x:v>
      </x:c>
    </x:row>
    <x:row r="11" ht="30" customHeight="1">
      <x:c r="A11" s="138"/>
      <x:c r="B11" s="138"/>
      <x:c r="C11" s="132"/>
      <x:c r="D11" s="132"/>
      <x:c r="E11" s="132"/>
      <x:c r="F11" s="132"/>
      <x:c r="G11" s="132"/>
      <x:c r="H11" s="132"/>
      <x:c r="J11" s="142" t="n">
        <x:v>7</x:v>
      </x:c>
      <x:c r="K11" s="142" t="n">
        <x:v>9</x:v>
      </x:c>
      <x:c r="L11" s="142" t="n">
        <x:v>10</x:v>
      </x:c>
      <x:c r="M11" s="142" t="n">
        <x:v>13</x:v>
      </x:c>
    </x:row>
    <x:row r="12">
      <x:c r="J12" s="142" t="n">
        <x:v>8</x:v>
      </x:c>
      <x:c r="K12" s="142" t="n">
        <x:v>9</x:v>
      </x:c>
      <x:c r="L12" s="142" t="n">
        <x:v>11</x:v>
      </x:c>
      <x:c r="M12" s="142" t="n">
        <x:v>13</x:v>
      </x:c>
    </x:row>
    <x:row r="13" ht="26" customHeight="1">
      <x:c r="A13" s="107" t="str">
        <x:v>The free path works in these actors: one or two visits a day, no ads and no purchases. Keeping favorites does not sacrifice payout. All 960 modeled daily cash balances reconcile. Runtime and player validation are still outstanding.</x:v>
      </x:c>
      <x:c r="B13" s="107"/>
      <x:c r="C13" s="107"/>
      <x:c r="D13" s="107"/>
      <x:c r="E13" s="107"/>
      <x:c r="F13" s="107"/>
      <x:c r="G13" s="107"/>
      <x:c r="H13" s="107"/>
      <x:c r="J13" s="142" t="n">
        <x:v>9</x:v>
      </x:c>
      <x:c r="K13" s="142" t="n">
        <x:v>11</x:v>
      </x:c>
      <x:c r="L13" s="142" t="n">
        <x:v>12</x:v>
      </x:c>
      <x:c r="M13" s="142" t="n">
        <x:v>14</x:v>
      </x:c>
    </x:row>
    <x:row r="14" ht="26" customHeight="1">
      <x:c r="A14" s="107"/>
      <x:c r="B14" s="107"/>
      <x:c r="C14" s="107"/>
      <x:c r="D14" s="107"/>
      <x:c r="E14" s="107"/>
      <x:c r="F14" s="107"/>
      <x:c r="G14" s="107"/>
      <x:c r="H14" s="107"/>
      <x:c r="J14" s="142" t="n">
        <x:v>10</x:v>
      </x:c>
      <x:c r="K14" s="142" t="n">
        <x:v>11</x:v>
      </x:c>
      <x:c r="L14" s="142" t="n">
        <x:v>12</x:v>
      </x:c>
      <x:c r="M14" s="142" t="n">
        <x:v>15</x:v>
      </x:c>
    </x:row>
    <x:row r="15">
      <x:c r="J15" s="142" t="n">
        <x:v>11</x:v>
      </x:c>
      <x:c r="K15" s="142" t="n">
        <x:v>12</x:v>
      </x:c>
      <x:c r="L15" s="142" t="n">
        <x:v>13</x:v>
      </x:c>
      <x:c r="M15" s="142" t="n">
        <x:v>16</x:v>
      </x:c>
    </x:row>
    <x:row r="16">
      <x:c r="J16" s="142" t="n">
        <x:v>12</x:v>
      </x:c>
      <x:c r="K16" s="142" t="n">
        <x:v>12</x:v>
      </x:c>
      <x:c r="L16" s="142" t="n">
        <x:v>14</x:v>
      </x:c>
      <x:c r="M16" s="142" t="n">
        <x:v>16</x:v>
      </x:c>
    </x:row>
    <x:row r="17">
      <x:c r="J17" s="142" t="n">
        <x:v>13</x:v>
      </x:c>
      <x:c r="K17" s="142" t="n">
        <x:v>13</x:v>
      </x:c>
      <x:c r="L17" s="142" t="n">
        <x:v>14</x:v>
      </x:c>
      <x:c r="M17" s="142" t="n">
        <x:v>17</x:v>
      </x:c>
    </x:row>
    <x:row r="18">
      <x:c r="J18" s="142" t="n">
        <x:v>14</x:v>
      </x:c>
      <x:c r="K18" s="142" t="n">
        <x:v>13</x:v>
      </x:c>
      <x:c r="L18" s="142" t="n">
        <x:v>15</x:v>
      </x:c>
      <x:c r="M18" s="142" t="n">
        <x:v>18</x:v>
      </x:c>
    </x:row>
    <x:row r="19">
      <x:c r="J19" s="142" t="n">
        <x:v>15</x:v>
      </x:c>
      <x:c r="K19" s="142" t="n">
        <x:v>14</x:v>
      </x:c>
      <x:c r="L19" s="142" t="n">
        <x:v>15</x:v>
      </x:c>
      <x:c r="M19" s="142" t="n">
        <x:v>18</x:v>
      </x:c>
    </x:row>
    <x:row r="20">
      <x:c r="J20" s="142" t="n">
        <x:v>16</x:v>
      </x:c>
      <x:c r="K20" s="142" t="n">
        <x:v>14</x:v>
      </x:c>
      <x:c r="L20" s="142" t="n">
        <x:v>16</x:v>
      </x:c>
      <x:c r="M20" s="142" t="n">
        <x:v>19</x:v>
      </x:c>
    </x:row>
    <x:row r="21">
      <x:c r="J21" s="142" t="n">
        <x:v>17</x:v>
      </x:c>
      <x:c r="K21" s="142" t="n">
        <x:v>15</x:v>
      </x:c>
      <x:c r="L21" s="142" t="n">
        <x:v>16</x:v>
      </x:c>
      <x:c r="M21" s="142" t="n">
        <x:v>19</x:v>
      </x:c>
    </x:row>
    <x:row r="22">
      <x:c r="J22" s="142" t="n">
        <x:v>18</x:v>
      </x:c>
      <x:c r="K22" s="142" t="n">
        <x:v>15</x:v>
      </x:c>
      <x:c r="L22" s="142" t="n">
        <x:v>17</x:v>
      </x:c>
      <x:c r="M22" s="142" t="n">
        <x:v>20</x:v>
      </x:c>
    </x:row>
    <x:row r="23">
      <x:c r="J23" s="142" t="n">
        <x:v>19</x:v>
      </x:c>
      <x:c r="K23" s="142" t="n">
        <x:v>16</x:v>
      </x:c>
      <x:c r="L23" s="142" t="n">
        <x:v>17</x:v>
      </x:c>
      <x:c r="M23" s="142" t="n">
        <x:v>20</x:v>
      </x:c>
    </x:row>
    <x:row r="24">
      <x:c r="J24" s="142" t="n">
        <x:v>20</x:v>
      </x:c>
      <x:c r="K24" s="142" t="n">
        <x:v>16</x:v>
      </x:c>
      <x:c r="L24" s="142" t="n">
        <x:v>17</x:v>
      </x:c>
      <x:c r="M24" s="142" t="n">
        <x:v>21</x:v>
      </x:c>
    </x:row>
    <x:row r="25">
      <x:c r="J25" s="142" t="n">
        <x:v>21</x:v>
      </x:c>
      <x:c r="K25" s="142" t="n">
        <x:v>17</x:v>
      </x:c>
      <x:c r="L25" s="142" t="n">
        <x:v>18</x:v>
      </x:c>
      <x:c r="M25" s="142" t="n">
        <x:v>22</x:v>
      </x:c>
    </x:row>
    <x:row r="26">
      <x:c r="J26" s="142" t="n">
        <x:v>22</x:v>
      </x:c>
      <x:c r="K26" s="142" t="n">
        <x:v>17</x:v>
      </x:c>
      <x:c r="L26" s="142" t="n">
        <x:v>18</x:v>
      </x:c>
      <x:c r="M26" s="142" t="n">
        <x:v>22</x:v>
      </x:c>
    </x:row>
    <x:row r="27">
      <x:c r="J27" s="142" t="n">
        <x:v>23</x:v>
      </x:c>
      <x:c r="K27" s="142" t="n">
        <x:v>18</x:v>
      </x:c>
      <x:c r="L27" s="142" t="n">
        <x:v>19</x:v>
      </x:c>
      <x:c r="M27" s="142" t="n">
        <x:v>23</x:v>
      </x:c>
    </x:row>
    <x:row r="28">
      <x:c r="J28" s="142" t="n">
        <x:v>24</x:v>
      </x:c>
      <x:c r="K28" s="142" t="n">
        <x:v>18</x:v>
      </x:c>
      <x:c r="L28" s="142" t="n">
        <x:v>19</x:v>
      </x:c>
      <x:c r="M28" s="142" t="n">
        <x:v>24</x:v>
      </x:c>
    </x:row>
    <x:row r="29">
      <x:c r="J29" s="142" t="n">
        <x:v>25</x:v>
      </x:c>
      <x:c r="K29" s="142" t="n">
        <x:v>18</x:v>
      </x:c>
      <x:c r="L29" s="142" t="n">
        <x:v>19</x:v>
      </x:c>
      <x:c r="M29" s="142" t="n">
        <x:v>24</x:v>
      </x:c>
    </x:row>
    <x:row r="30">
      <x:c r="J30" s="142" t="n">
        <x:v>26</x:v>
      </x:c>
      <x:c r="K30" s="142" t="n">
        <x:v>18</x:v>
      </x:c>
      <x:c r="L30" s="142" t="n">
        <x:v>20</x:v>
      </x:c>
      <x:c r="M30" s="142" t="n">
        <x:v>25</x:v>
      </x:c>
    </x:row>
    <x:row r="31">
      <x:c r="J31" s="142" t="n">
        <x:v>27</x:v>
      </x:c>
      <x:c r="K31" s="142" t="n">
        <x:v>19</x:v>
      </x:c>
      <x:c r="L31" s="142" t="n">
        <x:v>20</x:v>
      </x:c>
      <x:c r="M31" s="142" t="n">
        <x:v>25</x:v>
      </x:c>
    </x:row>
    <x:row r="32">
      <x:c r="J32" s="142" t="n">
        <x:v>28</x:v>
      </x:c>
      <x:c r="K32" s="142" t="n">
        <x:v>19</x:v>
      </x:c>
      <x:c r="L32" s="142" t="n">
        <x:v>21</x:v>
      </x:c>
      <x:c r="M32" s="142" t="n">
        <x:v>26</x:v>
      </x:c>
    </x:row>
    <x:row r="33" ht="31" customHeight="1">
      <x:c r="A33" s="144" t="str">
        <x:v>AMBER  /  FINITE-SINK SURPLUS IS NOT SOLVED</x:v>
      </x:c>
      <x:c r="B33" s="144"/>
      <x:c r="C33" s="144"/>
      <x:c r="D33" s="144"/>
      <x:c r="E33" s="144"/>
      <x:c r="F33" s="144"/>
      <x:c r="G33" s="144"/>
      <x:c r="H33" s="144"/>
      <x:c r="J33" s="142" t="n">
        <x:v>29</x:v>
      </x:c>
      <x:c r="K33" s="142" t="n">
        <x:v>20</x:v>
      </x:c>
      <x:c r="L33" s="142" t="n">
        <x:v>21</x:v>
      </x:c>
      <x:c r="M33" s="142" t="n">
        <x:v>26</x:v>
      </x:c>
    </x:row>
    <x:row r="34" ht="23" customHeight="1">
      <x:c r="A34" s="116" t="str">
        <x:v>At day 120 the core actor holds about 13.6 reference coin-days; the optimizer holds about 75.1. Projects and decor are finite. Validate whether players actually want more creative content before adding sinks. Do not erase wealth with punitive maintenance, fish loss or expiring currency.</x:v>
      </x:c>
      <x:c r="B34" s="116"/>
      <x:c r="C34" s="116"/>
      <x:c r="D34" s="116"/>
      <x:c r="E34" s="116"/>
      <x:c r="F34" s="116"/>
      <x:c r="G34" s="116"/>
      <x:c r="H34" s="116"/>
      <x:c r="J34" s="142" t="n">
        <x:v>30</x:v>
      </x:c>
      <x:c r="K34" s="142" t="n">
        <x:v>20</x:v>
      </x:c>
      <x:c r="L34" s="142" t="n">
        <x:v>22</x:v>
      </x:c>
      <x:c r="M34" s="142" t="n">
        <x:v>26</x:v>
      </x:c>
    </x:row>
    <x:row r="35" ht="23" customHeight="1">
      <x:c r="A35" s="116"/>
      <x:c r="B35" s="116"/>
      <x:c r="C35" s="116"/>
      <x:c r="D35" s="116"/>
      <x:c r="E35" s="116"/>
      <x:c r="F35" s="116"/>
      <x:c r="G35" s="116"/>
      <x:c r="H35" s="116"/>
      <x:c r="J35" s="142" t="n">
        <x:v>31</x:v>
      </x:c>
      <x:c r="K35" s="142" t="n">
        <x:v>21</x:v>
      </x:c>
      <x:c r="L35" s="142" t="n">
        <x:v>22</x:v>
      </x:c>
      <x:c r="M35" s="142" t="n">
        <x:v>27</x:v>
      </x:c>
    </x:row>
    <x:row r="36" ht="23" customHeight="1">
      <x:c r="A36" s="116"/>
      <x:c r="B36" s="116"/>
      <x:c r="C36" s="116"/>
      <x:c r="D36" s="116"/>
      <x:c r="E36" s="116"/>
      <x:c r="F36" s="116"/>
      <x:c r="G36" s="116"/>
      <x:c r="H36" s="116"/>
      <x:c r="J36" s="142" t="n">
        <x:v>32</x:v>
      </x:c>
      <x:c r="K36" s="142" t="n">
        <x:v>21</x:v>
      </x:c>
      <x:c r="L36" s="142" t="n">
        <x:v>23</x:v>
      </x:c>
      <x:c r="M36" s="142" t="n">
        <x:v>27</x:v>
      </x:c>
    </x:row>
    <x:row r="37">
      <x:c r="J37" s="142" t="n">
        <x:v>33</x:v>
      </x:c>
      <x:c r="K37" s="142" t="n">
        <x:v>21</x:v>
      </x:c>
      <x:c r="L37" s="142" t="n">
        <x:v>23</x:v>
      </x:c>
      <x:c r="M37" s="142" t="n">
        <x:v>28</x:v>
      </x:c>
    </x:row>
    <x:row r="38" ht="31" customHeight="1">
      <x:c r="A38" s="146" t="str">
        <x:v>NEXT GATE  /  PROVE THE FOUR-FISH VERTICAL SLICE</x:v>
      </x:c>
      <x:c r="B38" s="146"/>
      <x:c r="C38" s="146"/>
      <x:c r="D38" s="146"/>
      <x:c r="E38" s="146"/>
      <x:c r="F38" s="146"/>
      <x:c r="G38" s="146"/>
      <x:c r="H38" s="146"/>
      <x:c r="J38" s="142" t="n">
        <x:v>34</x:v>
      </x:c>
      <x:c r="K38" s="142" t="n">
        <x:v>22</x:v>
      </x:c>
      <x:c r="L38" s="142" t="n">
        <x:v>23</x:v>
      </x:c>
      <x:c r="M38" s="142" t="n">
        <x:v>28</x:v>
      </x:c>
    </x:row>
    <x:row r="39" ht="23" customHeight="1">
      <x:c r="A39" s="98" t="str">
        <x:v>Test whether caring, keeping and decorating are enjoyable without extra rewards. Then validate the server ledger, asset manifest, real arrival patterns and mature D7/D30 cohorts. These simulations establish candidate pacing and cash solvency under assumptions—not an addictive-game or revenue guarantee.</x:v>
      </x:c>
      <x:c r="B39" s="98"/>
      <x:c r="C39" s="98"/>
      <x:c r="D39" s="98"/>
      <x:c r="E39" s="98"/>
      <x:c r="F39" s="98"/>
      <x:c r="G39" s="98"/>
      <x:c r="H39" s="98"/>
      <x:c r="J39" s="142" t="n">
        <x:v>35</x:v>
      </x:c>
      <x:c r="K39" s="142" t="n">
        <x:v>22</x:v>
      </x:c>
      <x:c r="L39" s="142" t="n">
        <x:v>24</x:v>
      </x:c>
      <x:c r="M39" s="142" t="n">
        <x:v>29</x:v>
      </x:c>
    </x:row>
    <x:row r="40" ht="23" customHeight="1">
      <x:c r="A40" s="98"/>
      <x:c r="B40" s="98"/>
      <x:c r="C40" s="98"/>
      <x:c r="D40" s="98"/>
      <x:c r="E40" s="98"/>
      <x:c r="F40" s="98"/>
      <x:c r="G40" s="98"/>
      <x:c r="H40" s="98"/>
      <x:c r="J40" s="142" t="n">
        <x:v>36</x:v>
      </x:c>
      <x:c r="K40" s="142" t="n">
        <x:v>23</x:v>
      </x:c>
      <x:c r="L40" s="142" t="n">
        <x:v>24</x:v>
      </x:c>
      <x:c r="M40" s="142" t="n">
        <x:v>29</x:v>
      </x:c>
    </x:row>
    <x:row r="41" ht="23" customHeight="1">
      <x:c r="A41" s="98"/>
      <x:c r="B41" s="98"/>
      <x:c r="C41" s="98"/>
      <x:c r="D41" s="98"/>
      <x:c r="E41" s="98"/>
      <x:c r="F41" s="98"/>
      <x:c r="G41" s="98"/>
      <x:c r="H41" s="98"/>
      <x:c r="J41" s="142" t="n">
        <x:v>37</x:v>
      </x:c>
      <x:c r="K41" s="142" t="n">
        <x:v>23</x:v>
      </x:c>
      <x:c r="L41" s="142" t="n">
        <x:v>25</x:v>
      </x:c>
      <x:c r="M41" s="142" t="n">
        <x:v>29</x:v>
      </x:c>
    </x:row>
    <x:row r="42">
      <x:c r="J42" s="142" t="n">
        <x:v>38</x:v>
      </x:c>
      <x:c r="K42" s="142" t="n">
        <x:v>23</x:v>
      </x:c>
      <x:c r="L42" s="142" t="n">
        <x:v>25</x:v>
      </x:c>
      <x:c r="M42" s="142" t="n">
        <x:v>30</x:v>
      </x:c>
    </x:row>
    <x:row r="43">
      <x:c r="J43" s="142" t="n">
        <x:v>39</x:v>
      </x:c>
      <x:c r="K43" s="142" t="n">
        <x:v>24</x:v>
      </x:c>
      <x:c r="L43" s="142" t="n">
        <x:v>25</x:v>
      </x:c>
      <x:c r="M43" s="142" t="n">
        <x:v>30</x:v>
      </x:c>
    </x:row>
    <x:row r="44">
      <x:c r="J44" s="142" t="n">
        <x:v>40</x:v>
      </x:c>
      <x:c r="K44" s="142" t="n">
        <x:v>24</x:v>
      </x:c>
      <x:c r="L44" s="142" t="n">
        <x:v>26</x:v>
      </x:c>
      <x:c r="M44" s="142" t="n">
        <x:v>31</x:v>
      </x:c>
    </x:row>
    <x:row r="45">
      <x:c r="J45" s="142" t="n">
        <x:v>41</x:v>
      </x:c>
      <x:c r="K45" s="142" t="n">
        <x:v>24</x:v>
      </x:c>
      <x:c r="L45" s="142" t="n">
        <x:v>26</x:v>
      </x:c>
      <x:c r="M45" s="142" t="n">
        <x:v>31</x:v>
      </x:c>
    </x:row>
    <x:row r="46">
      <x:c r="J46" s="142" t="n">
        <x:v>42</x:v>
      </x:c>
      <x:c r="K46" s="142" t="n">
        <x:v>25</x:v>
      </x:c>
      <x:c r="L46" s="142" t="n">
        <x:v>26</x:v>
      </x:c>
      <x:c r="M46" s="142" t="n">
        <x:v>32</x:v>
      </x:c>
    </x:row>
    <x:row r="47">
      <x:c r="J47" s="142" t="n">
        <x:v>43</x:v>
      </x:c>
      <x:c r="K47" s="142" t="n">
        <x:v>25</x:v>
      </x:c>
      <x:c r="L47" s="142" t="n">
        <x:v>27</x:v>
      </x:c>
      <x:c r="M47" s="142" t="n">
        <x:v>32</x:v>
      </x:c>
    </x:row>
    <x:row r="48">
      <x:c r="J48" s="142" t="n">
        <x:v>44</x:v>
      </x:c>
      <x:c r="K48" s="142" t="n">
        <x:v>25</x:v>
      </x:c>
      <x:c r="L48" s="142" t="n">
        <x:v>27</x:v>
      </x:c>
      <x:c r="M48" s="142" t="n">
        <x:v>33</x:v>
      </x:c>
    </x:row>
    <x:row r="49">
      <x:c r="J49" s="142" t="n">
        <x:v>45</x:v>
      </x:c>
      <x:c r="K49" s="142" t="n">
        <x:v>26</x:v>
      </x:c>
      <x:c r="L49" s="142" t="n">
        <x:v>27</x:v>
      </x:c>
      <x:c r="M49" s="142" t="n">
        <x:v>33</x:v>
      </x:c>
    </x:row>
    <x:row r="50">
      <x:c r="J50" s="142" t="n">
        <x:v>46</x:v>
      </x:c>
      <x:c r="K50" s="142" t="n">
        <x:v>26</x:v>
      </x:c>
      <x:c r="L50" s="142" t="n">
        <x:v>27</x:v>
      </x:c>
      <x:c r="M50" s="142" t="n">
        <x:v>33</x:v>
      </x:c>
    </x:row>
    <x:row r="51">
      <x:c r="J51" s="142" t="n">
        <x:v>47</x:v>
      </x:c>
      <x:c r="K51" s="142" t="n">
        <x:v>26</x:v>
      </x:c>
      <x:c r="L51" s="142" t="n">
        <x:v>28</x:v>
      </x:c>
      <x:c r="M51" s="142" t="n">
        <x:v>34</x:v>
      </x:c>
    </x:row>
    <x:row r="52">
      <x:c r="J52" s="142" t="n">
        <x:v>48</x:v>
      </x:c>
      <x:c r="K52" s="142" t="n">
        <x:v>26</x:v>
      </x:c>
      <x:c r="L52" s="142" t="n">
        <x:v>28</x:v>
      </x:c>
      <x:c r="M52" s="142" t="n">
        <x:v>34</x:v>
      </x:c>
    </x:row>
    <x:row r="53">
      <x:c r="J53" s="142" t="n">
        <x:v>49</x:v>
      </x:c>
      <x:c r="K53" s="142" t="n">
        <x:v>27</x:v>
      </x:c>
      <x:c r="L53" s="142" t="n">
        <x:v>28</x:v>
      </x:c>
      <x:c r="M53" s="142" t="n">
        <x:v>35</x:v>
      </x:c>
    </x:row>
    <x:row r="54">
      <x:c r="J54" s="142" t="n">
        <x:v>50</x:v>
      </x:c>
      <x:c r="K54" s="142" t="n">
        <x:v>27</x:v>
      </x:c>
      <x:c r="L54" s="142" t="n">
        <x:v>29</x:v>
      </x:c>
      <x:c r="M54" s="142" t="n">
        <x:v>35</x:v>
      </x:c>
    </x:row>
    <x:row r="55">
      <x:c r="J55" s="142" t="n">
        <x:v>51</x:v>
      </x:c>
      <x:c r="K55" s="142" t="n">
        <x:v>27</x:v>
      </x:c>
      <x:c r="L55" s="142" t="n">
        <x:v>29</x:v>
      </x:c>
      <x:c r="M55" s="142" t="n">
        <x:v>35</x:v>
      </x:c>
    </x:row>
    <x:row r="56">
      <x:c r="J56" s="142" t="n">
        <x:v>52</x:v>
      </x:c>
      <x:c r="K56" s="142" t="n">
        <x:v>28</x:v>
      </x:c>
      <x:c r="L56" s="142" t="n">
        <x:v>29</x:v>
      </x:c>
      <x:c r="M56" s="142" t="n">
        <x:v>36</x:v>
      </x:c>
    </x:row>
    <x:row r="57">
      <x:c r="J57" s="142" t="n">
        <x:v>53</x:v>
      </x:c>
      <x:c r="K57" s="142" t="n">
        <x:v>28</x:v>
      </x:c>
      <x:c r="L57" s="142" t="n">
        <x:v>29</x:v>
      </x:c>
      <x:c r="M57" s="142" t="n">
        <x:v>36</x:v>
      </x:c>
    </x:row>
    <x:row r="58">
      <x:c r="J58" s="142" t="n">
        <x:v>54</x:v>
      </x:c>
      <x:c r="K58" s="142" t="n">
        <x:v>28</x:v>
      </x:c>
      <x:c r="L58" s="142" t="n">
        <x:v>30</x:v>
      </x:c>
      <x:c r="M58" s="142" t="n">
        <x:v>36</x:v>
      </x:c>
    </x:row>
    <x:row r="59">
      <x:c r="J59" s="142" t="n">
        <x:v>55</x:v>
      </x:c>
      <x:c r="K59" s="142" t="n">
        <x:v>28</x:v>
      </x:c>
      <x:c r="L59" s="142" t="n">
        <x:v>30</x:v>
      </x:c>
      <x:c r="M59" s="142" t="n">
        <x:v>36</x:v>
      </x:c>
    </x:row>
    <x:row r="60">
      <x:c r="J60" s="142" t="n">
        <x:v>56</x:v>
      </x:c>
      <x:c r="K60" s="142" t="n">
        <x:v>29</x:v>
      </x:c>
      <x:c r="L60" s="142" t="n">
        <x:v>31</x:v>
      </x:c>
      <x:c r="M60" s="142" t="n">
        <x:v>37</x:v>
      </x:c>
    </x:row>
    <x:row r="61">
      <x:c r="J61" s="142" t="n">
        <x:v>57</x:v>
      </x:c>
      <x:c r="K61" s="142" t="n">
        <x:v>29</x:v>
      </x:c>
      <x:c r="L61" s="142" t="n">
        <x:v>31</x:v>
      </x:c>
      <x:c r="M61" s="142" t="n">
        <x:v>37</x:v>
      </x:c>
    </x:row>
    <x:row r="62">
      <x:c r="J62" s="142" t="n">
        <x:v>58</x:v>
      </x:c>
      <x:c r="K62" s="142" t="n">
        <x:v>29</x:v>
      </x:c>
      <x:c r="L62" s="142" t="n">
        <x:v>31</x:v>
      </x:c>
      <x:c r="M62" s="142" t="n">
        <x:v>38</x:v>
      </x:c>
    </x:row>
    <x:row r="63">
      <x:c r="J63" s="142" t="n">
        <x:v>59</x:v>
      </x:c>
      <x:c r="K63" s="142" t="n">
        <x:v>30</x:v>
      </x:c>
      <x:c r="L63" s="142" t="n">
        <x:v>31</x:v>
      </x:c>
      <x:c r="M63" s="142" t="n">
        <x:v>38</x:v>
      </x:c>
    </x:row>
    <x:row r="64">
      <x:c r="J64" s="142" t="n">
        <x:v>60</x:v>
      </x:c>
      <x:c r="K64" s="142" t="n">
        <x:v>30</x:v>
      </x:c>
      <x:c r="L64" s="142" t="n">
        <x:v>32</x:v>
      </x:c>
      <x:c r="M64" s="142" t="n">
        <x:v>38</x:v>
      </x:c>
    </x:row>
    <x:row r="65">
      <x:c r="J65" s="142" t="n">
        <x:v>61</x:v>
      </x:c>
      <x:c r="K65" s="142" t="n">
        <x:v>30</x:v>
      </x:c>
      <x:c r="L65" s="142" t="n">
        <x:v>32</x:v>
      </x:c>
      <x:c r="M65" s="142" t="n">
        <x:v>38</x:v>
      </x:c>
    </x:row>
    <x:row r="66">
      <x:c r="J66" s="142" t="n">
        <x:v>62</x:v>
      </x:c>
      <x:c r="K66" s="142" t="n">
        <x:v>30</x:v>
      </x:c>
      <x:c r="L66" s="142" t="n">
        <x:v>32</x:v>
      </x:c>
      <x:c r="M66" s="142" t="n">
        <x:v>39</x:v>
      </x:c>
    </x:row>
    <x:row r="67">
      <x:c r="J67" s="142" t="n">
        <x:v>63</x:v>
      </x:c>
      <x:c r="K67" s="142" t="n">
        <x:v>31</x:v>
      </x:c>
      <x:c r="L67" s="142" t="n">
        <x:v>33</x:v>
      </x:c>
      <x:c r="M67" s="142" t="n">
        <x:v>39</x:v>
      </x:c>
    </x:row>
    <x:row r="68">
      <x:c r="J68" s="142" t="n">
        <x:v>64</x:v>
      </x:c>
      <x:c r="K68" s="142" t="n">
        <x:v>31</x:v>
      </x:c>
      <x:c r="L68" s="142" t="n">
        <x:v>33</x:v>
      </x:c>
      <x:c r="M68" s="142" t="n">
        <x:v>39</x:v>
      </x:c>
    </x:row>
    <x:row r="69">
      <x:c r="J69" s="142" t="n">
        <x:v>65</x:v>
      </x:c>
      <x:c r="K69" s="142" t="n">
        <x:v>31</x:v>
      </x:c>
      <x:c r="L69" s="142" t="n">
        <x:v>33</x:v>
      </x:c>
      <x:c r="M69" s="142" t="n">
        <x:v>40</x:v>
      </x:c>
    </x:row>
    <x:row r="70">
      <x:c r="J70" s="142" t="n">
        <x:v>66</x:v>
      </x:c>
      <x:c r="K70" s="142" t="n">
        <x:v>32</x:v>
      </x:c>
      <x:c r="L70" s="142" t="n">
        <x:v>33</x:v>
      </x:c>
      <x:c r="M70" s="142" t="n">
        <x:v>40</x:v>
      </x:c>
    </x:row>
    <x:row r="71">
      <x:c r="J71" s="142" t="n">
        <x:v>67</x:v>
      </x:c>
      <x:c r="K71" s="142" t="n">
        <x:v>32</x:v>
      </x:c>
      <x:c r="L71" s="142" t="n">
        <x:v>34</x:v>
      </x:c>
      <x:c r="M71" s="142" t="n">
        <x:v>40</x:v>
      </x:c>
    </x:row>
    <x:row r="72">
      <x:c r="J72" s="142" t="n">
        <x:v>68</x:v>
      </x:c>
      <x:c r="K72" s="142" t="n">
        <x:v>32</x:v>
      </x:c>
      <x:c r="L72" s="142" t="n">
        <x:v>34</x:v>
      </x:c>
      <x:c r="M72" s="142" t="n">
        <x:v>40</x:v>
      </x:c>
    </x:row>
    <x:row r="73">
      <x:c r="J73" s="142" t="n">
        <x:v>69</x:v>
      </x:c>
      <x:c r="K73" s="142" t="n">
        <x:v>32</x:v>
      </x:c>
      <x:c r="L73" s="142" t="n">
        <x:v>34</x:v>
      </x:c>
      <x:c r="M73" s="142" t="n">
        <x:v>40</x:v>
      </x:c>
    </x:row>
    <x:row r="74">
      <x:c r="J74" s="142" t="n">
        <x:v>70</x:v>
      </x:c>
      <x:c r="K74" s="142" t="n">
        <x:v>33</x:v>
      </x:c>
      <x:c r="L74" s="142" t="n">
        <x:v>35</x:v>
      </x:c>
      <x:c r="M74" s="142" t="n">
        <x:v>40</x:v>
      </x:c>
    </x:row>
    <x:row r="75">
      <x:c r="J75" s="142" t="n">
        <x:v>71</x:v>
      </x:c>
      <x:c r="K75" s="142" t="n">
        <x:v>33</x:v>
      </x:c>
      <x:c r="L75" s="142" t="n">
        <x:v>35</x:v>
      </x:c>
      <x:c r="M75" s="142" t="n">
        <x:v>40</x:v>
      </x:c>
    </x:row>
    <x:row r="76">
      <x:c r="J76" s="142" t="n">
        <x:v>72</x:v>
      </x:c>
      <x:c r="K76" s="142" t="n">
        <x:v>33</x:v>
      </x:c>
      <x:c r="L76" s="142" t="n">
        <x:v>35</x:v>
      </x:c>
      <x:c r="M76" s="142" t="n">
        <x:v>40</x:v>
      </x:c>
    </x:row>
    <x:row r="77">
      <x:c r="J77" s="142" t="n">
        <x:v>73</x:v>
      </x:c>
      <x:c r="K77" s="142" t="n">
        <x:v>34</x:v>
      </x:c>
      <x:c r="L77" s="142" t="n">
        <x:v>35</x:v>
      </x:c>
      <x:c r="M77" s="142" t="n">
        <x:v>40</x:v>
      </x:c>
    </x:row>
    <x:row r="78">
      <x:c r="J78" s="142" t="n">
        <x:v>74</x:v>
      </x:c>
      <x:c r="K78" s="142" t="n">
        <x:v>34</x:v>
      </x:c>
      <x:c r="L78" s="142" t="n">
        <x:v>36</x:v>
      </x:c>
      <x:c r="M78" s="142" t="n">
        <x:v>40</x:v>
      </x:c>
    </x:row>
    <x:row r="79">
      <x:c r="J79" s="142" t="n">
        <x:v>75</x:v>
      </x:c>
      <x:c r="K79" s="142" t="n">
        <x:v>34</x:v>
      </x:c>
      <x:c r="L79" s="142" t="n">
        <x:v>36</x:v>
      </x:c>
      <x:c r="M79" s="142" t="n">
        <x:v>40</x:v>
      </x:c>
    </x:row>
    <x:row r="80">
      <x:c r="J80" s="142" t="n">
        <x:v>76</x:v>
      </x:c>
      <x:c r="K80" s="142" t="n">
        <x:v>34</x:v>
      </x:c>
      <x:c r="L80" s="142" t="n">
        <x:v>36</x:v>
      </x:c>
      <x:c r="M80" s="142" t="n">
        <x:v>40</x:v>
      </x:c>
    </x:row>
    <x:row r="81">
      <x:c r="J81" s="142" t="n">
        <x:v>77</x:v>
      </x:c>
      <x:c r="K81" s="142" t="n">
        <x:v>35</x:v>
      </x:c>
      <x:c r="L81" s="142" t="n">
        <x:v>36</x:v>
      </x:c>
      <x:c r="M81" s="142" t="n">
        <x:v>40</x:v>
      </x:c>
    </x:row>
    <x:row r="82">
      <x:c r="J82" s="142" t="n">
        <x:v>78</x:v>
      </x:c>
      <x:c r="K82" s="142" t="n">
        <x:v>35</x:v>
      </x:c>
      <x:c r="L82" s="142" t="n">
        <x:v>37</x:v>
      </x:c>
      <x:c r="M82" s="142" t="n">
        <x:v>40</x:v>
      </x:c>
    </x:row>
    <x:row r="83">
      <x:c r="J83" s="142" t="n">
        <x:v>79</x:v>
      </x:c>
      <x:c r="K83" s="142" t="n">
        <x:v>35</x:v>
      </x:c>
      <x:c r="L83" s="142" t="n">
        <x:v>37</x:v>
      </x:c>
      <x:c r="M83" s="142" t="n">
        <x:v>40</x:v>
      </x:c>
    </x:row>
    <x:row r="84">
      <x:c r="J84" s="142" t="n">
        <x:v>80</x:v>
      </x:c>
      <x:c r="K84" s="142" t="n">
        <x:v>35</x:v>
      </x:c>
      <x:c r="L84" s="142" t="n">
        <x:v>37</x:v>
      </x:c>
      <x:c r="M84" s="142" t="n">
        <x:v>40</x:v>
      </x:c>
    </x:row>
    <x:row r="85">
      <x:c r="J85" s="142" t="n">
        <x:v>81</x:v>
      </x:c>
      <x:c r="K85" s="142" t="n">
        <x:v>36</x:v>
      </x:c>
      <x:c r="L85" s="142" t="n">
        <x:v>37</x:v>
      </x:c>
      <x:c r="M85" s="142" t="n">
        <x:v>40</x:v>
      </x:c>
    </x:row>
    <x:row r="86">
      <x:c r="J86" s="142" t="n">
        <x:v>82</x:v>
      </x:c>
      <x:c r="K86" s="142" t="n">
        <x:v>36</x:v>
      </x:c>
      <x:c r="L86" s="142" t="n">
        <x:v>37</x:v>
      </x:c>
      <x:c r="M86" s="142" t="n">
        <x:v>40</x:v>
      </x:c>
    </x:row>
    <x:row r="87">
      <x:c r="J87" s="142" t="n">
        <x:v>83</x:v>
      </x:c>
      <x:c r="K87" s="142" t="n">
        <x:v>36</x:v>
      </x:c>
      <x:c r="L87" s="142" t="n">
        <x:v>38</x:v>
      </x:c>
      <x:c r="M87" s="142" t="n">
        <x:v>40</x:v>
      </x:c>
    </x:row>
    <x:row r="88">
      <x:c r="J88" s="142" t="n">
        <x:v>84</x:v>
      </x:c>
      <x:c r="K88" s="142" t="n">
        <x:v>36</x:v>
      </x:c>
      <x:c r="L88" s="142" t="n">
        <x:v>38</x:v>
      </x:c>
      <x:c r="M88" s="142" t="n">
        <x:v>40</x:v>
      </x:c>
    </x:row>
    <x:row r="89">
      <x:c r="J89" s="142" t="n">
        <x:v>85</x:v>
      </x:c>
      <x:c r="K89" s="142" t="n">
        <x:v>37</x:v>
      </x:c>
      <x:c r="L89" s="142" t="n">
        <x:v>38</x:v>
      </x:c>
      <x:c r="M89" s="142" t="n">
        <x:v>40</x:v>
      </x:c>
    </x:row>
    <x:row r="90">
      <x:c r="J90" s="142" t="n">
        <x:v>86</x:v>
      </x:c>
      <x:c r="K90" s="142" t="n">
        <x:v>37</x:v>
      </x:c>
      <x:c r="L90" s="142" t="n">
        <x:v>38</x:v>
      </x:c>
      <x:c r="M90" s="142" t="n">
        <x:v>40</x:v>
      </x:c>
    </x:row>
    <x:row r="91">
      <x:c r="J91" s="142" t="n">
        <x:v>87</x:v>
      </x:c>
      <x:c r="K91" s="142" t="n">
        <x:v>37</x:v>
      </x:c>
      <x:c r="L91" s="142" t="n">
        <x:v>39</x:v>
      </x:c>
      <x:c r="M91" s="142" t="n">
        <x:v>40</x:v>
      </x:c>
    </x:row>
    <x:row r="92">
      <x:c r="J92" s="142" t="n">
        <x:v>88</x:v>
      </x:c>
      <x:c r="K92" s="142" t="n">
        <x:v>37</x:v>
      </x:c>
      <x:c r="L92" s="142" t="n">
        <x:v>39</x:v>
      </x:c>
      <x:c r="M92" s="142" t="n">
        <x:v>40</x:v>
      </x:c>
    </x:row>
    <x:row r="93">
      <x:c r="J93" s="142" t="n">
        <x:v>89</x:v>
      </x:c>
      <x:c r="K93" s="142" t="n">
        <x:v>37</x:v>
      </x:c>
      <x:c r="L93" s="142" t="n">
        <x:v>39</x:v>
      </x:c>
      <x:c r="M93" s="142" t="n">
        <x:v>40</x:v>
      </x:c>
    </x:row>
    <x:row r="94">
      <x:c r="J94" s="142" t="n">
        <x:v>90</x:v>
      </x:c>
      <x:c r="K94" s="142" t="n">
        <x:v>37</x:v>
      </x:c>
      <x:c r="L94" s="142" t="n">
        <x:v>39</x:v>
      </x:c>
      <x:c r="M94" s="142" t="n">
        <x:v>40</x:v>
      </x:c>
    </x:row>
    <x:row r="95">
      <x:c r="J95" s="142" t="n">
        <x:v>91</x:v>
      </x:c>
      <x:c r="K95" s="142" t="n">
        <x:v>38</x:v>
      </x:c>
      <x:c r="L95" s="142" t="n">
        <x:v>39</x:v>
      </x:c>
      <x:c r="M95" s="142" t="n">
        <x:v>40</x:v>
      </x:c>
    </x:row>
    <x:row r="96">
      <x:c r="J96" s="142" t="n">
        <x:v>92</x:v>
      </x:c>
      <x:c r="K96" s="142" t="n">
        <x:v>38</x:v>
      </x:c>
      <x:c r="L96" s="142" t="n">
        <x:v>40</x:v>
      </x:c>
      <x:c r="M96" s="142" t="n">
        <x:v>40</x:v>
      </x:c>
    </x:row>
    <x:row r="97">
      <x:c r="J97" s="142" t="n">
        <x:v>93</x:v>
      </x:c>
      <x:c r="K97" s="142" t="n">
        <x:v>38</x:v>
      </x:c>
      <x:c r="L97" s="142" t="n">
        <x:v>40</x:v>
      </x:c>
      <x:c r="M97" s="142" t="n">
        <x:v>40</x:v>
      </x:c>
    </x:row>
    <x:row r="98">
      <x:c r="J98" s="142" t="n">
        <x:v>94</x:v>
      </x:c>
      <x:c r="K98" s="142" t="n">
        <x:v>38</x:v>
      </x:c>
      <x:c r="L98" s="142" t="n">
        <x:v>40</x:v>
      </x:c>
      <x:c r="M98" s="142" t="n">
        <x:v>40</x:v>
      </x:c>
    </x:row>
    <x:row r="99">
      <x:c r="J99" s="142" t="n">
        <x:v>95</x:v>
      </x:c>
      <x:c r="K99" s="142" t="n">
        <x:v>39</x:v>
      </x:c>
      <x:c r="L99" s="142" t="n">
        <x:v>40</x:v>
      </x:c>
      <x:c r="M99" s="142" t="n">
        <x:v>40</x:v>
      </x:c>
    </x:row>
    <x:row r="100">
      <x:c r="J100" s="142" t="n">
        <x:v>96</x:v>
      </x:c>
      <x:c r="K100" s="142" t="n">
        <x:v>39</x:v>
      </x:c>
      <x:c r="L100" s="142" t="n">
        <x:v>40</x:v>
      </x:c>
      <x:c r="M100" s="142" t="n">
        <x:v>40</x:v>
      </x:c>
    </x:row>
    <x:row r="101">
      <x:c r="J101" s="142" t="n">
        <x:v>97</x:v>
      </x:c>
      <x:c r="K101" s="142" t="n">
        <x:v>39</x:v>
      </x:c>
      <x:c r="L101" s="142" t="n">
        <x:v>40</x:v>
      </x:c>
      <x:c r="M101" s="142" t="n">
        <x:v>40</x:v>
      </x:c>
    </x:row>
    <x:row r="102">
      <x:c r="J102" s="142" t="n">
        <x:v>98</x:v>
      </x:c>
      <x:c r="K102" s="142" t="n">
        <x:v>39</x:v>
      </x:c>
      <x:c r="L102" s="142" t="n">
        <x:v>40</x:v>
      </x:c>
      <x:c r="M102" s="142" t="n">
        <x:v>40</x:v>
      </x:c>
    </x:row>
    <x:row r="103">
      <x:c r="J103" s="142" t="n">
        <x:v>99</x:v>
      </x:c>
      <x:c r="K103" s="142" t="n">
        <x:v>39</x:v>
      </x:c>
      <x:c r="L103" s="142" t="n">
        <x:v>40</x:v>
      </x:c>
      <x:c r="M103" s="142" t="n">
        <x:v>40</x:v>
      </x:c>
    </x:row>
    <x:row r="104">
      <x:c r="J104" s="142" t="n">
        <x:v>100</x:v>
      </x:c>
      <x:c r="K104" s="142" t="n">
        <x:v>40</x:v>
      </x:c>
      <x:c r="L104" s="142" t="n">
        <x:v>40</x:v>
      </x:c>
      <x:c r="M104" s="142" t="n">
        <x:v>40</x:v>
      </x:c>
    </x:row>
    <x:row r="105">
      <x:c r="J105" s="142" t="n">
        <x:v>101</x:v>
      </x:c>
      <x:c r="K105" s="142" t="n">
        <x:v>40</x:v>
      </x:c>
      <x:c r="L105" s="142" t="n">
        <x:v>40</x:v>
      </x:c>
      <x:c r="M105" s="142" t="n">
        <x:v>40</x:v>
      </x:c>
    </x:row>
    <x:row r="106">
      <x:c r="J106" s="142" t="n">
        <x:v>102</x:v>
      </x:c>
      <x:c r="K106" s="142" t="n">
        <x:v>40</x:v>
      </x:c>
      <x:c r="L106" s="142" t="n">
        <x:v>40</x:v>
      </x:c>
      <x:c r="M106" s="142" t="n">
        <x:v>40</x:v>
      </x:c>
    </x:row>
    <x:row r="107">
      <x:c r="J107" s="142" t="n">
        <x:v>103</x:v>
      </x:c>
      <x:c r="K107" s="142" t="n">
        <x:v>40</x:v>
      </x:c>
      <x:c r="L107" s="142" t="n">
        <x:v>40</x:v>
      </x:c>
      <x:c r="M107" s="142" t="n">
        <x:v>40</x:v>
      </x:c>
    </x:row>
    <x:row r="108">
      <x:c r="J108" s="142" t="n">
        <x:v>104</x:v>
      </x:c>
      <x:c r="K108" s="142" t="n">
        <x:v>40</x:v>
      </x:c>
      <x:c r="L108" s="142" t="n">
        <x:v>40</x:v>
      </x:c>
      <x:c r="M108" s="142" t="n">
        <x:v>40</x:v>
      </x:c>
    </x:row>
    <x:row r="109">
      <x:c r="J109" s="142" t="n">
        <x:v>105</x:v>
      </x:c>
      <x:c r="K109" s="142" t="n">
        <x:v>40</x:v>
      </x:c>
      <x:c r="L109" s="142" t="n">
        <x:v>40</x:v>
      </x:c>
      <x:c r="M109" s="142" t="n">
        <x:v>40</x:v>
      </x:c>
    </x:row>
    <x:row r="110">
      <x:c r="J110" s="142" t="n">
        <x:v>106</x:v>
      </x:c>
      <x:c r="K110" s="142" t="n">
        <x:v>40</x:v>
      </x:c>
      <x:c r="L110" s="142" t="n">
        <x:v>40</x:v>
      </x:c>
      <x:c r="M110" s="142" t="n">
        <x:v>40</x:v>
      </x:c>
    </x:row>
    <x:row r="111">
      <x:c r="J111" s="142" t="n">
        <x:v>107</x:v>
      </x:c>
      <x:c r="K111" s="142" t="n">
        <x:v>40</x:v>
      </x:c>
      <x:c r="L111" s="142" t="n">
        <x:v>40</x:v>
      </x:c>
      <x:c r="M111" s="142" t="n">
        <x:v>40</x:v>
      </x:c>
    </x:row>
    <x:row r="112">
      <x:c r="J112" s="142" t="n">
        <x:v>108</x:v>
      </x:c>
      <x:c r="K112" s="142" t="n">
        <x:v>40</x:v>
      </x:c>
      <x:c r="L112" s="142" t="n">
        <x:v>40</x:v>
      </x:c>
      <x:c r="M112" s="142" t="n">
        <x:v>40</x:v>
      </x:c>
    </x:row>
    <x:row r="113">
      <x:c r="J113" s="142" t="n">
        <x:v>109</x:v>
      </x:c>
      <x:c r="K113" s="142" t="n">
        <x:v>40</x:v>
      </x:c>
      <x:c r="L113" s="142" t="n">
        <x:v>40</x:v>
      </x:c>
      <x:c r="M113" s="142" t="n">
        <x:v>40</x:v>
      </x:c>
    </x:row>
    <x:row r="114">
      <x:c r="J114" s="142" t="n">
        <x:v>110</x:v>
      </x:c>
      <x:c r="K114" s="142" t="n">
        <x:v>40</x:v>
      </x:c>
      <x:c r="L114" s="142" t="n">
        <x:v>40</x:v>
      </x:c>
      <x:c r="M114" s="142" t="n">
        <x:v>40</x:v>
      </x:c>
    </x:row>
    <x:row r="115">
      <x:c r="J115" s="142" t="n">
        <x:v>111</x:v>
      </x:c>
      <x:c r="K115" s="142" t="n">
        <x:v>40</x:v>
      </x:c>
      <x:c r="L115" s="142" t="n">
        <x:v>40</x:v>
      </x:c>
      <x:c r="M115" s="142" t="n">
        <x:v>40</x:v>
      </x:c>
    </x:row>
    <x:row r="116">
      <x:c r="J116" s="142" t="n">
        <x:v>112</x:v>
      </x:c>
      <x:c r="K116" s="142" t="n">
        <x:v>40</x:v>
      </x:c>
      <x:c r="L116" s="142" t="n">
        <x:v>40</x:v>
      </x:c>
      <x:c r="M116" s="142" t="n">
        <x:v>40</x:v>
      </x:c>
    </x:row>
    <x:row r="117">
      <x:c r="J117" s="142" t="n">
        <x:v>113</x:v>
      </x:c>
      <x:c r="K117" s="142" t="n">
        <x:v>40</x:v>
      </x:c>
      <x:c r="L117" s="142" t="n">
        <x:v>40</x:v>
      </x:c>
      <x:c r="M117" s="142" t="n">
        <x:v>40</x:v>
      </x:c>
    </x:row>
    <x:row r="118">
      <x:c r="J118" s="142" t="n">
        <x:v>114</x:v>
      </x:c>
      <x:c r="K118" s="142" t="n">
        <x:v>40</x:v>
      </x:c>
      <x:c r="L118" s="142" t="n">
        <x:v>40</x:v>
      </x:c>
      <x:c r="M118" s="142" t="n">
        <x:v>40</x:v>
      </x:c>
    </x:row>
    <x:row r="119">
      <x:c r="J119" s="142" t="n">
        <x:v>115</x:v>
      </x:c>
      <x:c r="K119" s="142" t="n">
        <x:v>40</x:v>
      </x:c>
      <x:c r="L119" s="142" t="n">
        <x:v>40</x:v>
      </x:c>
      <x:c r="M119" s="142" t="n">
        <x:v>40</x:v>
      </x:c>
    </x:row>
    <x:row r="120">
      <x:c r="J120" s="142" t="n">
        <x:v>116</x:v>
      </x:c>
      <x:c r="K120" s="142" t="n">
        <x:v>40</x:v>
      </x:c>
      <x:c r="L120" s="142" t="n">
        <x:v>40</x:v>
      </x:c>
      <x:c r="M120" s="142" t="n">
        <x:v>40</x:v>
      </x:c>
    </x:row>
    <x:row r="121">
      <x:c r="J121" s="142" t="n">
        <x:v>117</x:v>
      </x:c>
      <x:c r="K121" s="142" t="n">
        <x:v>40</x:v>
      </x:c>
      <x:c r="L121" s="142" t="n">
        <x:v>40</x:v>
      </x:c>
      <x:c r="M121" s="142" t="n">
        <x:v>40</x:v>
      </x:c>
    </x:row>
    <x:row r="122">
      <x:c r="J122" s="142" t="n">
        <x:v>118</x:v>
      </x:c>
      <x:c r="K122" s="142" t="n">
        <x:v>40</x:v>
      </x:c>
      <x:c r="L122" s="142" t="n">
        <x:v>40</x:v>
      </x:c>
      <x:c r="M122" s="142" t="n">
        <x:v>40</x:v>
      </x:c>
    </x:row>
    <x:row r="123">
      <x:c r="J123" s="142" t="n">
        <x:v>119</x:v>
      </x:c>
      <x:c r="K123" s="142" t="n">
        <x:v>40</x:v>
      </x:c>
      <x:c r="L123" s="142" t="n">
        <x:v>40</x:v>
      </x:c>
      <x:c r="M123" s="142" t="n">
        <x:v>40</x:v>
      </x:c>
    </x:row>
    <x:row r="124">
      <x:c r="J124" s="142" t="n">
        <x:v>120</x:v>
      </x:c>
      <x:c r="K124" s="142" t="n">
        <x:v>40</x:v>
      </x:c>
      <x:c r="L124" s="142" t="n">
        <x:v>40</x:v>
      </x:c>
      <x:c r="M124" s="142" t="n">
        <x:v>40</x:v>
      </x:c>
    </x:row>
  </x:sheetData>
  <x:mergeCells>
    <x:mergeCell ref="A1:H2"/>
    <x:mergeCell ref="A3:H3"/>
    <x:mergeCell ref="A5:B5"/>
    <x:mergeCell ref="A6:B7"/>
    <x:mergeCell ref="C5:D5"/>
    <x:mergeCell ref="C6:D7"/>
    <x:mergeCell ref="E5:F5"/>
    <x:mergeCell ref="E6:F7"/>
    <x:mergeCell ref="G5:H5"/>
    <x:mergeCell ref="G6:H7"/>
    <x:mergeCell ref="A9:B9"/>
    <x:mergeCell ref="A10:B11"/>
    <x:mergeCell ref="C9:D9"/>
    <x:mergeCell ref="C10:D11"/>
    <x:mergeCell ref="E9:F9"/>
    <x:mergeCell ref="E10:F11"/>
    <x:mergeCell ref="G9:H9"/>
    <x:mergeCell ref="G10:H11"/>
    <x:mergeCell ref="A13:H14"/>
    <x:mergeCell ref="A33:H33"/>
    <x:mergeCell ref="A34:H36"/>
    <x:mergeCell ref="A38:H38"/>
    <x:mergeCell ref="A39:H41"/>
  </x:mergeCells>
  <x:pageMargins left="0.7" right="0.7" top="0.75" bottom="0.75" header="0.3" footer="0.3"/>
  <x:drawing xmlns:r="http://schemas.openxmlformats.org/officeDocument/2006/relationships" r:id="R50e522a1c3de4238"/>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27" hidden="0" customWidth="1"/>
    <x:col min="4" max="4" width="31" hidden="0" customWidth="1"/>
    <x:col min="5" max="5" width="48" hidden="0" customWidth="1"/>
    <x:col min="6" max="6" width="55" hidden="0" customWidth="1"/>
    <x:col min="7" max="7" width="48" hidden="0" customWidth="1"/>
    <x:col min="8" max="8" width="27" hidden="0" customWidth="1"/>
    <x:col min="9" max="9" width="29" hidden="0" customWidth="1"/>
  </x:cols>
  <x:sheetData>
    <x:row r="1" ht="34" customHeight="1">
      <x:c r="A1" s="6" t="str">
        <x:v>CRITICAL AUDIT | what changed and why</x:v>
      </x:c>
      <x:c r="B1" s="6"/>
      <x:c r="C1" s="6"/>
      <x:c r="D1" s="6"/>
      <x:c r="E1" s="6"/>
      <x:c r="F1" s="6"/>
      <x:c r="G1" s="6"/>
      <x:c r="H1" s="6"/>
      <x:c r="I1" s="6"/>
    </x:row>
    <x:row r="2" ht="32" customHeight="1">
      <x:c r="A2" s="13" t="str">
        <x:v>Source observations are separated from hypotheses. Revised specification is not proof of runtime correctness or player demand.</x:v>
      </x:c>
      <x:c r="B2" s="13"/>
      <x:c r="C2" s="13"/>
      <x:c r="D2" s="13"/>
      <x:c r="E2" s="13"/>
      <x:c r="F2" s="13"/>
      <x:c r="G2" s="13"/>
      <x:c r="H2" s="13"/>
      <x:c r="I2" s="13"/>
    </x:row>
    <x:row r="3">
      <x:c r="A3" s="2"/>
      <x:c r="B3" s="2"/>
      <x:c r="C3" s="2"/>
      <x:c r="D3" s="2"/>
      <x:c r="E3" s="2"/>
      <x:c r="F3" s="2"/>
      <x:c r="G3" s="2"/>
      <x:c r="H3" s="2"/>
      <x:c r="I3" s="2"/>
    </x:row>
    <x:row r="4" ht="32" customHeight="1">
      <x:c r="A4" s="21" t="str">
        <x:v>ID</x:v>
      </x:c>
      <x:c r="B4" s="21" t="str">
        <x:v>Priority</x:v>
      </x:c>
      <x:c r="C4" s="21" t="str">
        <x:v>Source sheet / area</x:v>
      </x:c>
      <x:c r="D4" s="21" t="str">
        <x:v>Original issue</x:v>
      </x:c>
      <x:c r="E4" s="21" t="str">
        <x:v>Why it matters</x:v>
      </x:c>
      <x:c r="F4" s="21" t="str">
        <x:v>Replacement decision</x:v>
      </x:c>
      <x:c r="G4" s="21" t="str">
        <x:v>Acceptance criterion</x:v>
      </x:c>
      <x:c r="H4" s="21" t="str">
        <x:v>Evidence type</x:v>
      </x:c>
      <x:c r="I4" s="21" t="str">
        <x:v>Disposition</x:v>
      </x:c>
    </x:row>
    <x:row r="5" ht="90" customHeight="1">
      <x:c r="A5" s="28" t="str">
        <x:v>A-01</x:v>
      </x:c>
      <x:c r="B5" s="28" t="str">
        <x:v>P0</x:v>
      </x:c>
      <x:c r="C5" s="28" t="str">
        <x:v>Economy Simulation</x:v>
      </x:c>
      <x:c r="D5" s="28" t="str">
        <x:v>Unlocked capacity treated as owned</x:v>
      </x:c>
      <x:c r="E5" s="28" t="str">
        <x:v>Forecast bypasses actual tank cost, prerequisites and cash affordability.</x:v>
      </x:c>
      <x:c r="F5" s="28" t="str">
        <x:v>Buy every tank transactionally; reserve working capital; count owned slots only.</x:v>
      </x:c>
      <x:c r="G5" s="28" t="str">
        <x:v>Daily Ledger tank spend and owned slots reconcile.</x:v>
      </x:c>
      <x:c r="H5" s="28" t="str">
        <x:v>Observed formula limitation</x:v>
      </x:c>
      <x:c r="I5" s="28" t="str">
        <x:v>Open validation</x:v>
      </x:c>
    </x:row>
    <x:row r="6" ht="90" customHeight="1">
      <x:c r="A6" s="28" t="str">
        <x:v>A-02</x:v>
      </x:c>
      <x:c r="B6" s="28" t="str">
        <x:v>P0</x:v>
      </x:c>
      <x:c r="C6" s="28" t="str">
        <x:v>Economy Simulation</x:v>
      </x:c>
      <x:c r="D6" s="28" t="str">
        <x:v>Flat utilization × 24 hours</x:v>
      </x:c>
      <x:c r="E6" s="28" t="str">
        <x:v>A utilization constant cannot represent arrival times, unclaimed mature fish or zero cash.</x:v>
      </x:c>
      <x:c r="F6" s="28" t="str">
        <x:v>Discrete visits, maturity timestamps, actual purchases and cash ledger.</x:v>
      </x:c>
      <x:c r="G6" s="28" t="str">
        <x:v>Compare 1, 2 and 6 visits/day plus absence and spending cases.</x:v>
      </x:c>
      <x:c r="H6" s="28" t="str">
        <x:v>Observed model limitation</x:v>
      </x:c>
      <x:c r="I6" s="28" t="str">
        <x:v>Open validation</x:v>
      </x:c>
    </x:row>
    <x:row r="7" ht="90" customHeight="1">
      <x:c r="A7" s="28" t="str">
        <x:v>A-03</x:v>
      </x:c>
      <x:c r="B7" s="28" t="str">
        <x:v>P0</x:v>
      </x:c>
      <x:c r="C7" s="28" t="str">
        <x:v>Economy Simulation; Decor Progression</x:v>
      </x:c>
      <x:c r="D7" s="28" t="str">
        <x:v>Decoration spending omitted from integrated simulation</x:v>
      </x:c>
      <x:c r="E7" s="28" t="str">
        <x:v>Optional collection competes with expansion; source PASS cannot prove affordability.</x:v>
      </x:c>
      <x:c r="F7" s="28" t="str">
        <x:v>Model finite decor purchases and optional aquascape contributions.</x:v>
      </x:c>
      <x:c r="G7" s="28" t="str">
        <x:v>Decorator progression remains close to Core without free capacity.</x:v>
      </x:c>
      <x:c r="H7" s="28" t="str">
        <x:v>Observed model limitation</x:v>
      </x:c>
      <x:c r="I7" s="28" t="str">
        <x:v>Open validation</x:v>
      </x:c>
    </x:row>
    <x:row r="8" ht="90" customHeight="1">
      <x:c r="A8" s="28" t="str">
        <x:v>A-04</x:v>
      </x:c>
      <x:c r="B8" s="28" t="str">
        <x:v>P0</x:v>
      </x:c>
      <x:c r="C8" s="28" t="str">
        <x:v>Inputs; Coin Fish</x:v>
      </x:c>
      <x:c r="D8" s="28" t="str">
        <x:v>Purchase XP plus early-stage XP</x:v>
      </x:c>
      <x:c r="E8" s="28" t="str">
        <x:v>Front-loaded XP can favor premature recycling; refund behavior was underspecified.</x:v>
      </x:c>
      <x:c r="F8" s="28" t="str">
        <x:v>No buy XP; staged reward shares below elapsed-time fractions; server settles once.</x:v>
      </x:c>
      <x:c r="G8" s="28" t="str">
        <x:v>Zero XP on cancellation; adult has highest normalized settlement rate.</x:v>
      </x:c>
      <x:c r="H8" s="28" t="str">
        <x:v>Observed numbers; exploit conditional</x:v>
      </x:c>
      <x:c r="I8" s="28" t="str">
        <x:v>Spec revised / verify runtime</x:v>
      </x:c>
    </x:row>
    <x:row r="9" ht="90" customHeight="1">
      <x:c r="A9" s="28" t="str">
        <x:v>A-05</x:v>
      </x:c>
      <x:c r="B9" s="28" t="str">
        <x:v>P0</x:v>
      </x:c>
      <x:c r="C9" s="28" t="str">
        <x:v>Coin Fish; Inputs</x:v>
      </x:c>
      <x:c r="D9" s="28" t="str">
        <x:v>Time labels describe stages, not total growth</x:v>
      </x:c>
      <x:c r="E9" s="28" t="str">
        <x:v>Multiplying stage time by four obscures the player's actual wait.</x:v>
      </x:c>
      <x:c r="F9" s="28" t="str">
        <x:v>Store total adult hours and exact 25/55/80/100% stage timestamps.</x:v>
      </x:c>
      <x:c r="G9" s="28" t="str">
        <x:v>Shop, inventory and server display identical ready_at.</x:v>
      </x:c>
      <x:c r="H9" s="28" t="str">
        <x:v>Observed semantic conflict</x:v>
      </x:c>
      <x:c r="I9" s="28" t="str">
        <x:v>Spec revised / verify runtime</x:v>
      </x:c>
    </x:row>
    <x:row r="10" ht="90" customHeight="1">
      <x:c r="A10" s="28" t="str">
        <x:v>A-06</x:v>
      </x:c>
      <x:c r="B10" s="28" t="str">
        <x:v>P0</x:v>
      </x:c>
      <x:c r="C10" s="28" t="str">
        <x:v>Coin Fish; Roadmap</x:v>
      </x:c>
      <x:c r="D10" s="28" t="str">
        <x:v>Growth extends to 192–240 hours</x:v>
      </x:c>
      <x:c r="E10" s="28" t="str">
        <x:v>Eight to ten days per adult makes routine collection and mastery very slow.</x:v>
      </x:c>
      <x:c r="F10" s="28" t="str">
        <x:v>Offer clear 20-minute, 2-hour, 8-hour, 20-hour and 44-hour schedules.</x:v>
      </x:c>
      <x:c r="G10" s="28" t="str">
        <x:v>No launch productive fish exceeds 44 hours.</x:v>
      </x:c>
      <x:c r="H10" s="28" t="str">
        <x:v>Observed timers; experience hypothesis</x:v>
      </x:c>
      <x:c r="I10" s="28" t="str">
        <x:v>Open validation</x:v>
      </x:c>
    </x:row>
    <x:row r="11" ht="90" customHeight="1">
      <x:c r="A11" s="28" t="str">
        <x:v>A-07</x:v>
      </x:c>
      <x:c r="B11" s="28" t="str">
        <x:v>P0</x:v>
      </x:c>
      <x:c r="C11" s="28" t="str">
        <x:v>Inputs; Currency Matrix</x:v>
      </x:c>
      <x:c r="D11" s="28" t="str">
        <x:v>Absence punishment and revival economy</x:v>
      </x:c>
      <x:c r="E11" s="28" t="str">
        <x:v>Hunger/sickness rules can make a relaxing aquarium feel like a debt.</x:v>
      </x:c>
      <x:c r="F11" s="28" t="str">
        <x:v>Safe offline growth; no death, sickness, paid revival or growth penalty.</x:v>
      </x:c>
      <x:c r="G11" s="28" t="str">
        <x:v>Return after 30 days with intact ownership and one ready cycle.</x:v>
      </x:c>
      <x:c r="H11" s="28" t="str">
        <x:v>Design change</x:v>
      </x:c>
      <x:c r="I11" s="28" t="str">
        <x:v>Spec revised / verify runtime</x:v>
      </x:c>
    </x:row>
    <x:row r="12" ht="90" customHeight="1">
      <x:c r="A12" s="28" t="str">
        <x:v>A-08</x:v>
      </x:c>
      <x:c r="B12" s="28" t="str">
        <x:v>P0</x:v>
      </x:c>
      <x:c r="C12" s="28" t="str">
        <x:v>Premium Fish; Limited Edition</x:v>
      </x:c>
      <x:c r="D12" s="28" t="str">
        <x:v>Pearls buy coins and account XP through fish</x:v>
      </x:c>
      <x:c r="E12" s="28" t="str">
        <x:v>Premium 'cosmetics' are economically productive and undermine the stated positioning.</x:v>
      </x:c>
      <x:c r="F12" s="28" t="str">
        <x:v>Permanent nonproducing companions; no settlement, XP or slot advantage.</x:v>
      </x:c>
      <x:c r="G12" s="28" t="str">
        <x:v>All collectible economic fields equal zero.</x:v>
      </x:c>
      <x:c r="H12" s="28" t="str">
        <x:v>Observed conflict</x:v>
      </x:c>
      <x:c r="I12" s="28" t="str">
        <x:v>Spec revised / verify runtime</x:v>
      </x:c>
    </x:row>
    <x:row r="13" ht="90" customHeight="1">
      <x:c r="A13" s="28" t="str">
        <x:v>A-09</x:v>
      </x:c>
      <x:c r="B13" s="28" t="str">
        <x:v>P0</x:v>
      </x:c>
      <x:c r="C13" s="28" t="str">
        <x:v>Tanks &amp; Social; Currency Matrix</x:v>
      </x:c>
      <x:c r="D13" s="28" t="str">
        <x:v>Ambiguous capacity payment requirements</x:v>
      </x:c>
      <x:c r="E13" s="28" t="str">
        <x:v>Slash-separated costs and friends/pearls wording do not define an executable transaction.</x:v>
      </x:c>
      <x:c r="F13" s="28" t="str">
        <x:v>Separate coin cost and optional pearl price; same level/prerequisite gate; never require friends.</x:v>
      </x:c>
      <x:c r="G13" s="28" t="str">
        <x:v>Each capacity upgrade can be bought entirely with earned coins.</x:v>
      </x:c>
      <x:c r="H13" s="28" t="str">
        <x:v>Observed ambiguity</x:v>
      </x:c>
      <x:c r="I13" s="28" t="str">
        <x:v>Spec revised / verify runtime</x:v>
      </x:c>
    </x:row>
    <x:row r="14" ht="90" customHeight="1">
      <x:c r="A14" s="28" t="str">
        <x:v>A-10</x:v>
      </x:c>
      <x:c r="B14" s="28" t="str">
        <x:v>P0</x:v>
      </x:c>
      <x:c r="C14" s="28" t="str">
        <x:v>Tanks &amp; Social; Economy Simulation</x:v>
      </x:c>
      <x:c r="D14" s="28" t="str">
        <x:v>Conflicting capacity arithmetic</x:v>
      </x:c>
      <x:c r="E14" s="28" t="str">
        <x:v>Different formulas and an extra eight slots produce incompatible balances.</x:v>
      </x:c>
      <x:c r="F14" s="28" t="str">
        <x:v>One transaction table; 10 initial, 100 total launch growth slots, five tanks.</x:v>
      </x:c>
      <x:c r="G14" s="28" t="str">
        <x:v>SUM(Tanks added slots)=100; owned capacity never exceeds authorized grants.</x:v>
      </x:c>
      <x:c r="H14" s="28" t="str">
        <x:v>Observed inconsistency</x:v>
      </x:c>
      <x:c r="I14" s="28" t="str">
        <x:v>Spec revised / verify runtime</x:v>
      </x:c>
    </x:row>
    <x:row r="15" ht="90" customHeight="1">
      <x:c r="A15" s="28" t="str">
        <x:v>A-11</x:v>
      </x:c>
      <x:c r="B15" s="28" t="str">
        <x:v>P1</x:v>
      </x:c>
      <x:c r="C15" s="28" t="str">
        <x:v>Onboarding</x:v>
      </x:c>
      <x:c r="D15" s="28" t="str">
        <x:v>No complete onboarding cash/XP ledger</x:v>
      </x:c>
      <x:c r="E15" s="28" t="str">
        <x:v>Implementation can strand a new player or grant rewards twice.</x:v>
      </x:c>
      <x:c r="F15" s="28" t="str">
        <x:v>Scripted first growth, decoration, 80 tutorial XP and one level-2 grant.</x:v>
      </x:c>
      <x:c r="G15" s="28" t="str">
        <x:v>End state: 731 coins, 80 XP, 1 pearl and four gifted growing fish.</x:v>
      </x:c>
      <x:c r="H15" s="28" t="str">
        <x:v>Design omission</x:v>
      </x:c>
      <x:c r="I15" s="28" t="str">
        <x:v>Spec revised / verify runtime</x:v>
      </x:c>
    </x:row>
    <x:row r="16" ht="90" customHeight="1">
      <x:c r="A16" s="28" t="str">
        <x:v>A-12</x:v>
      </x:c>
      <x:c r="B16" s="28" t="str">
        <x:v>P1</x:v>
      </x:c>
      <x:c r="C16" s="28" t="str">
        <x:v>Coin Fish; Overview</x:v>
      </x:c>
      <x:c r="D16" s="28" t="str">
        <x:v>Keeping favorites competes with income</x:v>
      </x:c>
      <x:c r="E16" s="28" t="str">
        <x:v>Selling beloved fish can make collection feel disposable.</x:v>
      </x:c>
      <x:c r="F16" s="28" t="str">
        <x:v>At maturity: settle once, then Keep to Showcase or Rehome with identical payout.</x:v>
      </x:c>
      <x:c r="G16" s="28" t="str">
        <x:v>Keeping never consumes a growth slot or creates a second payout.</x:v>
      </x:c>
      <x:c r="H16" s="28" t="str">
        <x:v>Retention hypothesis</x:v>
      </x:c>
      <x:c r="I16" s="28" t="str">
        <x:v>Open validation</x:v>
      </x:c>
    </x:row>
    <x:row r="17" ht="90" customHeight="1">
      <x:c r="A17" s="28" t="str">
        <x:v>A-13</x:v>
      </x:c>
      <x:c r="B17" s="28" t="str">
        <x:v>P1</x:v>
      </x:c>
      <x:c r="C17" s="28" t="str">
        <x:v>Coin Fish; Roadmap</x:v>
      </x:c>
      <x:c r="D17" s="28" t="str">
        <x:v>Many species lack a distinct practical choice</x:v>
      </x:c>
      <x:c r="E17" s="28" t="str">
        <x:v>More names alone do not create decisions or different session rhythms.</x:v>
      </x:c>
      <x:c r="F17" s="28" t="str">
        <x:v>Schedule choice plus bounded coin/XP specialist trade-off and authored visual personality.</x:v>
      </x:c>
      <x:c r="G17" s="28" t="str">
        <x:v>All launch fish fit a useful schedule or collectible role.</x:v>
      </x:c>
      <x:c r="H17" s="28" t="str">
        <x:v>Design hypothesis</x:v>
      </x:c>
      <x:c r="I17" s="28" t="str">
        <x:v>Open validation</x:v>
      </x:c>
    </x:row>
    <x:row r="18" ht="90" customHeight="1">
      <x:c r="A18" s="28" t="str">
        <x:v>A-14</x:v>
      </x:c>
      <x:c r="B18" s="28" t="str">
        <x:v>P1</x:v>
      </x:c>
      <x:c r="C18" s="28" t="str">
        <x:v>Coin Fish; XP Curve</x:v>
      </x:c>
      <x:c r="D18" s="28" t="str">
        <x:v>Old species become economically obsolete</x:v>
      </x:c>
      <x:c r="E18" s="28" t="str">
        <x:v>Linear unlock escalation can force players away from favorite fish.</x:v>
      </x:c>
      <x:c r="F18" s="28" t="str">
        <x:v>Snapshot account level when buying; same species scales within bounded schedule/role weights.</x:v>
      </x:c>
      <x:c r="G18" s="28" t="str">
        <x:v>Newly bought starter fish remain viable at level 40; existing lots never reprice.</x:v>
      </x:c>
      <x:c r="H18" s="28" t="str">
        <x:v>Design change</x:v>
      </x:c>
      <x:c r="I18" s="28" t="str">
        <x:v>Spec revised / verify runtime</x:v>
      </x:c>
    </x:row>
    <x:row r="19" ht="90" customHeight="1">
      <x:c r="A19" s="28" t="str">
        <x:v>A-15</x:v>
      </x:c>
      <x:c r="B19" s="28" t="str">
        <x:v>P1</x:v>
      </x:c>
      <x:c r="C19" s="28" t="str">
        <x:v>Unlock Plan</x:v>
      </x:c>
      <x:c r="D19" s="28" t="str">
        <x:v>Reward-crate / future-slot filler beats</x:v>
      </x:c>
      <x:c r="E19" s="28" t="str">
        <x:v>Unspecified rewards are not reliable reasons to reach the next level.</x:v>
      </x:c>
      <x:c r="F19" s="28" t="str">
        <x:v>One concrete available fish, tank, project, tool or collection goal at each launch level.</x:v>
      </x:c>
      <x:c r="G19" s="28" t="str">
        <x:v>All levels 1–40 have an authored beat and a fulfilled asset dependency.</x:v>
      </x:c>
      <x:c r="H19" s="28" t="str">
        <x:v>Observed content gap</x:v>
      </x:c>
      <x:c r="I19" s="28" t="str">
        <x:v>Spec revised / verify runtime</x:v>
      </x:c>
    </x:row>
    <x:row r="20" ht="90" customHeight="1">
      <x:c r="A20" s="28" t="str">
        <x:v>A-16</x:v>
      </x:c>
      <x:c r="B20" s="28" t="str">
        <x:v>P1</x:v>
      </x:c>
      <x:c r="C20" s="28" t="str">
        <x:v>Quests &amp; Live Ops</x:v>
      </x:c>
      <x:c r="D20" s="28" t="str">
        <x:v>100-adult mastery for very slow fish</x:v>
      </x:c>
      <x:c r="E20" s="28" t="str">
        <x:v>A 192-hour fish implies 800 sequential growth-days for 100 adults; parallelism helps but creates capacity pressure.</x:v>
      </x:c>
      <x:c r="F20" s="28" t="str">
        <x:v>Milestones at 1/3/10/25 adults; cosmetic only; distinct-day requirement for final badge.</x:v>
      </x:c>
      <x:c r="G20" s="28" t="str">
        <x:v>Mastery is optional, finite and does not multiply income.</x:v>
      </x:c>
      <x:c r="H20" s="28" t="str">
        <x:v>Observed arithmetic; revised hypothesis</x:v>
      </x:c>
      <x:c r="I20" s="28" t="str">
        <x:v>Open validation</x:v>
      </x:c>
    </x:row>
    <x:row r="21" ht="90" customHeight="1">
      <x:c r="A21" s="28" t="str">
        <x:v>A-17</x:v>
      </x:c>
      <x:c r="B21" s="28" t="str">
        <x:v>P1</x:v>
      </x:c>
      <x:c r="C21" s="28" t="str">
        <x:v>Quests &amp; Live Ops</x:v>
      </x:c>
      <x:c r="D21" s="28" t="str">
        <x:v>Collection claims vs weekly reset unclear</x:v>
      </x:c>
      <x:c r="E21" s="28" t="str">
        <x:v>Permanent collection progress must not repeatedly mint rewards.</x:v>
      </x:c>
      <x:c r="F21" s="28" t="str">
        <x:v>Lifetime chapter ownership and one-time claim ledger; independent weekly objectives.</x:v>
      </x:c>
      <x:c r="G21" s="28" t="str">
        <x:v>Reopening an event/week cannot reclaim a completed chapter.</x:v>
      </x:c>
      <x:c r="H21" s="28" t="str">
        <x:v>Specification gap</x:v>
      </x:c>
      <x:c r="I21" s="28" t="str">
        <x:v>Spec revised / verify runtime</x:v>
      </x:c>
    </x:row>
    <x:row r="22" ht="90" customHeight="1">
      <x:c r="A22" s="28" t="str">
        <x:v>A-18</x:v>
      </x:c>
      <x:c r="B22" s="28" t="str">
        <x:v>P1</x:v>
      </x:c>
      <x:c r="C22" s="28" t="str">
        <x:v>Quests &amp; Live Ops; Quest Scaling</x:v>
      </x:c>
      <x:c r="D22" s="28" t="str">
        <x:v>Task feasibility and stacking unclear</x:v>
      </x:c>
      <x:c r="E22" s="28" t="str">
        <x:v>Multiple rewards or inaccessible tasks can inflate income or block free players.</x:v>
      </x:c>
      <x:c r="F22" s="28" t="str">
        <x:v>Choose 3 of 5 accessible actions; single daily budget; free replacements; no purchase tasks.</x:v>
      </x:c>
      <x:c r="G22" s="28" t="str">
        <x:v>Offer set always contains three achievable nonpaid tasks.</x:v>
      </x:c>
      <x:c r="H22" s="28" t="str">
        <x:v>Specification gap</x:v>
      </x:c>
      <x:c r="I22" s="28" t="str">
        <x:v>Spec revised / verify runtime</x:v>
      </x:c>
    </x:row>
    <x:row r="23" ht="90" customHeight="1">
      <x:c r="A23" s="28" t="str">
        <x:v>A-19</x:v>
      </x:c>
      <x:c r="B23" s="28" t="str">
        <x:v>P1</x:v>
      </x:c>
      <x:c r="C23" s="28" t="str">
        <x:v>Tanks &amp; Social</x:v>
      </x:c>
      <x:c r="D23" s="28" t="str">
        <x:v>Friend-count gate reaches high requirements</x:v>
      </x:c>
      <x:c r="E23" s="28" t="str">
        <x:v>Solo users or small networks can hit an external progression barrier.</x:v>
      </x:c>
      <x:c r="F23" s="28" t="str">
        <x:v>NPC visitors and real friends share a 3-token daily cosmetic cap; no capacity gate.</x:v>
      </x:c>
      <x:c r="G23" s="28" t="str">
        <x:v>Offline/solo account can reach every core level and tank.</x:v>
      </x:c>
      <x:c r="H23" s="28" t="str">
        <x:v>Observed design barrier</x:v>
      </x:c>
      <x:c r="I23" s="28" t="str">
        <x:v>Spec revised / verify runtime</x:v>
      </x:c>
    </x:row>
    <x:row r="24" ht="90" customHeight="1">
      <x:c r="A24" s="28" t="str">
        <x:v>A-20</x:v>
      </x:c>
      <x:c r="B24" s="28" t="str">
        <x:v>P1</x:v>
      </x:c>
      <x:c r="C24" s="28" t="str">
        <x:v>Decor Catalog; Decor Progression</x:v>
      </x:c>
      <x:c r="D24" s="28" t="str">
        <x:v>Decor purchase XP</x:v>
      </x:c>
      <x:c r="E24" s="28" t="str">
        <x:v>Premium decoration can buy account progression despite cosmetic-only claims.</x:v>
      </x:c>
      <x:c r="F24" s="28" t="str">
        <x:v>All decor buy XP zero; aesthetic score only; grandfather prior earned XP.</x:v>
      </x:c>
      <x:c r="G24" s="28" t="str">
        <x:v>Coin, premium and event decoration have identical zero power.</x:v>
      </x:c>
      <x:c r="H24" s="28" t="str">
        <x:v>Observed conflict</x:v>
      </x:c>
      <x:c r="I24" s="28" t="str">
        <x:v>Spec revised / verify runtime</x:v>
      </x:c>
    </x:row>
    <x:row r="25" ht="90" customHeight="1">
      <x:c r="A25" s="28" t="str">
        <x:v>A-21</x:v>
      </x:c>
      <x:c r="B25" s="28" t="str">
        <x:v>P1</x:v>
      </x:c>
      <x:c r="C25" s="28" t="str">
        <x:v>Decor Catalog; Decor Guide</x:v>
      </x:c>
      <x:c r="D25" s="28" t="str">
        <x:v>Score can become a pay-to-rank proxy</x:v>
      </x:c>
      <x:c r="E25" s="28" t="str">
        <x:v>Raw score or paid ownership should not determine economic rewards or rewarded voting.</x:v>
      </x:c>
      <x:c r="F25" s="28" t="str">
        <x:v>Noncompetitive display score; no rank prizes; repeated ID per tank scores once.</x:v>
      </x:c>
      <x:c r="G25" s="28" t="str">
        <x:v>Duplicating a large premium prop cannot farm rewards.</x:v>
      </x:c>
      <x:c r="H25" s="28" t="str">
        <x:v>Design risk</x:v>
      </x:c>
      <x:c r="I25" s="28" t="str">
        <x:v>Spec revised / verify runtime</x:v>
      </x:c>
    </x:row>
    <x:row r="26" ht="90" customHeight="1">
      <x:c r="A26" s="28" t="str">
        <x:v>A-22</x:v>
      </x:c>
      <x:c r="B26" s="28" t="str">
        <x:v>P1</x:v>
      </x:c>
      <x:c r="C26" s="28" t="str">
        <x:v>Decor Catalog; Decor Art Briefs</x:v>
      </x:c>
      <x:c r="D26" s="28" t="str">
        <x:v>Strong 120-item art catalog worth retaining</x:v>
      </x:c>
      <x:c r="E26" s="28" t="str">
        <x:v>A wholesale rewrite would destroy useful production detail.</x:v>
      </x:c>
      <x:c r="F26" s="28" t="str">
        <x:v>Retain all IDs and detailed visual/animation briefs; reprice and normalize semantics.</x:v>
      </x:c>
      <x:c r="G26" s="28" t="str">
        <x:v>120 unique decor IDs map one-to-one to 120 art briefs.</x:v>
      </x:c>
      <x:c r="H26" s="28" t="str">
        <x:v>Preserved strength</x:v>
      </x:c>
      <x:c r="I26" s="28" t="str">
        <x:v>Spec revised / verify runtime</x:v>
      </x:c>
    </x:row>
    <x:row r="27" ht="90" customHeight="1">
      <x:c r="A27" s="28" t="str">
        <x:v>A-23</x:v>
      </x:c>
      <x:c r="B27" s="28" t="str">
        <x:v>P1</x:v>
      </x:c>
      <x:c r="C27" s="28" t="str">
        <x:v>Decor Live Ops</x:v>
      </x:c>
      <x:c r="D27" s="28" t="str">
        <x:v>Calendar dates lack verified deployment year</x:v>
      </x:c>
      <x:c r="E27" s="28" t="str">
        <x:v>Lunar dates and anniversaries cannot be blindly reused.</x:v>
      </x:c>
      <x:c r="F27" s="28" t="str">
        <x:v>Theme proposals use configured server windows; verify actual calendar before scheduling.</x:v>
      </x:c>
      <x:c r="G27" s="28" t="str">
        <x:v>End timestamps and regional copy reviewed per event release.</x:v>
      </x:c>
      <x:c r="H27" s="28" t="str">
        <x:v>Observed scheduling risk</x:v>
      </x:c>
      <x:c r="I27" s="28" t="str">
        <x:v>Spec revised / verify runtime</x:v>
      </x:c>
    </x:row>
    <x:row r="28" ht="90" customHeight="1">
      <x:c r="A28" s="28" t="str">
        <x:v>A-24</x:v>
      </x:c>
      <x:c r="B28" s="28" t="str">
        <x:v>P1</x:v>
      </x:c>
      <x:c r="C28" s="28" t="str">
        <x:v>Limited Edition; Quests &amp; Live Ops</x:v>
      </x:c>
      <x:c r="D28" s="28" t="str">
        <x:v>Random reward definitions lack guarantees</x:v>
      </x:c>
      <x:c r="E28" s="28" t="str">
        <x:v>Unclear odds, duplicates and paid draws create trust and implementation risk.</x:v>
      </x:c>
      <x:c r="F28" s="28" t="str">
        <x:v>No paid randomness; visible deterministic reward track and guaranteed selection.</x:v>
      </x:c>
      <x:c r="G28" s="28" t="str">
        <x:v>No purchase can yield an undisclosed random fish.</x:v>
      </x:c>
      <x:c r="H28" s="28" t="str">
        <x:v>Design removal</x:v>
      </x:c>
      <x:c r="I28" s="28" t="str">
        <x:v>Spec revised / verify runtime</x:v>
      </x:c>
    </x:row>
    <x:row r="29" ht="90" customHeight="1">
      <x:c r="A29" s="28" t="str">
        <x:v>A-25</x:v>
      </x:c>
      <x:c r="B29" s="28" t="str">
        <x:v>P1</x:v>
      </x:c>
      <x:c r="C29" s="28" t="str">
        <x:v>Currency Matrix; Shop concepts</x:v>
      </x:c>
      <x:c r="D29" s="28" t="str">
        <x:v>Starter bundle repeatability / value confusion</x:v>
      </x:c>
      <x:c r="E29" s="28" t="str">
        <x:v>A repeatable bundle can dominate normal currency packs; value claims need arithmetic.</x:v>
      </x:c>
      <x:c r="F29" s="28" t="str">
        <x:v>Starter is one purchase per account; transparent fixed contents and price; no fake discount.</x:v>
      </x:c>
      <x:c r="G29" s="28" t="str">
        <x:v>Purchase receipt unique; refund handled; no repeated entitlement.</x:v>
      </x:c>
      <x:c r="H29" s="28" t="str">
        <x:v>Prior design context; preventive fix</x:v>
      </x:c>
      <x:c r="I29" s="28" t="str">
        <x:v>Spec revised / verify runtime</x:v>
      </x:c>
    </x:row>
    <x:row r="30" ht="90" customHeight="1">
      <x:c r="A30" s="28" t="str">
        <x:v>A-26</x:v>
      </x:c>
      <x:c r="B30" s="28" t="str">
        <x:v>P1</x:v>
      </x:c>
      <x:c r="C30" s="28" t="str">
        <x:v>Inputs; Currency Matrix</x:v>
      </x:c>
      <x:c r="D30" s="28" t="str">
        <x:v>Rewarded-ad escalation</x:v>
      </x:c>
      <x:c r="E30" s="28" t="str">
        <x:v>Ads can become the optimal progression route or mandatory cash relief.</x:v>
      </x:c>
      <x:c r="F30" s="28" t="str">
        <x:v>Opt-in only, 3/day, 2% reference coin-day each, no XP or pearls.</x:v>
      </x:c>
      <x:c r="G30" s="28" t="str">
        <x:v>Zero-ad model progresses; ad display never blocks basic actions.</x:v>
      </x:c>
      <x:c r="H30" s="28" t="str">
        <x:v>Design cap; official policy support</x:v>
      </x:c>
      <x:c r="I30" s="28" t="str">
        <x:v>Spec revised / verify runtime</x:v>
      </x:c>
    </x:row>
    <x:row r="31" ht="90" customHeight="1">
      <x:c r="A31" s="28" t="str">
        <x:v>A-27</x:v>
      </x:c>
      <x:c r="B31" s="28" t="str">
        <x:v>P1</x:v>
      </x:c>
      <x:c r="C31" s="28" t="str">
        <x:v>Overview; Dashboard</x:v>
      </x:c>
      <x:c r="D31" s="28" t="str">
        <x:v>No measured retention or enjoyment evidence</x:v>
      </x:c>
      <x:c r="E31" s="28" t="str">
        <x:v>Formula PASS is not product-market fit.</x:v>
      </x:c>
      <x:c r="F31" s="28" t="str">
        <x:v>Separate deterministic balance tests, runtime QA and live-cohort experiments.</x:v>
      </x:c>
      <x:c r="G31" s="28" t="str">
        <x:v>Never label retention, conversion or fun as proven without observations.</x:v>
      </x:c>
      <x:c r="H31" s="28" t="str">
        <x:v>Evidence limitation</x:v>
      </x:c>
      <x:c r="I31" s="28" t="str">
        <x:v>Open validation</x:v>
      </x:c>
    </x:row>
    <x:row r="32" ht="90" customHeight="1">
      <x:c r="A32" s="28" t="str">
        <x:v>A-28</x:v>
      </x:c>
      <x:c r="B32" s="28" t="str">
        <x:v>P0</x:v>
      </x:c>
      <x:c r="C32" s="28" t="str">
        <x:v>All economy sheets</x:v>
      </x:c>
      <x:c r="D32" s="28" t="str">
        <x:v>No atomic transaction / idempotency contract</x:v>
      </x:c>
      <x:c r="E32" s="28" t="str">
        <x:v>Retries, clock changes or multi-device claims can duplicate valuable grants.</x:v>
      </x:c>
      <x:c r="F32" s="28" t="str">
        <x:v>Server time, immutable price snapshots, atomic spend/grant, unique idempotency keys.</x:v>
      </x:c>
      <x:c r="G32" s="28" t="str">
        <x:v>Concurrent settlement, purchase and restore tests pass before launch.</x:v>
      </x:c>
      <x:c r="H32" s="28" t="str">
        <x:v>Implementation gap</x:v>
      </x:c>
      <x:c r="I32" s="28" t="str">
        <x:v>Spec revised / verify runtime</x:v>
      </x:c>
    </x:row>
    <x:row r="33" ht="90" customHeight="1">
      <x:c r="A33" s="28" t="str">
        <x:v>A-29</x:v>
      </x:c>
      <x:c r="B33" s="28" t="str">
        <x:v>P1</x:v>
      </x:c>
      <x:c r="C33" s="28" t="str">
        <x:v>XP Curve; Roadmap</x:v>
      </x:c>
      <x:c r="D33" s="28" t="str">
        <x:v>Future progression and launch gate conflict</x:v>
      </x:c>
      <x:c r="E33" s="28" t="str">
        <x:v>Users may reach unbuilt levels or bank an unintended head start.</x:v>
      </x:c>
      <x:c r="F33" s="28" t="str">
        <x:v>Launch clamp at 40; roadmap 41–70 explicitly HOLD; preserve lifetime stats separately.</x:v>
      </x:c>
      <x:c r="G33" s="28" t="str">
        <x:v>No live account receives unavailable unlocks.</x:v>
      </x:c>
      <x:c r="H33" s="28" t="str">
        <x:v>Observed planning ambiguity</x:v>
      </x:c>
      <x:c r="I33" s="28" t="str">
        <x:v>Spec revised / verify runtime</x:v>
      </x:c>
    </x:row>
    <x:row r="34" ht="90" customHeight="1">
      <x:c r="A34" s="28" t="str">
        <x:v>A-30</x:v>
      </x:c>
      <x:c r="B34" s="28" t="str">
        <x:v>P1</x:v>
      </x:c>
      <x:c r="C34" s="28" t="str">
        <x:v>All economy sheets</x:v>
      </x:c>
      <x:c r="D34" s="28" t="str">
        <x:v>No migration policy for existing buyers</x:v>
      </x:c>
      <x:c r="E34" s="28" t="str">
        <x:v>Rebalancing can destroy paid value, capacity or sentimental ownership.</x:v>
      </x:c>
      <x:c r="F34" s="28" t="str">
        <x:v>Grandfather protected entitlements; never claw back XP; versioned conversion and rollback.</x:v>
      </x:c>
      <x:c r="G34" s="28" t="str">
        <x:v>Migration reconciles pre/post account assets and supports recovery.</x:v>
      </x:c>
      <x:c r="H34" s="28" t="str">
        <x:v>Implementation gap</x:v>
      </x:c>
      <x:c r="I34" s="28" t="str">
        <x:v>Spec revised / verify runtime</x:v>
      </x:c>
    </x:row>
    <x:row r="35" ht="90" customHeight="1">
      <x:c r="A35" s="28" t="str">
        <x:v>A-31</x:v>
      </x:c>
      <x:c r="B35" s="28" t="str">
        <x:v>P1</x:v>
      </x:c>
      <x:c r="C35" s="28" t="str">
        <x:v>Decor Guide; UI concepts</x:v>
      </x:c>
      <x:c r="D35" s="28" t="str">
        <x:v>Mobile interaction competes with aquarium space</x:v>
      </x:c>
      <x:c r="E35" s="28" t="str">
        <x:v>Dense panels, decoration hitboxes and excess motion can obstruct fish care.</x:v>
      </x:c>
      <x:c r="F35" s="28" t="str">
        <x:v>Compact overlays, large touch targets, batch settle, reduced motion and fish-first hit testing.</x:v>
      </x:c>
      <x:c r="G35" s="28" t="str">
        <x:v>Core loop completes on a small landscape phone without overlap.</x:v>
      </x:c>
      <x:c r="H35" s="28" t="str">
        <x:v>UX hypothesis</x:v>
      </x:c>
      <x:c r="I35" s="28" t="str">
        <x:v>Open validation</x:v>
      </x:c>
    </x:row>
    <x:row r="36" ht="90" customHeight="1">
      <x:c r="A36" s="28" t="str">
        <x:v>A-32</x:v>
      </x:c>
      <x:c r="B36" s="28" t="str">
        <x:v>P1</x:v>
      </x:c>
      <x:c r="C36" s="28" t="str">
        <x:v>Overview; Quests &amp; Live Ops</x:v>
      </x:c>
      <x:c r="D36" s="28" t="str">
        <x:v>Returns rely mostly on timers</x:v>
      </x:c>
      <x:c r="E36" s="28" t="str">
        <x:v>Waiting alone does not provide agency or variety.</x:v>
      </x:c>
      <x:c r="F36" s="28" t="str">
        <x:v>Aquascape goals, mastery, photography, weekly themes and expressive permanent collections.</x:v>
      </x:c>
      <x:c r="G36" s="28" t="str">
        <x:v>Players name a self-chosen next goal in interviews.</x:v>
      </x:c>
      <x:c r="H36" s="28" t="str">
        <x:v>Retention hypothesis</x:v>
      </x:c>
      <x:c r="I36" s="28" t="str">
        <x:v>Open validation</x:v>
      </x:c>
    </x:row>
    <x:row r="37" ht="90" customHeight="1">
      <x:c r="A37" s="28" t="str">
        <x:v>A-33</x:v>
      </x:c>
      <x:c r="B37" s="28" t="str">
        <x:v>P1</x:v>
      </x:c>
      <x:c r="C37" s="28" t="str">
        <x:v>New model: finite projects</x:v>
      </x:c>
      <x:c r="D37" s="28" t="str">
        <x:v>Late coin surplus remains</x:v>
      </x:c>
      <x:c r="E37" s="28" t="str">
        <x:v>Finite sinks eventually run out, especially for optimized or capacity-buying accounts.</x:v>
      </x:c>
      <x:c r="F37" s="28" t="str">
        <x:v>Expose surplus; test ongoing cosmetic demand before adding content; no forced taxes or loss.</x:v>
      </x:c>
      <x:c r="G37" s="28" t="str">
        <x:v>AMBER: sustainable long-run sink demand is not validated.</x:v>
      </x:c>
      <x:c r="H37" s="28" t="str">
        <x:v>Model-supported residual risk</x:v>
      </x:c>
      <x:c r="I37" s="28" t="str">
        <x:v>Open validation</x:v>
      </x:c>
    </x:row>
    <x:row r="38" ht="90" customHeight="1">
      <x:c r="A38" s="28" t="str">
        <x:v>A-34</x:v>
      </x:c>
      <x:c r="B38" s="28" t="str">
        <x:v>P1</x:v>
      </x:c>
      <x:c r="C38" s="28" t="str">
        <x:v>New model: schedules</x:v>
      </x:c>
      <x:c r="D38" s="28" t="str">
        <x:v>Idealized six-visit actor is an upper bound</x:v>
      </x:c>
      <x:c r="E38" s="28" t="str">
        <x:v>Uniform four-hour arrivals can include overnight visits and overstate sustainable engagement.</x:v>
      </x:c>
      <x:c r="F38" s="28" t="str">
        <x:v>Label optimizer stress case; never design reminders or rewards around overnight attendance.</x:v>
      </x:c>
      <x:c r="G38" s="28" t="str">
        <x:v>Test real session timestamps before final tuning.</x:v>
      </x:c>
      <x:c r="H38" s="28" t="str">
        <x:v>Model limitation</x:v>
      </x:c>
      <x:c r="I38" s="28" t="str">
        <x:v>Open validation</x:v>
      </x:c>
    </x:row>
    <x:row r="39" ht="90" customHeight="1">
      <x:c r="A39" s="28" t="str">
        <x:v>A-35</x:v>
      </x:c>
      <x:c r="B39" s="28" t="str">
        <x:v>P1</x:v>
      </x:c>
      <x:c r="C39" s="28" t="str">
        <x:v>All source sheets</x:v>
      </x:c>
      <x:c r="D39" s="28" t="str">
        <x:v>No production feasibility gate</x:v>
      </x:c>
      <x:c r="E39" s="28" t="str">
        <x:v>A large catalog does not imply all art, animations and UI are ready.</x:v>
      </x:c>
      <x:c r="F39" s="28" t="str">
        <x:v>Vertical slice first; explicit launch asset manifests; gate release on QA not spreadsheet size.</x:v>
      </x:c>
      <x:c r="G39" s="28" t="str">
        <x:v>Every live ID has a validated asset and fallback before publish.</x:v>
      </x:c>
      <x:c r="H39" s="28" t="str">
        <x:v>Production risk</x:v>
      </x:c>
      <x:c r="I39" s="28" t="str">
        <x:v>Spec revised / verify runtime</x:v>
      </x:c>
    </x:row>
    <x:row r="40" ht="90" customHeight="1">
      <x:c r="A40" s="28" t="str">
        <x:v>A-36</x:v>
      </x:c>
      <x:c r="B40" s="28" t="str">
        <x:v>P2</x:v>
      </x:c>
      <x:c r="C40" s="28" t="str">
        <x:v>Sources</x:v>
      </x:c>
      <x:c r="D40" s="28" t="str">
        <x:v>Historical design references used as authority</x:v>
      </x:c>
      <x:c r="E40" s="28" t="str">
        <x:v>Legacy gameplay examples do not establish current benchmarks or permission to copy.</x:v>
      </x:c>
      <x:c r="F40" s="28" t="str">
        <x:v>Use original art/IP; distinguish inspiration, official policies and measured benchmark context.</x:v>
      </x:c>
      <x:c r="G40" s="28" t="str">
        <x:v>No copied names, likenesses or licensed assets without authorization.</x:v>
      </x:c>
      <x:c r="H40" s="28" t="str">
        <x:v>Source-quality issue</x:v>
      </x:c>
      <x:c r="I40" s="28" t="str">
        <x:v>Spec revised / verify runtime</x:v>
      </x:c>
    </x:row>
    <x:row r="41" ht="90" customHeight="1">
      <x:c r="A41" s="28" t="str">
        <x:v>A-37</x:v>
      </x:c>
      <x:c r="B41" s="28" t="str">
        <x:v>P1</x:v>
      </x:c>
      <x:c r="C41" s="28" t="str">
        <x:v>New model: no player data</x:v>
      </x:c>
      <x:c r="D41" s="28" t="str">
        <x:v>Retention and spending remain uncertain</x:v>
      </x:c>
      <x:c r="E41" s="28" t="str">
        <x:v>Economy simulations cannot predict desire, acquisition quality, churn or revenue.</x:v>
      </x:c>
      <x:c r="F41" s="28" t="str">
        <x:v>Instrument cohorts and run a soft launch; provisional targets are decision thresholds only.</x:v>
      </x:c>
      <x:c r="G41" s="28" t="str">
        <x:v>Release gate requires observed retention, reliability and qualitative enjoyment.</x:v>
      </x:c>
      <x:c r="H41" s="28" t="str">
        <x:v>Unresolved validation requirement</x:v>
      </x:c>
      <x:c r="I41" s="28" t="str">
        <x:v>Spec revised / verify runtime</x:v>
      </x:c>
    </x:row>
  </x:sheetData>
  <x:mergeCells>
    <x:mergeCell ref="A1:I1"/>
    <x:mergeCell ref="A2:I2"/>
  </x:mergeCells>
  <x:pageMargins left="0.7" right="0.7" top="0.75" bottom="0.75" header="0.3" footer="0.3"/>
  <x:tableParts count="1">
    <x:tablePart xmlns:r="http://schemas.openxmlformats.org/officeDocument/2006/relationships" r:id="R8c88cacb2f20442d"/>
  </x:tableParts>
</x:worksheet>
</file>

<file path=xl/worksheets/sheet4.xml><?xml version="1.0" encoding="utf-8"?>
<x:worksheet xmlns:x="http://schemas.openxmlformats.org/spreadsheetml/2006/main">
  <x:sheetFormatPr defaultRowHeight="15"/>
  <x:cols>
    <x:col min="1" max="1" width="9" hidden="0" customWidth="1"/>
    <x:col min="2" max="2" width="24" hidden="0" customWidth="1"/>
    <x:col min="3" max="3" width="51" hidden="0" customWidth="1"/>
    <x:col min="4" max="4" width="60" hidden="0" customWidth="1"/>
    <x:col min="5" max="5" width="42" hidden="0" customWidth="1"/>
    <x:col min="6" max="6" width="52" hidden="0" customWidth="1"/>
    <x:col min="7" max="7" width="33" hidden="0" customWidth="1"/>
  </x:cols>
  <x:sheetData>
    <x:row r="1" ht="34" customHeight="1">
      <x:c r="A1" s="6" t="str">
        <x:v>CORE LOOP | build a place worth returning to</x:v>
      </x:c>
      <x:c r="B1" s="6"/>
      <x:c r="C1" s="6"/>
      <x:c r="D1" s="6"/>
      <x:c r="E1" s="6"/>
      <x:c r="F1" s="6"/>
      <x:c r="G1" s="6"/>
    </x:row>
    <x:row r="2" ht="32" customHeight="1">
      <x:c r="A2" s="13" t="str">
        <x:v>Design intent: enjoyable care, meaningful schedule choice, collecting and creative ownership. Validate each promise with playtests.</x:v>
      </x:c>
      <x:c r="B2" s="13"/>
      <x:c r="C2" s="13"/>
      <x:c r="D2" s="13"/>
      <x:c r="E2" s="13"/>
      <x:c r="F2" s="13"/>
      <x:c r="G2" s="13"/>
    </x:row>
    <x:row r="3">
      <x:c r="A3" s="2"/>
      <x:c r="B3" s="2"/>
      <x:c r="C3" s="2"/>
      <x:c r="D3" s="2"/>
      <x:c r="E3" s="2"/>
      <x:c r="F3" s="2"/>
      <x:c r="G3" s="2"/>
    </x:row>
    <x:row r="4" ht="32" customHeight="1">
      <x:c r="A4" s="21" t="str">
        <x:v>Step</x:v>
      </x:c>
      <x:c r="B4" s="21" t="str">
        <x:v>Moment</x:v>
      </x:c>
      <x:c r="C4" s="21" t="str">
        <x:v>Player action / choice</x:v>
      </x:c>
      <x:c r="D4" s="21" t="str">
        <x:v>Rule / reward</x:v>
      </x:c>
      <x:c r="E4" s="21" t="str">
        <x:v>Intended feeling</x:v>
      </x:c>
      <x:c r="F4" s="21" t="str">
        <x:v>Reason to return</x:v>
      </x:c>
      <x:c r="G4" s="21" t="str">
        <x:v>Telemetry</x:v>
      </x:c>
    </x:row>
    <x:row r="5" ht="86" customHeight="1">
      <x:c r="A5" s="28" t="str">
        <x:v>01</x:v>
      </x:c>
      <x:c r="B5" s="28" t="str">
        <x:v>First 60 seconds</x:v>
      </x:c>
      <x:c r="C5" s="28" t="str">
        <x:v>Touch aquarium; drop first egg; see immediate response.</x:v>
      </x:c>
      <x:c r="D5" s="28" t="str">
        <x:v>One free scripted accelerated demonstration, explicitly labeled.</x:v>
      </x:c>
      <x:c r="E5" s="28" t="str">
        <x:v>A fish reacts to your touch; one obvious next action.</x:v>
      </x:c>
      <x:c r="F5" s="28" t="str">
        <x:v>Delight before menus or monetization.</x:v>
      </x:c>
      <x:c r="G5" s="28" t="str">
        <x:v>tutorial_step; interaction_response</x:v>
      </x:c>
    </x:row>
    <x:row r="6" ht="86" customHeight="1">
      <x:c r="A6" s="28" t="str">
        <x:v>02</x:v>
      </x:c>
      <x:c r="B6" s="28" t="str">
        <x:v>Choose the next batch</x:v>
      </x:c>
      <x:c r="C6" s="28" t="str">
        <x:v>Pick a familiar species and a schedule that fits your day.</x:v>
      </x:c>
      <x:c r="D6" s="28" t="str">
        <x:v>20 min / 2 h / 8 h / 20 h / 44 h; no schedule has exclusive collection rewards.</x:v>
      </x:c>
      <x:c r="E6" s="28" t="str">
        <x:v>Agency over when to return, not pressure to log in.</x:v>
      </x:c>
      <x:c r="F6" s="28" t="str">
        <x:v>Next useful ready time shown once, notifications opt-in.</x:v>
      </x:c>
      <x:c r="G6" s="28" t="str">
        <x:v>egg_preview; egg_purchase</x:v>
      </x:c>
    </x:row>
    <x:row r="7" ht="86" customHeight="1">
      <x:c r="A7" s="28" t="str">
        <x:v>03</x:v>
      </x:c>
      <x:c r="B7" s="28" t="str">
        <x:v>Plan spending</x:v>
      </x:c>
      <x:c r="C7" s="28" t="str">
        <x:v>Choose productive capacity, affordable decor or a cosmetic project.</x:v>
      </x:c>
      <x:c r="D7" s="28" t="str">
        <x:v>Preview current price, total adult settlement, net gain, XP and exact ready time.</x:v>
      </x:c>
      <x:c r="E7" s="28" t="str">
        <x:v>A clear trade-off without hidden maintenance.</x:v>
      </x:c>
      <x:c r="F7" s="28" t="str">
        <x:v>Save an item or project as a self-chosen goal.</x:v>
      </x:c>
      <x:c r="G7" s="28" t="str">
        <x:v>shop_view; wishlist_set</x:v>
      </x:c>
    </x:row>
    <x:row r="8" ht="86" customHeight="1">
      <x:c r="A8" s="28" t="str">
        <x:v>04</x:v>
      </x:c>
      <x:c r="B8" s="28" t="str">
        <x:v>Care for the aquarium</x:v>
      </x:c>
      <x:c r="C8" s="28" t="str">
        <x:v>Feed, tap gently and watch distinctive fish reactions.</x:v>
      </x:c>
      <x:c r="D8" s="28" t="str">
        <x:v>Food is free visual interaction; no growth, payout or absence penalty.</x:v>
      </x:c>
      <x:c r="E8" s="28" t="str">
        <x:v>Cozy play that is enjoyable even with no timers ready.</x:v>
      </x:c>
      <x:c r="F8" s="28" t="str">
        <x:v>Optional play, not a compulsory check-in.</x:v>
      </x:c>
      <x:c r="G8" s="28" t="str">
        <x:v>care_action; photo_mode</x:v>
      </x:c>
    </x:row>
    <x:row r="9" ht="86" customHeight="1">
      <x:c r="A9" s="28" t="str">
        <x:v>05</x:v>
      </x:c>
      <x:c r="B9" s="28" t="str">
        <x:v>Growth in the background</x:v>
      </x:c>
      <x:c r="C9" s="28" t="str">
        <x:v>One active growth cycle per egg continues safely offline.</x:v>
      </x:c>
      <x:c r="D9" s="28" t="str">
        <x:v>No auto-repeat, death, illness, robbery or expiring settlement.</x:v>
      </x:c>
      <x:c r="E9" s="28" t="str">
        <x:v>Trust that leaving is safe.</x:v>
      </x:c>
      <x:c r="F9" s="28" t="str">
        <x:v>Return when convenient to a stable aquarium.</x:v>
      </x:c>
      <x:c r="G9" s="28" t="str">
        <x:v>fish_stage_seen</x:v>
      </x:c>
    </x:row>
    <x:row r="10" ht="86" customHeight="1">
      <x:c r="A10" s="28" t="str">
        <x:v>06</x:v>
      </x:c>
      <x:c r="B10" s="28" t="str">
        <x:v>Maturity payoff</x:v>
      </x:c>
      <x:c r="C10" s="28" t="str">
        <x:v>Batch-settle ready fish with a satisfying but skippable animation.</x:v>
      </x:c>
      <x:c r="D10" s="28" t="str">
        <x:v>Atomic principal + profit + XP, once per instance.</x:v>
      </x:c>
      <x:c r="E10" s="28" t="str">
        <x:v>A readable reward and visible progress.</x:v>
      </x:c>
      <x:c r="F10" s="28" t="str">
        <x:v>Next level or chosen project is closer.</x:v>
      </x:c>
      <x:c r="G10" s="28" t="str">
        <x:v>fish_settlement</x:v>
      </x:c>
    </x:row>
    <x:row r="11" ht="86" customHeight="1">
      <x:c r="A11" s="28" t="str">
        <x:v>07</x:v>
      </x:c>
      <x:c r="B11" s="28" t="str">
        <x:v>Keep or rehome</x:v>
      </x:c>
      <x:c r="C11" s="28" t="str">
        <x:v>Keep a favorite as a permanent display copy or rehome it.</x:v>
      </x:c>
      <x:c r="D11" s="28" t="str">
        <x:v>Identical settlement; Showcase is separate from production; free storage.</x:v>
      </x:c>
      <x:c r="E11" s="28" t="str">
        <x:v>Attachment is not punished by loss of income.</x:v>
      </x:c>
      <x:c r="F11" s="28" t="str">
        <x:v>A personal collection grows alongside progression.</x:v>
      </x:c>
      <x:c r="G11" s="28" t="str">
        <x:v>showcase_keep; fish_rehome</x:v>
      </x:c>
    </x:row>
    <x:row r="12" ht="86" customHeight="1">
      <x:c r="A12" s="28" t="str">
        <x:v>08</x:v>
      </x:c>
      <x:c r="B12" s="28" t="str">
        <x:v>Collection discovery</x:v>
      </x:c>
      <x:c r="C12" s="28" t="str">
        <x:v>Complete first-adult chapters; work toward species mastery.</x:v>
      </x:c>
      <x:c r="D12" s="28" t="str">
        <x:v>Only launch coin fish are required; rewards cosmetic / finite pearls.</x:v>
      </x:c>
      <x:c r="E12" s="28" t="str">
        <x:v>Novelty and a sense of becoming an aquarium expert.</x:v>
      </x:c>
      <x:c r="F12" s="28" t="str">
        <x:v>A visible attainable missing species, no random duplicates.</x:v>
      </x:c>
      <x:c r="G12" s="28" t="str">
        <x:v>chapter_complete; mastery_claim</x:v>
      </x:c>
    </x:row>
    <x:row r="13" ht="86" customHeight="1">
      <x:c r="A13" s="28" t="str">
        <x:v>09</x:v>
      </x:c>
      <x:c r="B13" s="28" t="str">
        <x:v>Aquascape expression</x:v>
      </x:c>
      <x:c r="C13" s="28" t="str">
        <x:v>Place, scale within bounds, layer and freely store decor.</x:v>
      </x:c>
      <x:c r="D13" s="28" t="str">
        <x:v>No growth/coin/XP effects; free undo; scenery projects have no deadlines.</x:v>
      </x:c>
      <x:c r="E13" s="28" t="str">
        <x:v>Creation gives the aquarium identity.</x:v>
      </x:c>
      <x:c r="F13" s="28" t="str">
        <x:v>A self-authored scene worth revisiting and photographing.</x:v>
      </x:c>
      <x:c r="G13" s="28" t="str">
        <x:v>decor_place; project_milestone</x:v>
      </x:c>
    </x:row>
    <x:row r="14" ht="86" customHeight="1">
      <x:c r="A14" s="28" t="str">
        <x:v>10</x:v>
      </x:c>
      <x:c r="B14" s="28" t="str">
        <x:v>Daily / weekly variety</x:v>
      </x:c>
      <x:c r="C14" s="28" t="str">
        <x:v>Choose accessible actions, not a forced checklist.</x:v>
      </x:c>
      <x:c r="D14" s="28" t="str">
        <x:v>Three of five daily actions share one reward budget; weekly 5 active days out of 7.</x:v>
      </x:c>
      <x:c r="E14" s="28" t="str">
        <x:v>Light structure with autonomy and room to miss days.</x:v>
      </x:c>
      <x:c r="F14" s="28" t="str">
        <x:v>New combinations, not streak-loss anxiety.</x:v>
      </x:c>
      <x:c r="G14" s="28" t="str">
        <x:v>quest_offer; quest_claim</x:v>
      </x:c>
    </x:row>
    <x:row r="15" ht="86" customHeight="1">
      <x:c r="A15" s="28" t="str">
        <x:v>11</x:v>
      </x:c>
      <x:c r="B15" s="28" t="str">
        <x:v>Seasonal discovery</x:v>
      </x:c>
      <x:c r="C15" s="28" t="str">
        <x:v>Earn a permanent seasonal companion through a visible track.</x:v>
      </x:c>
      <x:c r="D15" s="28" t="str">
        <x:v>14-day event, banked missed opportunities, no paid event points or paid randomness.</x:v>
      </x:c>
      <x:c r="E15" s="28" t="str">
        <x:v>A new theme with an achievable goal.</x:v>
      </x:c>
      <x:c r="F15" s="28" t="str">
        <x:v>Fresh art and scene possibilities; owned items never expire.</x:v>
      </x:c>
      <x:c r="G15" s="28" t="str">
        <x:v>event_progress; event_claim</x:v>
      </x:c>
    </x:row>
    <x:row r="16" ht="86" customHeight="1">
      <x:c r="A16" s="28" t="str">
        <x:v>12</x:v>
      </x:c>
      <x:c r="B16" s="28" t="str">
        <x:v>A good stopping point</x:v>
      </x:c>
      <x:c r="C16" s="28" t="str">
        <x:v>Finish a batch or scene and close the app.</x:v>
      </x:c>
      <x:c r="D16" s="28" t="str">
        <x:v>No guilt modal, loss warning, escalating notifications or post-exit offer.</x:v>
      </x:c>
      <x:c r="E16" s="28" t="str">
        <x:v>The player remains in control.</x:v>
      </x:c>
      <x:c r="F16" s="28" t="str">
        <x:v>An optional reminder for a chosen ready time, not every fish.</x:v>
      </x:c>
      <x:c r="G16" s="28" t="str">
        <x:v>session_end; reminder_opt_in</x:v>
      </x:c>
    </x:row>
  </x:sheetData>
  <x:mergeCells>
    <x:mergeCell ref="A1:G1"/>
    <x:mergeCell ref="A2:G2"/>
  </x:mergeCells>
  <x:pageMargins left="0.7" right="0.7" top="0.75" bottom="0.75" header="0.3" footer="0.3"/>
  <x:tableParts count="1">
    <x:tablePart xmlns:r="http://schemas.openxmlformats.org/officeDocument/2006/relationships" r:id="Rf17fe35ff37e491c"/>
  </x:tableParts>
</x:worksheet>
</file>

<file path=xl/worksheets/sheet5.xml><?xml version="1.0" encoding="utf-8"?>
<x:worksheet xmlns:x="http://schemas.openxmlformats.org/spreadsheetml/2006/main">
  <x:sheetFormatPr defaultRowHeight="15"/>
  <x:cols>
    <x:col min="1" max="1" width="10" hidden="0" customWidth="1"/>
    <x:col min="2" max="2" width="23" hidden="0" customWidth="1"/>
    <x:col min="3" max="3" width="27" hidden="0" customWidth="1"/>
    <x:col min="4" max="4" width="92" hidden="0" customWidth="1"/>
    <x:col min="5" max="5" width="32" hidden="0" customWidth="1"/>
    <x:col min="6" max="6" width="54" hidden="0" customWidth="1"/>
  </x:cols>
  <x:sheetData>
    <x:row r="1" ht="34" customHeight="1">
      <x:c r="A1" s="6" t="str">
        <x:v>CANONICAL RULES | one implementation contract</x:v>
      </x:c>
      <x:c r="B1" s="6"/>
      <x:c r="C1" s="6"/>
      <x:c r="D1" s="6"/>
      <x:c r="E1" s="6"/>
      <x:c r="F1" s="6"/>
    </x:row>
    <x:row r="2" ht="32" customHeight="1">
      <x:c r="A2" s="13" t="str">
        <x:v>These rules supersede contradictory legacy text. Numeric controls live in Inputs and the named catalog; all launch changes require versioning.</x:v>
      </x:c>
      <x:c r="B2" s="13"/>
      <x:c r="C2" s="13"/>
      <x:c r="D2" s="13"/>
      <x:c r="E2" s="13"/>
      <x:c r="F2" s="13"/>
    </x:row>
    <x:row r="3">
      <x:c r="A3" s="2"/>
      <x:c r="B3" s="2"/>
      <x:c r="C3" s="2"/>
      <x:c r="D3" s="2"/>
      <x:c r="E3" s="2"/>
      <x:c r="F3" s="2"/>
    </x:row>
    <x:row r="4" ht="32" customHeight="1">
      <x:c r="A4" s="21" t="str">
        <x:v>Rule</x:v>
      </x:c>
      <x:c r="B4" s="21" t="str">
        <x:v>System</x:v>
      </x:c>
      <x:c r="C4" s="21" t="str">
        <x:v>Decision</x:v>
      </x:c>
      <x:c r="D4" s="21" t="str">
        <x:v>Canonical behavior</x:v>
      </x:c>
      <x:c r="E4" s="21" t="str">
        <x:v>Source of truth</x:v>
      </x:c>
      <x:c r="F4" s="21" t="str">
        <x:v>Required edge-case check</x:v>
      </x:c>
    </x:row>
    <x:row r="5" ht="83" customHeight="1">
      <x:c r="A5" s="28" t="str">
        <x:v>R01</x:v>
      </x:c>
      <x:c r="B5" s="28" t="str">
        <x:v>Authority</x:v>
      </x:c>
      <x:c r="C5" s="28" t="str">
        <x:v>Server economy</x:v>
      </x:c>
      <x:c r="D5" s="28" t="str">
        <x:v>All currency, growth timestamps, grants and ownership are server authoritative. Client animation never mints value.</x:v>
      </x:c>
      <x:c r="E5" s="28" t="str">
        <x:v>Data Contracts</x:v>
      </x:c>
      <x:c r="F5" s="28" t="str">
        <x:v>Concurrent requests / offline reconciliation</x:v>
      </x:c>
    </x:row>
    <x:row r="6" ht="83" customHeight="1">
      <x:c r="A6" s="28" t="str">
        <x:v>R02</x:v>
      </x:c>
      <x:c r="B6" s="28" t="str">
        <x:v>Production vs display</x:v>
      </x:c>
      <x:c r="C6" s="28" t="str">
        <x:v>Separate object types</x:v>
      </x:c>
      <x:c r="D6" s="28" t="str">
        <x:v>Growing fish occupy paid/unlocked growth capacity. Showcase fish and premium companions are nonproducing display ownership; no sell value, breeding or XP.</x:v>
      </x:c>
      <x:c r="E6" s="28" t="str">
        <x:v>Coin Fish; Fish Collectibles</x:v>
      </x:c>
      <x:c r="F6" s="28" t="str">
        <x:v>A kept fish never restarts growth</x:v>
      </x:c>
    </x:row>
    <x:row r="7" ht="83" customHeight="1">
      <x:c r="A7" s="28" t="str">
        <x:v>R03</x:v>
      </x:c>
      <x:c r="B7" s="28" t="str">
        <x:v>Purchase snapshot</x:v>
      </x:c>
      <x:c r="C7" s="28" t="str">
        <x:v>Immutable at purchase</x:v>
      </x:c>
      <x:c r="D7" s="28" t="str">
        <x:v>Capture account level, config version, actual coin basis, net profit, total XP, schedule and ready_at. Catalog rows preview a purchase at the unlock level.</x:v>
      </x:c>
      <x:c r="E7" s="28" t="str">
        <x:v>Coin Fish; Inputs</x:v>
      </x:c>
      <x:c r="F7" s="28" t="str">
        <x:v>Later tuning or level-ups do not reprice old fish</x:v>
      </x:c>
    </x:row>
    <x:row r="8" ht="83" customHeight="1">
      <x:c r="A8" s="28" t="str">
        <x:v>R04</x:v>
      </x:c>
      <x:c r="B8" s="28" t="str">
        <x:v>Adult settlement</x:v>
      </x:c>
      <x:c r="C8" s="28" t="str">
        <x:v>One atomic claim</x:v>
      </x:c>
      <x:c r="D8" s="28" t="str">
        <x:v>Adult payout = actual principal + snapshotted net profit. Adult XP = snapshotted XP. Keep and Rehome have identical settlement. Gift principal is zero.</x:v>
      </x:c>
      <x:c r="E8" s="28" t="str">
        <x:v>Coin Fish</x:v>
      </x:c>
      <x:c r="F8" s="28" t="str">
        <x:v>Unique fish instance settlement key</x:v>
      </x:c>
    </x:row>
    <x:row r="9" ht="83" customHeight="1">
      <x:c r="A9" s="28" t="str">
        <x:v>R05</x:v>
      </x:c>
      <x:c r="B9" s="28" t="str">
        <x:v>Partial rehome</x:v>
      </x:c>
      <x:c r="C9" s="28" t="str">
        <x:v>Inferior to waiting</x:v>
      </x:c>
      <x:c r="D9" s="28" t="str">
        <x:v>Egg cancel: actual principal only, zero XP. Junior / Young / Mature return FLOOR(95% principal) + FLOOR(10/40/70% profit); XP FLOOR(10/40/70% total). Instance is consumed.</x:v>
      </x:c>
      <x:c r="E9" s="28" t="str">
        <x:v>Inputs; Coin Fish</x:v>
      </x:c>
      <x:c r="F9" s="28" t="str">
        <x:v>Boundary timestamps 25/55/80%; never also adult-claim</x:v>
      </x:c>
    </x:row>
    <x:row r="10" ht="83" customHeight="1">
      <x:c r="A10" s="28" t="str">
        <x:v>R06</x:v>
      </x:c>
      <x:c r="B10" s="28" t="str">
        <x:v>Growth clock</x:v>
      </x:c>
      <x:c r="C10" s="28" t="str">
        <x:v>Total elapsed time</x:v>
      </x:c>
      <x:c r="D10" s="28" t="str">
        <x:v>Adult hours are TOTAL duration. Stage thresholds are exactly 0/25/55/80/100%. Ready fish wait indefinitely; no repeated offline production.</x:v>
      </x:c>
      <x:c r="E10" s="28" t="str">
        <x:v>Schedules</x:v>
      </x:c>
      <x:c r="F10" s="28" t="str">
        <x:v>Clock rollback / DST / long absence</x:v>
      </x:c>
    </x:row>
    <x:row r="11" ht="83" customHeight="1">
      <x:c r="A11" s="28" t="str">
        <x:v>R07</x:v>
      </x:c>
      <x:c r="B11" s="28" t="str">
        <x:v>No punitive care</x:v>
      </x:c>
      <x:c r="C11" s="28" t="str">
        <x:v>Safe absence</x:v>
      </x:c>
      <x:c r="D11" s="28" t="str">
        <x:v>Feeding is free interaction. There is no hunger penalty, illness, fish death, upkeep bill, paid revival or forced wait-skip product.</x:v>
      </x:c>
      <x:c r="E11" s="28" t="str">
        <x:v>Core Loop</x:v>
      </x:c>
      <x:c r="F11" s="28" t="str">
        <x:v>30-day absence preserves everything</x:v>
      </x:c>
    </x:row>
    <x:row r="12" ht="83" customHeight="1">
      <x:c r="A12" s="28" t="str">
        <x:v>R08</x:v>
      </x:c>
      <x:c r="B12" s="28" t="str">
        <x:v>Economy weights</x:v>
      </x:c>
      <x:c r="C12" s="28" t="str">
        <x:v>Bounded trade-offs</x:v>
      </x:c>
      <x:c r="D12" s="28" t="str">
        <x:v>Rarity is visual. Coin specialist uses 1.10 coin / 0.90 XP; XP specialist uses 0.90 / 1.10. Other roles 1 / 1. Schedule factors are explicit.</x:v>
      </x:c>
      <x:c r="E12" s="28" t="str">
        <x:v>Schedules; Coin Fish</x:v>
      </x:c>
      <x:c r="F12" s="28" t="str">
        <x:v>Do not add hidden decor, premium or social multipliers</x:v>
      </x:c>
    </x:row>
    <x:row r="13" ht="83" customHeight="1">
      <x:c r="A13" s="28" t="str">
        <x:v>R09</x:v>
      </x:c>
      <x:c r="B13" s="28" t="str">
        <x:v>Reference income</x:v>
      </x:c>
      <x:c r="C13" s="28" t="str">
        <x:v>Not player entitlement</x:v>
      </x:c>
      <x:c r="D13" s="28" t="str">
        <x:v>Reference income/day = per-slot base × (1 + level slope × (level−1)) × level-eligible slots × 20/24. This is a pricing anchor, not a promise or a model of owned tanks.</x:v>
      </x:c>
      <x:c r="E13" s="28" t="str">
        <x:v>Inputs; XP &amp; Unlocks</x:v>
      </x:c>
      <x:c r="F13" s="28" t="str">
        <x:v>Use actual owned slots in simulation and runtime</x:v>
      </x:c>
    </x:row>
    <x:row r="14" ht="83" customHeight="1">
      <x:c r="A14" s="28" t="str">
        <x:v>R10</x:v>
      </x:c>
      <x:c r="B14" s="28" t="str">
        <x:v>Capacity payment</x:v>
      </x:c>
      <x:c r="C14" s="28" t="str">
        <x:v>Coin OR pearl</x:v>
      </x:c>
      <x:c r="D14" s="28" t="str">
        <x:v>Each Tanks row is a one-time entitlement. The player chooses full coin price OR full pearl price; both obey level and prerequisite. No friends required; no mixed payment unless a new tested SKU is specified.</x:v>
      </x:c>
      <x:c r="E14" s="28" t="str">
        <x:v>Tanks</x:v>
      </x:c>
      <x:c r="F14" s="28" t="str">
        <x:v>Atomic ownership uniqueness and post-buy capacity</x:v>
      </x:c>
    </x:row>
    <x:row r="15" ht="83" customHeight="1">
      <x:c r="A15" s="28" t="str">
        <x:v>R11</x:v>
      </x:c>
      <x:c r="B15" s="28" t="str">
        <x:v>Progression cap</x:v>
      </x:c>
      <x:c r="C15" s="28" t="str">
        <x:v>Launch level 40</x:v>
      </x:c>
      <x:c r="D15" s="28" t="str">
        <x:v>Account XP clamps at level-40 entry. Suppress account-XP reward displays at cap; retain separate lifetime XP telemetry only. Levels 41–70 remain disabled.</x:v>
      </x:c>
      <x:c r="E15" s="28" t="str">
        <x:v>XP &amp; Unlocks</x:v>
      </x:c>
      <x:c r="F15" s="28" t="str">
        <x:v>No banked future-level unlocks</x:v>
      </x:c>
    </x:row>
    <x:row r="16" ht="83" customHeight="1">
      <x:c r="A16" s="28" t="str">
        <x:v>R12</x:v>
      </x:c>
      <x:c r="B16" s="28" t="str">
        <x:v>Currencies</x:v>
      </x:c>
      <x:c r="C16" s="28" t="str">
        <x:v>Clear and nonexchangeable</x:v>
      </x:c>
      <x:c r="D16" s="28" t="str">
        <x:v>Coins: eggs, tanks, coin decor and projects. Pearls: permanent cosmetics or explicit capacity alternative. Gift tokens: fixed cosmetic shop only. Event points are track progress, not purchased currency.</x:v>
      </x:c>
      <x:c r="E16" s="28" t="str">
        <x:v>Shop; Social; Events</x:v>
      </x:c>
      <x:c r="F16" s="28" t="str">
        <x:v>No token→coin→XP arbitrage</x:v>
      </x:c>
    </x:row>
    <x:row r="17" ht="83" customHeight="1">
      <x:c r="A17" s="28" t="str">
        <x:v>R13</x:v>
      </x:c>
      <x:c r="B17" s="28" t="str">
        <x:v>Daily rewards</x:v>
      </x:c>
      <x:c r="C17" s="28" t="str">
        <x:v>One shared pool</x:v>
      </x:c>
      <x:c r="D17" s="28" t="str">
        <x:v>At daily offer creation, snapshot level and pool. Split XP and coin pools across 3 claims using floor/floor/remainder. Replace inaccessible tasks free; replacements share claim slots.</x:v>
      </x:c>
      <x:c r="E17" s="28" t="str">
        <x:v>Quest Rewards; Quests</x:v>
      </x:c>
      <x:c r="F17" s="28" t="str">
        <x:v>Retry/replacement cannot reset the daily pool</x:v>
      </x:c>
    </x:row>
    <x:row r="18" ht="83" customHeight="1">
      <x:c r="A18" s="28" t="str">
        <x:v>R14</x:v>
      </x:c>
      <x:c r="B18" s="28" t="str">
        <x:v>Weekly rewards</x:v>
      </x:c>
      <x:c r="C18" s="28" t="str">
        <x:v>One per week</x:v>
      </x:c>
      <x:c r="D18" s="28" t="str">
        <x:v>Unlock at level 5. Snapshot reward at first eligible offer that week. Complete 5 active days in the 7-day period, no consecutive streak requirement; only eligible days count.</x:v>
      </x:c>
      <x:c r="E18" s="28" t="str">
        <x:v>Quests</x:v>
      </x:c>
      <x:c r="F18" s="28" t="str">
        <x:v>If fewer than five days remain at unlock, begin the first rewarded weekly offer next week.</x:v>
      </x:c>
    </x:row>
    <x:row r="19" ht="83" customHeight="1">
      <x:c r="A19" s="28" t="str">
        <x:v>R15</x:v>
      </x:c>
      <x:c r="B19" s="28" t="str">
        <x:v>Lifetime collections</x:v>
      </x:c>
      <x:c r="C19" s="28" t="str">
        <x:v>Never weekly-reset</x:v>
      </x:c>
      <x:c r="D19" s="28" t="str">
        <x:v>Eight launch chapters, five unique launch coin species each. Award two pearls once per chapter after all first-adult settlements. Exclude premium and event fish.</x:v>
      </x:c>
      <x:c r="E19" s="28" t="str">
        <x:v>Mastery</x:v>
      </x:c>
      <x:c r="F19" s="28" t="str">
        <x:v>Lifetime claim key includes chapter, not calendar week</x:v>
      </x:c>
    </x:row>
    <x:row r="20" ht="83" customHeight="1">
      <x:c r="A20" s="28" t="str">
        <x:v>R16</x:v>
      </x:c>
      <x:c r="B20" s="28" t="str">
        <x:v>Mastery</x:v>
      </x:c>
      <x:c r="C20" s="28" t="str">
        <x:v>Cosmetic commitment</x:v>
      </x:c>
      <x:c r="D20" s="28" t="str">
        <x:v>1/3/10/25 adult settlements per species; final badge also requires care on five distinct days. No repeat coins/XP/pearls from mastery tiers.</x:v>
      </x:c>
      <x:c r="E20" s="28" t="str">
        <x:v>Mastery</x:v>
      </x:c>
      <x:c r="F20" s="28" t="str">
        <x:v>Paid fish and canceled eggs never count</x:v>
      </x:c>
    </x:row>
    <x:row r="21" ht="83" customHeight="1">
      <x:c r="A21" s="28" t="str">
        <x:v>R17</x:v>
      </x:c>
      <x:c r="B21" s="28" t="str">
        <x:v>Decor permanence</x:v>
      </x:c>
      <x:c r="C21" s="28" t="str">
        <x:v>No power or resale</x:v>
      </x:c>
      <x:c r="D21" s="28" t="str">
        <x:v>All decor persists in inventory. Free move/rotate/store/transfer. Buy XP, sale value and fish modifiers are all zero; prior legitimate XP is not clawed back.</x:v>
      </x:c>
      <x:c r="E21" s="28" t="str">
        <x:v>Decor Rules; Migration</x:v>
      </x:c>
      <x:c r="F21" s="28" t="str">
        <x:v>Storage cannot convert or duplicate ownership</x:v>
      </x:c>
    </x:row>
    <x:row r="22" ht="83" customHeight="1">
      <x:c r="A22" s="28" t="str">
        <x:v>R18</x:v>
      </x:c>
      <x:c r="B22" s="28" t="str">
        <x:v>Display score</x:v>
      </x:c>
      <x:c r="C22" s="28" t="str">
        <x:v>Aesthetic only</x:v>
      </x:c>
      <x:c r="D22" s="28" t="str">
        <x:v>Score by footprint: 10/20/35/50. Count each owned, placed ID once per tank; repeated copies add no score. No power, economy rewards or paid leaderboard.</x:v>
      </x:c>
      <x:c r="E22" s="28" t="str">
        <x:v>Decor Catalog</x:v>
      </x:c>
      <x:c r="F22" s="28" t="str">
        <x:v>Moving item across tanks never grants currency</x:v>
      </x:c>
    </x:row>
    <x:row r="23" ht="83" customHeight="1">
      <x:c r="A23" s="28" t="str">
        <x:v>R19</x:v>
      </x:c>
      <x:c r="B23" s="28" t="str">
        <x:v>Free expression</x:v>
      </x:c>
      <x:c r="C23" s="28" t="str">
        <x:v>Separate display budget</x:v>
      </x:c>
      <x:c r="D23" s="28" t="str">
        <x:v>32 visible decor copies and 8 fish companions per tank; 6 concurrently animated props. These are free rendering limits, not paid capacity. Excess owned items stay in inventory.</x:v>
      </x:c>
      <x:c r="E23" s="28" t="str">
        <x:v>Decor Rules</x:v>
      </x:c>
      <x:c r="F23" s="28" t="str">
        <x:v>Reduced motion retains recognizability</x:v>
      </x:c>
    </x:row>
    <x:row r="24" ht="83" customHeight="1">
      <x:c r="A24" s="28" t="str">
        <x:v>R20</x:v>
      </x:c>
      <x:c r="B24" s="28" t="str">
        <x:v>Projects</x:v>
      </x:c>
      <x:c r="C24" s="28" t="str">
        <x:v>Optional finite sinks</x:v>
      </x:c>
      <x:c r="D24" s="28" t="str">
        <x:v>Contributions buy visible cosmetic milestones at 25/50/75/100%. No XP or power, deadlines or loss. Economy simulation preferences are not taxes enforced on players.</x:v>
      </x:c>
      <x:c r="E24" s="28" t="str">
        <x:v>Aquascape Projects</x:v>
      </x:c>
      <x:c r="F24" s="28" t="str">
        <x:v>Contribution cannot exceed remaining cost</x:v>
      </x:c>
    </x:row>
    <x:row r="25" ht="83" customHeight="1">
      <x:c r="A25" s="28" t="str">
        <x:v>R21</x:v>
      </x:c>
      <x:c r="B25" s="28" t="str">
        <x:v>Events</x:v>
      </x:c>
      <x:c r="C25" s="28" t="str">
        <x:v>Forgiving catch-up</x:v>
      </x:c>
      <x:c r="D25" s="28" t="str">
        <x:v>14 days; 20 points of opportunity per day, missed opportunities bank, max 40 earned/day from available bank. Main reward 160 points; extended cosmetic 240; owned rewards permanent.</x:v>
      </x:c>
      <x:c r="E25" s="28" t="str">
        <x:v>Events</x:v>
      </x:c>
      <x:c r="F25" s="28" t="str">
        <x:v>Maximum available 280; no paid points or paid random draws</x:v>
      </x:c>
    </x:row>
    <x:row r="26" ht="83" customHeight="1">
      <x:c r="A26" s="28" t="str">
        <x:v>R22</x:v>
      </x:c>
      <x:c r="B26" s="28" t="str">
        <x:v>Ads</x:v>
      </x:c>
      <x:c r="C26" s="28" t="str">
        <x:v>Optional small bonus</x:v>
      </x:c>
      <x:c r="D26" s="28" t="str">
        <x:v>Opt-in only; 3/day; each 2% reference coin-day, rounded once; 2-minute cooldown; no XP/pearls. Decline has no core penalty; provider no-fill grants no debt.</x:v>
      </x:c>
      <x:c r="E26" s="28" t="str">
        <x:v>Shop</x:v>
      </x:c>
      <x:c r="F26" s="28" t="str">
        <x:v>SSV idempotency; not in tutorial</x:v>
      </x:c>
    </x:row>
    <x:row r="27" ht="83" customHeight="1">
      <x:c r="A27" s="28" t="str">
        <x:v>R23</x:v>
      </x:c>
      <x:c r="B27" s="28" t="str">
        <x:v>Purchases</x:v>
      </x:c>
      <x:c r="C27" s="28" t="str">
        <x:v>Transparent entitlements</x:v>
      </x:c>
      <x:c r="D27" s="28" t="str">
        <x:v>Listed USD prices are proposals. Use actual localized store prices, receipts, restore/refund support and tax handling. No fake discount labels, randomized paid rewards or countdown resets.</x:v>
      </x:c>
      <x:c r="E27" s="28" t="str">
        <x:v>Shop; Sources</x:v>
      </x:c>
      <x:c r="F27" s="28" t="str">
        <x:v>Store validation before each territory launch</x:v>
      </x:c>
    </x:row>
    <x:row r="28" ht="83" customHeight="1">
      <x:c r="A28" s="28" t="str">
        <x:v>R24</x:v>
      </x:c>
      <x:c r="B28" s="28" t="str">
        <x:v>Social</x:v>
      </x:c>
      <x:c r="C28" s="28" t="str">
        <x:v>Solo parity</x:v>
      </x:c>
      <x:c r="D28" s="28" t="str">
        <x:v>NPC and real visits share 3 gift tokens/day. No mandatory invitations, contact uploads, rewarded popularity ranking or launch open chat.</x:v>
      </x:c>
      <x:c r="E28" s="28" t="str">
        <x:v>Social</x:v>
      </x:c>
      <x:c r="F28" s="28" t="str">
        <x:v>Solo account has equal core progression</x:v>
      </x:c>
    </x:row>
    <x:row r="29" ht="83" customHeight="1">
      <x:c r="A29" s="28" t="str">
        <x:v>R25</x:v>
      </x:c>
      <x:c r="B29" s="28" t="str">
        <x:v>Rounding</x:v>
      </x:c>
      <x:c r="C29" s="28" t="str">
        <x:v>Explicit integer units</x:v>
      </x:c>
      <x:c r="D29" s="28" t="str">
        <x:v>All balances integer. ROUND means nearest positive integer (half up). FLOOR partial claims; sum floor/floor/remainder for pools. Record actual awarded integers, never recompute historic grants.</x:v>
      </x:c>
      <x:c r="E29" s="28" t="str">
        <x:v>Inputs; Data Contracts</x:v>
      </x:c>
      <x:c r="F29" s="28" t="str">
        <x:v>Rounding cross-platform golden tests</x:v>
      </x:c>
    </x:row>
    <x:row r="30" ht="83" customHeight="1">
      <x:c r="A30" s="28" t="str">
        <x:v>R26</x:v>
      </x:c>
      <x:c r="B30" s="28" t="str">
        <x:v>Notifications</x:v>
      </x:c>
      <x:c r="C30" s="28" t="str">
        <x:v>Player controlled</x:v>
      </x:c>
      <x:c r="D30" s="28" t="str">
        <x:v>Ask after a useful first return; default off until consent. User chooses quiet hours and batch-ready reminders; never prompt overnight or report imaginary loss.</x:v>
      </x:c>
      <x:c r="E30" s="28" t="str">
        <x:v>UX &amp; Accessibility</x:v>
      </x:c>
      <x:c r="F30" s="28" t="str">
        <x:v>OS denial respected; reminders cancel when unnecessary</x:v>
      </x:c>
    </x:row>
    <x:row r="31" ht="83" customHeight="1">
      <x:c r="A31" s="28" t="str">
        <x:v>R27</x:v>
      </x:c>
      <x:c r="B31" s="28" t="str">
        <x:v>Evidence</x:v>
      </x:c>
      <x:c r="C31" s="28" t="str">
        <x:v>Proposals are not facts</x:v>
      </x:c>
      <x:c r="D31" s="28" t="str">
        <x:v>All revised tuning and acquisition prices are candidate values. Simulation is deterministic, not telemetry. PASS means only the named check; live fun, retention, revenue and policy compliance remain unverified.</x:v>
      </x:c>
      <x:c r="E31" s="28" t="str">
        <x:v>Balance Tests; Experiments</x:v>
      </x:c>
      <x:c r="F31" s="28" t="str">
        <x:v>Release decisions use observed cohorts</x:v>
      </x:c>
    </x:row>
    <x:row r="32" ht="83" customHeight="1">
      <x:c r="A32" s="28" t="str">
        <x:v>R28</x:v>
      </x:c>
      <x:c r="B32" s="28" t="str">
        <x:v>Migration</x:v>
      </x:c>
      <x:c r="C32" s="28" t="str">
        <x:v>Protect earned / paid ownership</x:v>
      </x:c>
      <x:c r="D32" s="28" t="str">
        <x:v>Retain levels, legitimate XP, sentimental fish and purchased value. Grandfather excess legacy capacity rather than deleting fish. Use versioned, reversible grants with before/after ledgers.</x:v>
      </x:c>
      <x:c r="E32" s="28" t="str">
        <x:v>Migration</x:v>
      </x:c>
      <x:c r="F32" s="28" t="str">
        <x:v>Dry-run cohorts, rollback and customer support</x:v>
      </x:c>
    </x:row>
  </x:sheetData>
  <x:mergeCells>
    <x:mergeCell ref="A1:F1"/>
    <x:mergeCell ref="A2:F2"/>
  </x:mergeCells>
  <x:pageMargins left="0.7" right="0.7" top="0.75" bottom="0.75" header="0.3" footer="0.3"/>
  <x:tableParts count="1">
    <x:tablePart xmlns:r="http://schemas.openxmlformats.org/officeDocument/2006/relationships" r:id="R5e178e71c48c4584"/>
  </x:tableParts>
</x:worksheet>
</file>

<file path=xl/worksheets/sheet6.xml><?xml version="1.0" encoding="utf-8"?>
<x:worksheet xmlns:x="http://schemas.openxmlformats.org/spreadsheetml/2006/main">
  <x:sheetFormatPr defaultRowHeight="15"/>
  <x:cols>
    <x:col min="1" max="1" width="30" hidden="0" customWidth="1"/>
    <x:col min="2" max="2" width="15" hidden="0" customWidth="1"/>
    <x:col min="3" max="3" width="20" hidden="0" customWidth="1"/>
    <x:col min="4" max="4" width="65" hidden="0" customWidth="1"/>
    <x:col min="5" max="5" width="25" hidden="0" customWidth="1"/>
    <x:col min="6" max="6" width="18" hidden="0" customWidth="1"/>
  </x:cols>
  <x:sheetData>
    <x:row r="1" ht="34" customHeight="1">
      <x:c r="A1" s="6" t="str">
        <x:v>BALANCE INPUTS</x:v>
      </x:c>
      <x:c r="B1" s="6"/>
      <x:c r="C1" s="6"/>
      <x:c r="D1" s="6"/>
      <x:c r="E1" s="6"/>
      <x:c r="F1" s="6"/>
    </x:row>
    <x:row r="2" ht="32" customHeight="1">
      <x:c r="A2" s="13" t="str">
        <x:v>Yellow = editable. Formula outputs are elsewhere. Re-run the discrete model after any tuning edit; snapshots are not live forecasts.</x:v>
      </x:c>
      <x:c r="B2" s="13"/>
      <x:c r="C2" s="13"/>
      <x:c r="D2" s="13"/>
      <x:c r="E2" s="13"/>
      <x:c r="F2" s="13"/>
    </x:row>
    <x:row r="3">
      <x:c r="A3" s="2"/>
      <x:c r="B3" s="2"/>
      <x:c r="C3" s="2"/>
      <x:c r="D3" s="2"/>
      <x:c r="E3" s="2"/>
      <x:c r="F3" s="2"/>
    </x:row>
    <x:row r="4" ht="32" customHeight="1">
      <x:c r="A4" s="21" t="str">
        <x:v>Key</x:v>
      </x:c>
      <x:c r="B4" s="21" t="str">
        <x:v>Value</x:v>
      </x:c>
      <x:c r="C4" s="21" t="str">
        <x:v>Unit</x:v>
      </x:c>
      <x:c r="D4" s="21" t="str">
        <x:v>Definition / boundary</x:v>
      </x:c>
      <x:c r="E4" s="21" t="str">
        <x:v>Evidence status</x:v>
      </x:c>
      <x:c r="F4" s="21" t="str">
        <x:v>Checksum weight</x:v>
      </x:c>
    </x:row>
    <x:row r="5" ht="34" customHeight="1">
      <x:c r="A5" s="28" t="str">
        <x:v>launch_cap</x:v>
      </x:c>
      <x:c r="B5" s="32" t="n">
        <x:v>40</x:v>
      </x:c>
      <x:c r="C5" s="28" t="str">
        <x:v>level</x:v>
      </x:c>
      <x:c r="D5" s="28" t="str">
        <x:v>Launch limit; 41–70 remain gated proposals.</x:v>
      </x:c>
      <x:c r="E5" s="28" t="str">
        <x:v>Proposal / v4</x:v>
      </x:c>
      <x:c r="F5" s="28" t="n">
        <x:v>1</x:v>
      </x:c>
    </x:row>
    <x:row r="6" ht="34" customHeight="1">
      <x:c r="A6" s="28" t="str">
        <x:v>planned_cap</x:v>
      </x:c>
      <x:c r="B6" s="32" t="n">
        <x:v>70</x:v>
      </x:c>
      <x:c r="C6" s="28" t="str">
        <x:v>level</x:v>
      </x:c>
      <x:c r="D6" s="28" t="str">
        <x:v>Catalog planning only; not launch permission.</x:v>
      </x:c>
      <x:c r="E6" s="28" t="str">
        <x:v>Proposal / v4</x:v>
      </x:c>
      <x:c r="F6" s="28" t="n">
        <x:v>2</x:v>
      </x:c>
    </x:row>
    <x:row r="7" ht="34" customHeight="1">
      <x:c r="A7" s="28" t="str">
        <x:v>starting_coins</x:v>
      </x:c>
      <x:c r="B7" s="32" t="n">
        <x:v>250</x:v>
      </x:c>
      <x:c r="C7" s="28" t="str">
        <x:v>coins</x:v>
      </x:c>
      <x:c r="D7" s="28" t="str">
        <x:v>Before tutorial.</x:v>
      </x:c>
      <x:c r="E7" s="28" t="str">
        <x:v>Proposal / v4</x:v>
      </x:c>
      <x:c r="F7" s="28" t="n">
        <x:v>3</x:v>
      </x:c>
    </x:row>
    <x:row r="8" ht="34" customHeight="1">
      <x:c r="A8" s="28" t="str">
        <x:v>starting_pearls</x:v>
      </x:c>
      <x:c r="B8" s="32" t="n">
        <x:v>0</x:v>
      </x:c>
      <x:c r="C8" s="28" t="str">
        <x:v>pearls</x:v>
      </x:c>
      <x:c r="D8" s="28" t="str">
        <x:v>Before tutorial.</x:v>
      </x:c>
      <x:c r="E8" s="28" t="str">
        <x:v>Proposal / v4</x:v>
      </x:c>
      <x:c r="F8" s="28" t="n">
        <x:v>4</x:v>
      </x:c>
    </x:row>
    <x:row r="9" ht="34" customHeight="1">
      <x:c r="A9" s="28" t="str">
        <x:v>starting_slots</x:v>
      </x:c>
      <x:c r="B9" s="32" t="n">
        <x:v>10</x:v>
      </x:c>
      <x:c r="C9" s="28" t="str">
        <x:v>slots</x:v>
      </x:c>
      <x:c r="D9" s="28" t="str">
        <x:v>Free production slots.</x:v>
      </x:c>
      <x:c r="E9" s="28" t="str">
        <x:v>Proposal / v4</x:v>
      </x:c>
      <x:c r="F9" s="28" t="n">
        <x:v>5</x:v>
      </x:c>
    </x:row>
    <x:row r="10" ht="34" customHeight="1">
      <x:c r="A10" s="28" t="str">
        <x:v>starter_fish</x:v>
      </x:c>
      <x:c r="B10" s="32" t="n">
        <x:v>4</x:v>
      </x:c>
      <x:c r="C10" s="28" t="str">
        <x:v>fish</x:v>
      </x:c>
      <x:c r="D10" s="28" t="str">
        <x:v>Two Neon, one Guppy, one Platy; zero cost basis.</x:v>
      </x:c>
      <x:c r="E10" s="28" t="str">
        <x:v>Proposal / v4</x:v>
      </x:c>
      <x:c r="F10" s="28" t="n">
        <x:v>6</x:v>
      </x:c>
    </x:row>
    <x:row r="11" ht="34" customHeight="1">
      <x:c r="A11" s="28" t="str">
        <x:v>tutorial_xp</x:v>
      </x:c>
      <x:c r="B11" s="32" t="n">
        <x:v>80</x:v>
      </x:c>
      <x:c r="C11" s="28" t="str">
        <x:v>XP</x:v>
      </x:c>
      <x:c r="D11" s="28" t="str">
        <x:v>Total explicit tutorial XP; demo fish gives zero XP.</x:v>
      </x:c>
      <x:c r="E11" s="28" t="str">
        <x:v>Proposal / v4</x:v>
      </x:c>
      <x:c r="F11" s="28" t="n">
        <x:v>7</x:v>
      </x:c>
    </x:row>
    <x:row r="12" ht="34" customHeight="1">
      <x:c r="A12" s="28" t="str">
        <x:v>level2_coins</x:v>
      </x:c>
      <x:c r="B12" s="32" t="n">
        <x:v>500</x:v>
      </x:c>
      <x:c r="C12" s="28" t="str">
        <x:v>coins</x:v>
      </x:c>
      <x:c r="D12" s="28" t="str">
        <x:v>One-time grant at L2; no repeat or paid requirement.</x:v>
      </x:c>
      <x:c r="E12" s="28" t="str">
        <x:v>Proposal / v4</x:v>
      </x:c>
      <x:c r="F12" s="28" t="n">
        <x:v>8</x:v>
      </x:c>
    </x:row>
    <x:row r="13" ht="34" customHeight="1">
      <x:c r="A13" s="28" t="str">
        <x:v>level2_pearls</x:v>
      </x:c>
      <x:c r="B13" s="32" t="n">
        <x:v>1</x:v>
      </x:c>
      <x:c r="C13" s="28" t="str">
        <x:v>pearls</x:v>
      </x:c>
      <x:c r="D13" s="28" t="str">
        <x:v>One-time grant at L2.</x:v>
      </x:c>
      <x:c r="E13" s="28" t="str">
        <x:v>Proposal / v4</x:v>
      </x:c>
      <x:c r="F13" s="28" t="n">
        <x:v>9</x:v>
      </x:c>
    </x:row>
    <x:row r="14" ht="34" customHeight="1">
      <x:c r="A14" s="28" t="str">
        <x:v>base_coin_day</x:v>
      </x:c>
      <x:c r="B14" s="32" t="n">
        <x:v>360</x:v>
      </x:c>
      <x:c r="C14" s="28" t="str">
        <x:v>coins/slot/day</x:v>
      </x:c>
      <x:c r="D14" s="28" t="str">
        <x:v>L1 pre-role, pre-schedule net production frontier.</x:v>
      </x:c>
      <x:c r="E14" s="28" t="str">
        <x:v>Proposal / v4</x:v>
      </x:c>
      <x:c r="F14" s="28" t="n">
        <x:v>10</x:v>
      </x:c>
    </x:row>
    <x:row r="15" ht="34" customHeight="1">
      <x:c r="A15" s="28" t="str">
        <x:v>coin_level_slope</x:v>
      </x:c>
      <x:c r="B15" s="32" t="n">
        <x:v>0.045</x:v>
      </x:c>
      <x:c r="C15" s="28" t="str">
        <x:v>per level</x:v>
      </x:c>
      <x:c r="D15" s="28" t="str">
        <x:v>Linear scale: 1 + slope × (snapshot level − 1).</x:v>
      </x:c>
      <x:c r="E15" s="28" t="str">
        <x:v>Proposal / v4</x:v>
      </x:c>
      <x:c r="F15" s="28" t="n">
        <x:v>11</x:v>
      </x:c>
    </x:row>
    <x:row r="16" ht="34" customHeight="1">
      <x:c r="A16" s="28" t="str">
        <x:v>base_xp_day</x:v>
      </x:c>
      <x:c r="B16" s="32" t="n">
        <x:v>96</x:v>
      </x:c>
      <x:c r="C16" s="28" t="str">
        <x:v>XP/slot/day</x:v>
      </x:c>
      <x:c r="D16" s="28" t="str">
        <x:v>L1 pre-role, pre-schedule production frontier.</x:v>
      </x:c>
      <x:c r="E16" s="28" t="str">
        <x:v>Proposal / v4</x:v>
      </x:c>
      <x:c r="F16" s="28" t="n">
        <x:v>12</x:v>
      </x:c>
    </x:row>
    <x:row r="17" ht="34" customHeight="1">
      <x:c r="A17" s="28" t="str">
        <x:v>xp_level_slope</x:v>
      </x:c>
      <x:c r="B17" s="32" t="n">
        <x:v>0.01</x:v>
      </x:c>
      <x:c r="C17" s="28" t="str">
        <x:v>per level</x:v>
      </x:c>
      <x:c r="D17" s="28" t="str">
        <x:v>Linear XP scaling; snapshot at egg purchase.</x:v>
      </x:c>
      <x:c r="E17" s="28" t="str">
        <x:v>Proposal / v4</x:v>
      </x:c>
      <x:c r="F17" s="28" t="n">
        <x:v>13</x:v>
      </x:c>
    </x:row>
    <x:row r="18" ht="34" customHeight="1">
      <x:c r="A18" s="28" t="str">
        <x:v>working_capital_share</x:v>
      </x:c>
      <x:c r="B18" s="32" t="n">
        <x:v>0.25</x:v>
      </x:c>
      <x:c r="C18" s="28" t="str">
        <x:v>fraction</x:v>
      </x:c>
      <x:c r="D18" s="28" t="str">
        <x:v>Coin egg price / full-cycle net profit.</x:v>
      </x:c>
      <x:c r="E18" s="28" t="str">
        <x:v>Proposal / v4</x:v>
      </x:c>
      <x:c r="F18" s="28" t="n">
        <x:v>14</x:v>
      </x:c>
    </x:row>
    <x:row r="19" ht="34" customHeight="1">
      <x:c r="A19" s="28" t="str">
        <x:v>min_egg_price</x:v>
      </x:c>
      <x:c r="B19" s="32" t="n">
        <x:v>5</x:v>
      </x:c>
      <x:c r="C19" s="28" t="str">
        <x:v>coins</x:v>
      </x:c>
      <x:c r="D19" s="28" t="str">
        <x:v>Positive price floor; gift cost basis is still zero.</x:v>
      </x:c>
      <x:c r="E19" s="28" t="str">
        <x:v>Proposal / v4</x:v>
      </x:c>
      <x:c r="F19" s="28" t="n">
        <x:v>15</x:v>
      </x:c>
    </x:row>
    <x:row r="20" ht="34" customHeight="1">
      <x:c r="A20" s="28" t="str">
        <x:v>early_refund_share</x:v>
      </x:c>
      <x:c r="B20" s="32" t="n">
        <x:v>0.95</x:v>
      </x:c>
      <x:c r="C20" s="28" t="str">
        <x:v>fraction</x:v>
      </x:c>
      <x:c r="D20" s="28" t="str">
        <x:v>Principal returned on partial rehome; egg cancellation 100%.</x:v>
      </x:c>
      <x:c r="E20" s="28" t="str">
        <x:v>Proposal / v4</x:v>
      </x:c>
      <x:c r="F20" s="28" t="n">
        <x:v>16</x:v>
      </x:c>
    </x:row>
    <x:row r="21" ht="34" customHeight="1">
      <x:c r="A21" s="28" t="str">
        <x:v>junior_time</x:v>
      </x:c>
      <x:c r="B21" s="32" t="n">
        <x:v>0.25</x:v>
      </x:c>
      <x:c r="C21" s="28" t="str">
        <x:v>fraction</x:v>
      </x:c>
      <x:c r="D21" s="28" t="str">
        <x:v>Fraction of total adult time.</x:v>
      </x:c>
      <x:c r="E21" s="28" t="str">
        <x:v>Proposal / v4</x:v>
      </x:c>
      <x:c r="F21" s="28" t="n">
        <x:v>17</x:v>
      </x:c>
    </x:row>
    <x:row r="22" ht="34" customHeight="1">
      <x:c r="A22" s="28" t="str">
        <x:v>young_time</x:v>
      </x:c>
      <x:c r="B22" s="32" t="n">
        <x:v>0.55</x:v>
      </x:c>
      <x:c r="C22" s="28" t="str">
        <x:v>fraction</x:v>
      </x:c>
      <x:c r="D22" s="28" t="str">
        <x:v>Fraction of total adult time.</x:v>
      </x:c>
      <x:c r="E22" s="28" t="str">
        <x:v>Proposal / v4</x:v>
      </x:c>
      <x:c r="F22" s="28" t="n">
        <x:v>18</x:v>
      </x:c>
    </x:row>
    <x:row r="23" ht="34" customHeight="1">
      <x:c r="A23" s="28" t="str">
        <x:v>mature_time</x:v>
      </x:c>
      <x:c r="B23" s="32" t="n">
        <x:v>0.8</x:v>
      </x:c>
      <x:c r="C23" s="28" t="str">
        <x:v>fraction</x:v>
      </x:c>
      <x:c r="D23" s="28" t="str">
        <x:v>Fraction of total adult time.</x:v>
      </x:c>
      <x:c r="E23" s="28" t="str">
        <x:v>Proposal / v4</x:v>
      </x:c>
      <x:c r="F23" s="28" t="n">
        <x:v>19</x:v>
      </x:c>
    </x:row>
    <x:row r="24" ht="34" customHeight="1">
      <x:c r="A24" s="28" t="str">
        <x:v>junior_yield</x:v>
      </x:c>
      <x:c r="B24" s="32" t="n">
        <x:v>0.1</x:v>
      </x:c>
      <x:c r="C24" s="28" t="str">
        <x:v>fraction</x:v>
      </x:c>
      <x:c r="D24" s="28" t="str">
        <x:v>Fraction of adult profit and XP.</x:v>
      </x:c>
      <x:c r="E24" s="28" t="str">
        <x:v>Proposal / v4</x:v>
      </x:c>
      <x:c r="F24" s="28" t="n">
        <x:v>20</x:v>
      </x:c>
    </x:row>
    <x:row r="25" ht="34" customHeight="1">
      <x:c r="A25" s="28" t="str">
        <x:v>young_yield</x:v>
      </x:c>
      <x:c r="B25" s="32" t="n">
        <x:v>0.4</x:v>
      </x:c>
      <x:c r="C25" s="28" t="str">
        <x:v>fraction</x:v>
      </x:c>
      <x:c r="D25" s="28" t="str">
        <x:v>Fraction of adult profit and XP.</x:v>
      </x:c>
      <x:c r="E25" s="28" t="str">
        <x:v>Proposal / v4</x:v>
      </x:c>
      <x:c r="F25" s="28" t="n">
        <x:v>21</x:v>
      </x:c>
    </x:row>
    <x:row r="26" ht="34" customHeight="1">
      <x:c r="A26" s="28" t="str">
        <x:v>mature_yield</x:v>
      </x:c>
      <x:c r="B26" s="32" t="n">
        <x:v>0.7</x:v>
      </x:c>
      <x:c r="C26" s="28" t="str">
        <x:v>fraction</x:v>
      </x:c>
      <x:c r="D26" s="28" t="str">
        <x:v>Fraction of adult profit and XP.</x:v>
      </x:c>
      <x:c r="E26" s="28" t="str">
        <x:v>Proposal / v4</x:v>
      </x:c>
      <x:c r="F26" s="28" t="n">
        <x:v>22</x:v>
      </x:c>
    </x:row>
    <x:row r="27" ht="34" customHeight="1">
      <x:c r="A27" s="28" t="str">
        <x:v>daily_quest_xp_share</x:v>
      </x:c>
      <x:c r="B27" s="32" t="n">
        <x:v>0.12</x:v>
      </x:c>
      <x:c r="C27" s="28" t="str">
        <x:v>fraction</x:v>
      </x:c>
      <x:c r="D27" s="28" t="str">
        <x:v>Reference fish daily XP, not next-level XP.</x:v>
      </x:c>
      <x:c r="E27" s="28" t="str">
        <x:v>Proposal / v4</x:v>
      </x:c>
      <x:c r="F27" s="28" t="n">
        <x:v>23</x:v>
      </x:c>
    </x:row>
    <x:row r="28" ht="34" customHeight="1">
      <x:c r="A28" s="28" t="str">
        <x:v>daily_quest_coin_share</x:v>
      </x:c>
      <x:c r="B28" s="32" t="n">
        <x:v>0.06</x:v>
      </x:c>
      <x:c r="C28" s="28" t="str">
        <x:v>fraction</x:v>
      </x:c>
      <x:c r="D28" s="28" t="str">
        <x:v>Reference fish daily net coins.</x:v>
      </x:c>
      <x:c r="E28" s="28" t="str">
        <x:v>Proposal / v4</x:v>
      </x:c>
      <x:c r="F28" s="28" t="n">
        <x:v>24</x:v>
      </x:c>
    </x:row>
    <x:row r="29" ht="34" customHeight="1">
      <x:c r="A29" s="28" t="str">
        <x:v>weekly_quest_xp_days</x:v>
      </x:c>
      <x:c r="B29" s="32" t="n">
        <x:v>0.6</x:v>
      </x:c>
      <x:c r="C29" s="28" t="str">
        <x:v>reference day</x:v>
      </x:c>
      <x:c r="D29" s="28" t="str">
        <x:v>One weekly pool, not per task.</x:v>
      </x:c>
      <x:c r="E29" s="28" t="str">
        <x:v>Proposal / v4</x:v>
      </x:c>
      <x:c r="F29" s="28" t="n">
        <x:v>25</x:v>
      </x:c>
    </x:row>
    <x:row r="30" ht="34" customHeight="1">
      <x:c r="A30" s="28" t="str">
        <x:v>weekly_quest_coin_days</x:v>
      </x:c>
      <x:c r="B30" s="32" t="n">
        <x:v>0.3</x:v>
      </x:c>
      <x:c r="C30" s="28" t="str">
        <x:v>reference day</x:v>
      </x:c>
      <x:c r="D30" s="28" t="str">
        <x:v>One weekly pool.</x:v>
      </x:c>
      <x:c r="E30" s="28" t="str">
        <x:v>Proposal / v4</x:v>
      </x:c>
      <x:c r="F30" s="28" t="n">
        <x:v>26</x:v>
      </x:c>
    </x:row>
    <x:row r="31" ht="34" customHeight="1">
      <x:c r="A31" s="28" t="str">
        <x:v>weekly_pearls</x:v>
      </x:c>
      <x:c r="B31" s="32" t="n">
        <x:v>2</x:v>
      </x:c>
      <x:c r="C31" s="28" t="str">
        <x:v>pearls/week</x:v>
      </x:c>
      <x:c r="D31" s="28" t="str">
        <x:v>Paid once for weekly board completion.</x:v>
      </x:c>
      <x:c r="E31" s="28" t="str">
        <x:v>Proposal / v4</x:v>
      </x:c>
      <x:c r="F31" s="28" t="n">
        <x:v>27</x:v>
      </x:c>
    </x:row>
    <x:row r="32" ht="34" customHeight="1">
      <x:c r="A32" s="28" t="str">
        <x:v>reference_utilization</x:v>
      </x:c>
      <x:c r="B32" s="32" t="n">
        <x:v>0.8333333333333334</x:v>
      </x:c>
      <x:c r="C32" s="28" t="str">
        <x:v>fraction</x:v>
      </x:c>
      <x:c r="D32" s="28" t="str">
        <x:v>20h schedule harvested once every 24h; reference, not simulated ownership.</x:v>
      </x:c>
      <x:c r="E32" s="28" t="str">
        <x:v>Proposal / v4</x:v>
      </x:c>
      <x:c r="F32" s="28" t="n">
        <x:v>28</x:v>
      </x:c>
    </x:row>
    <x:row r="33" ht="34" customHeight="1">
      <x:c r="A33" s="28" t="str">
        <x:v>core_decor_budget_share</x:v>
      </x:c>
      <x:c r="B33" s="32" t="n">
        <x:v>0.15</x:v>
      </x:c>
      <x:c r="C33" s="28" t="str">
        <x:v>fraction</x:v>
      </x:c>
      <x:c r="D33" s="28" t="str">
        <x:v>Maximum share of earned profit earmarked for finite decor purchases.</x:v>
      </x:c>
      <x:c r="E33" s="28" t="str">
        <x:v>Proposal / v4</x:v>
      </x:c>
      <x:c r="F33" s="28" t="n">
        <x:v>29</x:v>
      </x:c>
    </x:row>
    <x:row r="34" ht="34" customHeight="1">
      <x:c r="A34" s="28" t="str">
        <x:v>decorator_budget_share</x:v>
      </x:c>
      <x:c r="B34" s="32" t="n">
        <x:v>0.4</x:v>
      </x:c>
      <x:c r="C34" s="28" t="str">
        <x:v>fraction</x:v>
      </x:c>
      <x:c r="D34" s="28" t="str">
        <x:v>Sensitivity profile only; player chooses trade-off.</x:v>
      </x:c>
      <x:c r="E34" s="28" t="str">
        <x:v>Proposal / v4</x:v>
      </x:c>
      <x:c r="F34" s="28" t="n">
        <x:v>30</x:v>
      </x:c>
    </x:row>
    <x:row r="35" ht="34" customHeight="1">
      <x:c r="A35" s="28" t="str">
        <x:v>decor_xp</x:v>
      </x:c>
      <x:c r="B35" s="32" t="n">
        <x:v>0</x:v>
      </x:c>
      <x:c r="C35" s="28" t="str">
        <x:v>XP</x:v>
      </x:c>
      <x:c r="D35" s="28" t="str">
        <x:v>Cosmetics never produce account XP; cosmetic journal replaces purchase XP.</x:v>
      </x:c>
      <x:c r="E35" s="28" t="str">
        <x:v>Proposal / v4</x:v>
      </x:c>
      <x:c r="F35" s="28" t="n">
        <x:v>31</x:v>
      </x:c>
    </x:row>
    <x:row r="36" ht="34" customHeight="1">
      <x:c r="A36" s="28" t="str">
        <x:v>decor_small_score</x:v>
      </x:c>
      <x:c r="B36" s="32" t="n">
        <x:v>10</x:v>
      </x:c>
      <x:c r="C36" s="28" t="str">
        <x:v>score</x:v>
      </x:c>
      <x:c r="D36" s="28" t="str">
        <x:v>Distinct currently placed ID per tank.</x:v>
      </x:c>
      <x:c r="E36" s="28" t="str">
        <x:v>Proposal / v4</x:v>
      </x:c>
      <x:c r="F36" s="28" t="n">
        <x:v>32</x:v>
      </x:c>
    </x:row>
    <x:row r="37" ht="34" customHeight="1">
      <x:c r="A37" s="28" t="str">
        <x:v>decor_medium_score</x:v>
      </x:c>
      <x:c r="B37" s="32" t="n">
        <x:v>20</x:v>
      </x:c>
      <x:c r="C37" s="28" t="str">
        <x:v>score</x:v>
      </x:c>
      <x:c r="D37" s="28" t="str">
        <x:v>No rarity, currency or animation multiplier.</x:v>
      </x:c>
      <x:c r="E37" s="28" t="str">
        <x:v>Proposal / v4</x:v>
      </x:c>
      <x:c r="F37" s="28" t="n">
        <x:v>33</x:v>
      </x:c>
    </x:row>
    <x:row r="38" ht="34" customHeight="1">
      <x:c r="A38" s="28" t="str">
        <x:v>decor_large_score</x:v>
      </x:c>
      <x:c r="B38" s="32" t="n">
        <x:v>35</x:v>
      </x:c>
      <x:c r="C38" s="28" t="str">
        <x:v>score</x:v>
      </x:c>
      <x:c r="D38" s="28" t="str">
        <x:v>Cosmetic recognition only.</x:v>
      </x:c>
      <x:c r="E38" s="28" t="str">
        <x:v>Proposal / v4</x:v>
      </x:c>
      <x:c r="F38" s="28" t="n">
        <x:v>34</x:v>
      </x:c>
    </x:row>
    <x:row r="39" ht="34" customHeight="1">
      <x:c r="A39" s="28" t="str">
        <x:v>decor_xl_score</x:v>
      </x:c>
      <x:c r="B39" s="32" t="n">
        <x:v>50</x:v>
      </x:c>
      <x:c r="C39" s="28" t="str">
        <x:v>score</x:v>
      </x:c>
      <x:c r="D39" s="28" t="str">
        <x:v>Cosmetic recognition only.</x:v>
      </x:c>
      <x:c r="E39" s="28" t="str">
        <x:v>Proposal / v4</x:v>
      </x:c>
      <x:c r="F39" s="28" t="n">
        <x:v>35</x:v>
      </x:c>
    </x:row>
    <x:row r="40" ht="34" customHeight="1">
      <x:c r="A40" s="28" t="str">
        <x:v>decor_copy_cap</x:v>
      </x:c>
      <x:c r="B40" s="32" t="n">
        <x:v>32</x:v>
      </x:c>
      <x:c r="C40" s="28" t="str">
        <x:v>copies/tank</x:v>
      </x:c>
      <x:c r="D40" s="28" t="str">
        <x:v>Render placement cap; does not use production slots.</x:v>
      </x:c>
      <x:c r="E40" s="28" t="str">
        <x:v>Proposal / v4</x:v>
      </x:c>
      <x:c r="F40" s="28" t="n">
        <x:v>36</x:v>
      </x:c>
    </x:row>
    <x:row r="41" ht="34" customHeight="1">
      <x:c r="A41" s="28" t="str">
        <x:v>decor_motion_cap</x:v>
      </x:c>
      <x:c r="B41" s="32" t="n">
        <x:v>6</x:v>
      </x:c>
      <x:c r="C41" s="28" t="str">
        <x:v>animated items</x:v>
      </x:c>
      <x:c r="D41" s="28" t="str">
        <x:v>Visible per tank; profile on target hardware.</x:v>
      </x:c>
      <x:c r="E41" s="28" t="str">
        <x:v>Proposal / v4</x:v>
      </x:c>
      <x:c r="F41" s="28" t="n">
        <x:v>37</x:v>
      </x:c>
    </x:row>
    <x:row r="42" ht="34" customHeight="1">
      <x:c r="A42" s="28" t="str">
        <x:v>ad_daily_cap</x:v>
      </x:c>
      <x:c r="B42" s="32" t="n">
        <x:v>3</x:v>
      </x:c>
      <x:c r="C42" s="28" t="str">
        <x:v>ads/day</x:v>
      </x:c>
      <x:c r="D42" s="28" t="str">
        <x:v>Optional, non-interstitial; account-wide verified cap.</x:v>
      </x:c>
      <x:c r="E42" s="28" t="str">
        <x:v>Proposal / v4</x:v>
      </x:c>
      <x:c r="F42" s="28" t="n">
        <x:v>38</x:v>
      </x:c>
    </x:row>
    <x:row r="43" ht="34" customHeight="1">
      <x:c r="A43" s="28" t="str">
        <x:v>ad_coin_share</x:v>
      </x:c>
      <x:c r="B43" s="32" t="n">
        <x:v>0.02</x:v>
      </x:c>
      <x:c r="C43" s="28" t="str">
        <x:v>reference day</x:v>
      </x:c>
      <x:c r="D43" s="28" t="str">
        <x:v>Reward per completed ad; no XP/pearls.</x:v>
      </x:c>
      <x:c r="E43" s="28" t="str">
        <x:v>Proposal / v4</x:v>
      </x:c>
      <x:c r="F43" s="28" t="n">
        <x:v>39</x:v>
      </x:c>
    </x:row>
    <x:row r="44" ht="34" customHeight="1">
      <x:c r="A44" s="28" t="str">
        <x:v>ad_cooldown_min</x:v>
      </x:c>
      <x:c r="B44" s="32" t="n">
        <x:v>2</x:v>
      </x:c>
      <x:c r="C44" s="28" t="str">
        <x:v>minutes</x:v>
      </x:c>
      <x:c r="D44" s="28" t="str">
        <x:v>No auto-play, pressure or unlimited chaining.</x:v>
      </x:c>
      <x:c r="E44" s="28" t="str">
        <x:v>Proposal / v4</x:v>
      </x:c>
      <x:c r="F44" s="28" t="n">
        <x:v>40</x:v>
      </x:c>
    </x:row>
    <x:row r="45" ht="34" customHeight="1">
      <x:c r="A45" s="28" t="str">
        <x:v>event_days</x:v>
      </x:c>
      <x:c r="B45" s="32" t="n">
        <x:v>14</x:v>
      </x:c>
      <x:c r="C45" s="28" t="str">
        <x:v>days</x:v>
      </x:c>
      <x:c r="D45" s="28" t="str">
        <x:v>Proposed main event duration; dates are server-configured.</x:v>
      </x:c>
      <x:c r="E45" s="28" t="str">
        <x:v>Proposal / v4</x:v>
      </x:c>
      <x:c r="F45" s="28" t="n">
        <x:v>41</x:v>
      </x:c>
    </x:row>
    <x:row r="46" ht="34" customHeight="1">
      <x:c r="A46" s="28" t="str">
        <x:v>event_points_day</x:v>
      </x:c>
      <x:c r="B46" s="32" t="n">
        <x:v>20</x:v>
      </x:c>
      <x:c r="C46" s="28" t="str">
        <x:v>points/day</x:v>
      </x:c>
      <x:c r="D46" s="28" t="str">
        <x:v>Unspent objective opportunities bank through event.</x:v>
      </x:c>
      <x:c r="E46" s="28" t="str">
        <x:v>Proposal / v4</x:v>
      </x:c>
      <x:c r="F46" s="28" t="n">
        <x:v>42</x:v>
      </x:c>
    </x:row>
    <x:row r="47" ht="34" customHeight="1">
      <x:c r="A47" s="28" t="str">
        <x:v>event_catchup_daily_cap</x:v>
      </x:c>
      <x:c r="B47" s="32" t="n">
        <x:v>40</x:v>
      </x:c>
      <x:c r="C47" s="28" t="str">
        <x:v>points/day</x:v>
      </x:c>
      <x:c r="D47" s="28" t="str">
        <x:v>Allows missed-day recovery without payment.</x:v>
      </x:c>
      <x:c r="E47" s="28" t="str">
        <x:v>Proposal / v4</x:v>
      </x:c>
      <x:c r="F47" s="28" t="n">
        <x:v>43</x:v>
      </x:c>
    </x:row>
    <x:row r="48" ht="34" customHeight="1">
      <x:c r="A48" s="28" t="str">
        <x:v>event_main_reward</x:v>
      </x:c>
      <x:c r="B48" s="32" t="n">
        <x:v>160</x:v>
      </x:c>
      <x:c r="C48" s="28" t="str">
        <x:v>points</x:v>
      </x:c>
      <x:c r="D48" s="28" t="str">
        <x:v>8 ordinary participating days; 4 catch-up days when enough pages are banked.</x:v>
      </x:c>
      <x:c r="E48" s="28" t="str">
        <x:v>Proposal / v4</x:v>
      </x:c>
      <x:c r="F48" s="28" t="n">
        <x:v>44</x:v>
      </x:c>
    </x:row>
    <x:row r="49" ht="34" customHeight="1">
      <x:c r="A49" s="28" t="str">
        <x:v>event_pearls</x:v>
      </x:c>
      <x:c r="B49" s="32" t="n">
        <x:v>4</x:v>
      </x:c>
      <x:c r="C49" s="28" t="str">
        <x:v>pearls/event</x:v>
      </x:c>
      <x:c r="D49" s="28" t="str">
        <x:v>Main free track total; one event per 28-day cycle.</x:v>
      </x:c>
      <x:c r="E49" s="28" t="str">
        <x:v>Proposal / v4</x:v>
      </x:c>
      <x:c r="F49" s="28" t="n">
        <x:v>45</x:v>
      </x:c>
    </x:row>
    <x:row r="50" ht="34" customHeight="1">
      <x:c r="A50" s="28" t="str">
        <x:v>gift_tokens_day</x:v>
      </x:c>
      <x:c r="B50" s="32" t="n">
        <x:v>3</x:v>
      </x:c>
      <x:c r="C50" s="28" t="str">
        <x:v>tokens/day</x:v>
      </x:c>
      <x:c r="D50" s="28" t="str">
        <x:v>Shared NPC / real-friend cap.</x:v>
      </x:c>
      <x:c r="E50" s="28" t="str">
        <x:v>Proposal / v4</x:v>
      </x:c>
      <x:c r="F50" s="28" t="n">
        <x:v>46</x:v>
      </x:c>
    </x:row>
    <x:row r="51" ht="34" customHeight="1">
      <x:c r="A51" s="28" t="str">
        <x:v>level_coin_reward_share</x:v>
      </x:c>
      <x:c r="B51" s="32" t="n">
        <x:v>0.015</x:v>
      </x:c>
      <x:c r="C51" s="28" t="str">
        <x:v>reference day</x:v>
      </x:c>
      <x:c r="D51" s="28" t="str">
        <x:v>One-time per new level, rounded to 5; L2 uses explicit grant.</x:v>
      </x:c>
      <x:c r="E51" s="28" t="str">
        <x:v>Proposal / v4</x:v>
      </x:c>
      <x:c r="F51" s="28" t="n">
        <x:v>47</x:v>
      </x:c>
    </x:row>
    <x:row r="52" ht="34" customHeight="1">
      <x:c r="A52" s="28" t="str">
        <x:v>coin_small_days</x:v>
      </x:c>
      <x:c r="B52" s="32" t="n">
        <x:v>0.25</x:v>
      </x:c>
      <x:c r="C52" s="28" t="str">
        <x:v>reference day</x:v>
      </x:c>
      <x:c r="D52" s="28" t="str">
        <x:v>$0.99 coin pack; snapshot amount shown before purchase.</x:v>
      </x:c>
      <x:c r="E52" s="28" t="str">
        <x:v>Proposal / v4</x:v>
      </x:c>
      <x:c r="F52" s="28" t="n">
        <x:v>48</x:v>
      </x:c>
    </x:row>
    <x:row r="53" ht="34" customHeight="1">
      <x:c r="A53" s="28" t="str">
        <x:v>coin_medium_days</x:v>
      </x:c>
      <x:c r="B53" s="32" t="n">
        <x:v>0.85</x:v>
      </x:c>
      <x:c r="C53" s="28" t="str">
        <x:v>reference day</x:v>
      </x:c>
      <x:c r="D53" s="28" t="str">
        <x:v>$2.99 coin pack.</x:v>
      </x:c>
      <x:c r="E53" s="28" t="str">
        <x:v>Proposal / v4</x:v>
      </x:c>
      <x:c r="F53" s="28" t="n">
        <x:v>49</x:v>
      </x:c>
    </x:row>
    <x:row r="54" ht="34" customHeight="1">
      <x:c r="A54" s="28" t="str">
        <x:v>coin_large_days</x:v>
      </x:c>
      <x:c r="B54" s="32" t="n">
        <x:v>1.5</x:v>
      </x:c>
      <x:c r="C54" s="28" t="str">
        <x:v>reference day</x:v>
      </x:c>
      <x:c r="D54" s="28" t="str">
        <x:v>$4.99 coin pack.</x:v>
      </x:c>
      <x:c r="E54" s="28" t="str">
        <x:v>Proposal / v4</x:v>
      </x:c>
      <x:c r="F54" s="28" t="n">
        <x:v>50</x:v>
      </x:c>
    </x:row>
    <x:row r="55" ht="34" customHeight="1">
      <x:c r="A55" s="28" t="str">
        <x:v>starter_coin_days</x:v>
      </x:c>
      <x:c r="B55" s="32" t="n">
        <x:v>0.25</x:v>
      </x:c>
      <x:c r="C55" s="28" t="str">
        <x:v>reference day</x:v>
      </x:c>
      <x:c r="D55" s="28" t="str">
        <x:v>$3.99 lifetime-once starter bundle.</x:v>
      </x:c>
      <x:c r="E55" s="28" t="str">
        <x:v>Proposal / v4</x:v>
      </x:c>
      <x:c r="F55" s="28" t="n">
        <x:v>51</x:v>
      </x:c>
    </x:row>
    <x:row r="56" ht="34" customHeight="1">
      <x:c r="A56" s="28" t="str">
        <x:v>starter_pearls</x:v>
      </x:c>
      <x:c r="B56" s="32" t="n">
        <x:v>35</x:v>
      </x:c>
      <x:c r="C56" s="28" t="str">
        <x:v>pearls</x:v>
      </x:c>
      <x:c r="D56" s="28" t="str">
        <x:v>Guaranteed contents; no random outcomes.</x:v>
      </x:c>
      <x:c r="E56" s="28" t="str">
        <x:v>Proposal / v4</x:v>
      </x:c>
      <x:c r="F56" s="28" t="n">
        <x:v>52</x:v>
      </x:c>
    </x:row>
    <x:row r="57" ht="34" customHeight="1">
      <x:c r="A57" s="28" t="str">
        <x:v>simulation_days</x:v>
      </x:c>
      <x:c r="B57" s="32" t="n">
        <x:v>120</x:v>
      </x:c>
      <x:c r="C57" s="28" t="str">
        <x:v>days</x:v>
      </x:c>
      <x:c r="D57" s="28" t="str">
        <x:v>Discrete simulation horizon.</x:v>
      </x:c>
      <x:c r="E57" s="28" t="str">
        <x:v>Proposal / v4</x:v>
      </x:c>
      <x:c r="F57" s="28" t="n">
        <x:v>53</x:v>
      </x:c>
    </x:row>
    <x:row r="58" ht="34" customHeight="1">
      <x:c r="A58" s="28" t="str">
        <x:v>core_target_cap_min</x:v>
      </x:c>
      <x:c r="B58" s="32" t="n">
        <x:v>80</x:v>
      </x:c>
      <x:c r="C58" s="28" t="str">
        <x:v>days</x:v>
      </x:c>
      <x:c r="D58" s="28" t="str">
        <x:v>Provisional L40 elapsed-day lower bound.</x:v>
      </x:c>
      <x:c r="E58" s="28" t="str">
        <x:v>Proposal / v4</x:v>
      </x:c>
      <x:c r="F58" s="28" t="n">
        <x:v>54</x:v>
      </x:c>
    </x:row>
    <x:row r="59" ht="34" customHeight="1">
      <x:c r="A59" s="28" t="str">
        <x:v>core_target_cap_max</x:v>
      </x:c>
      <x:c r="B59" s="32" t="n">
        <x:v>110</x:v>
      </x:c>
      <x:c r="C59" s="28" t="str">
        <x:v>days</x:v>
      </x:c>
      <x:c r="D59" s="28" t="str">
        <x:v>Provisional L40 elapsed-day upper bound.</x:v>
      </x:c>
      <x:c r="E59" s="28" t="str">
        <x:v>Proposal / v4</x:v>
      </x:c>
      <x:c r="F59" s="28" t="n">
        <x:v>55</x:v>
      </x:c>
    </x:row>
    <x:row r="60" ht="34" customHeight="1">
      <x:c r="A60" s="28" t="str">
        <x:v>active_speed_limit</x:v>
      </x:c>
      <x:c r="B60" s="32" t="n">
        <x:v>1.7</x:v>
      </x:c>
      <x:c r="C60" s="28" t="str">
        <x:v>ratio</x:v>
      </x:c>
      <x:c r="D60" s="28" t="str">
        <x:v>Core days to L40 / optimizer days; hypothesis guardrail.</x:v>
      </x:c>
      <x:c r="E60" s="28" t="str">
        <x:v>Proposal / v4</x:v>
      </x:c>
      <x:c r="F60" s="28" t="n">
        <x:v>56</x:v>
      </x:c>
    </x:row>
    <x:row r="61" ht="34" customHeight="1">
      <x:c r="A61" s="28" t="str">
        <x:v>paid_speed_limit</x:v>
      </x:c>
      <x:c r="B61" s="32" t="n">
        <x:v>1.2</x:v>
      </x:c>
      <x:c r="C61" s="28" t="str">
        <x:v>ratio</x:v>
      </x:c>
      <x:c r="D61" s="28" t="str">
        <x:v>Matched F2P days / modeled light payer days.</x:v>
      </x:c>
      <x:c r="E61" s="28" t="str">
        <x:v>Proposal / v4</x:v>
      </x:c>
      <x:c r="F61" s="28" t="n">
        <x:v>57</x:v>
      </x:c>
    </x:row>
    <x:row r="62" ht="34" customHeight="1">
      <x:c r="A62" s="28" t="str">
        <x:v>cash_reserve_cycles</x:v>
      </x:c>
      <x:c r="B62" s="32" t="n">
        <x:v>1</x:v>
      </x:c>
      <x:c r="C62" s="28" t="str">
        <x:v>cycle</x:v>
      </x:c>
      <x:c r="D62" s="28" t="str">
        <x:v>Reserve enough principal to refill currently owned slots before optional sinks.</x:v>
      </x:c>
      <x:c r="E62" s="28" t="str">
        <x:v>Proposal / v4</x:v>
      </x:c>
      <x:c r="F62" s="28" t="n">
        <x:v>58</x:v>
      </x:c>
    </x:row>
    <x:row r="63" ht="34" customHeight="1">
      <x:c r="A63" s="28" t="str">
        <x:v>showcase_slots</x:v>
      </x:c>
      <x:c r="B63" s="32" t="n">
        <x:v>8</x:v>
      </x:c>
      <x:c r="C63" s="28" t="str">
        <x:v>visible companions</x:v>
      </x:c>
      <x:c r="D63" s="28" t="str">
        <x:v>Free display slots per tank; no power; unlimited collection storage.</x:v>
      </x:c>
      <x:c r="E63" s="28" t="str">
        <x:v>Proposal / v4</x:v>
      </x:c>
      <x:c r="F63" s="28" t="n">
        <x:v>59</x:v>
      </x:c>
    </x:row>
    <x:row r="64" ht="34" customHeight="1">
      <x:c r="A64" s="28" t="str">
        <x:v>decimals_server</x:v>
      </x:c>
      <x:c r="B64" s="32" t="n">
        <x:v>1000</x:v>
      </x:c>
      <x:c r="C64" s="28" t="str">
        <x:v>units/coin</x:v>
      </x:c>
      <x:c r="D64" s="28" t="str">
        <x:v>Integer milli-units internally; payouts use specified rounding once.</x:v>
      </x:c>
      <x:c r="E64" s="28" t="str">
        <x:v>Proposal / v4</x:v>
      </x:c>
      <x:c r="F64" s="28" t="n">
        <x:v>60</x:v>
      </x:c>
    </x:row>
  </x:sheetData>
  <x:mergeCells>
    <x:mergeCell ref="A1:F1"/>
    <x:mergeCell ref="A2:F2"/>
  </x:mergeCells>
  <x:pageMargins left="0.7" right="0.7" top="0.75" bottom="0.75" header="0.3" footer="0.3"/>
  <x:tableParts count="1">
    <x:tablePart xmlns:r="http://schemas.openxmlformats.org/officeDocument/2006/relationships" r:id="R45d704c304d44a31"/>
  </x:tableParts>
</x:worksheet>
</file>

<file path=xl/worksheets/sheet7.xml><?xml version="1.0" encoding="utf-8"?>
<x:worksheet xmlns:x="http://schemas.openxmlformats.org/spreadsheetml/2006/main">
  <x:sheetFormatPr defaultRowHeight="15"/>
  <x:cols>
    <x:col min="1" max="1" width="15" hidden="0" customWidth="1"/>
    <x:col min="2" max="2" width="24" hidden="0" customWidth="1"/>
    <x:col min="3" max="3" width="15" hidden="0" customWidth="1"/>
    <x:col min="4" max="4" width="18" hidden="0" customWidth="1"/>
    <x:col min="5" max="5" width="18" hidden="0" customWidth="1"/>
    <x:col min="6" max="6" width="20" hidden="0" customWidth="1"/>
    <x:col min="7" max="7" width="60" hidden="0" customWidth="1"/>
  </x:cols>
  <x:sheetData>
    <x:row r="1" ht="34" customHeight="1">
      <x:c r="A1" s="6" t="str">
        <x:v>GROWTH SCHEDULES</x:v>
      </x:c>
      <x:c r="B1" s="6"/>
      <x:c r="C1" s="6"/>
      <x:c r="D1" s="6"/>
      <x:c r="E1" s="6"/>
      <x:c r="F1" s="6"/>
      <x:c r="G1" s="6"/>
    </x:row>
    <x:row r="2" ht="32" customHeight="1">
      <x:c r="A2" s="13" t="str">
        <x:v>Total time to Adult—not per-stage time. Fish become ready and wait safely; missed visits never destroy ownership.</x:v>
      </x:c>
      <x:c r="B2" s="13"/>
      <x:c r="C2" s="13"/>
      <x:c r="D2" s="13"/>
      <x:c r="E2" s="13"/>
      <x:c r="F2" s="13"/>
      <x:c r="G2" s="13"/>
    </x:row>
    <x:row r="3">
      <x:c r="A3" s="2"/>
      <x:c r="B3" s="2"/>
      <x:c r="C3" s="2"/>
      <x:c r="D3" s="2"/>
      <x:c r="E3" s="2"/>
      <x:c r="F3" s="2"/>
      <x:c r="G3" s="2"/>
    </x:row>
    <x:row r="4" ht="32" customHeight="1">
      <x:c r="A4" s="21" t="str">
        <x:v>Schedule ID</x:v>
      </x:c>
      <x:c r="B4" s="21" t="str">
        <x:v>Purpose</x:v>
      </x:c>
      <x:c r="C4" s="21" t="str">
        <x:v>Adult hours</x:v>
      </x:c>
      <x:c r="D4" s="21" t="str">
        <x:v>Coin rate factor</x:v>
      </x:c>
      <x:c r="E4" s="21" t="str">
        <x:v>XP rate factor</x:v>
      </x:c>
      <x:c r="F4" s="21" t="str">
        <x:v>Shop timer</x:v>
      </x:c>
      <x:c r="G4" s="21" t="str">
        <x:v>Player promise</x:v>
      </x:c>
    </x:row>
    <x:row r="5" ht="42" customHeight="1">
      <x:c r="A5" s="28" t="str">
        <x:v>SC-20M</x:v>
      </x:c>
      <x:c r="B5" s="28" t="str">
        <x:v>Quick visit</x:v>
      </x:c>
      <x:c r="C5" s="34" t="n">
        <x:v>0.3333333333333333</x:v>
      </x:c>
      <x:c r="D5" s="34" t="n">
        <x:v>1.25</x:v>
      </x:c>
      <x:c r="E5" s="34" t="n">
        <x:v>1.25</x:v>
      </x:c>
      <x:c r="F5" s="28" t="str">
        <x:v>20 minutes</x:v>
      </x:c>
      <x:c r="G5" s="28" t="str">
        <x:v>Small flexible harvest; not the best continuous frontier.</x:v>
      </x:c>
    </x:row>
    <x:row r="6" ht="42" customHeight="1">
      <x:c r="A6" s="28" t="str">
        <x:v>SC-2H</x:v>
      </x:c>
      <x:c r="B6" s="28" t="str">
        <x:v>Short session</x:v>
      </x:c>
      <x:c r="C6" s="34" t="n">
        <x:v>2</x:v>
      </x:c>
      <x:c r="D6" s="34" t="n">
        <x:v>1.3</x:v>
      </x:c>
      <x:c r="E6" s="34" t="n">
        <x:v>1.3</x:v>
      </x:c>
      <x:c r="F6" s="28" t="str">
        <x:v>2 hours</x:v>
      </x:c>
      <x:c r="G6" s="28" t="str">
        <x:v>Same-day planning without a feed deadline.</x:v>
      </x:c>
    </x:row>
    <x:row r="7" ht="42" customHeight="1">
      <x:c r="A7" s="28" t="str">
        <x:v>SC-8H</x:v>
      </x:c>
      <x:c r="B7" s="28" t="str">
        <x:v>Two-a-day</x:v>
      </x:c>
      <x:c r="C7" s="34" t="n">
        <x:v>8</x:v>
      </x:c>
      <x:c r="D7" s="34" t="n">
        <x:v>1.3</x:v>
      </x:c>
      <x:c r="E7" s="34" t="n">
        <x:v>1.3</x:v>
      </x:c>
      <x:c r="F7" s="28" t="str">
        <x:v>8 hours</x:v>
      </x:c>
      <x:c r="G7" s="28" t="str">
        <x:v>Good for two or three comfortable visits; ready state persists.</x:v>
      </x:c>
    </x:row>
    <x:row r="8" ht="42" customHeight="1">
      <x:c r="A8" s="28" t="str">
        <x:v>SC-20H</x:v>
      </x:c>
      <x:c r="B8" s="28" t="str">
        <x:v>Daily</x:v>
      </x:c>
      <x:c r="C8" s="34" t="n">
        <x:v>20</x:v>
      </x:c>
      <x:c r="D8" s="34" t="n">
        <x:v>1</x:v>
      </x:c>
      <x:c r="E8" s="34" t="n">
        <x:v>1</x:v>
      </x:c>
      <x:c r="F8" s="28" t="str">
        <x:v>20 hours</x:v>
      </x:c>
      <x:c r="G8" s="28" t="str">
        <x:v>Once-daily return drifts less than a 24-hour timer.</x:v>
      </x:c>
    </x:row>
    <x:row r="9" ht="42" customHeight="1">
      <x:c r="A9" s="28" t="str">
        <x:v>SC-44H</x:v>
      </x:c>
      <x:c r="B9" s="28" t="str">
        <x:v>Away / weekend</x:v>
      </x:c>
      <x:c r="C9" s="34" t="n">
        <x:v>44</x:v>
      </x:c>
      <x:c r="D9" s="34" t="n">
        <x:v>0.92</x:v>
      </x:c>
      <x:c r="E9" s="34" t="n">
        <x:v>0.92</x:v>
      </x:c>
      <x:c r="F9" s="28" t="str">
        <x:v>44 hours</x:v>
      </x:c>
      <x:c r="G9" s="28" t="str">
        <x:v>Low attention; no automatic replant and no lost fish.</x:v>
      </x:c>
    </x:row>
  </x:sheetData>
  <x:mergeCells>
    <x:mergeCell ref="A1:G1"/>
    <x:mergeCell ref="A2:G2"/>
  </x:mergeCells>
  <x:pageMargins left="0.7" right="0.7" top="0.75" bottom="0.75" header="0.3" footer="0.3"/>
  <x:tableParts count="1">
    <x:tablePart xmlns:r="http://schemas.openxmlformats.org/officeDocument/2006/relationships" r:id="Rf3c384b9e3b24b9c"/>
  </x:tableParts>
</x:worksheet>
</file>

<file path=xl/worksheets/sheet8.xml><?xml version="1.0" encoding="utf-8"?>
<x:worksheet xmlns:x="http://schemas.openxmlformats.org/spreadsheetml/2006/main">
  <x:sheetFormatPr defaultRowHeight="15"/>
  <x:cols>
    <x:col min="1" max="1" width="15" hidden="0" customWidth="1"/>
    <x:col min="2" max="2" width="27" hidden="0" customWidth="1"/>
    <x:col min="3" max="3" width="15" hidden="0" customWidth="1"/>
    <x:col min="4" max="4" width="13" hidden="0" customWidth="1"/>
    <x:col min="5" max="5" width="22" hidden="0" customWidth="1"/>
    <x:col min="6" max="6" width="15" hidden="0" customWidth="1"/>
    <x:col min="7" max="7" width="22" hidden="0" customWidth="1"/>
    <x:col min="8" max="8" width="14" hidden="0" customWidth="1"/>
    <x:col min="9" max="9" width="14" hidden="0" customWidth="1"/>
    <x:col min="10" max="10" width="14" hidden="0" customWidth="1"/>
    <x:col min="11" max="11" width="15" hidden="0" customWidth="1"/>
    <x:col min="12" max="12" width="14" hidden="0" customWidth="1"/>
    <x:col min="13" max="13" width="17" hidden="0" customWidth="1"/>
    <x:col min="14" max="14" width="14" hidden="0" customWidth="1"/>
    <x:col min="15" max="15" width="18" hidden="0" customWidth="1"/>
    <x:col min="16" max="16" width="14" hidden="0" customWidth="1"/>
    <x:col min="17" max="17" width="18" hidden="0" customWidth="1"/>
    <x:col min="18" max="18" width="14" hidden="0" customWidth="1"/>
    <x:col min="19" max="19" width="18" hidden="0" customWidth="1"/>
    <x:col min="20" max="20" width="14" hidden="0" customWidth="1"/>
    <x:col min="21" max="21" width="13" hidden="0" customWidth="1"/>
    <x:col min="22" max="22" width="17" hidden="0" customWidth="1"/>
    <x:col min="23" max="23" width="17" hidden="0" customWidth="1"/>
    <x:col min="24" max="24" width="18" hidden="0" customWidth="1"/>
    <x:col min="25" max="25" width="18" hidden="0" customWidth="1"/>
    <x:col min="26" max="26" width="30" hidden="0" customWidth="1"/>
    <x:col min="27" max="27" width="54" hidden="0" customWidth="1"/>
    <x:col min="28" max="28" width="18" hidden="0" customWidth="1"/>
  </x:cols>
  <x:sheetData>
    <x:row r="1" ht="34" customHeight="1">
      <x:c r="A1" s="6" t="str">
        <x:v>COIN FISH • AUTHORITATIVE PRODUCTION CATALOG</x:v>
      </x:c>
      <x:c r="B1" s="6"/>
      <x:c r="C1" s="6"/>
      <x:c r="D1" s="6"/>
      <x:c r="E1" s="6"/>
      <x:c r="F1" s="6"/>
      <x:c r="G1" s="6"/>
      <x:c r="H1" s="6"/>
      <x:c r="I1" s="6"/>
      <x:c r="J1" s="6"/>
      <x:c r="K1" s="6"/>
      <x:c r="L1" s="6"/>
      <x:c r="M1" s="6"/>
      <x:c r="N1" s="6"/>
      <x:c r="O1" s="6"/>
      <x:c r="P1" s="6"/>
      <x:c r="Q1" s="6"/>
      <x:c r="R1" s="6"/>
      <x:c r="S1" s="6"/>
      <x:c r="T1" s="6"/>
      <x:c r="U1" s="6"/>
      <x:c r="V1" s="6"/>
      <x:c r="W1" s="6"/>
      <x:c r="X1" s="6"/>
      <x:c r="Y1" s="6"/>
      <x:c r="Z1" s="6"/>
      <x:c r="AA1" s="6"/>
      <x:c r="AB1" s="6"/>
    </x:row>
    <x:row r="2" ht="32" customHeight="1">
      <x:c r="A2" s="13" t="str">
        <x:v>72 preserved / promoted designs: 40 Launch, 7 reserve, 25 future. Values preview the unlock level; runtime reprices at purchase-level snapshot. Rarity is visual only.</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row>
    <x:row r="3">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row>
    <x:row r="4" ht="32" customHeight="1">
      <x:c r="A4" s="21" t="str">
        <x:v>ID</x:v>
      </x:c>
      <x:c r="B4" s="21" t="str">
        <x:v>Species</x:v>
      </x:c>
      <x:c r="C4" s="21" t="str">
        <x:v>Rarity</x:v>
      </x:c>
      <x:c r="D4" s="21" t="str">
        <x:v>Unlock level</x:v>
      </x:c>
      <x:c r="E4" s="21" t="str">
        <x:v>Release gate</x:v>
      </x:c>
      <x:c r="F4" s="21" t="str">
        <x:v>Schedule ID</x:v>
      </x:c>
      <x:c r="G4" s="21" t="str">
        <x:v>Role</x:v>
      </x:c>
      <x:c r="H4" s="21" t="str">
        <x:v>Coin weight</x:v>
      </x:c>
      <x:c r="I4" s="21" t="str">
        <x:v>XP weight</x:v>
      </x:c>
      <x:c r="J4" s="21" t="str">
        <x:v>Adult hours</x:v>
      </x:c>
      <x:c r="K4" s="21" t="str">
        <x:v>Net profit</x:v>
      </x:c>
      <x:c r="L4" s="21" t="str">
        <x:v>Egg price</x:v>
      </x:c>
      <x:c r="M4" s="21" t="str">
        <x:v>Adult settlement</x:v>
      </x:c>
      <x:c r="N4" s="21" t="str">
        <x:v>Adult XP</x:v>
      </x:c>
      <x:c r="O4" s="21" t="str">
        <x:v>Junior settlement</x:v>
      </x:c>
      <x:c r="P4" s="21" t="str">
        <x:v>Junior XP</x:v>
      </x:c>
      <x:c r="Q4" s="21" t="str">
        <x:v>Young settlement</x:v>
      </x:c>
      <x:c r="R4" s="21" t="str">
        <x:v>Young XP</x:v>
      </x:c>
      <x:c r="S4" s="21" t="str">
        <x:v>Mature settlement</x:v>
      </x:c>
      <x:c r="T4" s="21" t="str">
        <x:v>Mature XP</x:v>
      </x:c>
      <x:c r="U4" s="21" t="str">
        <x:v>Buy XP</x:v>
      </x:c>
      <x:c r="V4" s="21" t="str">
        <x:v>Normalized coin rate</x:v>
      </x:c>
      <x:c r="W4" s="21" t="str">
        <x:v>Normalized XP rate</x:v>
      </x:c>
      <x:c r="X4" s="21" t="str">
        <x:v>Original coin price</x:v>
      </x:c>
      <x:c r="Y4" s="21" t="str">
        <x:v>Original adult hours</x:v>
      </x:c>
      <x:c r="Z4" s="21" t="str">
        <x:v>Original source</x:v>
      </x:c>
      <x:c r="AA4" s="21" t="str">
        <x:v>Player purpose</x:v>
      </x:c>
      <x:c r="AB4" s="21" t="str">
        <x:v>Formula check</x:v>
      </x:c>
    </x:row>
    <x:row r="5" ht="62" customHeight="1">
      <x:c r="A5" s="28" t="str">
        <x:v>CF-01</x:v>
      </x:c>
      <x:c r="B5" s="28" t="str">
        <x:v>Neon Tetra</x:v>
      </x:c>
      <x:c r="C5" s="28" t="str">
        <x:v>Common</x:v>
      </x:c>
      <x:c r="D5" s="32" t="n">
        <x:v>1</x:v>
      </x:c>
      <x:c r="E5" s="32" t="str">
        <x:v>Launch</x:v>
      </x:c>
      <x:c r="F5" s="32" t="str">
        <x:v>SC-20M</x:v>
      </x:c>
      <x:c r="G5" s="32" t="str">
        <x:v>Starter</x:v>
      </x:c>
      <x:c r="H5" s="32" t="n">
        <x:v>1</x:v>
      </x:c>
      <x:c r="I5" s="32" t="n">
        <x:v>1</x:v>
      </x:c>
      <x:c r="J5" s="40" t="n">
        <x:f>VLOOKUP(F5,'Schedules'!$A$5:$G$9,3,FALSE)</x:f>
        <x:v>0.3333333333333333</x:v>
      </x:c>
      <x:c r="K5" s="28" t="n">
        <x:f>ROUND('Inputs'!$B$14*(1+'Inputs'!$B$15*(D5-1))*J5/24*VLOOKUP(F5,'Schedules'!$A$5:$G$9,4,FALSE)*H5,0)</x:f>
        <x:v>6</x:v>
      </x:c>
      <x:c r="L5" s="28" t="n">
        <x:f>MAX('Inputs'!$B$19,ROUND(K5*'Inputs'!$B$18,0))</x:f>
        <x:v>5</x:v>
      </x:c>
      <x:c r="M5" s="28" t="n">
        <x:f>L5+K5</x:f>
        <x:v>11</x:v>
      </x:c>
      <x:c r="N5" s="28" t="n">
        <x:f>ROUND('Inputs'!$B$16*(1+'Inputs'!$B$17*(D5-1))*J5/24*VLOOKUP(F5,'Schedules'!$A$5:$G$9,5,FALSE)*I5,0)</x:f>
        <x:v>2</x:v>
      </x:c>
      <x:c r="O5" s="28" t="n">
        <x:f>ROUNDDOWN(L5*'Inputs'!$B$20,0)+ROUNDDOWN(K5*'Inputs'!$B$24,0)</x:f>
        <x:v>4</x:v>
      </x:c>
      <x:c r="P5" s="28" t="n">
        <x:f>ROUNDDOWN(N5*'Inputs'!$B$24,0)</x:f>
        <x:v>0</x:v>
      </x:c>
      <x:c r="Q5" s="28" t="n">
        <x:f>ROUNDDOWN(L5*'Inputs'!$B$20,0)+ROUNDDOWN(K5*'Inputs'!$B$25,0)</x:f>
        <x:v>6</x:v>
      </x:c>
      <x:c r="R5" s="28" t="n">
        <x:f>ROUNDDOWN(N5*'Inputs'!$B$25,0)</x:f>
        <x:v>0</x:v>
      </x:c>
      <x:c r="S5" s="28" t="n">
        <x:f>ROUNDDOWN(L5*'Inputs'!$B$20,0)+ROUNDDOWN(K5*'Inputs'!$B$26,0)</x:f>
        <x:v>8</x:v>
      </x:c>
      <x:c r="T5" s="28" t="n">
        <x:f>ROUNDDOWN(N5*'Inputs'!$B$26,0)</x:f>
        <x:v>1</x:v>
      </x:c>
      <x:c r="U5" s="28" t="n">
        <x:f>0</x:f>
        <x:v>0</x:v>
      </x:c>
      <x:c r="V5" s="40" t="n">
        <x:f>K5/('Inputs'!$B$14*(1+'Inputs'!$B$15*(D5-1))*J5/24)</x:f>
        <x:v>1.2</x:v>
      </x:c>
      <x:c r="W5" s="40" t="n">
        <x:f>N5/('Inputs'!$B$16*(1+'Inputs'!$B$17*(D5-1))*J5/24)</x:f>
        <x:v>1.5</x:v>
      </x:c>
      <x:c r="X5" s="28" t="n">
        <x:v>7</x:v>
      </x:c>
      <x:c r="Y5" s="28" t="n">
        <x:v>0.332</x:v>
      </x:c>
      <x:c r="Z5" s="28" t="str">
        <x:v>Coin Fish!A2:AB2</x:v>
      </x:c>
      <x:c r="AA5" s="28" t="str">
        <x:v>20 minutes. First fast-return demonstration; favorite remains viable at later levels. Launch-ready design; asset QA required.</x:v>
      </x:c>
      <x:c r="AB5" s="28" t="str">
        <x:f>IF(AND(K5&gt;0,L5&gt;0,N5&gt;0,U5=0,V5&lt;=1.5,W5&lt;=1.5),"MODEL OK","REVIEW")</x:f>
        <x:v>MODEL OK</x:v>
      </x:c>
    </x:row>
    <x:row r="6" ht="62" customHeight="1">
      <x:c r="A6" s="28" t="str">
        <x:v>CF-02</x:v>
      </x:c>
      <x:c r="B6" s="28" t="str">
        <x:v>Guppy</x:v>
      </x:c>
      <x:c r="C6" s="28" t="str">
        <x:v>Common</x:v>
      </x:c>
      <x:c r="D6" s="32" t="n">
        <x:v>1</x:v>
      </x:c>
      <x:c r="E6" s="32" t="str">
        <x:v>Launch</x:v>
      </x:c>
      <x:c r="F6" s="32" t="str">
        <x:v>SC-2H</x:v>
      </x:c>
      <x:c r="G6" s="32" t="str">
        <x:v>Balanced</x:v>
      </x:c>
      <x:c r="H6" s="32" t="n">
        <x:v>1</x:v>
      </x:c>
      <x:c r="I6" s="32" t="n">
        <x:v>1</x:v>
      </x:c>
      <x:c r="J6" s="40" t="n">
        <x:f>VLOOKUP(F6,'Schedules'!$A$5:$G$9,3,FALSE)</x:f>
        <x:v>2</x:v>
      </x:c>
      <x:c r="K6" s="28" t="n">
        <x:f>ROUND('Inputs'!$B$14*(1+'Inputs'!$B$15*(D6-1))*J6/24*VLOOKUP(F6,'Schedules'!$A$5:$G$9,4,FALSE)*H6,0)</x:f>
        <x:v>39</x:v>
      </x:c>
      <x:c r="L6" s="28" t="n">
        <x:f>MAX('Inputs'!$B$19,ROUND(K6*'Inputs'!$B$18,0))</x:f>
        <x:v>10</x:v>
      </x:c>
      <x:c r="M6" s="28" t="n">
        <x:f>L6+K6</x:f>
        <x:v>49</x:v>
      </x:c>
      <x:c r="N6" s="28" t="n">
        <x:f>ROUND('Inputs'!$B$16*(1+'Inputs'!$B$17*(D6-1))*J6/24*VLOOKUP(F6,'Schedules'!$A$5:$G$9,5,FALSE)*I6,0)</x:f>
        <x:v>10</x:v>
      </x:c>
      <x:c r="O6" s="28" t="n">
        <x:f>ROUNDDOWN(L6*'Inputs'!$B$20,0)+ROUNDDOWN(K6*'Inputs'!$B$24,0)</x:f>
        <x:v>12</x:v>
      </x:c>
      <x:c r="P6" s="28" t="n">
        <x:f>ROUNDDOWN(N6*'Inputs'!$B$24,0)</x:f>
        <x:v>1</x:v>
      </x:c>
      <x:c r="Q6" s="28" t="n">
        <x:f>ROUNDDOWN(L6*'Inputs'!$B$20,0)+ROUNDDOWN(K6*'Inputs'!$B$25,0)</x:f>
        <x:v>24</x:v>
      </x:c>
      <x:c r="R6" s="28" t="n">
        <x:f>ROUNDDOWN(N6*'Inputs'!$B$25,0)</x:f>
        <x:v>4</x:v>
      </x:c>
      <x:c r="S6" s="28" t="n">
        <x:f>ROUNDDOWN(L6*'Inputs'!$B$20,0)+ROUNDDOWN(K6*'Inputs'!$B$26,0)</x:f>
        <x:v>36</x:v>
      </x:c>
      <x:c r="T6" s="28" t="n">
        <x:f>ROUNDDOWN(N6*'Inputs'!$B$26,0)</x:f>
        <x:v>7</x:v>
      </x:c>
      <x:c r="U6" s="28" t="n">
        <x:f>0</x:f>
        <x:v>0</x:v>
      </x:c>
      <x:c r="V6" s="40" t="n">
        <x:f>K6/('Inputs'!$B$14*(1+'Inputs'!$B$15*(D6-1))*J6/24)</x:f>
        <x:v>1.3</x:v>
      </x:c>
      <x:c r="W6" s="40" t="n">
        <x:f>N6/('Inputs'!$B$16*(1+'Inputs'!$B$17*(D6-1))*J6/24)</x:f>
        <x:v>1.25</x:v>
      </x:c>
      <x:c r="X6" s="28" t="n">
        <x:v>35</x:v>
      </x:c>
      <x:c r="Y6" s="28" t="n">
        <x:v>16</x:v>
      </x:c>
      <x:c r="Z6" s="28" t="str">
        <x:v>Coin Fish!A3:AB3</x:v>
      </x:c>
      <x:c r="AA6" s="28" t="str">
        <x:v>2 hours. Neutral coin/XP choice for a predictable return schedule. Launch-ready design; asset QA required.</x:v>
      </x:c>
      <x:c r="AB6" s="28" t="str">
        <x:f>IF(AND(K6&gt;0,L6&gt;0,N6&gt;0,U6=0,V6&lt;=1.5,W6&lt;=1.5),"MODEL OK","REVIEW")</x:f>
        <x:v>MODEL OK</x:v>
      </x:c>
    </x:row>
    <x:row r="7" ht="62" customHeight="1">
      <x:c r="A7" s="28" t="str">
        <x:v>CF-03</x:v>
      </x:c>
      <x:c r="B7" s="28" t="str">
        <x:v>Platy</x:v>
      </x:c>
      <x:c r="C7" s="28" t="str">
        <x:v>Common</x:v>
      </x:c>
      <x:c r="D7" s="32" t="n">
        <x:v>1</x:v>
      </x:c>
      <x:c r="E7" s="32" t="str">
        <x:v>Launch</x:v>
      </x:c>
      <x:c r="F7" s="32" t="str">
        <x:v>SC-20H</x:v>
      </x:c>
      <x:c r="G7" s="32" t="str">
        <x:v>Convenience</x:v>
      </x:c>
      <x:c r="H7" s="32" t="n">
        <x:v>1</x:v>
      </x:c>
      <x:c r="I7" s="32" t="n">
        <x:v>1</x:v>
      </x:c>
      <x:c r="J7" s="40" t="n">
        <x:f>VLOOKUP(F7,'Schedules'!$A$5:$G$9,3,FALSE)</x:f>
        <x:v>20</x:v>
      </x:c>
      <x:c r="K7" s="28" t="n">
        <x:f>ROUND('Inputs'!$B$14*(1+'Inputs'!$B$15*(D7-1))*J7/24*VLOOKUP(F7,'Schedules'!$A$5:$G$9,4,FALSE)*H7,0)</x:f>
        <x:v>300</x:v>
      </x:c>
      <x:c r="L7" s="28" t="n">
        <x:f>MAX('Inputs'!$B$19,ROUND(K7*'Inputs'!$B$18,0))</x:f>
        <x:v>75</x:v>
      </x:c>
      <x:c r="M7" s="28" t="n">
        <x:f>L7+K7</x:f>
        <x:v>375</x:v>
      </x:c>
      <x:c r="N7" s="28" t="n">
        <x:f>ROUND('Inputs'!$B$16*(1+'Inputs'!$B$17*(D7-1))*J7/24*VLOOKUP(F7,'Schedules'!$A$5:$G$9,5,FALSE)*I7,0)</x:f>
        <x:v>80</x:v>
      </x:c>
      <x:c r="O7" s="28" t="n">
        <x:f>ROUNDDOWN(L7*'Inputs'!$B$20,0)+ROUNDDOWN(K7*'Inputs'!$B$24,0)</x:f>
        <x:v>101</x:v>
      </x:c>
      <x:c r="P7" s="28" t="n">
        <x:f>ROUNDDOWN(N7*'Inputs'!$B$24,0)</x:f>
        <x:v>8</x:v>
      </x:c>
      <x:c r="Q7" s="28" t="n">
        <x:f>ROUNDDOWN(L7*'Inputs'!$B$20,0)+ROUNDDOWN(K7*'Inputs'!$B$25,0)</x:f>
        <x:v>191</x:v>
      </x:c>
      <x:c r="R7" s="28" t="n">
        <x:f>ROUNDDOWN(N7*'Inputs'!$B$25,0)</x:f>
        <x:v>32</x:v>
      </x:c>
      <x:c r="S7" s="28" t="n">
        <x:f>ROUNDDOWN(L7*'Inputs'!$B$20,0)+ROUNDDOWN(K7*'Inputs'!$B$26,0)</x:f>
        <x:v>281</x:v>
      </x:c>
      <x:c r="T7" s="28" t="n">
        <x:f>ROUNDDOWN(N7*'Inputs'!$B$26,0)</x:f>
        <x:v>56</x:v>
      </x:c>
      <x:c r="U7" s="28" t="n">
        <x:f>0</x:f>
        <x:v>0</x:v>
      </x:c>
      <x:c r="V7" s="40" t="n">
        <x:f>K7/('Inputs'!$B$14*(1+'Inputs'!$B$15*(D7-1))*J7/24)</x:f>
        <x:v>1</x:v>
      </x:c>
      <x:c r="W7" s="40" t="n">
        <x:f>N7/('Inputs'!$B$16*(1+'Inputs'!$B$17*(D7-1))*J7/24)</x:f>
        <x:v>1</x:v>
      </x:c>
      <x:c r="X7" s="28" t="n">
        <x:v>60</x:v>
      </x:c>
      <x:c r="Y7" s="28" t="n">
        <x:v>48</x:v>
      </x:c>
      <x:c r="Z7" s="28" t="str">
        <x:v>Coin Fish!A4:AB4</x:v>
      </x:c>
      <x:c r="AA7" s="28" t="str">
        <x:v>20 hours. Longer unattended cycle; no absence penalty and no special care requirement. Launch-ready design; asset QA required.</x:v>
      </x:c>
      <x:c r="AB7" s="28" t="str">
        <x:f>IF(AND(K7&gt;0,L7&gt;0,N7&gt;0,U7=0,V7&lt;=1.5,W7&lt;=1.5),"MODEL OK","REVIEW")</x:f>
        <x:v>MODEL OK</x:v>
      </x:c>
    </x:row>
    <x:row r="8" ht="62" customHeight="1">
      <x:c r="A8" s="28" t="str">
        <x:v>CF-04</x:v>
      </x:c>
      <x:c r="B8" s="28" t="str">
        <x:v>Molly</x:v>
      </x:c>
      <x:c r="C8" s="28" t="str">
        <x:v>Common</x:v>
      </x:c>
      <x:c r="D8" s="32" t="n">
        <x:v>1</x:v>
      </x:c>
      <x:c r="E8" s="32" t="str">
        <x:v>Launch</x:v>
      </x:c>
      <x:c r="F8" s="32" t="str">
        <x:v>SC-44H</x:v>
      </x:c>
      <x:c r="G8" s="32" t="str">
        <x:v>Convenience</x:v>
      </x:c>
      <x:c r="H8" s="32" t="n">
        <x:v>1</x:v>
      </x:c>
      <x:c r="I8" s="32" t="n">
        <x:v>1</x:v>
      </x:c>
      <x:c r="J8" s="40" t="n">
        <x:f>VLOOKUP(F8,'Schedules'!$A$5:$G$9,3,FALSE)</x:f>
        <x:v>44</x:v>
      </x:c>
      <x:c r="K8" s="28" t="n">
        <x:f>ROUND('Inputs'!$B$14*(1+'Inputs'!$B$15*(D8-1))*J8/24*VLOOKUP(F8,'Schedules'!$A$5:$G$9,4,FALSE)*H8,0)</x:f>
        <x:v>607</x:v>
      </x:c>
      <x:c r="L8" s="28" t="n">
        <x:f>MAX('Inputs'!$B$19,ROUND(K8*'Inputs'!$B$18,0))</x:f>
        <x:v>152</x:v>
      </x:c>
      <x:c r="M8" s="28" t="n">
        <x:f>L8+K8</x:f>
        <x:v>759</x:v>
      </x:c>
      <x:c r="N8" s="28" t="n">
        <x:f>ROUND('Inputs'!$B$16*(1+'Inputs'!$B$17*(D8-1))*J8/24*VLOOKUP(F8,'Schedules'!$A$5:$G$9,5,FALSE)*I8,0)</x:f>
        <x:v>162</x:v>
      </x:c>
      <x:c r="O8" s="28" t="n">
        <x:f>ROUNDDOWN(L8*'Inputs'!$B$20,0)+ROUNDDOWN(K8*'Inputs'!$B$24,0)</x:f>
        <x:v>204</x:v>
      </x:c>
      <x:c r="P8" s="28" t="n">
        <x:f>ROUNDDOWN(N8*'Inputs'!$B$24,0)</x:f>
        <x:v>16</x:v>
      </x:c>
      <x:c r="Q8" s="28" t="n">
        <x:f>ROUNDDOWN(L8*'Inputs'!$B$20,0)+ROUNDDOWN(K8*'Inputs'!$B$25,0)</x:f>
        <x:v>386</x:v>
      </x:c>
      <x:c r="R8" s="28" t="n">
        <x:f>ROUNDDOWN(N8*'Inputs'!$B$25,0)</x:f>
        <x:v>64</x:v>
      </x:c>
      <x:c r="S8" s="28" t="n">
        <x:f>ROUNDDOWN(L8*'Inputs'!$B$20,0)+ROUNDDOWN(K8*'Inputs'!$B$26,0)</x:f>
        <x:v>568</x:v>
      </x:c>
      <x:c r="T8" s="28" t="n">
        <x:f>ROUNDDOWN(N8*'Inputs'!$B$26,0)</x:f>
        <x:v>113</x:v>
      </x:c>
      <x:c r="U8" s="28" t="n">
        <x:f>0</x:f>
        <x:v>0</x:v>
      </x:c>
      <x:c r="V8" s="40" t="n">
        <x:f>K8/('Inputs'!$B$14*(1+'Inputs'!$B$15*(D8-1))*J8/24)</x:f>
        <x:v>0.9196969696969697</x:v>
      </x:c>
      <x:c r="W8" s="40" t="n">
        <x:f>N8/('Inputs'!$B$16*(1+'Inputs'!$B$17*(D8-1))*J8/24)</x:f>
        <x:v>0.9204545454545454</x:v>
      </x:c>
      <x:c r="X8" s="28" t="n">
        <x:v>80</x:v>
      </x:c>
      <x:c r="Y8" s="28" t="n">
        <x:v>96</x:v>
      </x:c>
      <x:c r="Z8" s="28" t="str">
        <x:v>Coin Fish!A5:AB5</x:v>
      </x:c>
      <x:c r="AA8" s="28" t="str">
        <x:v>44 hours. Longer unattended cycle; no absence penalty and no special care requirement. Launch-ready design; asset QA required.</x:v>
      </x:c>
      <x:c r="AB8" s="28" t="str">
        <x:f>IF(AND(K8&gt;0,L8&gt;0,N8&gt;0,U8=0,V8&lt;=1.5,W8&lt;=1.5),"MODEL OK","REVIEW")</x:f>
        <x:v>MODEL OK</x:v>
      </x:c>
    </x:row>
    <x:row r="9" ht="62" customHeight="1">
      <x:c r="A9" s="28" t="str">
        <x:v>CF-05</x:v>
      </x:c>
      <x:c r="B9" s="28" t="str">
        <x:v>Zebra Danio</x:v>
      </x:c>
      <x:c r="C9" s="28" t="str">
        <x:v>Common</x:v>
      </x:c>
      <x:c r="D9" s="32" t="n">
        <x:v>2</x:v>
      </x:c>
      <x:c r="E9" s="32" t="str">
        <x:v>Launch</x:v>
      </x:c>
      <x:c r="F9" s="32" t="str">
        <x:v>SC-8H</x:v>
      </x:c>
      <x:c r="G9" s="32" t="str">
        <x:v>XP Specialist</x:v>
      </x:c>
      <x:c r="H9" s="32" t="n">
        <x:v>0.9</x:v>
      </x:c>
      <x:c r="I9" s="32" t="n">
        <x:v>1.1</x:v>
      </x:c>
      <x:c r="J9" s="40" t="n">
        <x:f>VLOOKUP(F9,'Schedules'!$A$5:$G$9,3,FALSE)</x:f>
        <x:v>8</x:v>
      </x:c>
      <x:c r="K9" s="28" t="n">
        <x:f>ROUND('Inputs'!$B$14*(1+'Inputs'!$B$15*(D9-1))*J9/24*VLOOKUP(F9,'Schedules'!$A$5:$G$9,4,FALSE)*H9,0)</x:f>
        <x:v>147</x:v>
      </x:c>
      <x:c r="L9" s="28" t="n">
        <x:f>MAX('Inputs'!$B$19,ROUND(K9*'Inputs'!$B$18,0))</x:f>
        <x:v>37</x:v>
      </x:c>
      <x:c r="M9" s="28" t="n">
        <x:f>L9+K9</x:f>
        <x:v>184</x:v>
      </x:c>
      <x:c r="N9" s="28" t="n">
        <x:f>ROUND('Inputs'!$B$16*(1+'Inputs'!$B$17*(D9-1))*J9/24*VLOOKUP(F9,'Schedules'!$A$5:$G$9,5,FALSE)*I9,0)</x:f>
        <x:v>46</x:v>
      </x:c>
      <x:c r="O9" s="28" t="n">
        <x:f>ROUNDDOWN(L9*'Inputs'!$B$20,0)+ROUNDDOWN(K9*'Inputs'!$B$24,0)</x:f>
        <x:v>49</x:v>
      </x:c>
      <x:c r="P9" s="28" t="n">
        <x:f>ROUNDDOWN(N9*'Inputs'!$B$24,0)</x:f>
        <x:v>4</x:v>
      </x:c>
      <x:c r="Q9" s="28" t="n">
        <x:f>ROUNDDOWN(L9*'Inputs'!$B$20,0)+ROUNDDOWN(K9*'Inputs'!$B$25,0)</x:f>
        <x:v>93</x:v>
      </x:c>
      <x:c r="R9" s="28" t="n">
        <x:f>ROUNDDOWN(N9*'Inputs'!$B$25,0)</x:f>
        <x:v>18</x:v>
      </x:c>
      <x:c r="S9" s="28" t="n">
        <x:f>ROUNDDOWN(L9*'Inputs'!$B$20,0)+ROUNDDOWN(K9*'Inputs'!$B$26,0)</x:f>
        <x:v>137</x:v>
      </x:c>
      <x:c r="T9" s="28" t="n">
        <x:f>ROUNDDOWN(N9*'Inputs'!$B$26,0)</x:f>
        <x:v>32</x:v>
      </x:c>
      <x:c r="U9" s="28" t="n">
        <x:f>0</x:f>
        <x:v>0</x:v>
      </x:c>
      <x:c r="V9" s="40" t="n">
        <x:f>K9/('Inputs'!$B$14*(1+'Inputs'!$B$15*(D9-1))*J9/24)</x:f>
        <x:v>1.1722488038277512</x:v>
      </x:c>
      <x:c r="W9" s="40" t="n">
        <x:f>N9/('Inputs'!$B$16*(1+'Inputs'!$B$17*(D9-1))*J9/24)</x:f>
        <x:v>1.4232673267326732</x:v>
      </x:c>
      <x:c r="X9" s="28" t="n">
        <x:v>16</x:v>
      </x:c>
      <x:c r="Y9" s="28" t="n">
        <x:v>2</x:v>
      </x:c>
      <x:c r="Z9" s="28" t="str">
        <x:v>Coin Fish!A6:AB6</x:v>
      </x:c>
      <x:c r="AA9" s="28" t="str">
        <x:v>8 hours. Trades 10% base coin output for 10% base XP; no premium prerequisite. Launch-ready design; asset QA required.</x:v>
      </x:c>
      <x:c r="AB9" s="28" t="str">
        <x:f>IF(AND(K9&gt;0,L9&gt;0,N9&gt;0,U9=0,V9&lt;=1.5,W9&lt;=1.5),"MODEL OK","REVIEW")</x:f>
        <x:v>MODEL OK</x:v>
      </x:c>
    </x:row>
    <x:row r="10" ht="62" customHeight="1">
      <x:c r="A10" s="28" t="str">
        <x:v>CF-06</x:v>
      </x:c>
      <x:c r="B10" s="28" t="str">
        <x:v>Ember Tetra</x:v>
      </x:c>
      <x:c r="C10" s="28" t="str">
        <x:v>Common</x:v>
      </x:c>
      <x:c r="D10" s="32" t="n">
        <x:v>4</x:v>
      </x:c>
      <x:c r="E10" s="32" t="str">
        <x:v>Launch</x:v>
      </x:c>
      <x:c r="F10" s="32" t="str">
        <x:v>SC-20M</x:v>
      </x:c>
      <x:c r="G10" s="32" t="str">
        <x:v>Coin Specialist</x:v>
      </x:c>
      <x:c r="H10" s="32" t="n">
        <x:v>1.1</x:v>
      </x:c>
      <x:c r="I10" s="32" t="n">
        <x:v>0.9</x:v>
      </x:c>
      <x:c r="J10" s="40" t="n">
        <x:f>VLOOKUP(F10,'Schedules'!$A$5:$G$9,3,FALSE)</x:f>
        <x:v>0.3333333333333333</x:v>
      </x:c>
      <x:c r="K10" s="28" t="n">
        <x:f>ROUND('Inputs'!$B$14*(1+'Inputs'!$B$15*(D10-1))*J10/24*VLOOKUP(F10,'Schedules'!$A$5:$G$9,4,FALSE)*H10,0)</x:f>
        <x:v>8</x:v>
      </x:c>
      <x:c r="L10" s="28" t="n">
        <x:f>MAX('Inputs'!$B$19,ROUND(K10*'Inputs'!$B$18,0))</x:f>
        <x:v>5</x:v>
      </x:c>
      <x:c r="M10" s="28" t="n">
        <x:f>L10+K10</x:f>
        <x:v>13</x:v>
      </x:c>
      <x:c r="N10" s="28" t="n">
        <x:f>ROUND('Inputs'!$B$16*(1+'Inputs'!$B$17*(D10-1))*J10/24*VLOOKUP(F10,'Schedules'!$A$5:$G$9,5,FALSE)*I10,0)</x:f>
        <x:v>2</x:v>
      </x:c>
      <x:c r="O10" s="28" t="n">
        <x:f>ROUNDDOWN(L10*'Inputs'!$B$20,0)+ROUNDDOWN(K10*'Inputs'!$B$24,0)</x:f>
        <x:v>4</x:v>
      </x:c>
      <x:c r="P10" s="28" t="n">
        <x:f>ROUNDDOWN(N10*'Inputs'!$B$24,0)</x:f>
        <x:v>0</x:v>
      </x:c>
      <x:c r="Q10" s="28" t="n">
        <x:f>ROUNDDOWN(L10*'Inputs'!$B$20,0)+ROUNDDOWN(K10*'Inputs'!$B$25,0)</x:f>
        <x:v>7</x:v>
      </x:c>
      <x:c r="R10" s="28" t="n">
        <x:f>ROUNDDOWN(N10*'Inputs'!$B$25,0)</x:f>
        <x:v>0</x:v>
      </x:c>
      <x:c r="S10" s="28" t="n">
        <x:f>ROUNDDOWN(L10*'Inputs'!$B$20,0)+ROUNDDOWN(K10*'Inputs'!$B$26,0)</x:f>
        <x:v>9</x:v>
      </x:c>
      <x:c r="T10" s="28" t="n">
        <x:f>ROUNDDOWN(N10*'Inputs'!$B$26,0)</x:f>
        <x:v>1</x:v>
      </x:c>
      <x:c r="U10" s="28" t="n">
        <x:f>0</x:f>
        <x:v>0</x:v>
      </x:c>
      <x:c r="V10" s="40" t="n">
        <x:f>K10/('Inputs'!$B$14*(1+'Inputs'!$B$15*(D10-1))*J10/24)</x:f>
        <x:v>1.4096916299559472</x:v>
      </x:c>
      <x:c r="W10" s="40" t="n">
        <x:f>N10/('Inputs'!$B$16*(1+'Inputs'!$B$17*(D10-1))*J10/24)</x:f>
        <x:v>1.4563106796116507</x:v>
      </x:c>
      <x:c r="X10" s="28" t="n">
        <x:v>12</x:v>
      </x:c>
      <x:c r="Y10" s="28" t="n">
        <x:v>0.332</x:v>
      </x:c>
      <x:c r="Z10" s="28" t="str">
        <x:v>Coin Fish!A7:AB7</x:v>
      </x:c>
      <x:c r="AA10" s="28" t="str">
        <x:v>20 minutes. Trades 10% base XP for 10% base coin output; schedule choice still matters. Launch-ready design; asset QA required.</x:v>
      </x:c>
      <x:c r="AB10" s="28" t="str">
        <x:f>IF(AND(K10&gt;0,L10&gt;0,N10&gt;0,U10=0,V10&lt;=1.5,W10&lt;=1.5),"MODEL OK","REVIEW")</x:f>
        <x:v>MODEL OK</x:v>
      </x:c>
    </x:row>
    <x:row r="11" ht="62" customHeight="1">
      <x:c r="A11" s="28" t="str">
        <x:v>CF-07</x:v>
      </x:c>
      <x:c r="B11" s="28" t="str">
        <x:v>Harlequin Rasbora</x:v>
      </x:c>
      <x:c r="C11" s="28" t="str">
        <x:v>Common</x:v>
      </x:c>
      <x:c r="D11" s="32" t="n">
        <x:v>6</x:v>
      </x:c>
      <x:c r="E11" s="32" t="str">
        <x:v>Launch</x:v>
      </x:c>
      <x:c r="F11" s="32" t="str">
        <x:v>SC-8H</x:v>
      </x:c>
      <x:c r="G11" s="32" t="str">
        <x:v>Balanced</x:v>
      </x:c>
      <x:c r="H11" s="32" t="n">
        <x:v>1</x:v>
      </x:c>
      <x:c r="I11" s="32" t="n">
        <x:v>1</x:v>
      </x:c>
      <x:c r="J11" s="40" t="n">
        <x:f>VLOOKUP(F11,'Schedules'!$A$5:$G$9,3,FALSE)</x:f>
        <x:v>8</x:v>
      </x:c>
      <x:c r="K11" s="28" t="n">
        <x:f>ROUND('Inputs'!$B$14*(1+'Inputs'!$B$15*(D11-1))*J11/24*VLOOKUP(F11,'Schedules'!$A$5:$G$9,4,FALSE)*H11,0)</x:f>
        <x:v>191</x:v>
      </x:c>
      <x:c r="L11" s="28" t="n">
        <x:f>MAX('Inputs'!$B$19,ROUND(K11*'Inputs'!$B$18,0))</x:f>
        <x:v>48</x:v>
      </x:c>
      <x:c r="M11" s="28" t="n">
        <x:f>L11+K11</x:f>
        <x:v>239</x:v>
      </x:c>
      <x:c r="N11" s="28" t="n">
        <x:f>ROUND('Inputs'!$B$16*(1+'Inputs'!$B$17*(D11-1))*J11/24*VLOOKUP(F11,'Schedules'!$A$5:$G$9,5,FALSE)*I11,0)</x:f>
        <x:v>44</x:v>
      </x:c>
      <x:c r="O11" s="28" t="n">
        <x:f>ROUNDDOWN(L11*'Inputs'!$B$20,0)+ROUNDDOWN(K11*'Inputs'!$B$24,0)</x:f>
        <x:v>64</x:v>
      </x:c>
      <x:c r="P11" s="28" t="n">
        <x:f>ROUNDDOWN(N11*'Inputs'!$B$24,0)</x:f>
        <x:v>4</x:v>
      </x:c>
      <x:c r="Q11" s="28" t="n">
        <x:f>ROUNDDOWN(L11*'Inputs'!$B$20,0)+ROUNDDOWN(K11*'Inputs'!$B$25,0)</x:f>
        <x:v>121</x:v>
      </x:c>
      <x:c r="R11" s="28" t="n">
        <x:f>ROUNDDOWN(N11*'Inputs'!$B$25,0)</x:f>
        <x:v>17</x:v>
      </x:c>
      <x:c r="S11" s="28" t="n">
        <x:f>ROUNDDOWN(L11*'Inputs'!$B$20,0)+ROUNDDOWN(K11*'Inputs'!$B$26,0)</x:f>
        <x:v>178</x:v>
      </x:c>
      <x:c r="T11" s="28" t="n">
        <x:f>ROUNDDOWN(N11*'Inputs'!$B$26,0)</x:f>
        <x:v>30</x:v>
      </x:c>
      <x:c r="U11" s="28" t="n">
        <x:f>0</x:f>
        <x:v>0</x:v>
      </x:c>
      <x:c r="V11" s="40" t="n">
        <x:f>K11/('Inputs'!$B$14*(1+'Inputs'!$B$15*(D11-1))*J11/24)</x:f>
        <x:v>1.2993197278911561</x:v>
      </x:c>
      <x:c r="W11" s="40" t="n">
        <x:f>N11/('Inputs'!$B$16*(1+'Inputs'!$B$17*(D11-1))*J11/24)</x:f>
        <x:v>1.3095238095238095</x:v>
      </x:c>
      <x:c r="X11" s="28" t="n">
        <x:v>55</x:v>
      </x:c>
      <x:c r="Y11" s="28" t="n">
        <x:v>24</x:v>
      </x:c>
      <x:c r="Z11" s="28" t="str">
        <x:v>Coin Fish!A8:AB8</x:v>
      </x:c>
      <x:c r="AA11" s="28" t="str">
        <x:v>8 hours. Neutral coin/XP choice for a predictable return schedule. Launch-ready design; asset QA required.</x:v>
      </x:c>
      <x:c r="AB11" s="28" t="str">
        <x:f>IF(AND(K11&gt;0,L11&gt;0,N11&gt;0,U11=0,V11&lt;=1.5,W11&lt;=1.5),"MODEL OK","REVIEW")</x:f>
        <x:v>MODEL OK</x:v>
      </x:c>
    </x:row>
    <x:row r="12" ht="62" customHeight="1">
      <x:c r="A12" s="28" t="str">
        <x:v>CF-08</x:v>
      </x:c>
      <x:c r="B12" s="28" t="str">
        <x:v>Green Chromis</x:v>
      </x:c>
      <x:c r="C12" s="28" t="str">
        <x:v>Uncommon</x:v>
      </x:c>
      <x:c r="D12" s="32" t="n">
        <x:v>8</x:v>
      </x:c>
      <x:c r="E12" s="32" t="str">
        <x:v>Launch</x:v>
      </x:c>
      <x:c r="F12" s="32" t="str">
        <x:v>SC-20H</x:v>
      </x:c>
      <x:c r="G12" s="32" t="str">
        <x:v>Collection</x:v>
      </x:c>
      <x:c r="H12" s="32" t="n">
        <x:v>1</x:v>
      </x:c>
      <x:c r="I12" s="32" t="n">
        <x:v>1</x:v>
      </x:c>
      <x:c r="J12" s="40" t="n">
        <x:f>VLOOKUP(F12,'Schedules'!$A$5:$G$9,3,FALSE)</x:f>
        <x:v>20</x:v>
      </x:c>
      <x:c r="K12" s="28" t="n">
        <x:f>ROUND('Inputs'!$B$14*(1+'Inputs'!$B$15*(D12-1))*J12/24*VLOOKUP(F12,'Schedules'!$A$5:$G$9,4,FALSE)*H12,0)</x:f>
        <x:v>395</x:v>
      </x:c>
      <x:c r="L12" s="28" t="n">
        <x:f>MAX('Inputs'!$B$19,ROUND(K12*'Inputs'!$B$18,0))</x:f>
        <x:v>99</x:v>
      </x:c>
      <x:c r="M12" s="28" t="n">
        <x:f>L12+K12</x:f>
        <x:v>494</x:v>
      </x:c>
      <x:c r="N12" s="28" t="n">
        <x:f>ROUND('Inputs'!$B$16*(1+'Inputs'!$B$17*(D12-1))*J12/24*VLOOKUP(F12,'Schedules'!$A$5:$G$9,5,FALSE)*I12,0)</x:f>
        <x:v>86</x:v>
      </x:c>
      <x:c r="O12" s="28" t="n">
        <x:f>ROUNDDOWN(L12*'Inputs'!$B$20,0)+ROUNDDOWN(K12*'Inputs'!$B$24,0)</x:f>
        <x:v>133</x:v>
      </x:c>
      <x:c r="P12" s="28" t="n">
        <x:f>ROUNDDOWN(N12*'Inputs'!$B$24,0)</x:f>
        <x:v>8</x:v>
      </x:c>
      <x:c r="Q12" s="28" t="n">
        <x:f>ROUNDDOWN(L12*'Inputs'!$B$20,0)+ROUNDDOWN(K12*'Inputs'!$B$25,0)</x:f>
        <x:v>252</x:v>
      </x:c>
      <x:c r="R12" s="28" t="n">
        <x:f>ROUNDDOWN(N12*'Inputs'!$B$25,0)</x:f>
        <x:v>34</x:v>
      </x:c>
      <x:c r="S12" s="28" t="n">
        <x:f>ROUNDDOWN(L12*'Inputs'!$B$20,0)+ROUNDDOWN(K12*'Inputs'!$B$26,0)</x:f>
        <x:v>370</x:v>
      </x:c>
      <x:c r="T12" s="28" t="n">
        <x:f>ROUNDDOWN(N12*'Inputs'!$B$26,0)</x:f>
        <x:v>60</x:v>
      </x:c>
      <x:c r="U12" s="28" t="n">
        <x:f>0</x:f>
        <x:v>0</x:v>
      </x:c>
      <x:c r="V12" s="40" t="n">
        <x:f>K12/('Inputs'!$B$14*(1+'Inputs'!$B$15*(D12-1))*J12/24)</x:f>
        <x:v>1.0012674271229405</x:v>
      </x:c>
      <x:c r="W12" s="40" t="n">
        <x:f>N12/('Inputs'!$B$16*(1+'Inputs'!$B$17*(D12-1))*J12/24)</x:f>
        <x:v>1.0046728971962615</x:v>
      </x:c>
      <x:c r="X12" s="28" t="n">
        <x:v>110</x:v>
      </x:c>
      <x:c r="Y12" s="28" t="n">
        <x:v>64</x:v>
      </x:c>
      <x:c r="Z12" s="28" t="str">
        <x:v>Coin Fish!A9:AB9</x:v>
      </x:c>
      <x:c r="AA12" s="28" t="str">
        <x:v>20 hours. Distinctive journal/scene choice; no hidden collection-stat multiplier. Launch-ready design; asset QA required.</x:v>
      </x:c>
      <x:c r="AB12" s="28" t="str">
        <x:f>IF(AND(K12&gt;0,L12&gt;0,N12&gt;0,U12=0,V12&lt;=1.5,W12&lt;=1.5),"MODEL OK","REVIEW")</x:f>
        <x:v>MODEL OK</x:v>
      </x:c>
    </x:row>
    <x:row r="13" ht="62" customHeight="1">
      <x:c r="A13" s="28" t="str">
        <x:v>CF-09</x:v>
      </x:c>
      <x:c r="B13" s="28" t="str">
        <x:v>Pajama Cardinalfish</x:v>
      </x:c>
      <x:c r="C13" s="28" t="str">
        <x:v>Uncommon</x:v>
      </x:c>
      <x:c r="D13" s="32" t="n">
        <x:v>11</x:v>
      </x:c>
      <x:c r="E13" s="32" t="str">
        <x:v>Launch</x:v>
      </x:c>
      <x:c r="F13" s="32" t="str">
        <x:v>SC-8H</x:v>
      </x:c>
      <x:c r="G13" s="32" t="str">
        <x:v>XP Specialist</x:v>
      </x:c>
      <x:c r="H13" s="32" t="n">
        <x:v>0.9</x:v>
      </x:c>
      <x:c r="I13" s="32" t="n">
        <x:v>1.1</x:v>
      </x:c>
      <x:c r="J13" s="40" t="n">
        <x:f>VLOOKUP(F13,'Schedules'!$A$5:$G$9,3,FALSE)</x:f>
        <x:v>8</x:v>
      </x:c>
      <x:c r="K13" s="28" t="n">
        <x:f>ROUND('Inputs'!$B$14*(1+'Inputs'!$B$15*(D13-1))*J13/24*VLOOKUP(F13,'Schedules'!$A$5:$G$9,4,FALSE)*H13,0)</x:f>
        <x:v>204</x:v>
      </x:c>
      <x:c r="L13" s="28" t="n">
        <x:f>MAX('Inputs'!$B$19,ROUND(K13*'Inputs'!$B$18,0))</x:f>
        <x:v>51</x:v>
      </x:c>
      <x:c r="M13" s="28" t="n">
        <x:f>L13+K13</x:f>
        <x:v>255</x:v>
      </x:c>
      <x:c r="N13" s="28" t="n">
        <x:f>ROUND('Inputs'!$B$16*(1+'Inputs'!$B$17*(D13-1))*J13/24*VLOOKUP(F13,'Schedules'!$A$5:$G$9,5,FALSE)*I13,0)</x:f>
        <x:v>50</x:v>
      </x:c>
      <x:c r="O13" s="28" t="n">
        <x:f>ROUNDDOWN(L13*'Inputs'!$B$20,0)+ROUNDDOWN(K13*'Inputs'!$B$24,0)</x:f>
        <x:v>68</x:v>
      </x:c>
      <x:c r="P13" s="28" t="n">
        <x:f>ROUNDDOWN(N13*'Inputs'!$B$24,0)</x:f>
        <x:v>5</x:v>
      </x:c>
      <x:c r="Q13" s="28" t="n">
        <x:f>ROUNDDOWN(L13*'Inputs'!$B$20,0)+ROUNDDOWN(K13*'Inputs'!$B$25,0)</x:f>
        <x:v>129</x:v>
      </x:c>
      <x:c r="R13" s="28" t="n">
        <x:f>ROUNDDOWN(N13*'Inputs'!$B$25,0)</x:f>
        <x:v>20</x:v>
      </x:c>
      <x:c r="S13" s="28" t="n">
        <x:f>ROUNDDOWN(L13*'Inputs'!$B$20,0)+ROUNDDOWN(K13*'Inputs'!$B$26,0)</x:f>
        <x:v>190</x:v>
      </x:c>
      <x:c r="T13" s="28" t="n">
        <x:f>ROUNDDOWN(N13*'Inputs'!$B$26,0)</x:f>
        <x:v>35</x:v>
      </x:c>
      <x:c r="U13" s="28" t="n">
        <x:f>0</x:f>
        <x:v>0</x:v>
      </x:c>
      <x:c r="V13" s="40" t="n">
        <x:f>K13/('Inputs'!$B$14*(1+'Inputs'!$B$15*(D13-1))*J13/24)</x:f>
        <x:v>1.1724137931034482</x:v>
      </x:c>
      <x:c r="W13" s="40" t="n">
        <x:f>N13/('Inputs'!$B$16*(1+'Inputs'!$B$17*(D13-1))*J13/24)</x:f>
        <x:v>1.4204545454545454</x:v>
      </x:c>
      <x:c r="X13" s="28" t="n">
        <x:v>50</x:v>
      </x:c>
      <x:c r="Y13" s="28" t="n">
        <x:v>8</x:v>
      </x:c>
      <x:c r="Z13" s="28" t="str">
        <x:v>Coin Fish!A10:AB10</x:v>
      </x:c>
      <x:c r="AA13" s="28" t="str">
        <x:v>8 hours. Trades 10% base coin output for 10% base XP; no premium prerequisite. Launch-ready design; asset QA required.</x:v>
      </x:c>
      <x:c r="AB13" s="28" t="str">
        <x:f>IF(AND(K13&gt;0,L13&gt;0,N13&gt;0,U13=0,V13&lt;=1.5,W13&lt;=1.5),"MODEL OK","REVIEW")</x:f>
        <x:v>MODEL OK</x:v>
      </x:c>
    </x:row>
    <x:row r="14" ht="62" customHeight="1">
      <x:c r="A14" s="28" t="str">
        <x:v>CF-10</x:v>
      </x:c>
      <x:c r="B14" s="28" t="str">
        <x:v>Pearl Gourami</x:v>
      </x:c>
      <x:c r="C14" s="28" t="str">
        <x:v>Common</x:v>
      </x:c>
      <x:c r="D14" s="32" t="n">
        <x:v>12</x:v>
      </x:c>
      <x:c r="E14" s="32" t="str">
        <x:v>Launch</x:v>
      </x:c>
      <x:c r="F14" s="32" t="str">
        <x:v>SC-44H</x:v>
      </x:c>
      <x:c r="G14" s="32" t="str">
        <x:v>Payout</x:v>
      </x:c>
      <x:c r="H14" s="32" t="n">
        <x:v>1</x:v>
      </x:c>
      <x:c r="I14" s="32" t="n">
        <x:v>1</x:v>
      </x:c>
      <x:c r="J14" s="40" t="n">
        <x:f>VLOOKUP(F14,'Schedules'!$A$5:$G$9,3,FALSE)</x:f>
        <x:v>44</x:v>
      </x:c>
      <x:c r="K14" s="28" t="n">
        <x:f>ROUND('Inputs'!$B$14*(1+'Inputs'!$B$15*(D14-1))*J14/24*VLOOKUP(F14,'Schedules'!$A$5:$G$9,4,FALSE)*H14,0)</x:f>
        <x:v>908</x:v>
      </x:c>
      <x:c r="L14" s="28" t="n">
        <x:f>MAX('Inputs'!$B$19,ROUND(K14*'Inputs'!$B$18,0))</x:f>
        <x:v>227</x:v>
      </x:c>
      <x:c r="M14" s="28" t="n">
        <x:f>L14+K14</x:f>
        <x:v>1135</x:v>
      </x:c>
      <x:c r="N14" s="28" t="n">
        <x:f>ROUND('Inputs'!$B$16*(1+'Inputs'!$B$17*(D14-1))*J14/24*VLOOKUP(F14,'Schedules'!$A$5:$G$9,5,FALSE)*I14,0)</x:f>
        <x:v>180</x:v>
      </x:c>
      <x:c r="O14" s="28" t="n">
        <x:f>ROUNDDOWN(L14*'Inputs'!$B$20,0)+ROUNDDOWN(K14*'Inputs'!$B$24,0)</x:f>
        <x:v>305</x:v>
      </x:c>
      <x:c r="P14" s="28" t="n">
        <x:f>ROUNDDOWN(N14*'Inputs'!$B$24,0)</x:f>
        <x:v>18</x:v>
      </x:c>
      <x:c r="Q14" s="28" t="n">
        <x:f>ROUNDDOWN(L14*'Inputs'!$B$20,0)+ROUNDDOWN(K14*'Inputs'!$B$25,0)</x:f>
        <x:v>578</x:v>
      </x:c>
      <x:c r="R14" s="28" t="n">
        <x:f>ROUNDDOWN(N14*'Inputs'!$B$25,0)</x:f>
        <x:v>72</x:v>
      </x:c>
      <x:c r="S14" s="28" t="n">
        <x:f>ROUNDDOWN(L14*'Inputs'!$B$20,0)+ROUNDDOWN(K14*'Inputs'!$B$26,0)</x:f>
        <x:v>850</x:v>
      </x:c>
      <x:c r="T14" s="28" t="n">
        <x:f>ROUNDDOWN(N14*'Inputs'!$B$26,0)</x:f>
        <x:v>125</x:v>
      </x:c>
      <x:c r="U14" s="28" t="n">
        <x:f>0</x:f>
        <x:v>0</x:v>
      </x:c>
      <x:c r="V14" s="40" t="n">
        <x:f>K14/('Inputs'!$B$14*(1+'Inputs'!$B$15*(D14-1))*J14/24)</x:f>
        <x:v>0.9202391811087461</x:v>
      </x:c>
      <x:c r="W14" s="40" t="n">
        <x:f>N14/('Inputs'!$B$16*(1+'Inputs'!$B$17*(D14-1))*J14/24)</x:f>
        <x:v>0.9213759213759213</x:v>
      </x:c>
      <x:c r="X14" s="28" t="n">
        <x:v>180</x:v>
      </x:c>
      <x:c r="Y14" s="28" t="n">
        <x:v>192</x:v>
      </x:c>
      <x:c r="Z14" s="28" t="str">
        <x:v>Coin Fish!A11:AB11</x:v>
      </x:c>
      <x:c r="AA14" s="28" t="str">
        <x:v>44 hours. Long cycle produces a larger single settlement, not a superior daily rate. Launch-ready design; asset QA required.</x:v>
      </x:c>
      <x:c r="AB14" s="28" t="str">
        <x:f>IF(AND(K14&gt;0,L14&gt;0,N14&gt;0,U14=0,V14&lt;=1.5,W14&lt;=1.5),"MODEL OK","REVIEW")</x:f>
        <x:v>MODEL OK</x:v>
      </x:c>
    </x:row>
    <x:row r="15" ht="62" customHeight="1">
      <x:c r="A15" s="28" t="str">
        <x:v>CF-11</x:v>
      </x:c>
      <x:c r="B15" s="28" t="str">
        <x:v>Sixline Wrasse</x:v>
      </x:c>
      <x:c r="C15" s="28" t="str">
        <x:v>Uncommon</x:v>
      </x:c>
      <x:c r="D15" s="32" t="n">
        <x:v>14</x:v>
      </x:c>
      <x:c r="E15" s="32" t="str">
        <x:v>Launch</x:v>
      </x:c>
      <x:c r="F15" s="32" t="str">
        <x:v>SC-2H</x:v>
      </x:c>
      <x:c r="G15" s="32" t="str">
        <x:v>XP Specialist</x:v>
      </x:c>
      <x:c r="H15" s="32" t="n">
        <x:v>0.9</x:v>
      </x:c>
      <x:c r="I15" s="32" t="n">
        <x:v>1.1</x:v>
      </x:c>
      <x:c r="J15" s="40" t="n">
        <x:f>VLOOKUP(F15,'Schedules'!$A$5:$G$9,3,FALSE)</x:f>
        <x:v>2</x:v>
      </x:c>
      <x:c r="K15" s="28" t="n">
        <x:f>ROUND('Inputs'!$B$14*(1+'Inputs'!$B$15*(D15-1))*J15/24*VLOOKUP(F15,'Schedules'!$A$5:$G$9,4,FALSE)*H15,0)</x:f>
        <x:v>56</x:v>
      </x:c>
      <x:c r="L15" s="28" t="n">
        <x:f>MAX('Inputs'!$B$19,ROUND(K15*'Inputs'!$B$18,0))</x:f>
        <x:v>14</x:v>
      </x:c>
      <x:c r="M15" s="28" t="n">
        <x:f>L15+K15</x:f>
        <x:v>70</x:v>
      </x:c>
      <x:c r="N15" s="28" t="n">
        <x:f>ROUND('Inputs'!$B$16*(1+'Inputs'!$B$17*(D15-1))*J15/24*VLOOKUP(F15,'Schedules'!$A$5:$G$9,5,FALSE)*I15,0)</x:f>
        <x:v>13</x:v>
      </x:c>
      <x:c r="O15" s="28" t="n">
        <x:f>ROUNDDOWN(L15*'Inputs'!$B$20,0)+ROUNDDOWN(K15*'Inputs'!$B$24,0)</x:f>
        <x:v>18</x:v>
      </x:c>
      <x:c r="P15" s="28" t="n">
        <x:f>ROUNDDOWN(N15*'Inputs'!$B$24,0)</x:f>
        <x:v>1</x:v>
      </x:c>
      <x:c r="Q15" s="28" t="n">
        <x:f>ROUNDDOWN(L15*'Inputs'!$B$20,0)+ROUNDDOWN(K15*'Inputs'!$B$25,0)</x:f>
        <x:v>35</x:v>
      </x:c>
      <x:c r="R15" s="28" t="n">
        <x:f>ROUNDDOWN(N15*'Inputs'!$B$25,0)</x:f>
        <x:v>5</x:v>
      </x:c>
      <x:c r="S15" s="28" t="n">
        <x:f>ROUNDDOWN(L15*'Inputs'!$B$20,0)+ROUNDDOWN(K15*'Inputs'!$B$26,0)</x:f>
        <x:v>52</x:v>
      </x:c>
      <x:c r="T15" s="28" t="n">
        <x:f>ROUNDDOWN(N15*'Inputs'!$B$26,0)</x:f>
        <x:v>9</x:v>
      </x:c>
      <x:c r="U15" s="28" t="n">
        <x:f>0</x:f>
        <x:v>0</x:v>
      </x:c>
      <x:c r="V15" s="40" t="n">
        <x:f>K15/('Inputs'!$B$14*(1+'Inputs'!$B$15*(D15-1))*J15/24)</x:f>
        <x:v>1.177707676130389</x:v>
      </x:c>
      <x:c r="W15" s="40" t="n">
        <x:f>N15/('Inputs'!$B$16*(1+'Inputs'!$B$17*(D15-1))*J15/24)</x:f>
        <x:v>1.4380530973451329</x:v>
      </x:c>
      <x:c r="X15" s="28" t="n">
        <x:v>35</x:v>
      </x:c>
      <x:c r="Y15" s="28" t="n">
        <x:v>2</x:v>
      </x:c>
      <x:c r="Z15" s="28" t="str">
        <x:v>Coin Fish!A12:AB12</x:v>
      </x:c>
      <x:c r="AA15" s="28" t="str">
        <x:v>2 hours. Trades 10% base coin output for 10% base XP; no premium prerequisite. Launch-ready design; asset QA required.</x:v>
      </x:c>
      <x:c r="AB15" s="28" t="str">
        <x:f>IF(AND(K15&gt;0,L15&gt;0,N15&gt;0,U15=0,V15&lt;=1.5,W15&lt;=1.5),"MODEL OK","REVIEW")</x:f>
        <x:v>MODEL OK</x:v>
      </x:c>
    </x:row>
    <x:row r="16" ht="62" customHeight="1">
      <x:c r="A16" s="28" t="str">
        <x:v>CF-12</x:v>
      </x:c>
      <x:c r="B16" s="28" t="str">
        <x:v>Shy Hamlet</x:v>
      </x:c>
      <x:c r="C16" s="28" t="str">
        <x:v>Uncommon</x:v>
      </x:c>
      <x:c r="D16" s="32" t="n">
        <x:v>15</x:v>
      </x:c>
      <x:c r="E16" s="32" t="str">
        <x:v>Launch</x:v>
      </x:c>
      <x:c r="F16" s="32" t="str">
        <x:v>SC-8H</x:v>
      </x:c>
      <x:c r="G16" s="32" t="str">
        <x:v>Coin Specialist</x:v>
      </x:c>
      <x:c r="H16" s="32" t="n">
        <x:v>1.1</x:v>
      </x:c>
      <x:c r="I16" s="32" t="n">
        <x:v>0.9</x:v>
      </x:c>
      <x:c r="J16" s="40" t="n">
        <x:f>VLOOKUP(F16,'Schedules'!$A$5:$G$9,3,FALSE)</x:f>
        <x:v>8</x:v>
      </x:c>
      <x:c r="K16" s="28" t="n">
        <x:f>ROUND('Inputs'!$B$14*(1+'Inputs'!$B$15*(D16-1))*J16/24*VLOOKUP(F16,'Schedules'!$A$5:$G$9,4,FALSE)*H16,0)</x:f>
        <x:v>280</x:v>
      </x:c>
      <x:c r="L16" s="28" t="n">
        <x:f>MAX('Inputs'!$B$19,ROUND(K16*'Inputs'!$B$18,0))</x:f>
        <x:v>70</x:v>
      </x:c>
      <x:c r="M16" s="28" t="n">
        <x:f>L16+K16</x:f>
        <x:v>350</x:v>
      </x:c>
      <x:c r="N16" s="28" t="n">
        <x:f>ROUND('Inputs'!$B$16*(1+'Inputs'!$B$17*(D16-1))*J16/24*VLOOKUP(F16,'Schedules'!$A$5:$G$9,5,FALSE)*I16,0)</x:f>
        <x:v>43</x:v>
      </x:c>
      <x:c r="O16" s="28" t="n">
        <x:f>ROUNDDOWN(L16*'Inputs'!$B$20,0)+ROUNDDOWN(K16*'Inputs'!$B$24,0)</x:f>
        <x:v>94</x:v>
      </x:c>
      <x:c r="P16" s="28" t="n">
        <x:f>ROUNDDOWN(N16*'Inputs'!$B$24,0)</x:f>
        <x:v>4</x:v>
      </x:c>
      <x:c r="Q16" s="28" t="n">
        <x:f>ROUNDDOWN(L16*'Inputs'!$B$20,0)+ROUNDDOWN(K16*'Inputs'!$B$25,0)</x:f>
        <x:v>178</x:v>
      </x:c>
      <x:c r="R16" s="28" t="n">
        <x:f>ROUNDDOWN(N16*'Inputs'!$B$25,0)</x:f>
        <x:v>17</x:v>
      </x:c>
      <x:c r="S16" s="28" t="n">
        <x:f>ROUNDDOWN(L16*'Inputs'!$B$20,0)+ROUNDDOWN(K16*'Inputs'!$B$26,0)</x:f>
        <x:v>262</x:v>
      </x:c>
      <x:c r="T16" s="28" t="n">
        <x:f>ROUNDDOWN(N16*'Inputs'!$B$26,0)</x:f>
        <x:v>30</x:v>
      </x:c>
      <x:c r="U16" s="28" t="n">
        <x:f>0</x:f>
        <x:v>0</x:v>
      </x:c>
      <x:c r="V16" s="40" t="n">
        <x:f>K16/('Inputs'!$B$14*(1+'Inputs'!$B$15*(D16-1))*J16/24)</x:f>
        <x:v>1.4314928425357873</x:v>
      </x:c>
      <x:c r="W16" s="40" t="n">
        <x:f>N16/('Inputs'!$B$16*(1+'Inputs'!$B$17*(D16-1))*J16/24)</x:f>
        <x:v>1.1787280701754386</x:v>
      </x:c>
      <x:c r="X16" s="28" t="n">
        <x:v>80</x:v>
      </x:c>
      <x:c r="Y16" s="28" t="n">
        <x:v>16</x:v>
      </x:c>
      <x:c r="Z16" s="28" t="str">
        <x:v>Coin Fish!A13:AB13</x:v>
      </x:c>
      <x:c r="AA16" s="28" t="str">
        <x:v>8 hours. Trades 10% base XP for 10% base coin output; schedule choice still matters. Launch-ready design; asset QA required.</x:v>
      </x:c>
      <x:c r="AB16" s="28" t="str">
        <x:f>IF(AND(K16&gt;0,L16&gt;0,N16&gt;0,U16=0,V16&lt;=1.5,W16&lt;=1.5),"MODEL OK","REVIEW")</x:f>
        <x:v>MODEL OK</x:v>
      </x:c>
    </x:row>
    <x:row r="17" ht="62" customHeight="1">
      <x:c r="A17" s="28" t="str">
        <x:v>CF-13</x:v>
      </x:c>
      <x:c r="B17" s="28" t="str">
        <x:v>Hawaiian Hogfish</x:v>
      </x:c>
      <x:c r="C17" s="28" t="str">
        <x:v>Uncommon</x:v>
      </x:c>
      <x:c r="D17" s="32" t="n">
        <x:v>16</x:v>
      </x:c>
      <x:c r="E17" s="32" t="str">
        <x:v>Launch</x:v>
      </x:c>
      <x:c r="F17" s="32" t="str">
        <x:v>SC-20H</x:v>
      </x:c>
      <x:c r="G17" s="32" t="str">
        <x:v>Balanced</x:v>
      </x:c>
      <x:c r="H17" s="32" t="n">
        <x:v>1</x:v>
      </x:c>
      <x:c r="I17" s="32" t="n">
        <x:v>1</x:v>
      </x:c>
      <x:c r="J17" s="40" t="n">
        <x:f>VLOOKUP(F17,'Schedules'!$A$5:$G$9,3,FALSE)</x:f>
        <x:v>20</x:v>
      </x:c>
      <x:c r="K17" s="28" t="n">
        <x:f>ROUND('Inputs'!$B$14*(1+'Inputs'!$B$15*(D17-1))*J17/24*VLOOKUP(F17,'Schedules'!$A$5:$G$9,4,FALSE)*H17,0)</x:f>
        <x:v>502</x:v>
      </x:c>
      <x:c r="L17" s="28" t="n">
        <x:f>MAX('Inputs'!$B$19,ROUND(K17*'Inputs'!$B$18,0))</x:f>
        <x:v>126</x:v>
      </x:c>
      <x:c r="M17" s="28" t="n">
        <x:f>L17+K17</x:f>
        <x:v>628</x:v>
      </x:c>
      <x:c r="N17" s="28" t="n">
        <x:f>ROUND('Inputs'!$B$16*(1+'Inputs'!$B$17*(D17-1))*J17/24*VLOOKUP(F17,'Schedules'!$A$5:$G$9,5,FALSE)*I17,0)</x:f>
        <x:v>92</x:v>
      </x:c>
      <x:c r="O17" s="28" t="n">
        <x:f>ROUNDDOWN(L17*'Inputs'!$B$20,0)+ROUNDDOWN(K17*'Inputs'!$B$24,0)</x:f>
        <x:v>169</x:v>
      </x:c>
      <x:c r="P17" s="28" t="n">
        <x:f>ROUNDDOWN(N17*'Inputs'!$B$24,0)</x:f>
        <x:v>9</x:v>
      </x:c>
      <x:c r="Q17" s="28" t="n">
        <x:f>ROUNDDOWN(L17*'Inputs'!$B$20,0)+ROUNDDOWN(K17*'Inputs'!$B$25,0)</x:f>
        <x:v>319</x:v>
      </x:c>
      <x:c r="R17" s="28" t="n">
        <x:f>ROUNDDOWN(N17*'Inputs'!$B$25,0)</x:f>
        <x:v>36</x:v>
      </x:c>
      <x:c r="S17" s="28" t="n">
        <x:f>ROUNDDOWN(L17*'Inputs'!$B$20,0)+ROUNDDOWN(K17*'Inputs'!$B$26,0)</x:f>
        <x:v>470</x:v>
      </x:c>
      <x:c r="T17" s="28" t="n">
        <x:f>ROUNDDOWN(N17*'Inputs'!$B$26,0)</x:f>
        <x:v>64</x:v>
      </x:c>
      <x:c r="U17" s="28" t="n">
        <x:f>0</x:f>
        <x:v>0</x:v>
      </x:c>
      <x:c r="V17" s="40" t="n">
        <x:f>K17/('Inputs'!$B$14*(1+'Inputs'!$B$15*(D17-1))*J17/24)</x:f>
        <x:v>0.9990049751243782</x:v>
      </x:c>
      <x:c r="W17" s="40" t="n">
        <x:f>N17/('Inputs'!$B$16*(1+'Inputs'!$B$17*(D17-1))*J17/24)</x:f>
        <x:v>1</x:v>
      </x:c>
      <x:c r="X17" s="28" t="n">
        <x:v>130</x:v>
      </x:c>
      <x:c r="Y17" s="28" t="n">
        <x:v>48</x:v>
      </x:c>
      <x:c r="Z17" s="28" t="str">
        <x:v>Coin Fish!A14:AB14</x:v>
      </x:c>
      <x:c r="AA17" s="28" t="str">
        <x:v>20 hours. Neutral coin/XP choice for a predictable return schedule. Launch-ready design; asset QA required.</x:v>
      </x:c>
      <x:c r="AB17" s="28" t="str">
        <x:f>IF(AND(K17&gt;0,L17&gt;0,N17&gt;0,U17=0,V17&lt;=1.5,W17&lt;=1.5),"MODEL OK","REVIEW")</x:f>
        <x:v>MODEL OK</x:v>
      </x:c>
    </x:row>
    <x:row r="18" ht="62" customHeight="1">
      <x:c r="A18" s="28" t="str">
        <x:v>CF-14</x:v>
      </x:c>
      <x:c r="B18" s="28" t="str">
        <x:v>Scooter Blenny</x:v>
      </x:c>
      <x:c r="C18" s="28" t="str">
        <x:v>Uncommon</x:v>
      </x:c>
      <x:c r="D18" s="32" t="n">
        <x:v>17</x:v>
      </x:c>
      <x:c r="E18" s="32" t="str">
        <x:v>Launch</x:v>
      </x:c>
      <x:c r="F18" s="32" t="str">
        <x:v>SC-44H</x:v>
      </x:c>
      <x:c r="G18" s="32" t="str">
        <x:v>Convenience</x:v>
      </x:c>
      <x:c r="H18" s="32" t="n">
        <x:v>1</x:v>
      </x:c>
      <x:c r="I18" s="32" t="n">
        <x:v>1</x:v>
      </x:c>
      <x:c r="J18" s="40" t="n">
        <x:f>VLOOKUP(F18,'Schedules'!$A$5:$G$9,3,FALSE)</x:f>
        <x:v>44</x:v>
      </x:c>
      <x:c r="K18" s="28" t="n">
        <x:f>ROUND('Inputs'!$B$14*(1+'Inputs'!$B$15*(D18-1))*J18/24*VLOOKUP(F18,'Schedules'!$A$5:$G$9,4,FALSE)*H18,0)</x:f>
        <x:v>1044</x:v>
      </x:c>
      <x:c r="L18" s="28" t="n">
        <x:f>MAX('Inputs'!$B$19,ROUND(K18*'Inputs'!$B$18,0))</x:f>
        <x:v>261</x:v>
      </x:c>
      <x:c r="M18" s="28" t="n">
        <x:f>L18+K18</x:f>
        <x:v>1305</x:v>
      </x:c>
      <x:c r="N18" s="28" t="n">
        <x:f>ROUND('Inputs'!$B$16*(1+'Inputs'!$B$17*(D18-1))*J18/24*VLOOKUP(F18,'Schedules'!$A$5:$G$9,5,FALSE)*I18,0)</x:f>
        <x:v>188</x:v>
      </x:c>
      <x:c r="O18" s="28" t="n">
        <x:f>ROUNDDOWN(L18*'Inputs'!$B$20,0)+ROUNDDOWN(K18*'Inputs'!$B$24,0)</x:f>
        <x:v>351</x:v>
      </x:c>
      <x:c r="P18" s="28" t="n">
        <x:f>ROUNDDOWN(N18*'Inputs'!$B$24,0)</x:f>
        <x:v>18</x:v>
      </x:c>
      <x:c r="Q18" s="28" t="n">
        <x:f>ROUNDDOWN(L18*'Inputs'!$B$20,0)+ROUNDDOWN(K18*'Inputs'!$B$25,0)</x:f>
        <x:v>664</x:v>
      </x:c>
      <x:c r="R18" s="28" t="n">
        <x:f>ROUNDDOWN(N18*'Inputs'!$B$25,0)</x:f>
        <x:v>75</x:v>
      </x:c>
      <x:c r="S18" s="28" t="n">
        <x:f>ROUNDDOWN(L18*'Inputs'!$B$20,0)+ROUNDDOWN(K18*'Inputs'!$B$26,0)</x:f>
        <x:v>977</x:v>
      </x:c>
      <x:c r="T18" s="28" t="n">
        <x:f>ROUNDDOWN(N18*'Inputs'!$B$26,0)</x:f>
        <x:v>131</x:v>
      </x:c>
      <x:c r="U18" s="28" t="n">
        <x:f>0</x:f>
        <x:v>0</x:v>
      </x:c>
      <x:c r="V18" s="40" t="n">
        <x:f>K18/('Inputs'!$B$14*(1+'Inputs'!$B$15*(D18-1))*J18/24)</x:f>
        <x:v>0.919661733615222</x:v>
      </x:c>
      <x:c r="W18" s="40" t="n">
        <x:f>N18/('Inputs'!$B$16*(1+'Inputs'!$B$17*(D18-1))*J18/24)</x:f>
        <x:v>0.9208463949843262</x:v>
      </x:c>
      <x:c r="X18" s="28" t="n">
        <x:v>180</x:v>
      </x:c>
      <x:c r="Y18" s="28" t="n">
        <x:v>96</x:v>
      </x:c>
      <x:c r="Z18" s="28" t="str">
        <x:v>Coin Fish!A15:AB15</x:v>
      </x:c>
      <x:c r="AA18" s="28" t="str">
        <x:v>44 hours. Longer unattended cycle; no absence penalty and no special care requirement. Launch-ready design; asset QA required.</x:v>
      </x:c>
      <x:c r="AB18" s="28" t="str">
        <x:f>IF(AND(K18&gt;0,L18&gt;0,N18&gt;0,U18=0,V18&lt;=1.5,W18&lt;=1.5),"MODEL OK","REVIEW")</x:f>
        <x:v>MODEL OK</x:v>
      </x:c>
    </x:row>
    <x:row r="19" ht="62" customHeight="1">
      <x:c r="A19" s="28" t="str">
        <x:v>CF-15</x:v>
      </x:c>
      <x:c r="B19" s="28" t="str">
        <x:v>Ocellaris Clownfish</x:v>
      </x:c>
      <x:c r="C19" s="28" t="str">
        <x:v>Uncommon</x:v>
      </x:c>
      <x:c r="D19" s="32" t="n">
        <x:v>20</x:v>
      </x:c>
      <x:c r="E19" s="32" t="str">
        <x:v>Launch</x:v>
      </x:c>
      <x:c r="F19" s="32" t="str">
        <x:v>SC-20H</x:v>
      </x:c>
      <x:c r="G19" s="32" t="str">
        <x:v>Collection</x:v>
      </x:c>
      <x:c r="H19" s="32" t="n">
        <x:v>1</x:v>
      </x:c>
      <x:c r="I19" s="32" t="n">
        <x:v>1</x:v>
      </x:c>
      <x:c r="J19" s="40" t="n">
        <x:f>VLOOKUP(F19,'Schedules'!$A$5:$G$9,3,FALSE)</x:f>
        <x:v>20</x:v>
      </x:c>
      <x:c r="K19" s="28" t="n">
        <x:f>ROUND('Inputs'!$B$14*(1+'Inputs'!$B$15*(D19-1))*J19/24*VLOOKUP(F19,'Schedules'!$A$5:$G$9,4,FALSE)*H19,0)</x:f>
        <x:v>557</x:v>
      </x:c>
      <x:c r="L19" s="28" t="n">
        <x:f>MAX('Inputs'!$B$19,ROUND(K19*'Inputs'!$B$18,0))</x:f>
        <x:v>139</x:v>
      </x:c>
      <x:c r="M19" s="28" t="n">
        <x:f>L19+K19</x:f>
        <x:v>696</x:v>
      </x:c>
      <x:c r="N19" s="28" t="n">
        <x:f>ROUND('Inputs'!$B$16*(1+'Inputs'!$B$17*(D19-1))*J19/24*VLOOKUP(F19,'Schedules'!$A$5:$G$9,5,FALSE)*I19,0)</x:f>
        <x:v>95</x:v>
      </x:c>
      <x:c r="O19" s="28" t="n">
        <x:f>ROUNDDOWN(L19*'Inputs'!$B$20,0)+ROUNDDOWN(K19*'Inputs'!$B$24,0)</x:f>
        <x:v>187</x:v>
      </x:c>
      <x:c r="P19" s="28" t="n">
        <x:f>ROUNDDOWN(N19*'Inputs'!$B$24,0)</x:f>
        <x:v>9</x:v>
      </x:c>
      <x:c r="Q19" s="28" t="n">
        <x:f>ROUNDDOWN(L19*'Inputs'!$B$20,0)+ROUNDDOWN(K19*'Inputs'!$B$25,0)</x:f>
        <x:v>354</x:v>
      </x:c>
      <x:c r="R19" s="28" t="n">
        <x:f>ROUNDDOWN(N19*'Inputs'!$B$25,0)</x:f>
        <x:v>38</x:v>
      </x:c>
      <x:c r="S19" s="28" t="n">
        <x:f>ROUNDDOWN(L19*'Inputs'!$B$20,0)+ROUNDDOWN(K19*'Inputs'!$B$26,0)</x:f>
        <x:v>521</x:v>
      </x:c>
      <x:c r="T19" s="28" t="n">
        <x:f>ROUNDDOWN(N19*'Inputs'!$B$26,0)</x:f>
        <x:v>66</x:v>
      </x:c>
      <x:c r="U19" s="28" t="n">
        <x:f>0</x:f>
        <x:v>0</x:v>
      </x:c>
      <x:c r="V19" s="40" t="n">
        <x:f>K19/('Inputs'!$B$14*(1+'Inputs'!$B$15*(D19-1))*J19/24)</x:f>
        <x:v>1.0008984725965857</x:v>
      </x:c>
      <x:c r="W19" s="40" t="n">
        <x:f>N19/('Inputs'!$B$16*(1+'Inputs'!$B$17*(D19-1))*J19/24)</x:f>
        <x:v>0.9978991596638657</x:v>
      </x:c>
      <x:c r="X19" s="28" t="n">
        <x:v>170</x:v>
      </x:c>
      <x:c r="Y19" s="28" t="n">
        <x:v>64</x:v>
      </x:c>
      <x:c r="Z19" s="28" t="str">
        <x:v>Coin Fish!A16:AB16</x:v>
      </x:c>
      <x:c r="AA19" s="28" t="str">
        <x:v>20 hours. Distinctive journal/scene choice; no hidden collection-stat multiplier. Launch-ready design; asset QA required.</x:v>
      </x:c>
      <x:c r="AB19" s="28" t="str">
        <x:f>IF(AND(K19&gt;0,L19&gt;0,N19&gt;0,U19=0,V19&lt;=1.5,W19&lt;=1.5),"MODEL OK","REVIEW")</x:f>
        <x:v>MODEL OK</x:v>
      </x:c>
    </x:row>
    <x:row r="20" ht="62" customHeight="1">
      <x:c r="A20" s="28" t="str">
        <x:v>CF-16</x:v>
      </x:c>
      <x:c r="B20" s="28" t="str">
        <x:v>Yellow Tang</x:v>
      </x:c>
      <x:c r="C20" s="28" t="str">
        <x:v>Rare</x:v>
      </x:c>
      <x:c r="D20" s="32" t="n">
        <x:v>22</x:v>
      </x:c>
      <x:c r="E20" s="32" t="str">
        <x:v>Launch</x:v>
      </x:c>
      <x:c r="F20" s="32" t="str">
        <x:v>SC-20H</x:v>
      </x:c>
      <x:c r="G20" s="32" t="str">
        <x:v>Coin Specialist</x:v>
      </x:c>
      <x:c r="H20" s="32" t="n">
        <x:v>1.1</x:v>
      </x:c>
      <x:c r="I20" s="32" t="n">
        <x:v>0.9</x:v>
      </x:c>
      <x:c r="J20" s="40" t="n">
        <x:f>VLOOKUP(F20,'Schedules'!$A$5:$G$9,3,FALSE)</x:f>
        <x:v>20</x:v>
      </x:c>
      <x:c r="K20" s="28" t="n">
        <x:f>ROUND('Inputs'!$B$14*(1+'Inputs'!$B$15*(D20-1))*J20/24*VLOOKUP(F20,'Schedules'!$A$5:$G$9,4,FALSE)*H20,0)</x:f>
        <x:v>642</x:v>
      </x:c>
      <x:c r="L20" s="28" t="n">
        <x:f>MAX('Inputs'!$B$19,ROUND(K20*'Inputs'!$B$18,0))</x:f>
        <x:v>161</x:v>
      </x:c>
      <x:c r="M20" s="28" t="n">
        <x:f>L20+K20</x:f>
        <x:v>803</x:v>
      </x:c>
      <x:c r="N20" s="28" t="n">
        <x:f>ROUND('Inputs'!$B$16*(1+'Inputs'!$B$17*(D20-1))*J20/24*VLOOKUP(F20,'Schedules'!$A$5:$G$9,5,FALSE)*I20,0)</x:f>
        <x:v>87</x:v>
      </x:c>
      <x:c r="O20" s="28" t="n">
        <x:f>ROUNDDOWN(L20*'Inputs'!$B$20,0)+ROUNDDOWN(K20*'Inputs'!$B$24,0)</x:f>
        <x:v>216</x:v>
      </x:c>
      <x:c r="P20" s="28" t="n">
        <x:f>ROUNDDOWN(N20*'Inputs'!$B$24,0)</x:f>
        <x:v>8</x:v>
      </x:c>
      <x:c r="Q20" s="28" t="n">
        <x:f>ROUNDDOWN(L20*'Inputs'!$B$20,0)+ROUNDDOWN(K20*'Inputs'!$B$25,0)</x:f>
        <x:v>408</x:v>
      </x:c>
      <x:c r="R20" s="28" t="n">
        <x:f>ROUNDDOWN(N20*'Inputs'!$B$25,0)</x:f>
        <x:v>34</x:v>
      </x:c>
      <x:c r="S20" s="28" t="n">
        <x:f>ROUNDDOWN(L20*'Inputs'!$B$20,0)+ROUNDDOWN(K20*'Inputs'!$B$26,0)</x:f>
        <x:v>601</x:v>
      </x:c>
      <x:c r="T20" s="28" t="n">
        <x:f>ROUNDDOWN(N20*'Inputs'!$B$26,0)</x:f>
        <x:v>60</x:v>
      </x:c>
      <x:c r="U20" s="28" t="n">
        <x:f>0</x:f>
        <x:v>0</x:v>
      </x:c>
      <x:c r="V20" s="40" t="n">
        <x:f>K20/('Inputs'!$B$14*(1+'Inputs'!$B$15*(D20-1))*J20/24)</x:f>
        <x:v>1.1002570694087406</x:v>
      </x:c>
      <x:c r="W20" s="40" t="n">
        <x:f>N20/('Inputs'!$B$16*(1+'Inputs'!$B$17*(D20-1))*J20/24)</x:f>
        <x:v>0.8987603305785125</x:v>
      </x:c>
      <x:c r="X20" s="28" t="n">
        <x:v>230</x:v>
      </x:c>
      <x:c r="Y20" s="28" t="n">
        <x:v>80</x:v>
      </x:c>
      <x:c r="Z20" s="28" t="str">
        <x:v>Coin Fish!A17:AB17</x:v>
      </x:c>
      <x:c r="AA20" s="28" t="str">
        <x:v>20 hours. Trades 10% base XP for 10% base coin output; schedule choice still matters. Launch-ready design; asset QA required.</x:v>
      </x:c>
      <x:c r="AB20" s="28" t="str">
        <x:f>IF(AND(K20&gt;0,L20&gt;0,N20&gt;0,U20=0,V20&lt;=1.5,W20&lt;=1.5),"MODEL OK","REVIEW")</x:f>
        <x:v>MODEL OK</x:v>
      </x:c>
    </x:row>
    <x:row r="21" ht="62" customHeight="1">
      <x:c r="A21" s="28" t="str">
        <x:v>CF-17</x:v>
      </x:c>
      <x:c r="B21" s="28" t="str">
        <x:v>Banggai Cardinalfish</x:v>
      </x:c>
      <x:c r="C21" s="28" t="str">
        <x:v>Rare</x:v>
      </x:c>
      <x:c r="D21" s="32" t="n">
        <x:v>24</x:v>
      </x:c>
      <x:c r="E21" s="32" t="str">
        <x:v>Launch</x:v>
      </x:c>
      <x:c r="F21" s="32" t="str">
        <x:v>SC-44H</x:v>
      </x:c>
      <x:c r="G21" s="32" t="str">
        <x:v>Collection</x:v>
      </x:c>
      <x:c r="H21" s="32" t="n">
        <x:v>1</x:v>
      </x:c>
      <x:c r="I21" s="32" t="n">
        <x:v>1</x:v>
      </x:c>
      <x:c r="J21" s="40" t="n">
        <x:f>VLOOKUP(F21,'Schedules'!$A$5:$G$9,3,FALSE)</x:f>
        <x:v>44</x:v>
      </x:c>
      <x:c r="K21" s="28" t="n">
        <x:f>ROUND('Inputs'!$B$14*(1+'Inputs'!$B$15*(D21-1))*J21/24*VLOOKUP(F21,'Schedules'!$A$5:$G$9,4,FALSE)*H21,0)</x:f>
        <x:v>1236</x:v>
      </x:c>
      <x:c r="L21" s="28" t="n">
        <x:f>MAX('Inputs'!$B$19,ROUND(K21*'Inputs'!$B$18,0))</x:f>
        <x:v>309</x:v>
      </x:c>
      <x:c r="M21" s="28" t="n">
        <x:f>L21+K21</x:f>
        <x:v>1545</x:v>
      </x:c>
      <x:c r="N21" s="28" t="n">
        <x:f>ROUND('Inputs'!$B$16*(1+'Inputs'!$B$17*(D21-1))*J21/24*VLOOKUP(F21,'Schedules'!$A$5:$G$9,5,FALSE)*I21,0)</x:f>
        <x:v>199</x:v>
      </x:c>
      <x:c r="O21" s="28" t="n">
        <x:f>ROUNDDOWN(L21*'Inputs'!$B$20,0)+ROUNDDOWN(K21*'Inputs'!$B$24,0)</x:f>
        <x:v>416</x:v>
      </x:c>
      <x:c r="P21" s="28" t="n">
        <x:f>ROUNDDOWN(N21*'Inputs'!$B$24,0)</x:f>
        <x:v>19</x:v>
      </x:c>
      <x:c r="Q21" s="28" t="n">
        <x:f>ROUNDDOWN(L21*'Inputs'!$B$20,0)+ROUNDDOWN(K21*'Inputs'!$B$25,0)</x:f>
        <x:v>787</x:v>
      </x:c>
      <x:c r="R21" s="28" t="n">
        <x:f>ROUNDDOWN(N21*'Inputs'!$B$25,0)</x:f>
        <x:v>79</x:v>
      </x:c>
      <x:c r="S21" s="28" t="n">
        <x:f>ROUNDDOWN(L21*'Inputs'!$B$20,0)+ROUNDDOWN(K21*'Inputs'!$B$26,0)</x:f>
        <x:v>1158</x:v>
      </x:c>
      <x:c r="T21" s="28" t="n">
        <x:f>ROUNDDOWN(N21*'Inputs'!$B$26,0)</x:f>
        <x:v>139</x:v>
      </x:c>
      <x:c r="U21" s="28" t="n">
        <x:f>0</x:f>
        <x:v>0</x:v>
      </x:c>
      <x:c r="V21" s="40" t="n">
        <x:f>K21/('Inputs'!$B$14*(1+'Inputs'!$B$15*(D21-1))*J21/24)</x:f>
        <x:v>0.9202591020772838</x:v>
      </x:c>
      <x:c r="W21" s="40" t="n">
        <x:f>N21/('Inputs'!$B$16*(1+'Inputs'!$B$17*(D21-1))*J21/24)</x:f>
        <x:v>0.9192535107169254</x:v>
      </x:c>
      <x:c r="X21" s="28" t="n">
        <x:v>350</x:v>
      </x:c>
      <x:c r="Y21" s="28" t="n">
        <x:v>192</x:v>
      </x:c>
      <x:c r="Z21" s="28" t="str">
        <x:v>Coin Fish!A18:AB18</x:v>
      </x:c>
      <x:c r="AA21" s="28" t="str">
        <x:v>44 hours. Distinctive journal/scene choice; no hidden collection-stat multiplier. Launch-ready design; asset QA required.</x:v>
      </x:c>
      <x:c r="AB21" s="28" t="str">
        <x:f>IF(AND(K21&gt;0,L21&gt;0,N21&gt;0,U21=0,V21&lt;=1.5,W21&lt;=1.5),"MODEL OK","REVIEW")</x:f>
        <x:v>MODEL OK</x:v>
      </x:c>
    </x:row>
    <x:row r="22" ht="62" customHeight="1">
      <x:c r="A22" s="28" t="str">
        <x:v>CF-18</x:v>
      </x:c>
      <x:c r="B22" s="28" t="str">
        <x:v>Coral Beauty</x:v>
      </x:c>
      <x:c r="C22" s="28" t="str">
        <x:v>Rare</x:v>
      </x:c>
      <x:c r="D22" s="32" t="n">
        <x:v>26</x:v>
      </x:c>
      <x:c r="E22" s="32" t="str">
        <x:v>Launch</x:v>
      </x:c>
      <x:c r="F22" s="32" t="str">
        <x:v>SC-2H</x:v>
      </x:c>
      <x:c r="G22" s="32" t="str">
        <x:v>Coin Specialist</x:v>
      </x:c>
      <x:c r="H22" s="32" t="n">
        <x:v>1.1</x:v>
      </x:c>
      <x:c r="I22" s="32" t="n">
        <x:v>0.9</x:v>
      </x:c>
      <x:c r="J22" s="40" t="n">
        <x:f>VLOOKUP(F22,'Schedules'!$A$5:$G$9,3,FALSE)</x:f>
        <x:v>2</x:v>
      </x:c>
      <x:c r="K22" s="28" t="n">
        <x:f>ROUND('Inputs'!$B$14*(1+'Inputs'!$B$15*(D22-1))*J22/24*VLOOKUP(F22,'Schedules'!$A$5:$G$9,4,FALSE)*H22,0)</x:f>
        <x:v>91</x:v>
      </x:c>
      <x:c r="L22" s="28" t="n">
        <x:f>MAX('Inputs'!$B$19,ROUND(K22*'Inputs'!$B$18,0))</x:f>
        <x:v>23</x:v>
      </x:c>
      <x:c r="M22" s="28" t="n">
        <x:f>L22+K22</x:f>
        <x:v>114</x:v>
      </x:c>
      <x:c r="N22" s="28" t="n">
        <x:f>ROUND('Inputs'!$B$16*(1+'Inputs'!$B$17*(D22-1))*J22/24*VLOOKUP(F22,'Schedules'!$A$5:$G$9,5,FALSE)*I22,0)</x:f>
        <x:v>12</x:v>
      </x:c>
      <x:c r="O22" s="28" t="n">
        <x:f>ROUNDDOWN(L22*'Inputs'!$B$20,0)+ROUNDDOWN(K22*'Inputs'!$B$24,0)</x:f>
        <x:v>30</x:v>
      </x:c>
      <x:c r="P22" s="28" t="n">
        <x:f>ROUNDDOWN(N22*'Inputs'!$B$24,0)</x:f>
        <x:v>1</x:v>
      </x:c>
      <x:c r="Q22" s="28" t="n">
        <x:f>ROUNDDOWN(L22*'Inputs'!$B$20,0)+ROUNDDOWN(K22*'Inputs'!$B$25,0)</x:f>
        <x:v>57</x:v>
      </x:c>
      <x:c r="R22" s="28" t="n">
        <x:f>ROUNDDOWN(N22*'Inputs'!$B$25,0)</x:f>
        <x:v>4</x:v>
      </x:c>
      <x:c r="S22" s="28" t="n">
        <x:f>ROUNDDOWN(L22*'Inputs'!$B$20,0)+ROUNDDOWN(K22*'Inputs'!$B$26,0)</x:f>
        <x:v>84</x:v>
      </x:c>
      <x:c r="T22" s="28" t="n">
        <x:f>ROUNDDOWN(N22*'Inputs'!$B$26,0)</x:f>
        <x:v>8</x:v>
      </x:c>
      <x:c r="U22" s="28" t="n">
        <x:f>0</x:f>
        <x:v>0</x:v>
      </x:c>
      <x:c r="V22" s="40" t="n">
        <x:f>K22/('Inputs'!$B$14*(1+'Inputs'!$B$15*(D22-1))*J22/24)</x:f>
        <x:v>1.427450980392157</x:v>
      </x:c>
      <x:c r="W22" s="40" t="n">
        <x:f>N22/('Inputs'!$B$16*(1+'Inputs'!$B$17*(D22-1))*J22/24)</x:f>
        <x:v>1.2</x:v>
      </x:c>
      <x:c r="X22" s="28" t="n">
        <x:v>75</x:v>
      </x:c>
      <x:c r="Y22" s="28" t="n">
        <x:v>2</x:v>
      </x:c>
      <x:c r="Z22" s="28" t="str">
        <x:v>Coin Fish!A19:AB19</x:v>
      </x:c>
      <x:c r="AA22" s="28" t="str">
        <x:v>2 hours. Trades 10% base XP for 10% base coin output; schedule choice still matters. Launch-ready design; asset QA required.</x:v>
      </x:c>
      <x:c r="AB22" s="28" t="str">
        <x:f>IF(AND(K22&gt;0,L22&gt;0,N22&gt;0,U22=0,V22&lt;=1.5,W22&lt;=1.5),"MODEL OK","REVIEW")</x:f>
        <x:v>MODEL OK</x:v>
      </x:c>
    </x:row>
    <x:row r="23" ht="62" customHeight="1">
      <x:c r="A23" s="28" t="str">
        <x:v>CF-19</x:v>
      </x:c>
      <x:c r="B23" s="28" t="str">
        <x:v>Flame Angelfish</x:v>
      </x:c>
      <x:c r="C23" s="28" t="str">
        <x:v>Rare</x:v>
      </x:c>
      <x:c r="D23" s="32" t="n">
        <x:v>29</x:v>
      </x:c>
      <x:c r="E23" s="32" t="str">
        <x:v>Launch</x:v>
      </x:c>
      <x:c r="F23" s="32" t="str">
        <x:v>SC-20H</x:v>
      </x:c>
      <x:c r="G23" s="32" t="str">
        <x:v>Coin Specialist</x:v>
      </x:c>
      <x:c r="H23" s="32" t="n">
        <x:v>1.1</x:v>
      </x:c>
      <x:c r="I23" s="32" t="n">
        <x:v>0.9</x:v>
      </x:c>
      <x:c r="J23" s="40" t="n">
        <x:f>VLOOKUP(F23,'Schedules'!$A$5:$G$9,3,FALSE)</x:f>
        <x:v>20</x:v>
      </x:c>
      <x:c r="K23" s="28" t="n">
        <x:f>ROUND('Inputs'!$B$14*(1+'Inputs'!$B$15*(D23-1))*J23/24*VLOOKUP(F23,'Schedules'!$A$5:$G$9,4,FALSE)*H23,0)</x:f>
        <x:v>746</x:v>
      </x:c>
      <x:c r="L23" s="28" t="n">
        <x:f>MAX('Inputs'!$B$19,ROUND(K23*'Inputs'!$B$18,0))</x:f>
        <x:v>187</x:v>
      </x:c>
      <x:c r="M23" s="28" t="n">
        <x:f>L23+K23</x:f>
        <x:v>933</x:v>
      </x:c>
      <x:c r="N23" s="28" t="n">
        <x:f>ROUND('Inputs'!$B$16*(1+'Inputs'!$B$17*(D23-1))*J23/24*VLOOKUP(F23,'Schedules'!$A$5:$G$9,5,FALSE)*I23,0)</x:f>
        <x:v>92</x:v>
      </x:c>
      <x:c r="O23" s="28" t="n">
        <x:f>ROUNDDOWN(L23*'Inputs'!$B$20,0)+ROUNDDOWN(K23*'Inputs'!$B$24,0)</x:f>
        <x:v>251</x:v>
      </x:c>
      <x:c r="P23" s="28" t="n">
        <x:f>ROUNDDOWN(N23*'Inputs'!$B$24,0)</x:f>
        <x:v>9</x:v>
      </x:c>
      <x:c r="Q23" s="28" t="n">
        <x:f>ROUNDDOWN(L23*'Inputs'!$B$20,0)+ROUNDDOWN(K23*'Inputs'!$B$25,0)</x:f>
        <x:v>475</x:v>
      </x:c>
      <x:c r="R23" s="28" t="n">
        <x:f>ROUNDDOWN(N23*'Inputs'!$B$25,0)</x:f>
        <x:v>36</x:v>
      </x:c>
      <x:c r="S23" s="28" t="n">
        <x:f>ROUNDDOWN(L23*'Inputs'!$B$20,0)+ROUNDDOWN(K23*'Inputs'!$B$26,0)</x:f>
        <x:v>699</x:v>
      </x:c>
      <x:c r="T23" s="28" t="n">
        <x:f>ROUNDDOWN(N23*'Inputs'!$B$26,0)</x:f>
        <x:v>64</x:v>
      </x:c>
      <x:c r="U23" s="28" t="n">
        <x:f>0</x:f>
        <x:v>0</x:v>
      </x:c>
      <x:c r="V23" s="40" t="n">
        <x:f>K23/('Inputs'!$B$14*(1+'Inputs'!$B$15*(D23-1))*J23/24)</x:f>
        <x:v>1.1002949852507375</x:v>
      </x:c>
      <x:c r="W23" s="40" t="n">
        <x:f>N23/('Inputs'!$B$16*(1+'Inputs'!$B$17*(D23-1))*J23/24)</x:f>
        <x:v>0.8984375000000001</x:v>
      </x:c>
      <x:c r="X23" s="28" t="n">
        <x:v>210</x:v>
      </x:c>
      <x:c r="Y23" s="28" t="n">
        <x:v>48</x:v>
      </x:c>
      <x:c r="Z23" s="28" t="str">
        <x:v>Coin Fish!A20:AB20</x:v>
      </x:c>
      <x:c r="AA23" s="28" t="str">
        <x:v>20 hours. Trades 10% base XP for 10% base coin output; schedule choice still matters. Launch-ready design; asset QA required.</x:v>
      </x:c>
      <x:c r="AB23" s="28" t="str">
        <x:f>IF(AND(K23&gt;0,L23&gt;0,N23&gt;0,U23=0,V23&lt;=1.5,W23&lt;=1.5),"MODEL OK","REVIEW")</x:f>
        <x:v>MODEL OK</x:v>
      </x:c>
    </x:row>
    <x:row r="24" ht="62" customHeight="1">
      <x:c r="A24" s="28" t="str">
        <x:v>CF-20</x:v>
      </x:c>
      <x:c r="B24" s="28" t="str">
        <x:v>Longhorn Cowfish</x:v>
      </x:c>
      <x:c r="C24" s="28" t="str">
        <x:v>Rare</x:v>
      </x:c>
      <x:c r="D24" s="32" t="n">
        <x:v>30</x:v>
      </x:c>
      <x:c r="E24" s="32" t="str">
        <x:v>Launch</x:v>
      </x:c>
      <x:c r="F24" s="32" t="str">
        <x:v>SC-44H</x:v>
      </x:c>
      <x:c r="G24" s="32" t="str">
        <x:v>XP Specialist</x:v>
      </x:c>
      <x:c r="H24" s="32" t="n">
        <x:v>0.9</x:v>
      </x:c>
      <x:c r="I24" s="32" t="n">
        <x:v>1.1</x:v>
      </x:c>
      <x:c r="J24" s="40" t="n">
        <x:f>VLOOKUP(F24,'Schedules'!$A$5:$G$9,3,FALSE)</x:f>
        <x:v>44</x:v>
      </x:c>
      <x:c r="K24" s="28" t="n">
        <x:f>ROUND('Inputs'!$B$14*(1+'Inputs'!$B$15*(D24-1))*J24/24*VLOOKUP(F24,'Schedules'!$A$5:$G$9,4,FALSE)*H24,0)</x:f>
        <x:v>1260</x:v>
      </x:c>
      <x:c r="L24" s="28" t="n">
        <x:f>MAX('Inputs'!$B$19,ROUND(K24*'Inputs'!$B$18,0))</x:f>
        <x:v>315</x:v>
      </x:c>
      <x:c r="M24" s="28" t="n">
        <x:f>L24+K24</x:f>
        <x:v>1575</x:v>
      </x:c>
      <x:c r="N24" s="28" t="n">
        <x:f>ROUND('Inputs'!$B$16*(1+'Inputs'!$B$17*(D24-1))*J24/24*VLOOKUP(F24,'Schedules'!$A$5:$G$9,5,FALSE)*I24,0)</x:f>
        <x:v>230</x:v>
      </x:c>
      <x:c r="O24" s="28" t="n">
        <x:f>ROUNDDOWN(L24*'Inputs'!$B$20,0)+ROUNDDOWN(K24*'Inputs'!$B$24,0)</x:f>
        <x:v>425</x:v>
      </x:c>
      <x:c r="P24" s="28" t="n">
        <x:f>ROUNDDOWN(N24*'Inputs'!$B$24,0)</x:f>
        <x:v>23</x:v>
      </x:c>
      <x:c r="Q24" s="28" t="n">
        <x:f>ROUNDDOWN(L24*'Inputs'!$B$20,0)+ROUNDDOWN(K24*'Inputs'!$B$25,0)</x:f>
        <x:v>803</x:v>
      </x:c>
      <x:c r="R24" s="28" t="n">
        <x:f>ROUNDDOWN(N24*'Inputs'!$B$25,0)</x:f>
        <x:v>92</x:v>
      </x:c>
      <x:c r="S24" s="28" t="n">
        <x:f>ROUNDDOWN(L24*'Inputs'!$B$20,0)+ROUNDDOWN(K24*'Inputs'!$B$26,0)</x:f>
        <x:v>1181</x:v>
      </x:c>
      <x:c r="T24" s="28" t="n">
        <x:f>ROUNDDOWN(N24*'Inputs'!$B$26,0)</x:f>
        <x:v>161</x:v>
      </x:c>
      <x:c r="U24" s="28" t="n">
        <x:f>0</x:f>
        <x:v>0</x:v>
      </x:c>
      <x:c r="V24" s="40" t="n">
        <x:f>K24/('Inputs'!$B$14*(1+'Inputs'!$B$15*(D24-1))*J24/24)</x:f>
        <x:v>0.8282390061131927</x:v>
      </x:c>
      <x:c r="W24" s="40" t="n">
        <x:f>N24/('Inputs'!$B$16*(1+'Inputs'!$B$17*(D24-1))*J24/24)</x:f>
        <x:v>1.0130373502466525</x:v>
      </x:c>
      <x:c r="X24" s="28" t="n">
        <x:v>300</x:v>
      </x:c>
      <x:c r="Y24" s="28" t="n">
        <x:v>96</x:v>
      </x:c>
      <x:c r="Z24" s="28" t="str">
        <x:v>Coin Fish!A21:AB21</x:v>
      </x:c>
      <x:c r="AA24" s="28" t="str">
        <x:v>44 hours. Trades 10% base coin output for 10% base XP; no premium prerequisite. Launch-ready design; asset QA required.</x:v>
      </x:c>
      <x:c r="AB24" s="28" t="str">
        <x:f>IF(AND(K24&gt;0,L24&gt;0,N24&gt;0,U24=0,V24&lt;=1.5,W24&lt;=1.5),"MODEL OK","REVIEW")</x:f>
        <x:v>MODEL OK</x:v>
      </x:c>
    </x:row>
    <x:row r="25" ht="62" customHeight="1">
      <x:c r="A25" s="28" t="str">
        <x:v>CF-21</x:v>
      </x:c>
      <x:c r="B25" s="28" t="str">
        <x:v>Foxface Rabbitfish</x:v>
      </x:c>
      <x:c r="C25" s="28" t="str">
        <x:v>Rare</x:v>
      </x:c>
      <x:c r="D25" s="32" t="n">
        <x:v>32</x:v>
      </x:c>
      <x:c r="E25" s="32" t="str">
        <x:v>Launch</x:v>
      </x:c>
      <x:c r="F25" s="32" t="str">
        <x:v>SC-20M</x:v>
      </x:c>
      <x:c r="G25" s="32" t="str">
        <x:v>Coin Specialist</x:v>
      </x:c>
      <x:c r="H25" s="32" t="n">
        <x:v>1.1</x:v>
      </x:c>
      <x:c r="I25" s="32" t="n">
        <x:v>0.9</x:v>
      </x:c>
      <x:c r="J25" s="40" t="n">
        <x:f>VLOOKUP(F25,'Schedules'!$A$5:$G$9,3,FALSE)</x:f>
        <x:v>0.3333333333333333</x:v>
      </x:c>
      <x:c r="K25" s="28" t="n">
        <x:f>ROUND('Inputs'!$B$14*(1+'Inputs'!$B$15*(D25-1))*J25/24*VLOOKUP(F25,'Schedules'!$A$5:$G$9,4,FALSE)*H25,0)</x:f>
        <x:v>16</x:v>
      </x:c>
      <x:c r="L25" s="28" t="n">
        <x:f>MAX('Inputs'!$B$19,ROUND(K25*'Inputs'!$B$18,0))</x:f>
        <x:v>5</x:v>
      </x:c>
      <x:c r="M25" s="28" t="n">
        <x:f>L25+K25</x:f>
        <x:v>21</x:v>
      </x:c>
      <x:c r="N25" s="28" t="n">
        <x:f>ROUND('Inputs'!$B$16*(1+'Inputs'!$B$17*(D25-1))*J25/24*VLOOKUP(F25,'Schedules'!$A$5:$G$9,5,FALSE)*I25,0)</x:f>
        <x:v>2</x:v>
      </x:c>
      <x:c r="O25" s="28" t="n">
        <x:f>ROUNDDOWN(L25*'Inputs'!$B$20,0)+ROUNDDOWN(K25*'Inputs'!$B$24,0)</x:f>
        <x:v>5</x:v>
      </x:c>
      <x:c r="P25" s="28" t="n">
        <x:f>ROUNDDOWN(N25*'Inputs'!$B$24,0)</x:f>
        <x:v>0</x:v>
      </x:c>
      <x:c r="Q25" s="28" t="n">
        <x:f>ROUNDDOWN(L25*'Inputs'!$B$20,0)+ROUNDDOWN(K25*'Inputs'!$B$25,0)</x:f>
        <x:v>10</x:v>
      </x:c>
      <x:c r="R25" s="28" t="n">
        <x:f>ROUNDDOWN(N25*'Inputs'!$B$25,0)</x:f>
        <x:v>0</x:v>
      </x:c>
      <x:c r="S25" s="28" t="n">
        <x:f>ROUNDDOWN(L25*'Inputs'!$B$20,0)+ROUNDDOWN(K25*'Inputs'!$B$26,0)</x:f>
        <x:v>15</x:v>
      </x:c>
      <x:c r="T25" s="28" t="n">
        <x:f>ROUNDDOWN(N25*'Inputs'!$B$26,0)</x:f>
        <x:v>1</x:v>
      </x:c>
      <x:c r="U25" s="28" t="n">
        <x:f>0</x:f>
        <x:v>0</x:v>
      </x:c>
      <x:c r="V25" s="40" t="n">
        <x:f>K25/('Inputs'!$B$14*(1+'Inputs'!$B$15*(D25-1))*J25/24)</x:f>
        <x:v>1.336116910229645</x:v>
      </x:c>
      <x:c r="W25" s="40" t="n">
        <x:f>N25/('Inputs'!$B$16*(1+'Inputs'!$B$17*(D25-1))*J25/24)</x:f>
        <x:v>1.1450381679389312</x:v>
      </x:c>
      <x:c r="X25" s="28" t="n">
        <x:v>85</x:v>
      </x:c>
      <x:c r="Y25" s="28" t="n">
        <x:v>0.332</x:v>
      </x:c>
      <x:c r="Z25" s="28" t="str">
        <x:v>Coin Fish!A22:AB22</x:v>
      </x:c>
      <x:c r="AA25" s="28" t="str">
        <x:v>20 minutes. Trades 10% base XP for 10% base coin output; schedule choice still matters. Launch-ready design; asset QA required.</x:v>
      </x:c>
      <x:c r="AB25" s="28" t="str">
        <x:f>IF(AND(K25&gt;0,L25&gt;0,N25&gt;0,U25=0,V25&lt;=1.5,W25&lt;=1.5),"MODEL OK","REVIEW")</x:f>
        <x:v>MODEL OK</x:v>
      </x:c>
    </x:row>
    <x:row r="26" ht="62" customHeight="1">
      <x:c r="A26" s="28" t="str">
        <x:v>CF-22</x:v>
      </x:c>
      <x:c r="B26" s="28" t="str">
        <x:v>Picasso Triggerfish</x:v>
      </x:c>
      <x:c r="C26" s="28" t="str">
        <x:v>Rare</x:v>
      </x:c>
      <x:c r="D26" s="32" t="n">
        <x:v>33</x:v>
      </x:c>
      <x:c r="E26" s="32" t="str">
        <x:v>Launch</x:v>
      </x:c>
      <x:c r="F26" s="32" t="str">
        <x:v>SC-8H</x:v>
      </x:c>
      <x:c r="G26" s="32" t="str">
        <x:v>Balanced</x:v>
      </x:c>
      <x:c r="H26" s="32" t="n">
        <x:v>1</x:v>
      </x:c>
      <x:c r="I26" s="32" t="n">
        <x:v>1</x:v>
      </x:c>
      <x:c r="J26" s="40" t="n">
        <x:f>VLOOKUP(F26,'Schedules'!$A$5:$G$9,3,FALSE)</x:f>
        <x:v>8</x:v>
      </x:c>
      <x:c r="K26" s="28" t="n">
        <x:f>ROUND('Inputs'!$B$14*(1+'Inputs'!$B$15*(D26-1))*J26/24*VLOOKUP(F26,'Schedules'!$A$5:$G$9,4,FALSE)*H26,0)</x:f>
        <x:v>381</x:v>
      </x:c>
      <x:c r="L26" s="28" t="n">
        <x:f>MAX('Inputs'!$B$19,ROUND(K26*'Inputs'!$B$18,0))</x:f>
        <x:v>95</x:v>
      </x:c>
      <x:c r="M26" s="28" t="n">
        <x:f>L26+K26</x:f>
        <x:v>476</x:v>
      </x:c>
      <x:c r="N26" s="28" t="n">
        <x:f>ROUND('Inputs'!$B$16*(1+'Inputs'!$B$17*(D26-1))*J26/24*VLOOKUP(F26,'Schedules'!$A$5:$G$9,5,FALSE)*I26,0)</x:f>
        <x:v>55</x:v>
      </x:c>
      <x:c r="O26" s="28" t="n">
        <x:f>ROUNDDOWN(L26*'Inputs'!$B$20,0)+ROUNDDOWN(K26*'Inputs'!$B$24,0)</x:f>
        <x:v>128</x:v>
      </x:c>
      <x:c r="P26" s="28" t="n">
        <x:f>ROUNDDOWN(N26*'Inputs'!$B$24,0)</x:f>
        <x:v>5</x:v>
      </x:c>
      <x:c r="Q26" s="28" t="n">
        <x:f>ROUNDDOWN(L26*'Inputs'!$B$20,0)+ROUNDDOWN(K26*'Inputs'!$B$25,0)</x:f>
        <x:v>242</x:v>
      </x:c>
      <x:c r="R26" s="28" t="n">
        <x:f>ROUNDDOWN(N26*'Inputs'!$B$25,0)</x:f>
        <x:v>22</x:v>
      </x:c>
      <x:c r="S26" s="28" t="n">
        <x:f>ROUNDDOWN(L26*'Inputs'!$B$20,0)+ROUNDDOWN(K26*'Inputs'!$B$26,0)</x:f>
        <x:v>356</x:v>
      </x:c>
      <x:c r="T26" s="28" t="n">
        <x:f>ROUNDDOWN(N26*'Inputs'!$B$26,0)</x:f>
        <x:v>38</x:v>
      </x:c>
      <x:c r="U26" s="28" t="n">
        <x:f>0</x:f>
        <x:v>0</x:v>
      </x:c>
      <x:c r="V26" s="40" t="n">
        <x:f>K26/('Inputs'!$B$14*(1+'Inputs'!$B$15*(D26-1))*J26/24)</x:f>
        <x:v>1.3012295081967213</x:v>
      </x:c>
      <x:c r="W26" s="40" t="n">
        <x:f>N26/('Inputs'!$B$16*(1+'Inputs'!$B$17*(D26-1))*J26/24)</x:f>
        <x:v>1.3020833333333333</x:v>
      </x:c>
      <x:c r="X26" s="28" t="n">
        <x:v>190</x:v>
      </x:c>
      <x:c r="Y26" s="28" t="n">
        <x:v>24</x:v>
      </x:c>
      <x:c r="Z26" s="28" t="str">
        <x:v>Coin Fish!A23:AB23</x:v>
      </x:c>
      <x:c r="AA26" s="28" t="str">
        <x:v>8 hours. Neutral coin/XP choice for a predictable return schedule. Launch-ready design; asset QA required.</x:v>
      </x:c>
      <x:c r="AB26" s="28" t="str">
        <x:f>IF(AND(K26&gt;0,L26&gt;0,N26&gt;0,U26=0,V26&lt;=1.5,W26&lt;=1.5),"MODEL OK","REVIEW")</x:f>
        <x:v>MODEL OK</x:v>
      </x:c>
    </x:row>
    <x:row r="27" ht="62" customHeight="1">
      <x:c r="A27" s="28" t="str">
        <x:v>CF-23</x:v>
      </x:c>
      <x:c r="B27" s="28" t="str">
        <x:v>Discus</x:v>
      </x:c>
      <x:c r="C27" s="28" t="str">
        <x:v>Rare</x:v>
      </x:c>
      <x:c r="D27" s="32" t="n">
        <x:v>35</x:v>
      </x:c>
      <x:c r="E27" s="32" t="str">
        <x:v>Launch</x:v>
      </x:c>
      <x:c r="F27" s="32" t="str">
        <x:v>SC-44H</x:v>
      </x:c>
      <x:c r="G27" s="32" t="str">
        <x:v>Prestige</x:v>
      </x:c>
      <x:c r="H27" s="32" t="n">
        <x:v>1</x:v>
      </x:c>
      <x:c r="I27" s="32" t="n">
        <x:v>1</x:v>
      </x:c>
      <x:c r="J27" s="40" t="n">
        <x:f>VLOOKUP(F27,'Schedules'!$A$5:$G$9,3,FALSE)</x:f>
        <x:v>44</x:v>
      </x:c>
      <x:c r="K27" s="28" t="n">
        <x:f>ROUND('Inputs'!$B$14*(1+'Inputs'!$B$15*(D27-1))*J27/24*VLOOKUP(F27,'Schedules'!$A$5:$G$9,4,FALSE)*H27,0)</x:f>
        <x:v>1536</x:v>
      </x:c>
      <x:c r="L27" s="28" t="n">
        <x:f>MAX('Inputs'!$B$19,ROUND(K27*'Inputs'!$B$18,0))</x:f>
        <x:v>384</x:v>
      </x:c>
      <x:c r="M27" s="28" t="n">
        <x:f>L27+K27</x:f>
        <x:v>1920</x:v>
      </x:c>
      <x:c r="N27" s="28" t="n">
        <x:f>ROUND('Inputs'!$B$16*(1+'Inputs'!$B$17*(D27-1))*J27/24*VLOOKUP(F27,'Schedules'!$A$5:$G$9,5,FALSE)*I27,0)</x:f>
        <x:v>217</x:v>
      </x:c>
      <x:c r="O27" s="28" t="n">
        <x:f>ROUNDDOWN(L27*'Inputs'!$B$20,0)+ROUNDDOWN(K27*'Inputs'!$B$24,0)</x:f>
        <x:v>517</x:v>
      </x:c>
      <x:c r="P27" s="28" t="n">
        <x:f>ROUNDDOWN(N27*'Inputs'!$B$24,0)</x:f>
        <x:v>21</x:v>
      </x:c>
      <x:c r="Q27" s="28" t="n">
        <x:f>ROUNDDOWN(L27*'Inputs'!$B$20,0)+ROUNDDOWN(K27*'Inputs'!$B$25,0)</x:f>
        <x:v>978</x:v>
      </x:c>
      <x:c r="R27" s="28" t="n">
        <x:f>ROUNDDOWN(N27*'Inputs'!$B$25,0)</x:f>
        <x:v>86</x:v>
      </x:c>
      <x:c r="S27" s="28" t="n">
        <x:f>ROUNDDOWN(L27*'Inputs'!$B$20,0)+ROUNDDOWN(K27*'Inputs'!$B$26,0)</x:f>
        <x:v>1439</x:v>
      </x:c>
      <x:c r="T27" s="28" t="n">
        <x:f>ROUNDDOWN(N27*'Inputs'!$B$26,0)</x:f>
        <x:v>151</x:v>
      </x:c>
      <x:c r="U27" s="28" t="n">
        <x:f>0</x:f>
        <x:v>0</x:v>
      </x:c>
      <x:c r="V27" s="40" t="n">
        <x:f>K27/('Inputs'!$B$14*(1+'Inputs'!$B$15*(D27-1))*J27/24)</x:f>
        <x:v>0.9198706431908011</x:v>
      </x:c>
      <x:c r="W27" s="40" t="n">
        <x:f>N27/('Inputs'!$B$16*(1+'Inputs'!$B$17*(D27-1))*J27/24)</x:f>
        <x:v>0.9201153324287651</x:v>
      </x:c>
      <x:c r="X27" s="28" t="n">
        <x:v>390</x:v>
      </x:c>
      <x:c r="Y27" s="28" t="n">
        <x:v>144</x:v>
      </x:c>
      <x:c r="Z27" s="28" t="str">
        <x:v>Coin Fish!A24:AB24</x:v>
      </x:c>
      <x:c r="AA27" s="28" t="str">
        <x:v>44 hours. Capstone visual collection goal; rarity grants no hidden fish or decor power. Launch-ready design; asset QA required.</x:v>
      </x:c>
      <x:c r="AB27" s="28" t="str">
        <x:f>IF(AND(K27&gt;0,L27&gt;0,N27&gt;0,U27=0,V27&lt;=1.5,W27&lt;=1.5),"MODEL OK","REVIEW")</x:f>
        <x:v>MODEL OK</x:v>
      </x:c>
    </x:row>
    <x:row r="28" ht="62" customHeight="1">
      <x:c r="A28" s="28" t="str">
        <x:v>CF-24</x:v>
      </x:c>
      <x:c r="B28" s="28" t="str">
        <x:v>Moorish Idol</x:v>
      </x:c>
      <x:c r="C28" s="28" t="str">
        <x:v>Epic</x:v>
      </x:c>
      <x:c r="D28" s="32" t="n">
        <x:v>36</x:v>
      </x:c>
      <x:c r="E28" s="32" t="str">
        <x:v>Launch</x:v>
      </x:c>
      <x:c r="F28" s="32" t="str">
        <x:v>SC-20H</x:v>
      </x:c>
      <x:c r="G28" s="32" t="str">
        <x:v>Collection</x:v>
      </x:c>
      <x:c r="H28" s="32" t="n">
        <x:v>1</x:v>
      </x:c>
      <x:c r="I28" s="32" t="n">
        <x:v>1</x:v>
      </x:c>
      <x:c r="J28" s="40" t="n">
        <x:f>VLOOKUP(F28,'Schedules'!$A$5:$G$9,3,FALSE)</x:f>
        <x:v>20</x:v>
      </x:c>
      <x:c r="K28" s="28" t="n">
        <x:f>ROUND('Inputs'!$B$14*(1+'Inputs'!$B$15*(D28-1))*J28/24*VLOOKUP(F28,'Schedules'!$A$5:$G$9,4,FALSE)*H28,0)</x:f>
        <x:v>773</x:v>
      </x:c>
      <x:c r="L28" s="28" t="n">
        <x:f>MAX('Inputs'!$B$19,ROUND(K28*'Inputs'!$B$18,0))</x:f>
        <x:v>193</x:v>
      </x:c>
      <x:c r="M28" s="28" t="n">
        <x:f>L28+K28</x:f>
        <x:v>966</x:v>
      </x:c>
      <x:c r="N28" s="28" t="n">
        <x:f>ROUND('Inputs'!$B$16*(1+'Inputs'!$B$17*(D28-1))*J28/24*VLOOKUP(F28,'Schedules'!$A$5:$G$9,5,FALSE)*I28,0)</x:f>
        <x:v>108</x:v>
      </x:c>
      <x:c r="O28" s="28" t="n">
        <x:f>ROUNDDOWN(L28*'Inputs'!$B$20,0)+ROUNDDOWN(K28*'Inputs'!$B$24,0)</x:f>
        <x:v>260</x:v>
      </x:c>
      <x:c r="P28" s="28" t="n">
        <x:f>ROUNDDOWN(N28*'Inputs'!$B$24,0)</x:f>
        <x:v>10</x:v>
      </x:c>
      <x:c r="Q28" s="28" t="n">
        <x:f>ROUNDDOWN(L28*'Inputs'!$B$20,0)+ROUNDDOWN(K28*'Inputs'!$B$25,0)</x:f>
        <x:v>492</x:v>
      </x:c>
      <x:c r="R28" s="28" t="n">
        <x:f>ROUNDDOWN(N28*'Inputs'!$B$25,0)</x:f>
        <x:v>43</x:v>
      </x:c>
      <x:c r="S28" s="28" t="n">
        <x:f>ROUNDDOWN(L28*'Inputs'!$B$20,0)+ROUNDDOWN(K28*'Inputs'!$B$26,0)</x:f>
        <x:v>724</x:v>
      </x:c>
      <x:c r="T28" s="28" t="n">
        <x:f>ROUNDDOWN(N28*'Inputs'!$B$26,0)</x:f>
        <x:v>75</x:v>
      </x:c>
      <x:c r="U28" s="28" t="n">
        <x:f>0</x:f>
        <x:v>0</x:v>
      </x:c>
      <x:c r="V28" s="40" t="n">
        <x:f>K28/('Inputs'!$B$14*(1+'Inputs'!$B$15*(D28-1))*J28/24)</x:f>
        <x:v>1.0006472491909384</x:v>
      </x:c>
      <x:c r="W28" s="40" t="n">
        <x:f>N28/('Inputs'!$B$16*(1+'Inputs'!$B$17*(D28-1))*J28/24)</x:f>
        <x:v>0.9999999999999999</x:v>
      </x:c>
      <x:c r="X28" s="28" t="n">
        <x:v>400</x:v>
      </x:c>
      <x:c r="Y28" s="28" t="n">
        <x:v>64</x:v>
      </x:c>
      <x:c r="Z28" s="28" t="str">
        <x:v>Coin Fish!A25:AB25</x:v>
      </x:c>
      <x:c r="AA28" s="28" t="str">
        <x:v>20 hours. Distinctive journal/scene choice; no hidden collection-stat multiplier. Launch-ready design; asset QA required.</x:v>
      </x:c>
      <x:c r="AB28" s="28" t="str">
        <x:f>IF(AND(K28&gt;0,L28&gt;0,N28&gt;0,U28=0,V28&lt;=1.5,W28&lt;=1.5),"MODEL OK","REVIEW")</x:f>
        <x:v>MODEL OK</x:v>
      </x:c>
    </x:row>
    <x:row r="29" ht="62" customHeight="1">
      <x:c r="A29" s="28" t="str">
        <x:v>CF-25</x:v>
      </x:c>
      <x:c r="B29" s="28" t="str">
        <x:v>Blueline Triggerfish</x:v>
      </x:c>
      <x:c r="C29" s="28" t="str">
        <x:v>Rare</x:v>
      </x:c>
      <x:c r="D29" s="32" t="n">
        <x:v>38</x:v>
      </x:c>
      <x:c r="E29" s="32" t="str">
        <x:v>Launch</x:v>
      </x:c>
      <x:c r="F29" s="32" t="str">
        <x:v>SC-8H</x:v>
      </x:c>
      <x:c r="G29" s="32" t="str">
        <x:v>XP Specialist</x:v>
      </x:c>
      <x:c r="H29" s="32" t="n">
        <x:v>0.9</x:v>
      </x:c>
      <x:c r="I29" s="32" t="n">
        <x:v>1.1</x:v>
      </x:c>
      <x:c r="J29" s="40" t="n">
        <x:f>VLOOKUP(F29,'Schedules'!$A$5:$G$9,3,FALSE)</x:f>
        <x:v>8</x:v>
      </x:c>
      <x:c r="K29" s="28" t="n">
        <x:f>ROUND('Inputs'!$B$14*(1+'Inputs'!$B$15*(D29-1))*J29/24*VLOOKUP(F29,'Schedules'!$A$5:$G$9,4,FALSE)*H29,0)</x:f>
        <x:v>374</x:v>
      </x:c>
      <x:c r="L29" s="28" t="n">
        <x:f>MAX('Inputs'!$B$19,ROUND(K29*'Inputs'!$B$18,0))</x:f>
        <x:v>94</x:v>
      </x:c>
      <x:c r="M29" s="28" t="n">
        <x:f>L29+K29</x:f>
        <x:v>468</x:v>
      </x:c>
      <x:c r="N29" s="28" t="n">
        <x:f>ROUND('Inputs'!$B$16*(1+'Inputs'!$B$17*(D29-1))*J29/24*VLOOKUP(F29,'Schedules'!$A$5:$G$9,5,FALSE)*I29,0)</x:f>
        <x:v>63</x:v>
      </x:c>
      <x:c r="O29" s="28" t="n">
        <x:f>ROUNDDOWN(L29*'Inputs'!$B$20,0)+ROUNDDOWN(K29*'Inputs'!$B$24,0)</x:f>
        <x:v>126</x:v>
      </x:c>
      <x:c r="P29" s="28" t="n">
        <x:f>ROUNDDOWN(N29*'Inputs'!$B$24,0)</x:f>
        <x:v>6</x:v>
      </x:c>
      <x:c r="Q29" s="28" t="n">
        <x:f>ROUNDDOWN(L29*'Inputs'!$B$20,0)+ROUNDDOWN(K29*'Inputs'!$B$25,0)</x:f>
        <x:v>238</x:v>
      </x:c>
      <x:c r="R29" s="28" t="n">
        <x:f>ROUNDDOWN(N29*'Inputs'!$B$25,0)</x:f>
        <x:v>25</x:v>
      </x:c>
      <x:c r="S29" s="28" t="n">
        <x:f>ROUNDDOWN(L29*'Inputs'!$B$20,0)+ROUNDDOWN(K29*'Inputs'!$B$26,0)</x:f>
        <x:v>350</x:v>
      </x:c>
      <x:c r="T29" s="28" t="n">
        <x:f>ROUNDDOWN(N29*'Inputs'!$B$26,0)</x:f>
        <x:v>44</x:v>
      </x:c>
      <x:c r="U29" s="28" t="n">
        <x:f>0</x:f>
        <x:v>0</x:v>
      </x:c>
      <x:c r="V29" s="40" t="n">
        <x:f>K29/('Inputs'!$B$14*(1+'Inputs'!$B$15*(D29-1))*J29/24)</x:f>
        <x:v>1.1694809255784866</x:v>
      </x:c>
      <x:c r="W29" s="40" t="n">
        <x:f>N29/('Inputs'!$B$16*(1+'Inputs'!$B$17*(D29-1))*J29/24)</x:f>
        <x:v>1.4370437956204378</x:v>
      </x:c>
      <x:c r="X29" s="28" t="n">
        <x:v>220</x:v>
      </x:c>
      <x:c r="Y29" s="28" t="n">
        <x:v>20</x:v>
      </x:c>
      <x:c r="Z29" s="28" t="str">
        <x:v>Coin Fish!A26:AB26</x:v>
      </x:c>
      <x:c r="AA29" s="28" t="str">
        <x:v>8 hours. Trades 10% base coin output for 10% base XP; no premium prerequisite. Launch-ready design; asset QA required.</x:v>
      </x:c>
      <x:c r="AB29" s="28" t="str">
        <x:f>IF(AND(K29&gt;0,L29&gt;0,N29&gt;0,U29=0,V29&lt;=1.5,W29&lt;=1.5),"MODEL OK","REVIEW")</x:f>
        <x:v>MODEL OK</x:v>
      </x:c>
    </x:row>
    <x:row r="30" ht="62" customHeight="1">
      <x:c r="A30" s="28" t="str">
        <x:v>CF-26</x:v>
      </x:c>
      <x:c r="B30" s="28" t="str">
        <x:v>Queen Angelfish</x:v>
      </x:c>
      <x:c r="C30" s="28" t="str">
        <x:v>Epic</x:v>
      </x:c>
      <x:c r="D30" s="32" t="n">
        <x:v>40</x:v>
      </x:c>
      <x:c r="E30" s="32" t="str">
        <x:v>Launch</x:v>
      </x:c>
      <x:c r="F30" s="32" t="str">
        <x:v>SC-44H</x:v>
      </x:c>
      <x:c r="G30" s="32" t="str">
        <x:v>Payout</x:v>
      </x:c>
      <x:c r="H30" s="32" t="n">
        <x:v>1</x:v>
      </x:c>
      <x:c r="I30" s="32" t="n">
        <x:v>1</x:v>
      </x:c>
      <x:c r="J30" s="40" t="n">
        <x:f>VLOOKUP(F30,'Schedules'!$A$5:$G$9,3,FALSE)</x:f>
        <x:v>44</x:v>
      </x:c>
      <x:c r="K30" s="28" t="n">
        <x:f>ROUND('Inputs'!$B$14*(1+'Inputs'!$B$15*(D30-1))*J30/24*VLOOKUP(F30,'Schedules'!$A$5:$G$9,4,FALSE)*H30,0)</x:f>
        <x:v>1673</x:v>
      </x:c>
      <x:c r="L30" s="28" t="n">
        <x:f>MAX('Inputs'!$B$19,ROUND(K30*'Inputs'!$B$18,0))</x:f>
        <x:v>418</x:v>
      </x:c>
      <x:c r="M30" s="28" t="n">
        <x:f>L30+K30</x:f>
        <x:v>2091</x:v>
      </x:c>
      <x:c r="N30" s="28" t="n">
        <x:f>ROUND('Inputs'!$B$16*(1+'Inputs'!$B$17*(D30-1))*J30/24*VLOOKUP(F30,'Schedules'!$A$5:$G$9,5,FALSE)*I30,0)</x:f>
        <x:v>225</x:v>
      </x:c>
      <x:c r="O30" s="28" t="n">
        <x:f>ROUNDDOWN(L30*'Inputs'!$B$20,0)+ROUNDDOWN(K30*'Inputs'!$B$24,0)</x:f>
        <x:v>564</x:v>
      </x:c>
      <x:c r="P30" s="28" t="n">
        <x:f>ROUNDDOWN(N30*'Inputs'!$B$24,0)</x:f>
        <x:v>22</x:v>
      </x:c>
      <x:c r="Q30" s="28" t="n">
        <x:f>ROUNDDOWN(L30*'Inputs'!$B$20,0)+ROUNDDOWN(K30*'Inputs'!$B$25,0)</x:f>
        <x:v>1066</x:v>
      </x:c>
      <x:c r="R30" s="28" t="n">
        <x:f>ROUNDDOWN(N30*'Inputs'!$B$25,0)</x:f>
        <x:v>90</x:v>
      </x:c>
      <x:c r="S30" s="28" t="n">
        <x:f>ROUNDDOWN(L30*'Inputs'!$B$20,0)+ROUNDDOWN(K30*'Inputs'!$B$26,0)</x:f>
        <x:v>1568</x:v>
      </x:c>
      <x:c r="T30" s="28" t="n">
        <x:f>ROUNDDOWN(N30*'Inputs'!$B$26,0)</x:f>
        <x:v>157</x:v>
      </x:c>
      <x:c r="U30" s="28" t="n">
        <x:f>0</x:f>
        <x:v>0</x:v>
      </x:c>
      <x:c r="V30" s="40" t="n">
        <x:f>K30/('Inputs'!$B$14*(1+'Inputs'!$B$15*(D30-1))*J30/24)</x:f>
        <x:v>0.9200901941373811</x:v>
      </x:c>
      <x:c r="W30" s="40" t="n">
        <x:f>N30/('Inputs'!$B$16*(1+'Inputs'!$B$17*(D30-1))*J30/24)</x:f>
        <x:v>0.9197187704381949</x:v>
      </x:c>
      <x:c r="X30" s="28" t="n">
        <x:v>700</x:v>
      </x:c>
      <x:c r="Y30" s="28" t="n">
        <x:v>192</x:v>
      </x:c>
      <x:c r="Z30" s="28" t="str">
        <x:v>Coin Fish!A27:AB27</x:v>
      </x:c>
      <x:c r="AA30" s="28" t="str">
        <x:v>44 hours. Long cycle produces a larger single settlement, not a superior daily rate. Launch-ready design; asset QA required.</x:v>
      </x:c>
      <x:c r="AB30" s="28" t="str">
        <x:f>IF(AND(K30&gt;0,L30&gt;0,N30&gt;0,U30=0,V30&lt;=1.5,W30&lt;=1.5),"MODEL OK","REVIEW")</x:f>
        <x:v>MODEL OK</x:v>
      </x:c>
    </x:row>
    <x:row r="31" ht="62" customHeight="1">
      <x:c r="A31" s="28" t="str">
        <x:v>RF-01</x:v>
      </x:c>
      <x:c r="B31" s="28" t="str">
        <x:v>Cherry Barb</x:v>
      </x:c>
      <x:c r="C31" s="28" t="str">
        <x:v>Common</x:v>
      </x:c>
      <x:c r="D31" s="32" t="n">
        <x:v>3</x:v>
      </x:c>
      <x:c r="E31" s="32" t="str">
        <x:v>Launch</x:v>
      </x:c>
      <x:c r="F31" s="32" t="str">
        <x:v>SC-8H</x:v>
      </x:c>
      <x:c r="G31" s="32" t="str">
        <x:v>Balanced</x:v>
      </x:c>
      <x:c r="H31" s="32" t="n">
        <x:v>1</x:v>
      </x:c>
      <x:c r="I31" s="32" t="n">
        <x:v>1</x:v>
      </x:c>
      <x:c r="J31" s="40" t="n">
        <x:f>VLOOKUP(F31,'Schedules'!$A$5:$G$9,3,FALSE)</x:f>
        <x:v>8</x:v>
      </x:c>
      <x:c r="K31" s="28" t="n">
        <x:f>ROUND('Inputs'!$B$14*(1+'Inputs'!$B$15*(D31-1))*J31/24*VLOOKUP(F31,'Schedules'!$A$5:$G$9,4,FALSE)*H31,0)</x:f>
        <x:v>170</x:v>
      </x:c>
      <x:c r="L31" s="28" t="n">
        <x:f>MAX('Inputs'!$B$19,ROUND(K31*'Inputs'!$B$18,0))</x:f>
        <x:v>43</x:v>
      </x:c>
      <x:c r="M31" s="28" t="n">
        <x:f>L31+K31</x:f>
        <x:v>213</x:v>
      </x:c>
      <x:c r="N31" s="28" t="n">
        <x:f>ROUND('Inputs'!$B$16*(1+'Inputs'!$B$17*(D31-1))*J31/24*VLOOKUP(F31,'Schedules'!$A$5:$G$9,5,FALSE)*I31,0)</x:f>
        <x:v>42</x:v>
      </x:c>
      <x:c r="O31" s="28" t="n">
        <x:f>ROUNDDOWN(L31*'Inputs'!$B$20,0)+ROUNDDOWN(K31*'Inputs'!$B$24,0)</x:f>
        <x:v>57</x:v>
      </x:c>
      <x:c r="P31" s="28" t="n">
        <x:f>ROUNDDOWN(N31*'Inputs'!$B$24,0)</x:f>
        <x:v>4</x:v>
      </x:c>
      <x:c r="Q31" s="28" t="n">
        <x:f>ROUNDDOWN(L31*'Inputs'!$B$20,0)+ROUNDDOWN(K31*'Inputs'!$B$25,0)</x:f>
        <x:v>108</x:v>
      </x:c>
      <x:c r="R31" s="28" t="n">
        <x:f>ROUNDDOWN(N31*'Inputs'!$B$25,0)</x:f>
        <x:v>16</x:v>
      </x:c>
      <x:c r="S31" s="28" t="n">
        <x:f>ROUNDDOWN(L31*'Inputs'!$B$20,0)+ROUNDDOWN(K31*'Inputs'!$B$26,0)</x:f>
        <x:v>158</x:v>
      </x:c>
      <x:c r="T31" s="28" t="n">
        <x:f>ROUNDDOWN(N31*'Inputs'!$B$26,0)</x:f>
        <x:v>29</x:v>
      </x:c>
      <x:c r="U31" s="28" t="n">
        <x:f>0</x:f>
        <x:v>0</x:v>
      </x:c>
      <x:c r="V31" s="40" t="n">
        <x:f>K31/('Inputs'!$B$14*(1+'Inputs'!$B$15*(D31-1))*J31/24)</x:f>
        <x:v>1.2996941896024463</x:v>
      </x:c>
      <x:c r="W31" s="40" t="n">
        <x:f>N31/('Inputs'!$B$16*(1+'Inputs'!$B$17*(D31-1))*J31/24)</x:f>
        <x:v>1.2867647058823528</x:v>
      </x:c>
      <x:c r="X31" s="28" t="n">
        <x:v>40</x:v>
      </x:c>
      <x:c r="Y31" s="28" t="n">
        <x:v>16</x:v>
      </x:c>
      <x:c r="Z31" s="28" t="str">
        <x:v>Roadmap!A4:K4</x:v>
      </x:c>
      <x:c r="AA31" s="28" t="str">
        <x:v>8 hours. Neutral coin/XP choice for a predictable return schedule. Launch-ready design; asset QA required.</x:v>
      </x:c>
      <x:c r="AB31" s="28" t="str">
        <x:f>IF(AND(K31&gt;0,L31&gt;0,N31&gt;0,U31=0,V31&lt;=1.5,W31&lt;=1.5),"MODEL OK","REVIEW")</x:f>
        <x:v>MODEL OK</x:v>
      </x:c>
    </x:row>
    <x:row r="32" ht="62" customHeight="1">
      <x:c r="A32" s="28" t="str">
        <x:v>RF-02</x:v>
      </x:c>
      <x:c r="B32" s="28" t="str">
        <x:v>White Cloud Minnow</x:v>
      </x:c>
      <x:c r="C32" s="28" t="str">
        <x:v>Common</x:v>
      </x:c>
      <x:c r="D32" s="32" t="n">
        <x:v>5</x:v>
      </x:c>
      <x:c r="E32" s="32" t="str">
        <x:v>Launch</x:v>
      </x:c>
      <x:c r="F32" s="32" t="str">
        <x:v>SC-20H</x:v>
      </x:c>
      <x:c r="G32" s="32" t="str">
        <x:v>Balanced</x:v>
      </x:c>
      <x:c r="H32" s="32" t="n">
        <x:v>1</x:v>
      </x:c>
      <x:c r="I32" s="32" t="n">
        <x:v>1</x:v>
      </x:c>
      <x:c r="J32" s="40" t="n">
        <x:f>VLOOKUP(F32,'Schedules'!$A$5:$G$9,3,FALSE)</x:f>
        <x:v>20</x:v>
      </x:c>
      <x:c r="K32" s="28" t="n">
        <x:f>ROUND('Inputs'!$B$14*(1+'Inputs'!$B$15*(D32-1))*J32/24*VLOOKUP(F32,'Schedules'!$A$5:$G$9,4,FALSE)*H32,0)</x:f>
        <x:v>354</x:v>
      </x:c>
      <x:c r="L32" s="28" t="n">
        <x:f>MAX('Inputs'!$B$19,ROUND(K32*'Inputs'!$B$18,0))</x:f>
        <x:v>89</x:v>
      </x:c>
      <x:c r="M32" s="28" t="n">
        <x:f>L32+K32</x:f>
        <x:v>443</x:v>
      </x:c>
      <x:c r="N32" s="28" t="n">
        <x:f>ROUND('Inputs'!$B$16*(1+'Inputs'!$B$17*(D32-1))*J32/24*VLOOKUP(F32,'Schedules'!$A$5:$G$9,5,FALSE)*I32,0)</x:f>
        <x:v>83</x:v>
      </x:c>
      <x:c r="O32" s="28" t="n">
        <x:f>ROUNDDOWN(L32*'Inputs'!$B$20,0)+ROUNDDOWN(K32*'Inputs'!$B$24,0)</x:f>
        <x:v>119</x:v>
      </x:c>
      <x:c r="P32" s="28" t="n">
        <x:f>ROUNDDOWN(N32*'Inputs'!$B$24,0)</x:f>
        <x:v>8</x:v>
      </x:c>
      <x:c r="Q32" s="28" t="n">
        <x:f>ROUNDDOWN(L32*'Inputs'!$B$20,0)+ROUNDDOWN(K32*'Inputs'!$B$25,0)</x:f>
        <x:v>225</x:v>
      </x:c>
      <x:c r="R32" s="28" t="n">
        <x:f>ROUNDDOWN(N32*'Inputs'!$B$25,0)</x:f>
        <x:v>33</x:v>
      </x:c>
      <x:c r="S32" s="28" t="n">
        <x:f>ROUNDDOWN(L32*'Inputs'!$B$20,0)+ROUNDDOWN(K32*'Inputs'!$B$26,0)</x:f>
        <x:v>331</x:v>
      </x:c>
      <x:c r="T32" s="28" t="n">
        <x:f>ROUNDDOWN(N32*'Inputs'!$B$26,0)</x:f>
        <x:v>58</x:v>
      </x:c>
      <x:c r="U32" s="28" t="n">
        <x:f>0</x:f>
        <x:v>0</x:v>
      </x:c>
      <x:c r="V32" s="40" t="n">
        <x:f>K32/('Inputs'!$B$14*(1+'Inputs'!$B$15*(D32-1))*J32/24)</x:f>
        <x:v>1</x:v>
      </x:c>
      <x:c r="W32" s="40" t="n">
        <x:f>N32/('Inputs'!$B$16*(1+'Inputs'!$B$17*(D32-1))*J32/24)</x:f>
        <x:v>0.9975961538461539</x:v>
      </x:c>
      <x:c r="X32" s="28" t="n">
        <x:v>75</x:v>
      </x:c>
      <x:c r="Y32" s="28" t="n">
        <x:v>48</x:v>
      </x:c>
      <x:c r="Z32" s="28" t="str">
        <x:v>Roadmap!A5:K5</x:v>
      </x:c>
      <x:c r="AA32" s="28" t="str">
        <x:v>20 hours. Neutral coin/XP choice for a predictable return schedule. Launch-ready design; asset QA required.</x:v>
      </x:c>
      <x:c r="AB32" s="28" t="str">
        <x:f>IF(AND(K32&gt;0,L32&gt;0,N32&gt;0,U32=0,V32&lt;=1.5,W32&lt;=1.5),"MODEL OK","REVIEW")</x:f>
        <x:v>MODEL OK</x:v>
      </x:c>
    </x:row>
    <x:row r="33" ht="62" customHeight="1">
      <x:c r="A33" s="28" t="str">
        <x:v>RF-03</x:v>
      </x:c>
      <x:c r="B33" s="28" t="str">
        <x:v>Swordtail</x:v>
      </x:c>
      <x:c r="C33" s="28" t="str">
        <x:v>Common</x:v>
      </x:c>
      <x:c r="D33" s="32" t="n">
        <x:v>7</x:v>
      </x:c>
      <x:c r="E33" s="32" t="str">
        <x:v>Reserve L1–40</x:v>
      </x:c>
      <x:c r="F33" s="32" t="str">
        <x:v>SC-44H</x:v>
      </x:c>
      <x:c r="G33" s="32" t="str">
        <x:v>Convenience</x:v>
      </x:c>
      <x:c r="H33" s="32" t="n">
        <x:v>1</x:v>
      </x:c>
      <x:c r="I33" s="32" t="n">
        <x:v>1</x:v>
      </x:c>
      <x:c r="J33" s="40" t="n">
        <x:f>VLOOKUP(F33,'Schedules'!$A$5:$G$9,3,FALSE)</x:f>
        <x:v>44</x:v>
      </x:c>
      <x:c r="K33" s="28" t="n">
        <x:f>ROUND('Inputs'!$B$14*(1+'Inputs'!$B$15*(D33-1))*J33/24*VLOOKUP(F33,'Schedules'!$A$5:$G$9,4,FALSE)*H33,0)</x:f>
        <x:v>771</x:v>
      </x:c>
      <x:c r="L33" s="28" t="n">
        <x:f>MAX('Inputs'!$B$19,ROUND(K33*'Inputs'!$B$18,0))</x:f>
        <x:v>193</x:v>
      </x:c>
      <x:c r="M33" s="28" t="n">
        <x:f>L33+K33</x:f>
        <x:v>964</x:v>
      </x:c>
      <x:c r="N33" s="28" t="n">
        <x:f>ROUND('Inputs'!$B$16*(1+'Inputs'!$B$17*(D33-1))*J33/24*VLOOKUP(F33,'Schedules'!$A$5:$G$9,5,FALSE)*I33,0)</x:f>
        <x:v>172</x:v>
      </x:c>
      <x:c r="O33" s="28" t="n">
        <x:f>ROUNDDOWN(L33*'Inputs'!$B$20,0)+ROUNDDOWN(K33*'Inputs'!$B$24,0)</x:f>
        <x:v>260</x:v>
      </x:c>
      <x:c r="P33" s="28" t="n">
        <x:f>ROUNDDOWN(N33*'Inputs'!$B$24,0)</x:f>
        <x:v>17</x:v>
      </x:c>
      <x:c r="Q33" s="28" t="n">
        <x:f>ROUNDDOWN(L33*'Inputs'!$B$20,0)+ROUNDDOWN(K33*'Inputs'!$B$25,0)</x:f>
        <x:v>491</x:v>
      </x:c>
      <x:c r="R33" s="28" t="n">
        <x:f>ROUNDDOWN(N33*'Inputs'!$B$25,0)</x:f>
        <x:v>68</x:v>
      </x:c>
      <x:c r="S33" s="28" t="n">
        <x:f>ROUNDDOWN(L33*'Inputs'!$B$20,0)+ROUNDDOWN(K33*'Inputs'!$B$26,0)</x:f>
        <x:v>722</x:v>
      </x:c>
      <x:c r="T33" s="28" t="n">
        <x:f>ROUNDDOWN(N33*'Inputs'!$B$26,0)</x:f>
        <x:v>120</x:v>
      </x:c>
      <x:c r="U33" s="28" t="n">
        <x:f>0</x:f>
        <x:v>0</x:v>
      </x:c>
      <x:c r="V33" s="40" t="n">
        <x:f>K33/('Inputs'!$B$14*(1+'Inputs'!$B$15*(D33-1))*J33/24)</x:f>
        <x:v>0.9198282032927703</x:v>
      </x:c>
      <x:c r="W33" s="40" t="n">
        <x:f>N33/('Inputs'!$B$16*(1+'Inputs'!$B$17*(D33-1))*J33/24)</x:f>
        <x:v>0.9219554030874784</x:v>
      </x:c>
      <x:c r="X33" s="28" t="n">
        <x:v>110</x:v>
      </x:c>
      <x:c r="Y33" s="28" t="n">
        <x:v>96</x:v>
      </x:c>
      <x:c r="Z33" s="28" t="str">
        <x:v>Roadmap!A6:K6</x:v>
      </x:c>
      <x:c r="AA33" s="28" t="str">
        <x:v>44 hours. Longer unattended cycle; no absence penalty and no special care requirement. Disabled until its release/content gate is approved.</x:v>
      </x:c>
      <x:c r="AB33" s="28" t="str">
        <x:f>IF(AND(K33&gt;0,L33&gt;0,N33&gt;0,U33=0,V33&lt;=1.5,W33&lt;=1.5),"MODEL OK","REVIEW")</x:f>
        <x:v>MODEL OK</x:v>
      </x:c>
    </x:row>
    <x:row r="34" ht="62" customHeight="1">
      <x:c r="A34" s="28" t="str">
        <x:v>RF-04</x:v>
      </x:c>
      <x:c r="B34" s="28" t="str">
        <x:v>Royal Gramma</x:v>
      </x:c>
      <x:c r="C34" s="28" t="str">
        <x:v>Uncommon</x:v>
      </x:c>
      <x:c r="D34" s="32" t="n">
        <x:v>9</x:v>
      </x:c>
      <x:c r="E34" s="32" t="str">
        <x:v>Launch</x:v>
      </x:c>
      <x:c r="F34" s="32" t="str">
        <x:v>SC-2H</x:v>
      </x:c>
      <x:c r="G34" s="32" t="str">
        <x:v>Balanced</x:v>
      </x:c>
      <x:c r="H34" s="32" t="n">
        <x:v>1</x:v>
      </x:c>
      <x:c r="I34" s="32" t="n">
        <x:v>1</x:v>
      </x:c>
      <x:c r="J34" s="40" t="n">
        <x:f>VLOOKUP(F34,'Schedules'!$A$5:$G$9,3,FALSE)</x:f>
        <x:v>2</x:v>
      </x:c>
      <x:c r="K34" s="28" t="n">
        <x:f>ROUND('Inputs'!$B$14*(1+'Inputs'!$B$15*(D34-1))*J34/24*VLOOKUP(F34,'Schedules'!$A$5:$G$9,4,FALSE)*H34,0)</x:f>
        <x:v>53</x:v>
      </x:c>
      <x:c r="L34" s="28" t="n">
        <x:f>MAX('Inputs'!$B$19,ROUND(K34*'Inputs'!$B$18,0))</x:f>
        <x:v>13</x:v>
      </x:c>
      <x:c r="M34" s="28" t="n">
        <x:f>L34+K34</x:f>
        <x:v>66</x:v>
      </x:c>
      <x:c r="N34" s="28" t="n">
        <x:f>ROUND('Inputs'!$B$16*(1+'Inputs'!$B$17*(D34-1))*J34/24*VLOOKUP(F34,'Schedules'!$A$5:$G$9,5,FALSE)*I34,0)</x:f>
        <x:v>11</x:v>
      </x:c>
      <x:c r="O34" s="28" t="n">
        <x:f>ROUNDDOWN(L34*'Inputs'!$B$20,0)+ROUNDDOWN(K34*'Inputs'!$B$24,0)</x:f>
        <x:v>17</x:v>
      </x:c>
      <x:c r="P34" s="28" t="n">
        <x:f>ROUNDDOWN(N34*'Inputs'!$B$24,0)</x:f>
        <x:v>1</x:v>
      </x:c>
      <x:c r="Q34" s="28" t="n">
        <x:f>ROUNDDOWN(L34*'Inputs'!$B$20,0)+ROUNDDOWN(K34*'Inputs'!$B$25,0)</x:f>
        <x:v>33</x:v>
      </x:c>
      <x:c r="R34" s="28" t="n">
        <x:f>ROUNDDOWN(N34*'Inputs'!$B$25,0)</x:f>
        <x:v>4</x:v>
      </x:c>
      <x:c r="S34" s="28" t="n">
        <x:f>ROUNDDOWN(L34*'Inputs'!$B$20,0)+ROUNDDOWN(K34*'Inputs'!$B$26,0)</x:f>
        <x:v>49</x:v>
      </x:c>
      <x:c r="T34" s="28" t="n">
        <x:f>ROUNDDOWN(N34*'Inputs'!$B$26,0)</x:f>
        <x:v>7</x:v>
      </x:c>
      <x:c r="U34" s="28" t="n">
        <x:f>0</x:f>
        <x:v>0</x:v>
      </x:c>
      <x:c r="V34" s="40" t="n">
        <x:f>K34/('Inputs'!$B$14*(1+'Inputs'!$B$15*(D34-1))*J34/24)</x:f>
        <x:v>1.2990196078431373</x:v>
      </x:c>
      <x:c r="W34" s="40" t="n">
        <x:f>N34/('Inputs'!$B$16*(1+'Inputs'!$B$17*(D34-1))*J34/24)</x:f>
        <x:v>1.2731481481481481</x:v>
      </x:c>
      <x:c r="X34" s="28" t="n">
        <x:v>35</x:v>
      </x:c>
      <x:c r="Y34" s="28" t="n">
        <x:v>4</x:v>
      </x:c>
      <x:c r="Z34" s="28" t="str">
        <x:v>Roadmap!A7:K7</x:v>
      </x:c>
      <x:c r="AA34" s="28" t="str">
        <x:v>2 hours. Neutral coin/XP choice for a predictable return schedule. Launch-ready design; asset QA required.</x:v>
      </x:c>
      <x:c r="AB34" s="28" t="str">
        <x:f>IF(AND(K34&gt;0,L34&gt;0,N34&gt;0,U34=0,V34&lt;=1.5,W34&lt;=1.5),"MODEL OK","REVIEW")</x:f>
        <x:v>MODEL OK</x:v>
      </x:c>
    </x:row>
    <x:row r="35" ht="62" customHeight="1">
      <x:c r="A35" s="28" t="str">
        <x:v>RF-05</x:v>
      </x:c>
      <x:c r="B35" s="28" t="str">
        <x:v>Dwarf Gourami</x:v>
      </x:c>
      <x:c r="C35" s="28" t="str">
        <x:v>Uncommon</x:v>
      </x:c>
      <x:c r="D35" s="32" t="n">
        <x:v>10</x:v>
      </x:c>
      <x:c r="E35" s="32" t="str">
        <x:v>Launch</x:v>
      </x:c>
      <x:c r="F35" s="32" t="str">
        <x:v>SC-44H</x:v>
      </x:c>
      <x:c r="G35" s="32" t="str">
        <x:v>Payout</x:v>
      </x:c>
      <x:c r="H35" s="32" t="n">
        <x:v>1</x:v>
      </x:c>
      <x:c r="I35" s="32" t="n">
        <x:v>1</x:v>
      </x:c>
      <x:c r="J35" s="40" t="n">
        <x:f>VLOOKUP(F35,'Schedules'!$A$5:$G$9,3,FALSE)</x:f>
        <x:v>44</x:v>
      </x:c>
      <x:c r="K35" s="28" t="n">
        <x:f>ROUND('Inputs'!$B$14*(1+'Inputs'!$B$15*(D35-1))*J35/24*VLOOKUP(F35,'Schedules'!$A$5:$G$9,4,FALSE)*H35,0)</x:f>
        <x:v>853</x:v>
      </x:c>
      <x:c r="L35" s="28" t="n">
        <x:f>MAX('Inputs'!$B$19,ROUND(K35*'Inputs'!$B$18,0))</x:f>
        <x:v>213</x:v>
      </x:c>
      <x:c r="M35" s="28" t="n">
        <x:f>L35+K35</x:f>
        <x:v>1066</x:v>
      </x:c>
      <x:c r="N35" s="28" t="n">
        <x:f>ROUND('Inputs'!$B$16*(1+'Inputs'!$B$17*(D35-1))*J35/24*VLOOKUP(F35,'Schedules'!$A$5:$G$9,5,FALSE)*I35,0)</x:f>
        <x:v>176</x:v>
      </x:c>
      <x:c r="O35" s="28" t="n">
        <x:f>ROUNDDOWN(L35*'Inputs'!$B$20,0)+ROUNDDOWN(K35*'Inputs'!$B$24,0)</x:f>
        <x:v>287</x:v>
      </x:c>
      <x:c r="P35" s="28" t="n">
        <x:f>ROUNDDOWN(N35*'Inputs'!$B$24,0)</x:f>
        <x:v>17</x:v>
      </x:c>
      <x:c r="Q35" s="28" t="n">
        <x:f>ROUNDDOWN(L35*'Inputs'!$B$20,0)+ROUNDDOWN(K35*'Inputs'!$B$25,0)</x:f>
        <x:v>543</x:v>
      </x:c>
      <x:c r="R35" s="28" t="n">
        <x:f>ROUNDDOWN(N35*'Inputs'!$B$25,0)</x:f>
        <x:v>70</x:v>
      </x:c>
      <x:c r="S35" s="28" t="n">
        <x:f>ROUNDDOWN(L35*'Inputs'!$B$20,0)+ROUNDDOWN(K35*'Inputs'!$B$26,0)</x:f>
        <x:v>799</x:v>
      </x:c>
      <x:c r="T35" s="28" t="n">
        <x:f>ROUNDDOWN(N35*'Inputs'!$B$26,0)</x:f>
        <x:v>123</x:v>
      </x:c>
      <x:c r="U35" s="28" t="n">
        <x:f>0</x:f>
        <x:v>0</x:v>
      </x:c>
      <x:c r="V35" s="40" t="n">
        <x:f>K35/('Inputs'!$B$14*(1+'Inputs'!$B$15*(D35-1))*J35/24)</x:f>
        <x:v>0.9198749056400302</x:v>
      </x:c>
      <x:c r="W35" s="40" t="n">
        <x:f>N35/('Inputs'!$B$16*(1+'Inputs'!$B$17*(D35-1))*J35/24)</x:f>
        <x:v>0.9174311926605503</x:v>
      </x:c>
      <x:c r="X35" s="28" t="n">
        <x:v>170</x:v>
      </x:c>
      <x:c r="Y35" s="28" t="n">
        <x:v>144</x:v>
      </x:c>
      <x:c r="Z35" s="28" t="str">
        <x:v>Roadmap!A8:K8</x:v>
      </x:c>
      <x:c r="AA35" s="28" t="str">
        <x:v>44 hours. Long cycle produces a larger single settlement, not a superior daily rate. Launch-ready design; asset QA required.</x:v>
      </x:c>
      <x:c r="AB35" s="28" t="str">
        <x:f>IF(AND(K35&gt;0,L35&gt;0,N35&gt;0,U35=0,V35&lt;=1.5,W35&lt;=1.5),"MODEL OK","REVIEW")</x:f>
        <x:v>MODEL OK</x:v>
      </x:c>
    </x:row>
    <x:row r="36" ht="62" customHeight="1">
      <x:c r="A36" s="28" t="str">
        <x:v>RF-06</x:v>
      </x:c>
      <x:c r="B36" s="28" t="str">
        <x:v>Corydoras Catfish</x:v>
      </x:c>
      <x:c r="C36" s="28" t="str">
        <x:v>Common</x:v>
      </x:c>
      <x:c r="D36" s="32" t="n">
        <x:v>13</x:v>
      </x:c>
      <x:c r="E36" s="32" t="str">
        <x:v>Launch</x:v>
      </x:c>
      <x:c r="F36" s="32" t="str">
        <x:v>SC-20H</x:v>
      </x:c>
      <x:c r="G36" s="32" t="str">
        <x:v>Balanced</x:v>
      </x:c>
      <x:c r="H36" s="32" t="n">
        <x:v>1</x:v>
      </x:c>
      <x:c r="I36" s="32" t="n">
        <x:v>1</x:v>
      </x:c>
      <x:c r="J36" s="40" t="n">
        <x:f>VLOOKUP(F36,'Schedules'!$A$5:$G$9,3,FALSE)</x:f>
        <x:v>20</x:v>
      </x:c>
      <x:c r="K36" s="28" t="n">
        <x:f>ROUND('Inputs'!$B$14*(1+'Inputs'!$B$15*(D36-1))*J36/24*VLOOKUP(F36,'Schedules'!$A$5:$G$9,4,FALSE)*H36,0)</x:f>
        <x:v>462</x:v>
      </x:c>
      <x:c r="L36" s="28" t="n">
        <x:f>MAX('Inputs'!$B$19,ROUND(K36*'Inputs'!$B$18,0))</x:f>
        <x:v>116</x:v>
      </x:c>
      <x:c r="M36" s="28" t="n">
        <x:f>L36+K36</x:f>
        <x:v>578</x:v>
      </x:c>
      <x:c r="N36" s="28" t="n">
        <x:f>ROUND('Inputs'!$B$16*(1+'Inputs'!$B$17*(D36-1))*J36/24*VLOOKUP(F36,'Schedules'!$A$5:$G$9,5,FALSE)*I36,0)</x:f>
        <x:v>90</x:v>
      </x:c>
      <x:c r="O36" s="28" t="n">
        <x:f>ROUNDDOWN(L36*'Inputs'!$B$20,0)+ROUNDDOWN(K36*'Inputs'!$B$24,0)</x:f>
        <x:v>156</x:v>
      </x:c>
      <x:c r="P36" s="28" t="n">
        <x:f>ROUNDDOWN(N36*'Inputs'!$B$24,0)</x:f>
        <x:v>9</x:v>
      </x:c>
      <x:c r="Q36" s="28" t="n">
        <x:f>ROUNDDOWN(L36*'Inputs'!$B$20,0)+ROUNDDOWN(K36*'Inputs'!$B$25,0)</x:f>
        <x:v>294</x:v>
      </x:c>
      <x:c r="R36" s="28" t="n">
        <x:f>ROUNDDOWN(N36*'Inputs'!$B$25,0)</x:f>
        <x:v>36</x:v>
      </x:c>
      <x:c r="S36" s="28" t="n">
        <x:f>ROUNDDOWN(L36*'Inputs'!$B$20,0)+ROUNDDOWN(K36*'Inputs'!$B$26,0)</x:f>
        <x:v>433</x:v>
      </x:c>
      <x:c r="T36" s="28" t="n">
        <x:f>ROUNDDOWN(N36*'Inputs'!$B$26,0)</x:f>
        <x:v>62</x:v>
      </x:c>
      <x:c r="U36" s="28" t="n">
        <x:f>0</x:f>
        <x:v>0</x:v>
      </x:c>
      <x:c r="V36" s="40" t="n">
        <x:f>K36/('Inputs'!$B$14*(1+'Inputs'!$B$15*(D36-1))*J36/24)</x:f>
        <x:v>1</x:v>
      </x:c>
      <x:c r="W36" s="40" t="n">
        <x:f>N36/('Inputs'!$B$16*(1+'Inputs'!$B$17*(D36-1))*J36/24)</x:f>
        <x:v>1.0044642857142856</x:v>
      </x:c>
      <x:c r="X36" s="28" t="n">
        <x:v>130</x:v>
      </x:c>
      <x:c r="Y36" s="28" t="n">
        <x:v>80</x:v>
      </x:c>
      <x:c r="Z36" s="28" t="str">
        <x:v>Roadmap!A9:K9</x:v>
      </x:c>
      <x:c r="AA36" s="28" t="str">
        <x:v>20 hours. Neutral coin/XP choice for a predictable return schedule. Launch-ready design; asset QA required.</x:v>
      </x:c>
      <x:c r="AB36" s="28" t="str">
        <x:f>IF(AND(K36&gt;0,L36&gt;0,N36&gt;0,U36=0,V36&lt;=1.5,W36&lt;=1.5),"MODEL OK","REVIEW")</x:f>
        <x:v>MODEL OK</x:v>
      </x:c>
    </x:row>
    <x:row r="37" ht="62" customHeight="1">
      <x:c r="A37" s="28" t="str">
        <x:v>RF-07</x:v>
      </x:c>
      <x:c r="B37" s="28" t="str">
        <x:v>Siamese Fighting Fish</x:v>
      </x:c>
      <x:c r="C37" s="28" t="str">
        <x:v>Uncommon</x:v>
      </x:c>
      <x:c r="D37" s="32" t="n">
        <x:v>18</x:v>
      </x:c>
      <x:c r="E37" s="32" t="str">
        <x:v>Launch</x:v>
      </x:c>
      <x:c r="F37" s="32" t="str">
        <x:v>SC-20M</x:v>
      </x:c>
      <x:c r="G37" s="32" t="str">
        <x:v>Coin Specialist</x:v>
      </x:c>
      <x:c r="H37" s="32" t="n">
        <x:v>1.1</x:v>
      </x:c>
      <x:c r="I37" s="32" t="n">
        <x:v>0.9</x:v>
      </x:c>
      <x:c r="J37" s="40" t="n">
        <x:f>VLOOKUP(F37,'Schedules'!$A$5:$G$9,3,FALSE)</x:f>
        <x:v>0.3333333333333333</x:v>
      </x:c>
      <x:c r="K37" s="28" t="n">
        <x:f>ROUND('Inputs'!$B$14*(1+'Inputs'!$B$15*(D37-1))*J37/24*VLOOKUP(F37,'Schedules'!$A$5:$G$9,4,FALSE)*H37,0)</x:f>
        <x:v>12</x:v>
      </x:c>
      <x:c r="L37" s="28" t="n">
        <x:f>MAX('Inputs'!$B$19,ROUND(K37*'Inputs'!$B$18,0))</x:f>
        <x:v>5</x:v>
      </x:c>
      <x:c r="M37" s="28" t="n">
        <x:f>L37+K37</x:f>
        <x:v>17</x:v>
      </x:c>
      <x:c r="N37" s="28" t="n">
        <x:f>ROUND('Inputs'!$B$16*(1+'Inputs'!$B$17*(D37-1))*J37/24*VLOOKUP(F37,'Schedules'!$A$5:$G$9,5,FALSE)*I37,0)</x:f>
        <x:v>2</x:v>
      </x:c>
      <x:c r="O37" s="28" t="n">
        <x:f>ROUNDDOWN(L37*'Inputs'!$B$20,0)+ROUNDDOWN(K37*'Inputs'!$B$24,0)</x:f>
        <x:v>5</x:v>
      </x:c>
      <x:c r="P37" s="28" t="n">
        <x:f>ROUNDDOWN(N37*'Inputs'!$B$24,0)</x:f>
        <x:v>0</x:v>
      </x:c>
      <x:c r="Q37" s="28" t="n">
        <x:f>ROUNDDOWN(L37*'Inputs'!$B$20,0)+ROUNDDOWN(K37*'Inputs'!$B$25,0)</x:f>
        <x:v>8</x:v>
      </x:c>
      <x:c r="R37" s="28" t="n">
        <x:f>ROUNDDOWN(N37*'Inputs'!$B$25,0)</x:f>
        <x:v>0</x:v>
      </x:c>
      <x:c r="S37" s="28" t="n">
        <x:f>ROUNDDOWN(L37*'Inputs'!$B$20,0)+ROUNDDOWN(K37*'Inputs'!$B$26,0)</x:f>
        <x:v>12</x:v>
      </x:c>
      <x:c r="T37" s="28" t="n">
        <x:f>ROUNDDOWN(N37*'Inputs'!$B$26,0)</x:f>
        <x:v>1</x:v>
      </x:c>
      <x:c r="U37" s="28" t="n">
        <x:f>0</x:f>
        <x:v>0</x:v>
      </x:c>
      <x:c r="V37" s="40" t="n">
        <x:f>K37/('Inputs'!$B$14*(1+'Inputs'!$B$15*(D37-1))*J37/24)</x:f>
        <x:v>1.3597733711048157</x:v>
      </x:c>
      <x:c r="W37" s="40" t="n">
        <x:f>N37/('Inputs'!$B$16*(1+'Inputs'!$B$17*(D37-1))*J37/24)</x:f>
        <x:v>1.2820512820512822</x:v>
      </x:c>
      <x:c r="X37" s="28" t="n">
        <x:v>35</x:v>
      </x:c>
      <x:c r="Y37" s="28" t="n">
        <x:v>0.332</x:v>
      </x:c>
      <x:c r="Z37" s="28" t="str">
        <x:v>Roadmap!A10:K10</x:v>
      </x:c>
      <x:c r="AA37" s="28" t="str">
        <x:v>20 minutes. Trades 10% base XP for 10% base coin output; schedule choice still matters. Launch-ready design; asset QA required.</x:v>
      </x:c>
      <x:c r="AB37" s="28" t="str">
        <x:f>IF(AND(K37&gt;0,L37&gt;0,N37&gt;0,U37=0,V37&lt;=1.5,W37&lt;=1.5),"MODEL OK","REVIEW")</x:f>
        <x:v>MODEL OK</x:v>
      </x:c>
    </x:row>
    <x:row r="38" ht="62" customHeight="1">
      <x:c r="A38" s="28" t="str">
        <x:v>RF-08</x:v>
      </x:c>
      <x:c r="B38" s="28" t="str">
        <x:v>Firefish Goby</x:v>
      </x:c>
      <x:c r="C38" s="28" t="str">
        <x:v>Uncommon</x:v>
      </x:c>
      <x:c r="D38" s="32" t="n">
        <x:v>19</x:v>
      </x:c>
      <x:c r="E38" s="32" t="str">
        <x:v>Launch</x:v>
      </x:c>
      <x:c r="F38" s="32" t="str">
        <x:v>SC-8H</x:v>
      </x:c>
      <x:c r="G38" s="32" t="str">
        <x:v>Balanced</x:v>
      </x:c>
      <x:c r="H38" s="32" t="n">
        <x:v>1</x:v>
      </x:c>
      <x:c r="I38" s="32" t="n">
        <x:v>1</x:v>
      </x:c>
      <x:c r="J38" s="40" t="n">
        <x:f>VLOOKUP(F38,'Schedules'!$A$5:$G$9,3,FALSE)</x:f>
        <x:v>8</x:v>
      </x:c>
      <x:c r="K38" s="28" t="n">
        <x:f>ROUND('Inputs'!$B$14*(1+'Inputs'!$B$15*(D38-1))*J38/24*VLOOKUP(F38,'Schedules'!$A$5:$G$9,4,FALSE)*H38,0)</x:f>
        <x:v>282</x:v>
      </x:c>
      <x:c r="L38" s="28" t="n">
        <x:f>MAX('Inputs'!$B$19,ROUND(K38*'Inputs'!$B$18,0))</x:f>
        <x:v>71</x:v>
      </x:c>
      <x:c r="M38" s="28" t="n">
        <x:f>L38+K38</x:f>
        <x:v>353</x:v>
      </x:c>
      <x:c r="N38" s="28" t="n">
        <x:f>ROUND('Inputs'!$B$16*(1+'Inputs'!$B$17*(D38-1))*J38/24*VLOOKUP(F38,'Schedules'!$A$5:$G$9,5,FALSE)*I38,0)</x:f>
        <x:v>49</x:v>
      </x:c>
      <x:c r="O38" s="28" t="n">
        <x:f>ROUNDDOWN(L38*'Inputs'!$B$20,0)+ROUNDDOWN(K38*'Inputs'!$B$24,0)</x:f>
        <x:v>95</x:v>
      </x:c>
      <x:c r="P38" s="28" t="n">
        <x:f>ROUNDDOWN(N38*'Inputs'!$B$24,0)</x:f>
        <x:v>4</x:v>
      </x:c>
      <x:c r="Q38" s="28" t="n">
        <x:f>ROUNDDOWN(L38*'Inputs'!$B$20,0)+ROUNDDOWN(K38*'Inputs'!$B$25,0)</x:f>
        <x:v>179</x:v>
      </x:c>
      <x:c r="R38" s="28" t="n">
        <x:f>ROUNDDOWN(N38*'Inputs'!$B$25,0)</x:f>
        <x:v>19</x:v>
      </x:c>
      <x:c r="S38" s="28" t="n">
        <x:f>ROUNDDOWN(L38*'Inputs'!$B$20,0)+ROUNDDOWN(K38*'Inputs'!$B$26,0)</x:f>
        <x:v>264</x:v>
      </x:c>
      <x:c r="T38" s="28" t="n">
        <x:f>ROUNDDOWN(N38*'Inputs'!$B$26,0)</x:f>
        <x:v>34</x:v>
      </x:c>
      <x:c r="U38" s="28" t="n">
        <x:f>0</x:f>
        <x:v>0</x:v>
      </x:c>
      <x:c r="V38" s="40" t="n">
        <x:f>K38/('Inputs'!$B$14*(1+'Inputs'!$B$15*(D38-1))*J38/24)</x:f>
        <x:v>1.298342541436464</x:v>
      </x:c>
      <x:c r="W38" s="40" t="n">
        <x:f>N38/('Inputs'!$B$16*(1+'Inputs'!$B$17*(D38-1))*J38/24)</x:f>
        <x:v>1.2976694915254239</x:v>
      </x:c>
      <x:c r="X38" s="28" t="n">
        <x:v>110</x:v>
      </x:c>
      <x:c r="Y38" s="28" t="n">
        <x:v>24</x:v>
      </x:c>
      <x:c r="Z38" s="28" t="str">
        <x:v>Roadmap!A11:K11</x:v>
      </x:c>
      <x:c r="AA38" s="28" t="str">
        <x:v>8 hours. Neutral coin/XP choice for a predictable return schedule. Launch-ready design; asset QA required.</x:v>
      </x:c>
      <x:c r="AB38" s="28" t="str">
        <x:f>IF(AND(K38&gt;0,L38&gt;0,N38&gt;0,U38=0,V38&lt;=1.5,W38&lt;=1.5),"MODEL OK","REVIEW")</x:f>
        <x:v>MODEL OK</x:v>
      </x:c>
    </x:row>
    <x:row r="39" ht="62" customHeight="1">
      <x:c r="A39" s="28" t="str">
        <x:v>RF-09</x:v>
      </x:c>
      <x:c r="B39" s="28" t="str">
        <x:v>Kuhli Loach</x:v>
      </x:c>
      <x:c r="C39" s="28" t="str">
        <x:v>Common</x:v>
      </x:c>
      <x:c r="D39" s="32" t="n">
        <x:v>21</x:v>
      </x:c>
      <x:c r="E39" s="32" t="str">
        <x:v>Reserve L1–40</x:v>
      </x:c>
      <x:c r="F39" s="32" t="str">
        <x:v>SC-44H</x:v>
      </x:c>
      <x:c r="G39" s="32" t="str">
        <x:v>Payout</x:v>
      </x:c>
      <x:c r="H39" s="32" t="n">
        <x:v>1</x:v>
      </x:c>
      <x:c r="I39" s="32" t="n">
        <x:v>1</x:v>
      </x:c>
      <x:c r="J39" s="40" t="n">
        <x:f>VLOOKUP(F39,'Schedules'!$A$5:$G$9,3,FALSE)</x:f>
        <x:v>44</x:v>
      </x:c>
      <x:c r="K39" s="28" t="n">
        <x:f>ROUND('Inputs'!$B$14*(1+'Inputs'!$B$15*(D39-1))*J39/24*VLOOKUP(F39,'Schedules'!$A$5:$G$9,4,FALSE)*H39,0)</x:f>
        <x:v>1154</x:v>
      </x:c>
      <x:c r="L39" s="28" t="n">
        <x:f>MAX('Inputs'!$B$19,ROUND(K39*'Inputs'!$B$18,0))</x:f>
        <x:v>289</x:v>
      </x:c>
      <x:c r="M39" s="28" t="n">
        <x:f>L39+K39</x:f>
        <x:v>1443</x:v>
      </x:c>
      <x:c r="N39" s="28" t="n">
        <x:f>ROUND('Inputs'!$B$16*(1+'Inputs'!$B$17*(D39-1))*J39/24*VLOOKUP(F39,'Schedules'!$A$5:$G$9,5,FALSE)*I39,0)</x:f>
        <x:v>194</x:v>
      </x:c>
      <x:c r="O39" s="28" t="n">
        <x:f>ROUNDDOWN(L39*'Inputs'!$B$20,0)+ROUNDDOWN(K39*'Inputs'!$B$24,0)</x:f>
        <x:v>389</x:v>
      </x:c>
      <x:c r="P39" s="28" t="n">
        <x:f>ROUNDDOWN(N39*'Inputs'!$B$24,0)</x:f>
        <x:v>19</x:v>
      </x:c>
      <x:c r="Q39" s="28" t="n">
        <x:f>ROUNDDOWN(L39*'Inputs'!$B$20,0)+ROUNDDOWN(K39*'Inputs'!$B$25,0)</x:f>
        <x:v>735</x:v>
      </x:c>
      <x:c r="R39" s="28" t="n">
        <x:f>ROUNDDOWN(N39*'Inputs'!$B$25,0)</x:f>
        <x:v>77</x:v>
      </x:c>
      <x:c r="S39" s="28" t="n">
        <x:f>ROUNDDOWN(L39*'Inputs'!$B$20,0)+ROUNDDOWN(K39*'Inputs'!$B$26,0)</x:f>
        <x:v>1081</x:v>
      </x:c>
      <x:c r="T39" s="28" t="n">
        <x:f>ROUNDDOWN(N39*'Inputs'!$B$26,0)</x:f>
        <x:v>135</x:v>
      </x:c>
      <x:c r="U39" s="28" t="n">
        <x:f>0</x:f>
        <x:v>0</x:v>
      </x:c>
      <x:c r="V39" s="40" t="n">
        <x:f>K39/('Inputs'!$B$14*(1+'Inputs'!$B$15*(D39-1))*J39/24)</x:f>
        <x:v>0.9202551834130781</x:v>
      </x:c>
      <x:c r="W39" s="40" t="n">
        <x:f>N39/('Inputs'!$B$16*(1+'Inputs'!$B$17*(D39-1))*J39/24)</x:f>
        <x:v>0.9185606060606062</x:v>
      </x:c>
      <x:c r="X39" s="28" t="n">
        <x:v>210</x:v>
      </x:c>
      <x:c r="Y39" s="28" t="n">
        <x:v>144</x:v>
      </x:c>
      <x:c r="Z39" s="28" t="str">
        <x:v>Roadmap!A12:K12</x:v>
      </x:c>
      <x:c r="AA39" s="28" t="str">
        <x:v>44 hours. Long cycle produces a larger single settlement, not a superior daily rate. Disabled until its release/content gate is approved.</x:v>
      </x:c>
      <x:c r="AB39" s="28" t="str">
        <x:f>IF(AND(K39&gt;0,L39&gt;0,N39&gt;0,U39=0,V39&lt;=1.5,W39&lt;=1.5),"MODEL OK","REVIEW")</x:f>
        <x:v>MODEL OK</x:v>
      </x:c>
    </x:row>
    <x:row r="40" ht="62" customHeight="1">
      <x:c r="A40" s="28" t="str">
        <x:v>RF-10</x:v>
      </x:c>
      <x:c r="B40" s="28" t="str">
        <x:v>Freshwater Angelfish</x:v>
      </x:c>
      <x:c r="C40" s="28" t="str">
        <x:v>Uncommon</x:v>
      </x:c>
      <x:c r="D40" s="32" t="n">
        <x:v>23</x:v>
      </x:c>
      <x:c r="E40" s="32" t="str">
        <x:v>Launch</x:v>
      </x:c>
      <x:c r="F40" s="32" t="str">
        <x:v>SC-20H</x:v>
      </x:c>
      <x:c r="G40" s="32" t="str">
        <x:v>Balanced</x:v>
      </x:c>
      <x:c r="H40" s="32" t="n">
        <x:v>1</x:v>
      </x:c>
      <x:c r="I40" s="32" t="n">
        <x:v>1</x:v>
      </x:c>
      <x:c r="J40" s="40" t="n">
        <x:f>VLOOKUP(F40,'Schedules'!$A$5:$G$9,3,FALSE)</x:f>
        <x:v>20</x:v>
      </x:c>
      <x:c r="K40" s="28" t="n">
        <x:f>ROUND('Inputs'!$B$14*(1+'Inputs'!$B$15*(D40-1))*J40/24*VLOOKUP(F40,'Schedules'!$A$5:$G$9,4,FALSE)*H40,0)</x:f>
        <x:v>597</x:v>
      </x:c>
      <x:c r="L40" s="28" t="n">
        <x:f>MAX('Inputs'!$B$19,ROUND(K40*'Inputs'!$B$18,0))</x:f>
        <x:v>149</x:v>
      </x:c>
      <x:c r="M40" s="28" t="n">
        <x:f>L40+K40</x:f>
        <x:v>746</x:v>
      </x:c>
      <x:c r="N40" s="28" t="n">
        <x:f>ROUND('Inputs'!$B$16*(1+'Inputs'!$B$17*(D40-1))*J40/24*VLOOKUP(F40,'Schedules'!$A$5:$G$9,5,FALSE)*I40,0)</x:f>
        <x:v>98</x:v>
      </x:c>
      <x:c r="O40" s="28" t="n">
        <x:f>ROUNDDOWN(L40*'Inputs'!$B$20,0)+ROUNDDOWN(K40*'Inputs'!$B$24,0)</x:f>
        <x:v>200</x:v>
      </x:c>
      <x:c r="P40" s="28" t="n">
        <x:f>ROUNDDOWN(N40*'Inputs'!$B$24,0)</x:f>
        <x:v>9</x:v>
      </x:c>
      <x:c r="Q40" s="28" t="n">
        <x:f>ROUNDDOWN(L40*'Inputs'!$B$20,0)+ROUNDDOWN(K40*'Inputs'!$B$25,0)</x:f>
        <x:v>379</x:v>
      </x:c>
      <x:c r="R40" s="28" t="n">
        <x:f>ROUNDDOWN(N40*'Inputs'!$B$25,0)</x:f>
        <x:v>39</x:v>
      </x:c>
      <x:c r="S40" s="28" t="n">
        <x:f>ROUNDDOWN(L40*'Inputs'!$B$20,0)+ROUNDDOWN(K40*'Inputs'!$B$26,0)</x:f>
        <x:v>558</x:v>
      </x:c>
      <x:c r="T40" s="28" t="n">
        <x:f>ROUNDDOWN(N40*'Inputs'!$B$26,0)</x:f>
        <x:v>68</x:v>
      </x:c>
      <x:c r="U40" s="28" t="n">
        <x:f>0</x:f>
        <x:v>0</x:v>
      </x:c>
      <x:c r="V40" s="40" t="n">
        <x:f>K40/('Inputs'!$B$14*(1+'Inputs'!$B$15*(D40-1))*J40/24)</x:f>
        <x:v>1</x:v>
      </x:c>
      <x:c r="W40" s="40" t="n">
        <x:f>N40/('Inputs'!$B$16*(1+'Inputs'!$B$17*(D40-1))*J40/24)</x:f>
        <x:v>1.0040983606557377</x:v>
      </x:c>
      <x:c r="X40" s="28" t="n">
        <x:v>130</x:v>
      </x:c>
      <x:c r="Y40" s="28" t="n">
        <x:v>32</x:v>
      </x:c>
      <x:c r="Z40" s="28" t="str">
        <x:v>Roadmap!A13:K13</x:v>
      </x:c>
      <x:c r="AA40" s="28" t="str">
        <x:v>20 hours. Neutral coin/XP choice for a predictable return schedule. Launch-ready design; asset QA required.</x:v>
      </x:c>
      <x:c r="AB40" s="28" t="str">
        <x:f>IF(AND(K40&gt;0,L40&gt;0,N40&gt;0,U40=0,V40&lt;=1.5,W40&lt;=1.5),"MODEL OK","REVIEW")</x:f>
        <x:v>MODEL OK</x:v>
      </x:c>
    </x:row>
    <x:row r="41" ht="62" customHeight="1">
      <x:c r="A41" s="28" t="str">
        <x:v>RF-11</x:v>
      </x:c>
      <x:c r="B41" s="28" t="str">
        <x:v>Bicolor Blenny</x:v>
      </x:c>
      <x:c r="C41" s="28" t="str">
        <x:v>Uncommon</x:v>
      </x:c>
      <x:c r="D41" s="32" t="n">
        <x:v>25</x:v>
      </x:c>
      <x:c r="E41" s="32" t="str">
        <x:v>Launch</x:v>
      </x:c>
      <x:c r="F41" s="32" t="str">
        <x:v>SC-2H</x:v>
      </x:c>
      <x:c r="G41" s="32" t="str">
        <x:v>Balanced</x:v>
      </x:c>
      <x:c r="H41" s="32" t="n">
        <x:v>1</x:v>
      </x:c>
      <x:c r="I41" s="32" t="n">
        <x:v>1</x:v>
      </x:c>
      <x:c r="J41" s="40" t="n">
        <x:f>VLOOKUP(F41,'Schedules'!$A$5:$G$9,3,FALSE)</x:f>
        <x:v>2</x:v>
      </x:c>
      <x:c r="K41" s="28" t="n">
        <x:f>ROUND('Inputs'!$B$14*(1+'Inputs'!$B$15*(D41-1))*J41/24*VLOOKUP(F41,'Schedules'!$A$5:$G$9,4,FALSE)*H41,0)</x:f>
        <x:v>81</x:v>
      </x:c>
      <x:c r="L41" s="28" t="n">
        <x:f>MAX('Inputs'!$B$19,ROUND(K41*'Inputs'!$B$18,0))</x:f>
        <x:v>20</x:v>
      </x:c>
      <x:c r="M41" s="28" t="n">
        <x:f>L41+K41</x:f>
        <x:v>101</x:v>
      </x:c>
      <x:c r="N41" s="28" t="n">
        <x:f>ROUND('Inputs'!$B$16*(1+'Inputs'!$B$17*(D41-1))*J41/24*VLOOKUP(F41,'Schedules'!$A$5:$G$9,5,FALSE)*I41,0)</x:f>
        <x:v>13</x:v>
      </x:c>
      <x:c r="O41" s="28" t="n">
        <x:f>ROUNDDOWN(L41*'Inputs'!$B$20,0)+ROUNDDOWN(K41*'Inputs'!$B$24,0)</x:f>
        <x:v>27</x:v>
      </x:c>
      <x:c r="P41" s="28" t="n">
        <x:f>ROUNDDOWN(N41*'Inputs'!$B$24,0)</x:f>
        <x:v>1</x:v>
      </x:c>
      <x:c r="Q41" s="28" t="n">
        <x:f>ROUNDDOWN(L41*'Inputs'!$B$20,0)+ROUNDDOWN(K41*'Inputs'!$B$25,0)</x:f>
        <x:v>51</x:v>
      </x:c>
      <x:c r="R41" s="28" t="n">
        <x:f>ROUNDDOWN(N41*'Inputs'!$B$25,0)</x:f>
        <x:v>5</x:v>
      </x:c>
      <x:c r="S41" s="28" t="n">
        <x:f>ROUNDDOWN(L41*'Inputs'!$B$20,0)+ROUNDDOWN(K41*'Inputs'!$B$26,0)</x:f>
        <x:v>75</x:v>
      </x:c>
      <x:c r="T41" s="28" t="n">
        <x:f>ROUNDDOWN(N41*'Inputs'!$B$26,0)</x:f>
        <x:v>9</x:v>
      </x:c>
      <x:c r="U41" s="28" t="n">
        <x:f>0</x:f>
        <x:v>0</x:v>
      </x:c>
      <x:c r="V41" s="40" t="n">
        <x:f>K41/('Inputs'!$B$14*(1+'Inputs'!$B$15*(D41-1))*J41/24)</x:f>
        <x:v>1.298076923076923</x:v>
      </x:c>
      <x:c r="W41" s="40" t="n">
        <x:f>N41/('Inputs'!$B$16*(1+'Inputs'!$B$17*(D41-1))*J41/24)</x:f>
        <x:v>1.310483870967742</x:v>
      </x:c>
      <x:c r="X41" s="28" t="n">
        <x:v>55</x:v>
      </x:c>
      <x:c r="Y41" s="28" t="n">
        <x:v>4</x:v>
      </x:c>
      <x:c r="Z41" s="28" t="str">
        <x:v>Roadmap!A14:K14</x:v>
      </x:c>
      <x:c r="AA41" s="28" t="str">
        <x:v>2 hours. Neutral coin/XP choice for a predictable return schedule. Launch-ready design; asset QA required.</x:v>
      </x:c>
      <x:c r="AB41" s="28" t="str">
        <x:f>IF(AND(K41&gt;0,L41&gt;0,N41&gt;0,U41=0,V41&lt;=1.5,W41&lt;=1.5),"MODEL OK","REVIEW")</x:f>
        <x:v>MODEL OK</x:v>
      </x:c>
    </x:row>
    <x:row r="42" ht="62" customHeight="1">
      <x:c r="A42" s="28" t="str">
        <x:v>RF-12</x:v>
      </x:c>
      <x:c r="B42" s="28" t="str">
        <x:v>Royal Dottyback</x:v>
      </x:c>
      <x:c r="C42" s="28" t="str">
        <x:v>Uncommon</x:v>
      </x:c>
      <x:c r="D42" s="32" t="n">
        <x:v>27</x:v>
      </x:c>
      <x:c r="E42" s="32" t="str">
        <x:v>Launch</x:v>
      </x:c>
      <x:c r="F42" s="32" t="str">
        <x:v>SC-8H</x:v>
      </x:c>
      <x:c r="G42" s="32" t="str">
        <x:v>Balanced</x:v>
      </x:c>
      <x:c r="H42" s="32" t="n">
        <x:v>1</x:v>
      </x:c>
      <x:c r="I42" s="32" t="n">
        <x:v>1</x:v>
      </x:c>
      <x:c r="J42" s="40" t="n">
        <x:f>VLOOKUP(F42,'Schedules'!$A$5:$G$9,3,FALSE)</x:f>
        <x:v>8</x:v>
      </x:c>
      <x:c r="K42" s="28" t="n">
        <x:f>ROUND('Inputs'!$B$14*(1+'Inputs'!$B$15*(D42-1))*J42/24*VLOOKUP(F42,'Schedules'!$A$5:$G$9,4,FALSE)*H42,0)</x:f>
        <x:v>339</x:v>
      </x:c>
      <x:c r="L42" s="28" t="n">
        <x:f>MAX('Inputs'!$B$19,ROUND(K42*'Inputs'!$B$18,0))</x:f>
        <x:v>85</x:v>
      </x:c>
      <x:c r="M42" s="28" t="n">
        <x:f>L42+K42</x:f>
        <x:v>424</x:v>
      </x:c>
      <x:c r="N42" s="28" t="n">
        <x:f>ROUND('Inputs'!$B$16*(1+'Inputs'!$B$17*(D42-1))*J42/24*VLOOKUP(F42,'Schedules'!$A$5:$G$9,5,FALSE)*I42,0)</x:f>
        <x:v>52</x:v>
      </x:c>
      <x:c r="O42" s="28" t="n">
        <x:f>ROUNDDOWN(L42*'Inputs'!$B$20,0)+ROUNDDOWN(K42*'Inputs'!$B$24,0)</x:f>
        <x:v>113</x:v>
      </x:c>
      <x:c r="P42" s="28" t="n">
        <x:f>ROUNDDOWN(N42*'Inputs'!$B$24,0)</x:f>
        <x:v>5</x:v>
      </x:c>
      <x:c r="Q42" s="28" t="n">
        <x:f>ROUNDDOWN(L42*'Inputs'!$B$20,0)+ROUNDDOWN(K42*'Inputs'!$B$25,0)</x:f>
        <x:v>215</x:v>
      </x:c>
      <x:c r="R42" s="28" t="n">
        <x:f>ROUNDDOWN(N42*'Inputs'!$B$25,0)</x:f>
        <x:v>20</x:v>
      </x:c>
      <x:c r="S42" s="28" t="n">
        <x:f>ROUNDDOWN(L42*'Inputs'!$B$20,0)+ROUNDDOWN(K42*'Inputs'!$B$26,0)</x:f>
        <x:v>317</x:v>
      </x:c>
      <x:c r="T42" s="28" t="n">
        <x:f>ROUNDDOWN(N42*'Inputs'!$B$26,0)</x:f>
        <x:v>36</x:v>
      </x:c>
      <x:c r="U42" s="28" t="n">
        <x:f>0</x:f>
        <x:v>0</x:v>
      </x:c>
      <x:c r="V42" s="40" t="n">
        <x:f>K42/('Inputs'!$B$14*(1+'Inputs'!$B$15*(D42-1))*J42/24)</x:f>
        <x:v>1.3018433179723503</x:v>
      </x:c>
      <x:c r="W42" s="40" t="n">
        <x:f>N42/('Inputs'!$B$16*(1+'Inputs'!$B$17*(D42-1))*J42/24)</x:f>
        <x:v>1.2896825396825398</x:v>
      </x:c>
      <x:c r="X42" s="28" t="n">
        <x:v>110</x:v>
      </x:c>
      <x:c r="Y42" s="28" t="n">
        <x:v>16</x:v>
      </x:c>
      <x:c r="Z42" s="28" t="str">
        <x:v>Roadmap!A15:K15</x:v>
      </x:c>
      <x:c r="AA42" s="28" t="str">
        <x:v>8 hours. Neutral coin/XP choice for a predictable return schedule. Launch-ready design; asset QA required.</x:v>
      </x:c>
      <x:c r="AB42" s="28" t="str">
        <x:f>IF(AND(K42&gt;0,L42&gt;0,N42&gt;0,U42=0,V42&lt;=1.5,W42&lt;=1.5),"MODEL OK","REVIEW")</x:f>
        <x:v>MODEL OK</x:v>
      </x:c>
    </x:row>
    <x:row r="43" ht="62" customHeight="1">
      <x:c r="A43" s="28" t="str">
        <x:v>RF-13</x:v>
      </x:c>
      <x:c r="B43" s="28" t="str">
        <x:v>Golden Puffer</x:v>
      </x:c>
      <x:c r="C43" s="28" t="str">
        <x:v>Rare</x:v>
      </x:c>
      <x:c r="D43" s="32" t="n">
        <x:v>28</x:v>
      </x:c>
      <x:c r="E43" s="32" t="str">
        <x:v>Launch</x:v>
      </x:c>
      <x:c r="F43" s="32" t="str">
        <x:v>SC-8H</x:v>
      </x:c>
      <x:c r="G43" s="32" t="str">
        <x:v>Collection</x:v>
      </x:c>
      <x:c r="H43" s="32" t="n">
        <x:v>1</x:v>
      </x:c>
      <x:c r="I43" s="32" t="n">
        <x:v>1</x:v>
      </x:c>
      <x:c r="J43" s="40" t="n">
        <x:f>VLOOKUP(F43,'Schedules'!$A$5:$G$9,3,FALSE)</x:f>
        <x:v>8</x:v>
      </x:c>
      <x:c r="K43" s="28" t="n">
        <x:f>ROUND('Inputs'!$B$14*(1+'Inputs'!$B$15*(D43-1))*J43/24*VLOOKUP(F43,'Schedules'!$A$5:$G$9,4,FALSE)*H43,0)</x:f>
        <x:v>346</x:v>
      </x:c>
      <x:c r="L43" s="28" t="n">
        <x:f>MAX('Inputs'!$B$19,ROUND(K43*'Inputs'!$B$18,0))</x:f>
        <x:v>87</x:v>
      </x:c>
      <x:c r="M43" s="28" t="n">
        <x:f>L43+K43</x:f>
        <x:v>433</x:v>
      </x:c>
      <x:c r="N43" s="28" t="n">
        <x:f>ROUND('Inputs'!$B$16*(1+'Inputs'!$B$17*(D43-1))*J43/24*VLOOKUP(F43,'Schedules'!$A$5:$G$9,5,FALSE)*I43,0)</x:f>
        <x:v>53</x:v>
      </x:c>
      <x:c r="O43" s="28" t="n">
        <x:f>ROUNDDOWN(L43*'Inputs'!$B$20,0)+ROUNDDOWN(K43*'Inputs'!$B$24,0)</x:f>
        <x:v>116</x:v>
      </x:c>
      <x:c r="P43" s="28" t="n">
        <x:f>ROUNDDOWN(N43*'Inputs'!$B$24,0)</x:f>
        <x:v>5</x:v>
      </x:c>
      <x:c r="Q43" s="28" t="n">
        <x:f>ROUNDDOWN(L43*'Inputs'!$B$20,0)+ROUNDDOWN(K43*'Inputs'!$B$25,0)</x:f>
        <x:v>220</x:v>
      </x:c>
      <x:c r="R43" s="28" t="n">
        <x:f>ROUNDDOWN(N43*'Inputs'!$B$25,0)</x:f>
        <x:v>21</x:v>
      </x:c>
      <x:c r="S43" s="28" t="n">
        <x:f>ROUNDDOWN(L43*'Inputs'!$B$20,0)+ROUNDDOWN(K43*'Inputs'!$B$26,0)</x:f>
        <x:v>324</x:v>
      </x:c>
      <x:c r="T43" s="28" t="n">
        <x:f>ROUNDDOWN(N43*'Inputs'!$B$26,0)</x:f>
        <x:v>37</x:v>
      </x:c>
      <x:c r="U43" s="28" t="n">
        <x:f>0</x:f>
        <x:v>0</x:v>
      </x:c>
      <x:c r="V43" s="40" t="n">
        <x:f>K43/('Inputs'!$B$14*(1+'Inputs'!$B$15*(D43-1))*J43/24)</x:f>
        <x:v>1.3017306245297215</x:v>
      </x:c>
      <x:c r="W43" s="40" t="n">
        <x:f>N43/('Inputs'!$B$16*(1+'Inputs'!$B$17*(D43-1))*J43/24)</x:f>
        <x:v>1.3041338582677164</x:v>
      </x:c>
      <x:c r="X43" s="28" t="n">
        <x:v>130</x:v>
      </x:c>
      <x:c r="Y43" s="28" t="n">
        <x:v>16</x:v>
      </x:c>
      <x:c r="Z43" s="28" t="str">
        <x:v>Roadmap!A16:K16</x:v>
      </x:c>
      <x:c r="AA43" s="28" t="str">
        <x:v>8 hours. Distinctive journal/scene choice; no hidden collection-stat multiplier. Launch-ready design; asset QA required.</x:v>
      </x:c>
      <x:c r="AB43" s="28" t="str">
        <x:f>IF(AND(K43&gt;0,L43&gt;0,N43&gt;0,U43=0,V43&lt;=1.5,W43&lt;=1.5),"MODEL OK","REVIEW")</x:f>
        <x:v>MODEL OK</x:v>
      </x:c>
    </x:row>
    <x:row r="44" ht="62" customHeight="1">
      <x:c r="A44" s="28" t="str">
        <x:v>RF-14</x:v>
      </x:c>
      <x:c r="B44" s="28" t="str">
        <x:v>Longnose Hawkfish</x:v>
      </x:c>
      <x:c r="C44" s="28" t="str">
        <x:v>Uncommon</x:v>
      </x:c>
      <x:c r="D44" s="32" t="n">
        <x:v>31</x:v>
      </x:c>
      <x:c r="E44" s="32" t="str">
        <x:v>Reserve L1–40</x:v>
      </x:c>
      <x:c r="F44" s="32" t="str">
        <x:v>SC-44H</x:v>
      </x:c>
      <x:c r="G44" s="32" t="str">
        <x:v>Convenience</x:v>
      </x:c>
      <x:c r="H44" s="32" t="n">
        <x:v>1</x:v>
      </x:c>
      <x:c r="I44" s="32" t="n">
        <x:v>1</x:v>
      </x:c>
      <x:c r="J44" s="40" t="n">
        <x:f>VLOOKUP(F44,'Schedules'!$A$5:$G$9,3,FALSE)</x:f>
        <x:v>44</x:v>
      </x:c>
      <x:c r="K44" s="28" t="n">
        <x:f>ROUND('Inputs'!$B$14*(1+'Inputs'!$B$15*(D44-1))*J44/24*VLOOKUP(F44,'Schedules'!$A$5:$G$9,4,FALSE)*H44,0)</x:f>
        <x:v>1427</x:v>
      </x:c>
      <x:c r="L44" s="28" t="n">
        <x:f>MAX('Inputs'!$B$19,ROUND(K44*'Inputs'!$B$18,0))</x:f>
        <x:v>357</x:v>
      </x:c>
      <x:c r="M44" s="28" t="n">
        <x:f>L44+K44</x:f>
        <x:v>1784</x:v>
      </x:c>
      <x:c r="N44" s="28" t="n">
        <x:f>ROUND('Inputs'!$B$16*(1+'Inputs'!$B$17*(D44-1))*J44/24*VLOOKUP(F44,'Schedules'!$A$5:$G$9,5,FALSE)*I44,0)</x:f>
        <x:v>210</x:v>
      </x:c>
      <x:c r="O44" s="28" t="n">
        <x:f>ROUNDDOWN(L44*'Inputs'!$B$20,0)+ROUNDDOWN(K44*'Inputs'!$B$24,0)</x:f>
        <x:v>481</x:v>
      </x:c>
      <x:c r="P44" s="28" t="n">
        <x:f>ROUNDDOWN(N44*'Inputs'!$B$24,0)</x:f>
        <x:v>21</x:v>
      </x:c>
      <x:c r="Q44" s="28" t="n">
        <x:f>ROUNDDOWN(L44*'Inputs'!$B$20,0)+ROUNDDOWN(K44*'Inputs'!$B$25,0)</x:f>
        <x:v>909</x:v>
      </x:c>
      <x:c r="R44" s="28" t="n">
        <x:f>ROUNDDOWN(N44*'Inputs'!$B$25,0)</x:f>
        <x:v>84</x:v>
      </x:c>
      <x:c r="S44" s="28" t="n">
        <x:f>ROUNDDOWN(L44*'Inputs'!$B$20,0)+ROUNDDOWN(K44*'Inputs'!$B$26,0)</x:f>
        <x:v>1337</x:v>
      </x:c>
      <x:c r="T44" s="28" t="n">
        <x:f>ROUNDDOWN(N44*'Inputs'!$B$26,0)</x:f>
        <x:v>147</x:v>
      </x:c>
      <x:c r="U44" s="28" t="n">
        <x:f>0</x:f>
        <x:v>0</x:v>
      </x:c>
      <x:c r="V44" s="40" t="n">
        <x:f>K44/('Inputs'!$B$14*(1+'Inputs'!$B$15*(D44-1))*J44/24)</x:f>
        <x:v>0.9200515796260479</x:v>
      </x:c>
      <x:c r="W44" s="40" t="n">
        <x:f>N44/('Inputs'!$B$16*(1+'Inputs'!$B$17*(D44-1))*J44/24)</x:f>
        <x:v>0.9178321678321677</x:v>
      </x:c>
      <x:c r="X44" s="28" t="n">
        <x:v>260</x:v>
      </x:c>
      <x:c r="Y44" s="28" t="n">
        <x:v>96</x:v>
      </x:c>
      <x:c r="Z44" s="28" t="str">
        <x:v>Roadmap!A17:K17</x:v>
      </x:c>
      <x:c r="AA44" s="28" t="str">
        <x:v>44 hours. Longer unattended cycle; no absence penalty and no special care requirement. Disabled until its release/content gate is approved.</x:v>
      </x:c>
      <x:c r="AB44" s="28" t="str">
        <x:f>IF(AND(K44&gt;0,L44&gt;0,N44&gt;0,U44=0,V44&lt;=1.5,W44&lt;=1.5),"MODEL OK","REVIEW")</x:f>
        <x:v>MODEL OK</x:v>
      </x:c>
    </x:row>
    <x:row r="45" ht="62" customHeight="1">
      <x:c r="A45" s="28" t="str">
        <x:v>RF-15</x:v>
      </x:c>
      <x:c r="B45" s="28" t="str">
        <x:v>Velvet Damselfish</x:v>
      </x:c>
      <x:c r="C45" s="28" t="str">
        <x:v>Rare</x:v>
      </x:c>
      <x:c r="D45" s="32" t="n">
        <x:v>31</x:v>
      </x:c>
      <x:c r="E45" s="32" t="str">
        <x:v>Reserve L1–40</x:v>
      </x:c>
      <x:c r="F45" s="32" t="str">
        <x:v>SC-20M</x:v>
      </x:c>
      <x:c r="G45" s="32" t="str">
        <x:v>Coin Specialist</x:v>
      </x:c>
      <x:c r="H45" s="32" t="n">
        <x:v>1.1</x:v>
      </x:c>
      <x:c r="I45" s="32" t="n">
        <x:v>0.9</x:v>
      </x:c>
      <x:c r="J45" s="40" t="n">
        <x:f>VLOOKUP(F45,'Schedules'!$A$5:$G$9,3,FALSE)</x:f>
        <x:v>0.3333333333333333</x:v>
      </x:c>
      <x:c r="K45" s="28" t="n">
        <x:f>ROUND('Inputs'!$B$14*(1+'Inputs'!$B$15*(D45-1))*J45/24*VLOOKUP(F45,'Schedules'!$A$5:$G$9,4,FALSE)*H45,0)</x:f>
        <x:v>16</x:v>
      </x:c>
      <x:c r="L45" s="28" t="n">
        <x:f>MAX('Inputs'!$B$19,ROUND(K45*'Inputs'!$B$18,0))</x:f>
        <x:v>5</x:v>
      </x:c>
      <x:c r="M45" s="28" t="n">
        <x:f>L45+K45</x:f>
        <x:v>21</x:v>
      </x:c>
      <x:c r="N45" s="28" t="n">
        <x:f>ROUND('Inputs'!$B$16*(1+'Inputs'!$B$17*(D45-1))*J45/24*VLOOKUP(F45,'Schedules'!$A$5:$G$9,5,FALSE)*I45,0)</x:f>
        <x:v>2</x:v>
      </x:c>
      <x:c r="O45" s="28" t="n">
        <x:f>ROUNDDOWN(L45*'Inputs'!$B$20,0)+ROUNDDOWN(K45*'Inputs'!$B$24,0)</x:f>
        <x:v>5</x:v>
      </x:c>
      <x:c r="P45" s="28" t="n">
        <x:f>ROUNDDOWN(N45*'Inputs'!$B$24,0)</x:f>
        <x:v>0</x:v>
      </x:c>
      <x:c r="Q45" s="28" t="n">
        <x:f>ROUNDDOWN(L45*'Inputs'!$B$20,0)+ROUNDDOWN(K45*'Inputs'!$B$25,0)</x:f>
        <x:v>10</x:v>
      </x:c>
      <x:c r="R45" s="28" t="n">
        <x:f>ROUNDDOWN(N45*'Inputs'!$B$25,0)</x:f>
        <x:v>0</x:v>
      </x:c>
      <x:c r="S45" s="28" t="n">
        <x:f>ROUNDDOWN(L45*'Inputs'!$B$20,0)+ROUNDDOWN(K45*'Inputs'!$B$26,0)</x:f>
        <x:v>15</x:v>
      </x:c>
      <x:c r="T45" s="28" t="n">
        <x:f>ROUNDDOWN(N45*'Inputs'!$B$26,0)</x:f>
        <x:v>1</x:v>
      </x:c>
      <x:c r="U45" s="28" t="n">
        <x:f>0</x:f>
        <x:v>0</x:v>
      </x:c>
      <x:c r="V45" s="40" t="n">
        <x:f>K45/('Inputs'!$B$14*(1+'Inputs'!$B$15*(D45-1))*J45/24)</x:f>
        <x:v>1.3617021276595747</x:v>
      </x:c>
      <x:c r="W45" s="40" t="n">
        <x:f>N45/('Inputs'!$B$16*(1+'Inputs'!$B$17*(D45-1))*J45/24)</x:f>
        <x:v>1.1538461538461537</x:v>
      </x:c>
      <x:c r="X45" s="28" t="n">
        <x:v>85</x:v>
      </x:c>
      <x:c r="Y45" s="28" t="n">
        <x:v>0.332</x:v>
      </x:c>
      <x:c r="Z45" s="28" t="str">
        <x:v>Roadmap!A18:K18</x:v>
      </x:c>
      <x:c r="AA45" s="28" t="str">
        <x:v>20 minutes. Trades 10% base XP for 10% base coin output; schedule choice still matters. Disabled until its release/content gate is approved.</x:v>
      </x:c>
      <x:c r="AB45" s="28" t="str">
        <x:f>IF(AND(K45&gt;0,L45&gt;0,N45&gt;0,U45=0,V45&lt;=1.5,W45&lt;=1.5),"MODEL OK","REVIEW")</x:f>
        <x:v>MODEL OK</x:v>
      </x:c>
    </x:row>
    <x:row r="46" ht="62" customHeight="1">
      <x:c r="A46" s="28" t="str">
        <x:v>RF-16</x:v>
      </x:c>
      <x:c r="B46" s="28" t="str">
        <x:v>Sunburst Anthias</x:v>
      </x:c>
      <x:c r="C46" s="28" t="str">
        <x:v>Rare</x:v>
      </x:c>
      <x:c r="D46" s="32" t="n">
        <x:v>34</x:v>
      </x:c>
      <x:c r="E46" s="32" t="str">
        <x:v>Launch</x:v>
      </x:c>
      <x:c r="F46" s="32" t="str">
        <x:v>SC-8H</x:v>
      </x:c>
      <x:c r="G46" s="32" t="str">
        <x:v>Collection</x:v>
      </x:c>
      <x:c r="H46" s="32" t="n">
        <x:v>1</x:v>
      </x:c>
      <x:c r="I46" s="32" t="n">
        <x:v>1</x:v>
      </x:c>
      <x:c r="J46" s="40" t="n">
        <x:f>VLOOKUP(F46,'Schedules'!$A$5:$G$9,3,FALSE)</x:f>
        <x:v>8</x:v>
      </x:c>
      <x:c r="K46" s="28" t="n">
        <x:f>ROUND('Inputs'!$B$14*(1+'Inputs'!$B$15*(D46-1))*J46/24*VLOOKUP(F46,'Schedules'!$A$5:$G$9,4,FALSE)*H46,0)</x:f>
        <x:v>388</x:v>
      </x:c>
      <x:c r="L46" s="28" t="n">
        <x:f>MAX('Inputs'!$B$19,ROUND(K46*'Inputs'!$B$18,0))</x:f>
        <x:v>97</x:v>
      </x:c>
      <x:c r="M46" s="28" t="n">
        <x:f>L46+K46</x:f>
        <x:v>485</x:v>
      </x:c>
      <x:c r="N46" s="28" t="n">
        <x:f>ROUND('Inputs'!$B$16*(1+'Inputs'!$B$17*(D46-1))*J46/24*VLOOKUP(F46,'Schedules'!$A$5:$G$9,5,FALSE)*I46,0)</x:f>
        <x:v>55</x:v>
      </x:c>
      <x:c r="O46" s="28" t="n">
        <x:f>ROUNDDOWN(L46*'Inputs'!$B$20,0)+ROUNDDOWN(K46*'Inputs'!$B$24,0)</x:f>
        <x:v>130</x:v>
      </x:c>
      <x:c r="P46" s="28" t="n">
        <x:f>ROUNDDOWN(N46*'Inputs'!$B$24,0)</x:f>
        <x:v>5</x:v>
      </x:c>
      <x:c r="Q46" s="28" t="n">
        <x:f>ROUNDDOWN(L46*'Inputs'!$B$20,0)+ROUNDDOWN(K46*'Inputs'!$B$25,0)</x:f>
        <x:v>247</x:v>
      </x:c>
      <x:c r="R46" s="28" t="n">
        <x:f>ROUNDDOWN(N46*'Inputs'!$B$25,0)</x:f>
        <x:v>22</x:v>
      </x:c>
      <x:c r="S46" s="28" t="n">
        <x:f>ROUNDDOWN(L46*'Inputs'!$B$20,0)+ROUNDDOWN(K46*'Inputs'!$B$26,0)</x:f>
        <x:v>363</x:v>
      </x:c>
      <x:c r="T46" s="28" t="n">
        <x:f>ROUNDDOWN(N46*'Inputs'!$B$26,0)</x:f>
        <x:v>38</x:v>
      </x:c>
      <x:c r="U46" s="28" t="n">
        <x:f>0</x:f>
        <x:v>0</x:v>
      </x:c>
      <x:c r="V46" s="40" t="n">
        <x:f>K46/('Inputs'!$B$14*(1+'Inputs'!$B$15*(D46-1))*J46/24)</x:f>
        <x:v>1.3011401743796112</x:v>
      </x:c>
      <x:c r="W46" s="40" t="n">
        <x:f>N46/('Inputs'!$B$16*(1+'Inputs'!$B$17*(D46-1))*J46/24)</x:f>
        <x:v>1.2922932330827066</x:v>
      </x:c>
      <x:c r="X46" s="28" t="n">
        <x:v>180</x:v>
      </x:c>
      <x:c r="Y46" s="28" t="n">
        <x:v>24</x:v>
      </x:c>
      <x:c r="Z46" s="28" t="str">
        <x:v>Roadmap!A19:K19</x:v>
      </x:c>
      <x:c r="AA46" s="28" t="str">
        <x:v>8 hours. Distinctive journal/scene choice; no hidden collection-stat multiplier. Launch-ready design; asset QA required.</x:v>
      </x:c>
      <x:c r="AB46" s="28" t="str">
        <x:f>IF(AND(K46&gt;0,L46&gt;0,N46&gt;0,U46=0,V46&lt;=1.5,W46&lt;=1.5),"MODEL OK","REVIEW")</x:f>
        <x:v>MODEL OK</x:v>
      </x:c>
    </x:row>
    <x:row r="47" ht="62" customHeight="1">
      <x:c r="A47" s="28" t="str">
        <x:v>RF-17</x:v>
      </x:c>
      <x:c r="B47" s="28" t="str">
        <x:v>Copperband Butterflyfish</x:v>
      </x:c>
      <x:c r="C47" s="28" t="str">
        <x:v>Rare</x:v>
      </x:c>
      <x:c r="D47" s="32" t="n">
        <x:v>34</x:v>
      </x:c>
      <x:c r="E47" s="32" t="str">
        <x:v>Reserve L1–40</x:v>
      </x:c>
      <x:c r="F47" s="32" t="str">
        <x:v>SC-20H</x:v>
      </x:c>
      <x:c r="G47" s="32" t="str">
        <x:v>Collection</x:v>
      </x:c>
      <x:c r="H47" s="32" t="n">
        <x:v>1</x:v>
      </x:c>
      <x:c r="I47" s="32" t="n">
        <x:v>1</x:v>
      </x:c>
      <x:c r="J47" s="40" t="n">
        <x:f>VLOOKUP(F47,'Schedules'!$A$5:$G$9,3,FALSE)</x:f>
        <x:v>20</x:v>
      </x:c>
      <x:c r="K47" s="28" t="n">
        <x:f>ROUND('Inputs'!$B$14*(1+'Inputs'!$B$15*(D47-1))*J47/24*VLOOKUP(F47,'Schedules'!$A$5:$G$9,4,FALSE)*H47,0)</x:f>
        <x:v>746</x:v>
      </x:c>
      <x:c r="L47" s="28" t="n">
        <x:f>MAX('Inputs'!$B$19,ROUND(K47*'Inputs'!$B$18,0))</x:f>
        <x:v>187</x:v>
      </x:c>
      <x:c r="M47" s="28" t="n">
        <x:f>L47+K47</x:f>
        <x:v>933</x:v>
      </x:c>
      <x:c r="N47" s="28" t="n">
        <x:f>ROUND('Inputs'!$B$16*(1+'Inputs'!$B$17*(D47-1))*J47/24*VLOOKUP(F47,'Schedules'!$A$5:$G$9,5,FALSE)*I47,0)</x:f>
        <x:v>106</x:v>
      </x:c>
      <x:c r="O47" s="28" t="n">
        <x:f>ROUNDDOWN(L47*'Inputs'!$B$20,0)+ROUNDDOWN(K47*'Inputs'!$B$24,0)</x:f>
        <x:v>251</x:v>
      </x:c>
      <x:c r="P47" s="28" t="n">
        <x:f>ROUNDDOWN(N47*'Inputs'!$B$24,0)</x:f>
        <x:v>10</x:v>
      </x:c>
      <x:c r="Q47" s="28" t="n">
        <x:f>ROUNDDOWN(L47*'Inputs'!$B$20,0)+ROUNDDOWN(K47*'Inputs'!$B$25,0)</x:f>
        <x:v>475</x:v>
      </x:c>
      <x:c r="R47" s="28" t="n">
        <x:f>ROUNDDOWN(N47*'Inputs'!$B$25,0)</x:f>
        <x:v>42</x:v>
      </x:c>
      <x:c r="S47" s="28" t="n">
        <x:f>ROUNDDOWN(L47*'Inputs'!$B$20,0)+ROUNDDOWN(K47*'Inputs'!$B$26,0)</x:f>
        <x:v>699</x:v>
      </x:c>
      <x:c r="T47" s="28" t="n">
        <x:f>ROUNDDOWN(N47*'Inputs'!$B$26,0)</x:f>
        <x:v>74</x:v>
      </x:c>
      <x:c r="U47" s="28" t="n">
        <x:f>0</x:f>
        <x:v>0</x:v>
      </x:c>
      <x:c r="V47" s="40" t="n">
        <x:f>K47/('Inputs'!$B$14*(1+'Inputs'!$B$15*(D47-1))*J47/24)</x:f>
        <x:v>1.000670690811536</x:v>
      </x:c>
      <x:c r="W47" s="40" t="n">
        <x:f>N47/('Inputs'!$B$16*(1+'Inputs'!$B$17*(D47-1))*J47/24)</x:f>
        <x:v>0.9962406015037593</x:v>
      </x:c>
      <x:c r="X47" s="28" t="n">
        <x:v>200</x:v>
      </x:c>
      <x:c r="Y47" s="28" t="n">
        <x:v>32</x:v>
      </x:c>
      <x:c r="Z47" s="28" t="str">
        <x:v>Roadmap!A20:K20</x:v>
      </x:c>
      <x:c r="AA47" s="28" t="str">
        <x:v>20 hours. Distinctive journal/scene choice; no hidden collection-stat multiplier. Disabled until its release/content gate is approved.</x:v>
      </x:c>
      <x:c r="AB47" s="28" t="str">
        <x:f>IF(AND(K47&gt;0,L47&gt;0,N47&gt;0,U47=0,V47&lt;=1.5,W47&lt;=1.5),"MODEL OK","REVIEW")</x:f>
        <x:v>MODEL OK</x:v>
      </x:c>
    </x:row>
    <x:row r="48" ht="62" customHeight="1">
      <x:c r="A48" s="28" t="str">
        <x:v>RF-18</x:v>
      </x:c>
      <x:c r="B48" s="28" t="str">
        <x:v>Bluedot Jawfish</x:v>
      </x:c>
      <x:c r="C48" s="28" t="str">
        <x:v>Rare</x:v>
      </x:c>
      <x:c r="D48" s="32" t="n">
        <x:v>37</x:v>
      </x:c>
      <x:c r="E48" s="32" t="str">
        <x:v>Launch</x:v>
      </x:c>
      <x:c r="F48" s="32" t="str">
        <x:v>SC-44H</x:v>
      </x:c>
      <x:c r="G48" s="32" t="str">
        <x:v>Convenience</x:v>
      </x:c>
      <x:c r="H48" s="32" t="n">
        <x:v>1</x:v>
      </x:c>
      <x:c r="I48" s="32" t="n">
        <x:v>1</x:v>
      </x:c>
      <x:c r="J48" s="40" t="n">
        <x:f>VLOOKUP(F48,'Schedules'!$A$5:$G$9,3,FALSE)</x:f>
        <x:v>44</x:v>
      </x:c>
      <x:c r="K48" s="28" t="n">
        <x:f>ROUND('Inputs'!$B$14*(1+'Inputs'!$B$15*(D48-1))*J48/24*VLOOKUP(F48,'Schedules'!$A$5:$G$9,4,FALSE)*H48,0)</x:f>
        <x:v>1591</x:v>
      </x:c>
      <x:c r="L48" s="28" t="n">
        <x:f>MAX('Inputs'!$B$19,ROUND(K48*'Inputs'!$B$18,0))</x:f>
        <x:v>398</x:v>
      </x:c>
      <x:c r="M48" s="28" t="n">
        <x:f>L48+K48</x:f>
        <x:v>1989</x:v>
      </x:c>
      <x:c r="N48" s="28" t="n">
        <x:f>ROUND('Inputs'!$B$16*(1+'Inputs'!$B$17*(D48-1))*J48/24*VLOOKUP(F48,'Schedules'!$A$5:$G$9,5,FALSE)*I48,0)</x:f>
        <x:v>220</x:v>
      </x:c>
      <x:c r="O48" s="28" t="n">
        <x:f>ROUNDDOWN(L48*'Inputs'!$B$20,0)+ROUNDDOWN(K48*'Inputs'!$B$24,0)</x:f>
        <x:v>537</x:v>
      </x:c>
      <x:c r="P48" s="28" t="n">
        <x:f>ROUNDDOWN(N48*'Inputs'!$B$24,0)</x:f>
        <x:v>22</x:v>
      </x:c>
      <x:c r="Q48" s="28" t="n">
        <x:f>ROUNDDOWN(L48*'Inputs'!$B$20,0)+ROUNDDOWN(K48*'Inputs'!$B$25,0)</x:f>
        <x:v>1014</x:v>
      </x:c>
      <x:c r="R48" s="28" t="n">
        <x:f>ROUNDDOWN(N48*'Inputs'!$B$25,0)</x:f>
        <x:v>88</x:v>
      </x:c>
      <x:c r="S48" s="28" t="n">
        <x:f>ROUNDDOWN(L48*'Inputs'!$B$20,0)+ROUNDDOWN(K48*'Inputs'!$B$26,0)</x:f>
        <x:v>1491</x:v>
      </x:c>
      <x:c r="T48" s="28" t="n">
        <x:f>ROUNDDOWN(N48*'Inputs'!$B$26,0)</x:f>
        <x:v>154</x:v>
      </x:c>
      <x:c r="U48" s="28" t="n">
        <x:f>0</x:f>
        <x:v>0</x:v>
      </x:c>
      <x:c r="V48" s="40" t="n">
        <x:f>K48/('Inputs'!$B$14*(1+'Inputs'!$B$15*(D48-1))*J48/24)</x:f>
        <x:v>0.9200786490862827</x:v>
      </x:c>
      <x:c r="W48" s="40" t="n">
        <x:f>N48/('Inputs'!$B$16*(1+'Inputs'!$B$17*(D48-1))*J48/24)</x:f>
        <x:v>0.9191176470588235</x:v>
      </x:c>
      <x:c r="X48" s="28" t="n">
        <x:v>340</x:v>
      </x:c>
      <x:c r="Y48" s="28" t="n">
        <x:v>96</x:v>
      </x:c>
      <x:c r="Z48" s="28" t="str">
        <x:v>Roadmap!A21:K21</x:v>
      </x:c>
      <x:c r="AA48" s="28" t="str">
        <x:v>44 hours. Longer unattended cycle; no absence penalty and no special care requirement. Launch-ready design; asset QA required.</x:v>
      </x:c>
      <x:c r="AB48" s="28" t="str">
        <x:f>IF(AND(K48&gt;0,L48&gt;0,N48&gt;0,U48=0,V48&lt;=1.5,W48&lt;=1.5),"MODEL OK","REVIEW")</x:f>
        <x:v>MODEL OK</x:v>
      </x:c>
    </x:row>
    <x:row r="49" ht="62" customHeight="1">
      <x:c r="A49" s="28" t="str">
        <x:v>RF-19</x:v>
      </x:c>
      <x:c r="B49" s="28" t="str">
        <x:v>Emperor Angelfish</x:v>
      </x:c>
      <x:c r="C49" s="28" t="str">
        <x:v>Rare</x:v>
      </x:c>
      <x:c r="D49" s="32" t="n">
        <x:v>37</x:v>
      </x:c>
      <x:c r="E49" s="32" t="str">
        <x:v>Reserve L1–40</x:v>
      </x:c>
      <x:c r="F49" s="32" t="str">
        <x:v>SC-20H</x:v>
      </x:c>
      <x:c r="G49" s="32" t="str">
        <x:v>Collection</x:v>
      </x:c>
      <x:c r="H49" s="32" t="n">
        <x:v>1</x:v>
      </x:c>
      <x:c r="I49" s="32" t="n">
        <x:v>1</x:v>
      </x:c>
      <x:c r="J49" s="40" t="n">
        <x:f>VLOOKUP(F49,'Schedules'!$A$5:$G$9,3,FALSE)</x:f>
        <x:v>20</x:v>
      </x:c>
      <x:c r="K49" s="28" t="n">
        <x:f>ROUND('Inputs'!$B$14*(1+'Inputs'!$B$15*(D49-1))*J49/24*VLOOKUP(F49,'Schedules'!$A$5:$G$9,4,FALSE)*H49,0)</x:f>
        <x:v>786</x:v>
      </x:c>
      <x:c r="L49" s="28" t="n">
        <x:f>MAX('Inputs'!$B$19,ROUND(K49*'Inputs'!$B$18,0))</x:f>
        <x:v>197</x:v>
      </x:c>
      <x:c r="M49" s="28" t="n">
        <x:f>L49+K49</x:f>
        <x:v>983</x:v>
      </x:c>
      <x:c r="N49" s="28" t="n">
        <x:f>ROUND('Inputs'!$B$16*(1+'Inputs'!$B$17*(D49-1))*J49/24*VLOOKUP(F49,'Schedules'!$A$5:$G$9,5,FALSE)*I49,0)</x:f>
        <x:v>109</x:v>
      </x:c>
      <x:c r="O49" s="28" t="n">
        <x:f>ROUNDDOWN(L49*'Inputs'!$B$20,0)+ROUNDDOWN(K49*'Inputs'!$B$24,0)</x:f>
        <x:v>265</x:v>
      </x:c>
      <x:c r="P49" s="28" t="n">
        <x:f>ROUNDDOWN(N49*'Inputs'!$B$24,0)</x:f>
        <x:v>10</x:v>
      </x:c>
      <x:c r="Q49" s="28" t="n">
        <x:f>ROUNDDOWN(L49*'Inputs'!$B$20,0)+ROUNDDOWN(K49*'Inputs'!$B$25,0)</x:f>
        <x:v>501</x:v>
      </x:c>
      <x:c r="R49" s="28" t="n">
        <x:f>ROUNDDOWN(N49*'Inputs'!$B$25,0)</x:f>
        <x:v>43</x:v>
      </x:c>
      <x:c r="S49" s="28" t="n">
        <x:f>ROUNDDOWN(L49*'Inputs'!$B$20,0)+ROUNDDOWN(K49*'Inputs'!$B$26,0)</x:f>
        <x:v>737</x:v>
      </x:c>
      <x:c r="T49" s="28" t="n">
        <x:f>ROUNDDOWN(N49*'Inputs'!$B$26,0)</x:f>
        <x:v>76</x:v>
      </x:c>
      <x:c r="U49" s="28" t="n">
        <x:f>0</x:f>
        <x:v>0</x:v>
      </x:c>
      <x:c r="V49" s="40" t="n">
        <x:f>K49/('Inputs'!$B$14*(1+'Inputs'!$B$15*(D49-1))*J49/24)</x:f>
        <x:v>1</x:v>
      </x:c>
      <x:c r="W49" s="40" t="n">
        <x:f>N49/('Inputs'!$B$16*(1+'Inputs'!$B$17*(D49-1))*J49/24)</x:f>
        <x:v>1.0018382352941178</x:v>
      </x:c>
      <x:c r="X49" s="28" t="n">
        <x:v>320</x:v>
      </x:c>
      <x:c r="Y49" s="28" t="n">
        <x:v>80</x:v>
      </x:c>
      <x:c r="Z49" s="28" t="str">
        <x:v>Roadmap!A22:K22</x:v>
      </x:c>
      <x:c r="AA49" s="28" t="str">
        <x:v>20 hours. Distinctive journal/scene choice; no hidden collection-stat multiplier. Disabled until its release/content gate is approved.</x:v>
      </x:c>
      <x:c r="AB49" s="28" t="str">
        <x:f>IF(AND(K49&gt;0,L49&gt;0,N49&gt;0,U49=0,V49&lt;=1.5,W49&lt;=1.5),"MODEL OK","REVIEW")</x:f>
        <x:v>MODEL OK</x:v>
      </x:c>
    </x:row>
    <x:row r="50" ht="62" customHeight="1">
      <x:c r="A50" s="28" t="str">
        <x:v>RF-20</x:v>
      </x:c>
      <x:c r="B50" s="28" t="str">
        <x:v>Harlequin Tuskfish</x:v>
      </x:c>
      <x:c r="C50" s="28" t="str">
        <x:v>Rare</x:v>
      </x:c>
      <x:c r="D50" s="32" t="n">
        <x:v>39</x:v>
      </x:c>
      <x:c r="E50" s="32" t="str">
        <x:v>Launch</x:v>
      </x:c>
      <x:c r="F50" s="32" t="str">
        <x:v>SC-2H</x:v>
      </x:c>
      <x:c r="G50" s="32" t="str">
        <x:v>Coin Specialist</x:v>
      </x:c>
      <x:c r="H50" s="32" t="n">
        <x:v>1.1</x:v>
      </x:c>
      <x:c r="I50" s="32" t="n">
        <x:v>0.9</x:v>
      </x:c>
      <x:c r="J50" s="40" t="n">
        <x:f>VLOOKUP(F50,'Schedules'!$A$5:$G$9,3,FALSE)</x:f>
        <x:v>2</x:v>
      </x:c>
      <x:c r="K50" s="28" t="n">
        <x:f>ROUND('Inputs'!$B$14*(1+'Inputs'!$B$15*(D50-1))*J50/24*VLOOKUP(F50,'Schedules'!$A$5:$G$9,4,FALSE)*H50,0)</x:f>
        <x:v>116</x:v>
      </x:c>
      <x:c r="L50" s="28" t="n">
        <x:f>MAX('Inputs'!$B$19,ROUND(K50*'Inputs'!$B$18,0))</x:f>
        <x:v>29</x:v>
      </x:c>
      <x:c r="M50" s="28" t="n">
        <x:f>L50+K50</x:f>
        <x:v>145</x:v>
      </x:c>
      <x:c r="N50" s="28" t="n">
        <x:f>ROUND('Inputs'!$B$16*(1+'Inputs'!$B$17*(D50-1))*J50/24*VLOOKUP(F50,'Schedules'!$A$5:$G$9,5,FALSE)*I50,0)</x:f>
        <x:v>13</x:v>
      </x:c>
      <x:c r="O50" s="28" t="n">
        <x:f>ROUNDDOWN(L50*'Inputs'!$B$20,0)+ROUNDDOWN(K50*'Inputs'!$B$24,0)</x:f>
        <x:v>38</x:v>
      </x:c>
      <x:c r="P50" s="28" t="n">
        <x:f>ROUNDDOWN(N50*'Inputs'!$B$24,0)</x:f>
        <x:v>1</x:v>
      </x:c>
      <x:c r="Q50" s="28" t="n">
        <x:f>ROUNDDOWN(L50*'Inputs'!$B$20,0)+ROUNDDOWN(K50*'Inputs'!$B$25,0)</x:f>
        <x:v>73</x:v>
      </x:c>
      <x:c r="R50" s="28" t="n">
        <x:f>ROUNDDOWN(N50*'Inputs'!$B$25,0)</x:f>
        <x:v>5</x:v>
      </x:c>
      <x:c r="S50" s="28" t="n">
        <x:f>ROUNDDOWN(L50*'Inputs'!$B$20,0)+ROUNDDOWN(K50*'Inputs'!$B$26,0)</x:f>
        <x:v>108</x:v>
      </x:c>
      <x:c r="T50" s="28" t="n">
        <x:f>ROUNDDOWN(N50*'Inputs'!$B$26,0)</x:f>
        <x:v>9</x:v>
      </x:c>
      <x:c r="U50" s="28" t="n">
        <x:f>0</x:f>
        <x:v>0</x:v>
      </x:c>
      <x:c r="V50" s="40" t="n">
        <x:f>K50/('Inputs'!$B$14*(1+'Inputs'!$B$15*(D50-1))*J50/24)</x:f>
        <x:v>1.4268142681426814</x:v>
      </x:c>
      <x:c r="W50" s="40" t="n">
        <x:f>N50/('Inputs'!$B$16*(1+'Inputs'!$B$17*(D50-1))*J50/24)</x:f>
        <x:v>1.177536231884058</x:v>
      </x:c>
      <x:c r="X50" s="28" t="n">
        <x:v>120</x:v>
      </x:c>
      <x:c r="Y50" s="28" t="n">
        <x:v>2</x:v>
      </x:c>
      <x:c r="Z50" s="28" t="str">
        <x:v>Roadmap!A23:K23</x:v>
      </x:c>
      <x:c r="AA50" s="28" t="str">
        <x:v>2 hours. Trades 10% base XP for 10% base coin output; schedule choice still matters. Launch-ready design; asset QA required.</x:v>
      </x:c>
      <x:c r="AB50" s="28" t="str">
        <x:f>IF(AND(K50&gt;0,L50&gt;0,N50&gt;0,U50=0,V50&lt;=1.5,W50&lt;=1.5),"MODEL OK","REVIEW")</x:f>
        <x:v>MODEL OK</x:v>
      </x:c>
    </x:row>
    <x:row r="51" ht="62" customHeight="1">
      <x:c r="A51" s="28" t="str">
        <x:v>RF-21</x:v>
      </x:c>
      <x:c r="B51" s="28" t="str">
        <x:v>Blue Tang</x:v>
      </x:c>
      <x:c r="C51" s="28" t="str">
        <x:v>Rare</x:v>
      </x:c>
      <x:c r="D51" s="32" t="n">
        <x:v>40</x:v>
      </x:c>
      <x:c r="E51" s="32" t="str">
        <x:v>Reserve L1–40</x:v>
      </x:c>
      <x:c r="F51" s="32" t="str">
        <x:v>SC-44H</x:v>
      </x:c>
      <x:c r="G51" s="32" t="str">
        <x:v>Payout</x:v>
      </x:c>
      <x:c r="H51" s="32" t="n">
        <x:v>1</x:v>
      </x:c>
      <x:c r="I51" s="32" t="n">
        <x:v>1</x:v>
      </x:c>
      <x:c r="J51" s="40" t="n">
        <x:f>VLOOKUP(F51,'Schedules'!$A$5:$G$9,3,FALSE)</x:f>
        <x:v>44</x:v>
      </x:c>
      <x:c r="K51" s="28" t="n">
        <x:f>ROUND('Inputs'!$B$14*(1+'Inputs'!$B$15*(D51-1))*J51/24*VLOOKUP(F51,'Schedules'!$A$5:$G$9,4,FALSE)*H51,0)</x:f>
        <x:v>1673</x:v>
      </x:c>
      <x:c r="L51" s="28" t="n">
        <x:f>MAX('Inputs'!$B$19,ROUND(K51*'Inputs'!$B$18,0))</x:f>
        <x:v>418</x:v>
      </x:c>
      <x:c r="M51" s="28" t="n">
        <x:f>L51+K51</x:f>
        <x:v>2091</x:v>
      </x:c>
      <x:c r="N51" s="28" t="n">
        <x:f>ROUND('Inputs'!$B$16*(1+'Inputs'!$B$17*(D51-1))*J51/24*VLOOKUP(F51,'Schedules'!$A$5:$G$9,5,FALSE)*I51,0)</x:f>
        <x:v>225</x:v>
      </x:c>
      <x:c r="O51" s="28" t="n">
        <x:f>ROUNDDOWN(L51*'Inputs'!$B$20,0)+ROUNDDOWN(K51*'Inputs'!$B$24,0)</x:f>
        <x:v>564</x:v>
      </x:c>
      <x:c r="P51" s="28" t="n">
        <x:f>ROUNDDOWN(N51*'Inputs'!$B$24,0)</x:f>
        <x:v>22</x:v>
      </x:c>
      <x:c r="Q51" s="28" t="n">
        <x:f>ROUNDDOWN(L51*'Inputs'!$B$20,0)+ROUNDDOWN(K51*'Inputs'!$B$25,0)</x:f>
        <x:v>1066</x:v>
      </x:c>
      <x:c r="R51" s="28" t="n">
        <x:f>ROUNDDOWN(N51*'Inputs'!$B$25,0)</x:f>
        <x:v>90</x:v>
      </x:c>
      <x:c r="S51" s="28" t="n">
        <x:f>ROUNDDOWN(L51*'Inputs'!$B$20,0)+ROUNDDOWN(K51*'Inputs'!$B$26,0)</x:f>
        <x:v>1568</x:v>
      </x:c>
      <x:c r="T51" s="28" t="n">
        <x:f>ROUNDDOWN(N51*'Inputs'!$B$26,0)</x:f>
        <x:v>157</x:v>
      </x:c>
      <x:c r="U51" s="28" t="n">
        <x:f>0</x:f>
        <x:v>0</x:v>
      </x:c>
      <x:c r="V51" s="40" t="n">
        <x:f>K51/('Inputs'!$B$14*(1+'Inputs'!$B$15*(D51-1))*J51/24)</x:f>
        <x:v>0.9200901941373811</x:v>
      </x:c>
      <x:c r="W51" s="40" t="n">
        <x:f>N51/('Inputs'!$B$16*(1+'Inputs'!$B$17*(D51-1))*J51/24)</x:f>
        <x:v>0.9197187704381949</x:v>
      </x:c>
      <x:c r="X51" s="28" t="n">
        <x:v>490</x:v>
      </x:c>
      <x:c r="Y51" s="28" t="n">
        <x:v>192</x:v>
      </x:c>
      <x:c r="Z51" s="28" t="str">
        <x:v>Roadmap!A24:K24</x:v>
      </x:c>
      <x:c r="AA51" s="28" t="str">
        <x:v>44 hours. Long cycle produces a larger single settlement, not a superior daily rate. Disabled until its release/content gate is approved.</x:v>
      </x:c>
      <x:c r="AB51" s="28" t="str">
        <x:f>IF(AND(K51&gt;0,L51&gt;0,N51&gt;0,U51=0,V51&lt;=1.5,W51&lt;=1.5),"MODEL OK","REVIEW")</x:f>
        <x:v>MODEL OK</x:v>
      </x:c>
    </x:row>
    <x:row r="52" ht="62" customHeight="1">
      <x:c r="A52" s="28" t="str">
        <x:v>RF-29</x:v>
      </x:c>
      <x:c r="B52" s="28" t="str">
        <x:v>Sailfin Tang</x:v>
      </x:c>
      <x:c r="C52" s="28" t="str">
        <x:v>Epic</x:v>
      </x:c>
      <x:c r="D52" s="32" t="n">
        <x:v>45</x:v>
      </x:c>
      <x:c r="E52" s="32" t="str">
        <x:v>Post-launch</x:v>
      </x:c>
      <x:c r="F52" s="32" t="str">
        <x:v>SC-44H</x:v>
      </x:c>
      <x:c r="G52" s="32" t="str">
        <x:v>Payout</x:v>
      </x:c>
      <x:c r="H52" s="32" t="n">
        <x:v>1</x:v>
      </x:c>
      <x:c r="I52" s="32" t="n">
        <x:v>1</x:v>
      </x:c>
      <x:c r="J52" s="40" t="n">
        <x:f>VLOOKUP(F52,'Schedules'!$A$5:$G$9,3,FALSE)</x:f>
        <x:v>44</x:v>
      </x:c>
      <x:c r="K52" s="28" t="n">
        <x:f>ROUND('Inputs'!$B$14*(1+'Inputs'!$B$15*(D52-1))*J52/24*VLOOKUP(F52,'Schedules'!$A$5:$G$9,4,FALSE)*H52,0)</x:f>
        <x:v>1809</x:v>
      </x:c>
      <x:c r="L52" s="28" t="n">
        <x:f>MAX('Inputs'!$B$19,ROUND(K52*'Inputs'!$B$18,0))</x:f>
        <x:v>452</x:v>
      </x:c>
      <x:c r="M52" s="28" t="n">
        <x:f>L52+K52</x:f>
        <x:v>2261</x:v>
      </x:c>
      <x:c r="N52" s="28" t="n">
        <x:f>ROUND('Inputs'!$B$16*(1+'Inputs'!$B$17*(D52-1))*J52/24*VLOOKUP(F52,'Schedules'!$A$5:$G$9,5,FALSE)*I52,0)</x:f>
        <x:v>233</x:v>
      </x:c>
      <x:c r="O52" s="28" t="n">
        <x:f>ROUNDDOWN(L52*'Inputs'!$B$20,0)+ROUNDDOWN(K52*'Inputs'!$B$24,0)</x:f>
        <x:v>609</x:v>
      </x:c>
      <x:c r="P52" s="28" t="n">
        <x:f>ROUNDDOWN(N52*'Inputs'!$B$24,0)</x:f>
        <x:v>23</x:v>
      </x:c>
      <x:c r="Q52" s="28" t="n">
        <x:f>ROUNDDOWN(L52*'Inputs'!$B$20,0)+ROUNDDOWN(K52*'Inputs'!$B$25,0)</x:f>
        <x:v>1152</x:v>
      </x:c>
      <x:c r="R52" s="28" t="n">
        <x:f>ROUNDDOWN(N52*'Inputs'!$B$25,0)</x:f>
        <x:v>93</x:v>
      </x:c>
      <x:c r="S52" s="28" t="n">
        <x:f>ROUNDDOWN(L52*'Inputs'!$B$20,0)+ROUNDDOWN(K52*'Inputs'!$B$26,0)</x:f>
        <x:v>1695</x:v>
      </x:c>
      <x:c r="T52" s="28" t="n">
        <x:f>ROUNDDOWN(N52*'Inputs'!$B$26,0)</x:f>
        <x:v>163</x:v>
      </x:c>
      <x:c r="U52" s="28" t="n">
        <x:f>0</x:f>
        <x:v>0</x:v>
      </x:c>
      <x:c r="V52" s="40" t="n">
        <x:f>K52/('Inputs'!$B$14*(1+'Inputs'!$B$15*(D52-1))*J52/24)</x:f>
        <x:v>0.9197681513117755</x:v>
      </x:c>
      <x:c r="W52" s="40" t="n">
        <x:f>N52/('Inputs'!$B$16*(1+'Inputs'!$B$17*(D52-1))*J52/24)</x:f>
        <x:v>0.9193497474747474</x:v>
      </x:c>
      <x:c r="X52" s="28" t="n">
        <x:v>560</x:v>
      </x:c>
      <x:c r="Y52" s="28" t="n">
        <x:v>144</x:v>
      </x:c>
      <x:c r="Z52" s="28" t="str">
        <x:v>Roadmap!A32:K32</x:v>
      </x:c>
      <x:c r="AA52" s="28" t="str">
        <x:v>44 hours. Long cycle produces a larger single settlement, not a superior daily rate. Disabled until its release/content gate is approved.</x:v>
      </x:c>
      <x:c r="AB52" s="28" t="str">
        <x:f>IF(AND(K52&gt;0,L52&gt;0,N52&gt;0,U52=0,V52&lt;=1.5,W52&lt;=1.5),"MODEL OK","REVIEW")</x:f>
        <x:v>MODEL OK</x:v>
      </x:c>
    </x:row>
    <x:row r="53" ht="62" customHeight="1">
      <x:c r="A53" s="28" t="str">
        <x:v>RF-30</x:v>
      </x:c>
      <x:c r="B53" s="28" t="str">
        <x:v>Orchid Dottyback</x:v>
      </x:c>
      <x:c r="C53" s="28" t="str">
        <x:v>Epic</x:v>
      </x:c>
      <x:c r="D53" s="32" t="n">
        <x:v>46</x:v>
      </x:c>
      <x:c r="E53" s="32" t="str">
        <x:v>Post-launch</x:v>
      </x:c>
      <x:c r="F53" s="32" t="str">
        <x:v>SC-2H</x:v>
      </x:c>
      <x:c r="G53" s="32" t="str">
        <x:v>Coin Specialist</x:v>
      </x:c>
      <x:c r="H53" s="32" t="n">
        <x:v>1.1</x:v>
      </x:c>
      <x:c r="I53" s="32" t="n">
        <x:v>0.9</x:v>
      </x:c>
      <x:c r="J53" s="40" t="n">
        <x:f>VLOOKUP(F53,'Schedules'!$A$5:$G$9,3,FALSE)</x:f>
        <x:v>2</x:v>
      </x:c>
      <x:c r="K53" s="28" t="n">
        <x:f>ROUND('Inputs'!$B$14*(1+'Inputs'!$B$15*(D53-1))*J53/24*VLOOKUP(F53,'Schedules'!$A$5:$G$9,4,FALSE)*H53,0)</x:f>
        <x:v>130</x:v>
      </x:c>
      <x:c r="L53" s="28" t="n">
        <x:f>MAX('Inputs'!$B$19,ROUND(K53*'Inputs'!$B$18,0))</x:f>
        <x:v>33</x:v>
      </x:c>
      <x:c r="M53" s="28" t="n">
        <x:f>L53+K53</x:f>
        <x:v>163</x:v>
      </x:c>
      <x:c r="N53" s="28" t="n">
        <x:f>ROUND('Inputs'!$B$16*(1+'Inputs'!$B$17*(D53-1))*J53/24*VLOOKUP(F53,'Schedules'!$A$5:$G$9,5,FALSE)*I53,0)</x:f>
        <x:v>14</x:v>
      </x:c>
      <x:c r="O53" s="28" t="n">
        <x:f>ROUNDDOWN(L53*'Inputs'!$B$20,0)+ROUNDDOWN(K53*'Inputs'!$B$24,0)</x:f>
        <x:v>44</x:v>
      </x:c>
      <x:c r="P53" s="28" t="n">
        <x:f>ROUNDDOWN(N53*'Inputs'!$B$24,0)</x:f>
        <x:v>1</x:v>
      </x:c>
      <x:c r="Q53" s="28" t="n">
        <x:f>ROUNDDOWN(L53*'Inputs'!$B$20,0)+ROUNDDOWN(K53*'Inputs'!$B$25,0)</x:f>
        <x:v>83</x:v>
      </x:c>
      <x:c r="R53" s="28" t="n">
        <x:f>ROUNDDOWN(N53*'Inputs'!$B$25,0)</x:f>
        <x:v>5</x:v>
      </x:c>
      <x:c r="S53" s="28" t="n">
        <x:f>ROUNDDOWN(L53*'Inputs'!$B$20,0)+ROUNDDOWN(K53*'Inputs'!$B$26,0)</x:f>
        <x:v>122</x:v>
      </x:c>
      <x:c r="T53" s="28" t="n">
        <x:f>ROUNDDOWN(N53*'Inputs'!$B$26,0)</x:f>
        <x:v>9</x:v>
      </x:c>
      <x:c r="U53" s="28" t="n">
        <x:f>0</x:f>
        <x:v>0</x:v>
      </x:c>
      <x:c r="V53" s="40" t="n">
        <x:f>K53/('Inputs'!$B$14*(1+'Inputs'!$B$15*(D53-1))*J53/24)</x:f>
        <x:v>1.4325068870523416</x:v>
      </x:c>
      <x:c r="W53" s="40" t="n">
        <x:f>N53/('Inputs'!$B$16*(1+'Inputs'!$B$17*(D53-1))*J53/24)</x:f>
        <x:v>1.206896551724138</x:v>
      </x:c>
      <x:c r="X53" s="28" t="n">
        <x:v>170</x:v>
      </x:c>
      <x:c r="Y53" s="28" t="n">
        <x:v>4</x:v>
      </x:c>
      <x:c r="Z53" s="28" t="str">
        <x:v>Roadmap!A33:K33</x:v>
      </x:c>
      <x:c r="AA53" s="28" t="str">
        <x:v>2 hours. Trades 10% base XP for 10% base coin output; schedule choice still matters. Disabled until its release/content gate is approved.</x:v>
      </x:c>
      <x:c r="AB53" s="28" t="str">
        <x:f>IF(AND(K53&gt;0,L53&gt;0,N53&gt;0,U53=0,V53&lt;=1.5,W53&lt;=1.5),"MODEL OK","REVIEW")</x:f>
        <x:v>MODEL OK</x:v>
      </x:c>
    </x:row>
    <x:row r="54" ht="62" customHeight="1">
      <x:c r="A54" s="28" t="str">
        <x:v>RF-31</x:v>
      </x:c>
      <x:c r="B54" s="28" t="str">
        <x:v>Volitan Lionfish</x:v>
      </x:c>
      <x:c r="C54" s="28" t="str">
        <x:v>Epic</x:v>
      </x:c>
      <x:c r="D54" s="32" t="n">
        <x:v>47</x:v>
      </x:c>
      <x:c r="E54" s="32" t="str">
        <x:v>Post-launch</x:v>
      </x:c>
      <x:c r="F54" s="32" t="str">
        <x:v>SC-20H</x:v>
      </x:c>
      <x:c r="G54" s="32" t="str">
        <x:v>Balanced</x:v>
      </x:c>
      <x:c r="H54" s="32" t="n">
        <x:v>1</x:v>
      </x:c>
      <x:c r="I54" s="32" t="n">
        <x:v>1</x:v>
      </x:c>
      <x:c r="J54" s="40" t="n">
        <x:f>VLOOKUP(F54,'Schedules'!$A$5:$G$9,3,FALSE)</x:f>
        <x:v>20</x:v>
      </x:c>
      <x:c r="K54" s="28" t="n">
        <x:f>ROUND('Inputs'!$B$14*(1+'Inputs'!$B$15*(D54-1))*J54/24*VLOOKUP(F54,'Schedules'!$A$5:$G$9,4,FALSE)*H54,0)</x:f>
        <x:v>921</x:v>
      </x:c>
      <x:c r="L54" s="28" t="n">
        <x:f>MAX('Inputs'!$B$19,ROUND(K54*'Inputs'!$B$18,0))</x:f>
        <x:v>230</x:v>
      </x:c>
      <x:c r="M54" s="28" t="n">
        <x:f>L54+K54</x:f>
        <x:v>1151</x:v>
      </x:c>
      <x:c r="N54" s="28" t="n">
        <x:f>ROUND('Inputs'!$B$16*(1+'Inputs'!$B$17*(D54-1))*J54/24*VLOOKUP(F54,'Schedules'!$A$5:$G$9,5,FALSE)*I54,0)</x:f>
        <x:v>117</x:v>
      </x:c>
      <x:c r="O54" s="28" t="n">
        <x:f>ROUNDDOWN(L54*'Inputs'!$B$20,0)+ROUNDDOWN(K54*'Inputs'!$B$24,0)</x:f>
        <x:v>310</x:v>
      </x:c>
      <x:c r="P54" s="28" t="n">
        <x:f>ROUNDDOWN(N54*'Inputs'!$B$24,0)</x:f>
        <x:v>11</x:v>
      </x:c>
      <x:c r="Q54" s="28" t="n">
        <x:f>ROUNDDOWN(L54*'Inputs'!$B$20,0)+ROUNDDOWN(K54*'Inputs'!$B$25,0)</x:f>
        <x:v>586</x:v>
      </x:c>
      <x:c r="R54" s="28" t="n">
        <x:f>ROUNDDOWN(N54*'Inputs'!$B$25,0)</x:f>
        <x:v>46</x:v>
      </x:c>
      <x:c r="S54" s="28" t="n">
        <x:f>ROUNDDOWN(L54*'Inputs'!$B$20,0)+ROUNDDOWN(K54*'Inputs'!$B$26,0)</x:f>
        <x:v>862</x:v>
      </x:c>
      <x:c r="T54" s="28" t="n">
        <x:f>ROUNDDOWN(N54*'Inputs'!$B$26,0)</x:f>
        <x:v>81</x:v>
      </x:c>
      <x:c r="U54" s="28" t="n">
        <x:f>0</x:f>
        <x:v>0</x:v>
      </x:c>
      <x:c r="V54" s="40" t="n">
        <x:f>K54/('Inputs'!$B$14*(1+'Inputs'!$B$15*(D54-1))*J54/24)</x:f>
        <x:v>1</x:v>
      </x:c>
      <x:c r="W54" s="40" t="n">
        <x:f>N54/('Inputs'!$B$16*(1+'Inputs'!$B$17*(D54-1))*J54/24)</x:f>
        <x:v>1.0017123287671232</x:v>
      </x:c>
      <x:c r="X54" s="28" t="n">
        <x:v>300</x:v>
      </x:c>
      <x:c r="Y54" s="28" t="n">
        <x:v>32</x:v>
      </x:c>
      <x:c r="Z54" s="28" t="str">
        <x:v>Roadmap!A34:K34</x:v>
      </x:c>
      <x:c r="AA54" s="28" t="str">
        <x:v>20 hours. Neutral coin/XP choice for a predictable return schedule. Disabled until its release/content gate is approved.</x:v>
      </x:c>
      <x:c r="AB54" s="28" t="str">
        <x:f>IF(AND(K54&gt;0,L54&gt;0,N54&gt;0,U54=0,V54&lt;=1.5,W54&lt;=1.5),"MODEL OK","REVIEW")</x:f>
        <x:v>MODEL OK</x:v>
      </x:c>
    </x:row>
    <x:row r="55" ht="62" customHeight="1">
      <x:c r="A55" s="28" t="str">
        <x:v>RF-32</x:v>
      </x:c>
      <x:c r="B55" s="28" t="str">
        <x:v>Flowerhorn Cichlid</x:v>
      </x:c>
      <x:c r="C55" s="28" t="str">
        <x:v>Epic</x:v>
      </x:c>
      <x:c r="D55" s="32" t="n">
        <x:v>48</x:v>
      </x:c>
      <x:c r="E55" s="32" t="str">
        <x:v>Post-launch</x:v>
      </x:c>
      <x:c r="F55" s="32" t="str">
        <x:v>SC-20H</x:v>
      </x:c>
      <x:c r="G55" s="32" t="str">
        <x:v>Balanced</x:v>
      </x:c>
      <x:c r="H55" s="32" t="n">
        <x:v>1</x:v>
      </x:c>
      <x:c r="I55" s="32" t="n">
        <x:v>1</x:v>
      </x:c>
      <x:c r="J55" s="40" t="n">
        <x:f>VLOOKUP(F55,'Schedules'!$A$5:$G$9,3,FALSE)</x:f>
        <x:v>20</x:v>
      </x:c>
      <x:c r="K55" s="28" t="n">
        <x:f>ROUND('Inputs'!$B$14*(1+'Inputs'!$B$15*(D55-1))*J55/24*VLOOKUP(F55,'Schedules'!$A$5:$G$9,4,FALSE)*H55,0)</x:f>
        <x:v>934</x:v>
      </x:c>
      <x:c r="L55" s="28" t="n">
        <x:f>MAX('Inputs'!$B$19,ROUND(K55*'Inputs'!$B$18,0))</x:f>
        <x:v>234</x:v>
      </x:c>
      <x:c r="M55" s="28" t="n">
        <x:f>L55+K55</x:f>
        <x:v>1168</x:v>
      </x:c>
      <x:c r="N55" s="28" t="n">
        <x:f>ROUND('Inputs'!$B$16*(1+'Inputs'!$B$17*(D55-1))*J55/24*VLOOKUP(F55,'Schedules'!$A$5:$G$9,5,FALSE)*I55,0)</x:f>
        <x:v>118</x:v>
      </x:c>
      <x:c r="O55" s="28" t="n">
        <x:f>ROUNDDOWN(L55*'Inputs'!$B$20,0)+ROUNDDOWN(K55*'Inputs'!$B$24,0)</x:f>
        <x:v>315</x:v>
      </x:c>
      <x:c r="P55" s="28" t="n">
        <x:f>ROUNDDOWN(N55*'Inputs'!$B$24,0)</x:f>
        <x:v>11</x:v>
      </x:c>
      <x:c r="Q55" s="28" t="n">
        <x:f>ROUNDDOWN(L55*'Inputs'!$B$20,0)+ROUNDDOWN(K55*'Inputs'!$B$25,0)</x:f>
        <x:v>595</x:v>
      </x:c>
      <x:c r="R55" s="28" t="n">
        <x:f>ROUNDDOWN(N55*'Inputs'!$B$25,0)</x:f>
        <x:v>47</x:v>
      </x:c>
      <x:c r="S55" s="28" t="n">
        <x:f>ROUNDDOWN(L55*'Inputs'!$B$20,0)+ROUNDDOWN(K55*'Inputs'!$B$26,0)</x:f>
        <x:v>875</x:v>
      </x:c>
      <x:c r="T55" s="28" t="n">
        <x:f>ROUNDDOWN(N55*'Inputs'!$B$26,0)</x:f>
        <x:v>82</x:v>
      </x:c>
      <x:c r="U55" s="28" t="n">
        <x:f>0</x:f>
        <x:v>0</x:v>
      </x:c>
      <x:c r="V55" s="40" t="n">
        <x:f>K55/('Inputs'!$B$14*(1+'Inputs'!$B$15*(D55-1))*J55/24)</x:f>
        <x:v>0.9994649545211344</x:v>
      </x:c>
      <x:c r="W55" s="40" t="n">
        <x:f>N55/('Inputs'!$B$16*(1+'Inputs'!$B$17*(D55-1))*J55/24)</x:f>
        <x:v>1.0034013605442176</x:v>
      </x:c>
      <x:c r="X55" s="28" t="n">
        <x:v>450</x:v>
      </x:c>
      <x:c r="Y55" s="28" t="n">
        <x:v>80</x:v>
      </x:c>
      <x:c r="Z55" s="28" t="str">
        <x:v>Roadmap!A35:K35</x:v>
      </x:c>
      <x:c r="AA55" s="28" t="str">
        <x:v>20 hours. Neutral coin/XP choice for a predictable return schedule. Disabled until its release/content gate is approved.</x:v>
      </x:c>
      <x:c r="AB55" s="28" t="str">
        <x:f>IF(AND(K55&gt;0,L55&gt;0,N55&gt;0,U55=0,V55&lt;=1.5,W55&lt;=1.5),"MODEL OK","REVIEW")</x:f>
        <x:v>MODEL OK</x:v>
      </x:c>
    </x:row>
    <x:row r="56" ht="62" customHeight="1">
      <x:c r="A56" s="28" t="str">
        <x:v>RF-33</x:v>
      </x:c>
      <x:c r="B56" s="28" t="str">
        <x:v>Threadfin Butterflyfish</x:v>
      </x:c>
      <x:c r="C56" s="28" t="str">
        <x:v>Epic</x:v>
      </x:c>
      <x:c r="D56" s="32" t="n">
        <x:v>50</x:v>
      </x:c>
      <x:c r="E56" s="32" t="str">
        <x:v>Post-launch</x:v>
      </x:c>
      <x:c r="F56" s="32" t="str">
        <x:v>SC-2H</x:v>
      </x:c>
      <x:c r="G56" s="32" t="str">
        <x:v>Coin Specialist</x:v>
      </x:c>
      <x:c r="H56" s="32" t="n">
        <x:v>1.1</x:v>
      </x:c>
      <x:c r="I56" s="32" t="n">
        <x:v>0.9</x:v>
      </x:c>
      <x:c r="J56" s="40" t="n">
        <x:f>VLOOKUP(F56,'Schedules'!$A$5:$G$9,3,FALSE)</x:f>
        <x:v>2</x:v>
      </x:c>
      <x:c r="K56" s="28" t="n">
        <x:f>ROUND('Inputs'!$B$14*(1+'Inputs'!$B$15*(D56-1))*J56/24*VLOOKUP(F56,'Schedules'!$A$5:$G$9,4,FALSE)*H56,0)</x:f>
        <x:v>137</x:v>
      </x:c>
      <x:c r="L56" s="28" t="n">
        <x:f>MAX('Inputs'!$B$19,ROUND(K56*'Inputs'!$B$18,0))</x:f>
        <x:v>34</x:v>
      </x:c>
      <x:c r="M56" s="28" t="n">
        <x:f>L56+K56</x:f>
        <x:v>171</x:v>
      </x:c>
      <x:c r="N56" s="28" t="n">
        <x:f>ROUND('Inputs'!$B$16*(1+'Inputs'!$B$17*(D56-1))*J56/24*VLOOKUP(F56,'Schedules'!$A$5:$G$9,5,FALSE)*I56,0)</x:f>
        <x:v>14</x:v>
      </x:c>
      <x:c r="O56" s="28" t="n">
        <x:f>ROUNDDOWN(L56*'Inputs'!$B$20,0)+ROUNDDOWN(K56*'Inputs'!$B$24,0)</x:f>
        <x:v>45</x:v>
      </x:c>
      <x:c r="P56" s="28" t="n">
        <x:f>ROUNDDOWN(N56*'Inputs'!$B$24,0)</x:f>
        <x:v>1</x:v>
      </x:c>
      <x:c r="Q56" s="28" t="n">
        <x:f>ROUNDDOWN(L56*'Inputs'!$B$20,0)+ROUNDDOWN(K56*'Inputs'!$B$25,0)</x:f>
        <x:v>86</x:v>
      </x:c>
      <x:c r="R56" s="28" t="n">
        <x:f>ROUNDDOWN(N56*'Inputs'!$B$25,0)</x:f>
        <x:v>5</x:v>
      </x:c>
      <x:c r="S56" s="28" t="n">
        <x:f>ROUNDDOWN(L56*'Inputs'!$B$20,0)+ROUNDDOWN(K56*'Inputs'!$B$26,0)</x:f>
        <x:v>127</x:v>
      </x:c>
      <x:c r="T56" s="28" t="n">
        <x:f>ROUNDDOWN(N56*'Inputs'!$B$26,0)</x:f>
        <x:v>9</x:v>
      </x:c>
      <x:c r="U56" s="28" t="n">
        <x:f>0</x:f>
        <x:v>0</x:v>
      </x:c>
      <x:c r="V56" s="40" t="n">
        <x:f>K56/('Inputs'!$B$14*(1+'Inputs'!$B$15*(D56-1))*J56/24)</x:f>
        <x:v>1.4248569942797713</x:v>
      </x:c>
      <x:c r="W56" s="40" t="n">
        <x:f>N56/('Inputs'!$B$16*(1+'Inputs'!$B$17*(D56-1))*J56/24)</x:f>
        <x:v>1.174496644295302</x:v>
      </x:c>
      <x:c r="X56" s="28" t="n">
        <x:v>160</x:v>
      </x:c>
      <x:c r="Y56" s="28" t="n">
        <x:v>2</x:v>
      </x:c>
      <x:c r="Z56" s="28" t="str">
        <x:v>Roadmap!A36:K36</x:v>
      </x:c>
      <x:c r="AA56" s="28" t="str">
        <x:v>2 hours. Trades 10% base XP for 10% base coin output; schedule choice still matters. Disabled until its release/content gate is approved.</x:v>
      </x:c>
      <x:c r="AB56" s="28" t="str">
        <x:f>IF(AND(K56&gt;0,L56&gt;0,N56&gt;0,U56=0,V56&lt;=1.5,W56&lt;=1.5),"MODEL OK","REVIEW")</x:f>
        <x:v>MODEL OK</x:v>
      </x:c>
    </x:row>
    <x:row r="57" ht="62" customHeight="1">
      <x:c r="A57" s="28" t="str">
        <x:v>RF-34</x:v>
      </x:c>
      <x:c r="B57" s="28" t="str">
        <x:v>Unicorn Tang</x:v>
      </x:c>
      <x:c r="C57" s="28" t="str">
        <x:v>Epic</x:v>
      </x:c>
      <x:c r="D57" s="32" t="n">
        <x:v>51</x:v>
      </x:c>
      <x:c r="E57" s="32" t="str">
        <x:v>Post-launch</x:v>
      </x:c>
      <x:c r="F57" s="32" t="str">
        <x:v>SC-8H</x:v>
      </x:c>
      <x:c r="G57" s="32" t="str">
        <x:v>Balanced</x:v>
      </x:c>
      <x:c r="H57" s="32" t="n">
        <x:v>1</x:v>
      </x:c>
      <x:c r="I57" s="32" t="n">
        <x:v>1</x:v>
      </x:c>
      <x:c r="J57" s="40" t="n">
        <x:f>VLOOKUP(F57,'Schedules'!$A$5:$G$9,3,FALSE)</x:f>
        <x:v>8</x:v>
      </x:c>
      <x:c r="K57" s="28" t="n">
        <x:f>ROUND('Inputs'!$B$14*(1+'Inputs'!$B$15*(D57-1))*J57/24*VLOOKUP(F57,'Schedules'!$A$5:$G$9,4,FALSE)*H57,0)</x:f>
        <x:v>507</x:v>
      </x:c>
      <x:c r="L57" s="28" t="n">
        <x:f>MAX('Inputs'!$B$19,ROUND(K57*'Inputs'!$B$18,0))</x:f>
        <x:v>127</x:v>
      </x:c>
      <x:c r="M57" s="28" t="n">
        <x:f>L57+K57</x:f>
        <x:v>634</x:v>
      </x:c>
      <x:c r="N57" s="28" t="n">
        <x:f>ROUND('Inputs'!$B$16*(1+'Inputs'!$B$17*(D57-1))*J57/24*VLOOKUP(F57,'Schedules'!$A$5:$G$9,5,FALSE)*I57,0)</x:f>
        <x:v>62</x:v>
      </x:c>
      <x:c r="O57" s="28" t="n">
        <x:f>ROUNDDOWN(L57*'Inputs'!$B$20,0)+ROUNDDOWN(K57*'Inputs'!$B$24,0)</x:f>
        <x:v>170</x:v>
      </x:c>
      <x:c r="P57" s="28" t="n">
        <x:f>ROUNDDOWN(N57*'Inputs'!$B$24,0)</x:f>
        <x:v>6</x:v>
      </x:c>
      <x:c r="Q57" s="28" t="n">
        <x:f>ROUNDDOWN(L57*'Inputs'!$B$20,0)+ROUNDDOWN(K57*'Inputs'!$B$25,0)</x:f>
        <x:v>322</x:v>
      </x:c>
      <x:c r="R57" s="28" t="n">
        <x:f>ROUNDDOWN(N57*'Inputs'!$B$25,0)</x:f>
        <x:v>24</x:v>
      </x:c>
      <x:c r="S57" s="28" t="n">
        <x:f>ROUNDDOWN(L57*'Inputs'!$B$20,0)+ROUNDDOWN(K57*'Inputs'!$B$26,0)</x:f>
        <x:v>474</x:v>
      </x:c>
      <x:c r="T57" s="28" t="n">
        <x:f>ROUNDDOWN(N57*'Inputs'!$B$26,0)</x:f>
        <x:v>43</x:v>
      </x:c>
      <x:c r="U57" s="28" t="n">
        <x:f>0</x:f>
        <x:v>0</x:v>
      </x:c>
      <x:c r="V57" s="40" t="n">
        <x:f>K57/('Inputs'!$B$14*(1+'Inputs'!$B$15*(D57-1))*J57/24)</x:f>
        <x:v>1.3</x:v>
      </x:c>
      <x:c r="W57" s="40" t="n">
        <x:f>N57/('Inputs'!$B$16*(1+'Inputs'!$B$17*(D57-1))*J57/24)</x:f>
        <x:v>1.2916666666666667</x:v>
      </x:c>
      <x:c r="X57" s="28" t="n">
        <x:v>240</x:v>
      </x:c>
      <x:c r="Y57" s="28" t="n">
        <x:v>16</x:v>
      </x:c>
      <x:c r="Z57" s="28" t="str">
        <x:v>Roadmap!A37:K37</x:v>
      </x:c>
      <x:c r="AA57" s="28" t="str">
        <x:v>8 hours. Neutral coin/XP choice for a predictable return schedule. Disabled until its release/content gate is approved.</x:v>
      </x:c>
      <x:c r="AB57" s="28" t="str">
        <x:f>IF(AND(K57&gt;0,L57&gt;0,N57&gt;0,U57=0,V57&lt;=1.5,W57&lt;=1.5),"MODEL OK","REVIEW")</x:f>
        <x:v>MODEL OK</x:v>
      </x:c>
    </x:row>
    <x:row r="58" ht="62" customHeight="1">
      <x:c r="A58" s="28" t="str">
        <x:v>RF-35</x:v>
      </x:c>
      <x:c r="B58" s="28" t="str">
        <x:v>Weedy Seadragon</x:v>
      </x:c>
      <x:c r="C58" s="28" t="str">
        <x:v>Epic</x:v>
      </x:c>
      <x:c r="D58" s="32" t="n">
        <x:v>52</x:v>
      </x:c>
      <x:c r="E58" s="32" t="str">
        <x:v>Post-launch</x:v>
      </x:c>
      <x:c r="F58" s="32" t="str">
        <x:v>SC-20H</x:v>
      </x:c>
      <x:c r="G58" s="32" t="str">
        <x:v>Balanced</x:v>
      </x:c>
      <x:c r="H58" s="32" t="n">
        <x:v>1</x:v>
      </x:c>
      <x:c r="I58" s="32" t="n">
        <x:v>1</x:v>
      </x:c>
      <x:c r="J58" s="40" t="n">
        <x:f>VLOOKUP(F58,'Schedules'!$A$5:$G$9,3,FALSE)</x:f>
        <x:v>20</x:v>
      </x:c>
      <x:c r="K58" s="28" t="n">
        <x:f>ROUND('Inputs'!$B$14*(1+'Inputs'!$B$15*(D58-1))*J58/24*VLOOKUP(F58,'Schedules'!$A$5:$G$9,4,FALSE)*H58,0)</x:f>
        <x:v>989</x:v>
      </x:c>
      <x:c r="L58" s="28" t="n">
        <x:f>MAX('Inputs'!$B$19,ROUND(K58*'Inputs'!$B$18,0))</x:f>
        <x:v>247</x:v>
      </x:c>
      <x:c r="M58" s="28" t="n">
        <x:f>L58+K58</x:f>
        <x:v>1236</x:v>
      </x:c>
      <x:c r="N58" s="28" t="n">
        <x:f>ROUND('Inputs'!$B$16*(1+'Inputs'!$B$17*(D58-1))*J58/24*VLOOKUP(F58,'Schedules'!$A$5:$G$9,5,FALSE)*I58,0)</x:f>
        <x:v>121</x:v>
      </x:c>
      <x:c r="O58" s="28" t="n">
        <x:f>ROUNDDOWN(L58*'Inputs'!$B$20,0)+ROUNDDOWN(K58*'Inputs'!$B$24,0)</x:f>
        <x:v>332</x:v>
      </x:c>
      <x:c r="P58" s="28" t="n">
        <x:f>ROUNDDOWN(N58*'Inputs'!$B$24,0)</x:f>
        <x:v>12</x:v>
      </x:c>
      <x:c r="Q58" s="28" t="n">
        <x:f>ROUNDDOWN(L58*'Inputs'!$B$20,0)+ROUNDDOWN(K58*'Inputs'!$B$25,0)</x:f>
        <x:v>629</x:v>
      </x:c>
      <x:c r="R58" s="28" t="n">
        <x:f>ROUNDDOWN(N58*'Inputs'!$B$25,0)</x:f>
        <x:v>48</x:v>
      </x:c>
      <x:c r="S58" s="28" t="n">
        <x:f>ROUNDDOWN(L58*'Inputs'!$B$20,0)+ROUNDDOWN(K58*'Inputs'!$B$26,0)</x:f>
        <x:v>926</x:v>
      </x:c>
      <x:c r="T58" s="28" t="n">
        <x:f>ROUNDDOWN(N58*'Inputs'!$B$26,0)</x:f>
        <x:v>84</x:v>
      </x:c>
      <x:c r="U58" s="28" t="n">
        <x:f>0</x:f>
        <x:v>0</x:v>
      </x:c>
      <x:c r="V58" s="40" t="n">
        <x:f>K58/('Inputs'!$B$14*(1+'Inputs'!$B$15*(D58-1))*J58/24)</x:f>
        <x:v>1.0005058168942842</x:v>
      </x:c>
      <x:c r="W58" s="40" t="n">
        <x:f>N58/('Inputs'!$B$16*(1+'Inputs'!$B$17*(D58-1))*J58/24)</x:f>
        <x:v>1.0016556291390728</x:v>
      </x:c>
      <x:c r="X58" s="28" t="n">
        <x:v>390</x:v>
      </x:c>
      <x:c r="Y58" s="28" t="n">
        <x:v>48</x:v>
      </x:c>
      <x:c r="Z58" s="28" t="str">
        <x:v>Roadmap!A38:K38</x:v>
      </x:c>
      <x:c r="AA58" s="28" t="str">
        <x:v>20 hours. Neutral coin/XP choice for a predictable return schedule. Disabled until its release/content gate is approved.</x:v>
      </x:c>
      <x:c r="AB58" s="28" t="str">
        <x:f>IF(AND(K58&gt;0,L58&gt;0,N58&gt;0,U58=0,V58&lt;=1.5,W58&lt;=1.5),"MODEL OK","REVIEW")</x:f>
        <x:v>MODEL OK</x:v>
      </x:c>
    </x:row>
    <x:row r="59" ht="62" customHeight="1">
      <x:c r="A59" s="28" t="str">
        <x:v>RF-36</x:v>
      </x:c>
      <x:c r="B59" s="28" t="str">
        <x:v>Clown Triggerfish</x:v>
      </x:c>
      <x:c r="C59" s="28" t="str">
        <x:v>Epic</x:v>
      </x:c>
      <x:c r="D59" s="32" t="n">
        <x:v>53</x:v>
      </x:c>
      <x:c r="E59" s="32" t="str">
        <x:v>Post-launch</x:v>
      </x:c>
      <x:c r="F59" s="32" t="str">
        <x:v>SC-44H</x:v>
      </x:c>
      <x:c r="G59" s="32" t="str">
        <x:v>Convenience</x:v>
      </x:c>
      <x:c r="H59" s="32" t="n">
        <x:v>1</x:v>
      </x:c>
      <x:c r="I59" s="32" t="n">
        <x:v>1</x:v>
      </x:c>
      <x:c r="J59" s="40" t="n">
        <x:f>VLOOKUP(F59,'Schedules'!$A$5:$G$9,3,FALSE)</x:f>
        <x:v>44</x:v>
      </x:c>
      <x:c r="K59" s="28" t="n">
        <x:f>ROUND('Inputs'!$B$14*(1+'Inputs'!$B$15*(D59-1))*J59/24*VLOOKUP(F59,'Schedules'!$A$5:$G$9,4,FALSE)*H59,0)</x:f>
        <x:v>2028</x:v>
      </x:c>
      <x:c r="L59" s="28" t="n">
        <x:f>MAX('Inputs'!$B$19,ROUND(K59*'Inputs'!$B$18,0))</x:f>
        <x:v>507</x:v>
      </x:c>
      <x:c r="M59" s="28" t="n">
        <x:f>L59+K59</x:f>
        <x:v>2535</x:v>
      </x:c>
      <x:c r="N59" s="28" t="n">
        <x:f>ROUND('Inputs'!$B$16*(1+'Inputs'!$B$17*(D59-1))*J59/24*VLOOKUP(F59,'Schedules'!$A$5:$G$9,5,FALSE)*I59,0)</x:f>
        <x:v>246</x:v>
      </x:c>
      <x:c r="O59" s="28" t="n">
        <x:f>ROUNDDOWN(L59*'Inputs'!$B$20,0)+ROUNDDOWN(K59*'Inputs'!$B$24,0)</x:f>
        <x:v>683</x:v>
      </x:c>
      <x:c r="P59" s="28" t="n">
        <x:f>ROUNDDOWN(N59*'Inputs'!$B$24,0)</x:f>
        <x:v>24</x:v>
      </x:c>
      <x:c r="Q59" s="28" t="n">
        <x:f>ROUNDDOWN(L59*'Inputs'!$B$20,0)+ROUNDDOWN(K59*'Inputs'!$B$25,0)</x:f>
        <x:v>1292</x:v>
      </x:c>
      <x:c r="R59" s="28" t="n">
        <x:f>ROUNDDOWN(N59*'Inputs'!$B$25,0)</x:f>
        <x:v>98</x:v>
      </x:c>
      <x:c r="S59" s="28" t="n">
        <x:f>ROUNDDOWN(L59*'Inputs'!$B$20,0)+ROUNDDOWN(K59*'Inputs'!$B$26,0)</x:f>
        <x:v>1900</x:v>
      </x:c>
      <x:c r="T59" s="28" t="n">
        <x:f>ROUNDDOWN(N59*'Inputs'!$B$26,0)</x:f>
        <x:v>172</x:v>
      </x:c>
      <x:c r="U59" s="28" t="n">
        <x:f>0</x:f>
        <x:v>0</x:v>
      </x:c>
      <x:c r="V59" s="40" t="n">
        <x:f>K59/('Inputs'!$B$14*(1+'Inputs'!$B$15*(D59-1))*J59/24)</x:f>
        <x:v>0.9199782253674471</x:v>
      </x:c>
      <x:c r="W59" s="40" t="n">
        <x:f>N59/('Inputs'!$B$16*(1+'Inputs'!$B$17*(D59-1))*J59/24)</x:f>
        <x:v>0.9195574162679424</x:v>
      </x:c>
      <x:c r="X59" s="28" t="n">
        <x:v>530</x:v>
      </x:c>
      <x:c r="Y59" s="28" t="n">
        <x:v>96</x:v>
      </x:c>
      <x:c r="Z59" s="28" t="str">
        <x:v>Roadmap!A39:K39</x:v>
      </x:c>
      <x:c r="AA59" s="28" t="str">
        <x:v>44 hours. Longer unattended cycle; no absence penalty and no special care requirement. Disabled until its release/content gate is approved.</x:v>
      </x:c>
      <x:c r="AB59" s="28" t="str">
        <x:f>IF(AND(K59&gt;0,L59&gt;0,N59&gt;0,U59=0,V59&lt;=1.5,W59&lt;=1.5),"MODEL OK","REVIEW")</x:f>
        <x:v>MODEL OK</x:v>
      </x:c>
    </x:row>
    <x:row r="60" ht="62" customHeight="1">
      <x:c r="A60" s="28" t="str">
        <x:v>RF-37</x:v>
      </x:c>
      <x:c r="B60" s="28" t="str">
        <x:v>Moon Jellyfish</x:v>
      </x:c>
      <x:c r="C60" s="28" t="str">
        <x:v>Epic</x:v>
      </x:c>
      <x:c r="D60" s="32" t="n">
        <x:v>54</x:v>
      </x:c>
      <x:c r="E60" s="32" t="str">
        <x:v>Post-launch</x:v>
      </x:c>
      <x:c r="F60" s="32" t="str">
        <x:v>SC-20M</x:v>
      </x:c>
      <x:c r="G60" s="32" t="str">
        <x:v>Coin Specialist</x:v>
      </x:c>
      <x:c r="H60" s="32" t="n">
        <x:v>1.1</x:v>
      </x:c>
      <x:c r="I60" s="32" t="n">
        <x:v>0.9</x:v>
      </x:c>
      <x:c r="J60" s="40" t="n">
        <x:f>VLOOKUP(F60,'Schedules'!$A$5:$G$9,3,FALSE)</x:f>
        <x:v>0.3333333333333333</x:v>
      </x:c>
      <x:c r="K60" s="28" t="n">
        <x:f>ROUND('Inputs'!$B$14*(1+'Inputs'!$B$15*(D60-1))*J60/24*VLOOKUP(F60,'Schedules'!$A$5:$G$9,4,FALSE)*H60,0)</x:f>
        <x:v>23</x:v>
      </x:c>
      <x:c r="L60" s="28" t="n">
        <x:f>MAX('Inputs'!$B$19,ROUND(K60*'Inputs'!$B$18,0))</x:f>
        <x:v>6</x:v>
      </x:c>
      <x:c r="M60" s="28" t="n">
        <x:f>L60+K60</x:f>
        <x:v>29</x:v>
      </x:c>
      <x:c r="N60" s="28" t="n">
        <x:f>ROUND('Inputs'!$B$16*(1+'Inputs'!$B$17*(D60-1))*J60/24*VLOOKUP(F60,'Schedules'!$A$5:$G$9,5,FALSE)*I60,0)</x:f>
        <x:v>2</x:v>
      </x:c>
      <x:c r="O60" s="28" t="n">
        <x:f>ROUNDDOWN(L60*'Inputs'!$B$20,0)+ROUNDDOWN(K60*'Inputs'!$B$24,0)</x:f>
        <x:v>7</x:v>
      </x:c>
      <x:c r="P60" s="28" t="n">
        <x:f>ROUNDDOWN(N60*'Inputs'!$B$24,0)</x:f>
        <x:v>0</x:v>
      </x:c>
      <x:c r="Q60" s="28" t="n">
        <x:f>ROUNDDOWN(L60*'Inputs'!$B$20,0)+ROUNDDOWN(K60*'Inputs'!$B$25,0)</x:f>
        <x:v>14</x:v>
      </x:c>
      <x:c r="R60" s="28" t="n">
        <x:f>ROUNDDOWN(N60*'Inputs'!$B$25,0)</x:f>
        <x:v>0</x:v>
      </x:c>
      <x:c r="S60" s="28" t="n">
        <x:f>ROUNDDOWN(L60*'Inputs'!$B$20,0)+ROUNDDOWN(K60*'Inputs'!$B$26,0)</x:f>
        <x:v>21</x:v>
      </x:c>
      <x:c r="T60" s="28" t="n">
        <x:f>ROUNDDOWN(N60*'Inputs'!$B$26,0)</x:f>
        <x:v>1</x:v>
      </x:c>
      <x:c r="U60" s="28" t="n">
        <x:f>0</x:f>
        <x:v>0</x:v>
      </x:c>
      <x:c r="V60" s="40" t="n">
        <x:f>K60/('Inputs'!$B$14*(1+'Inputs'!$B$15*(D60-1))*J60/24)</x:f>
        <x:v>1.358936484490399</x:v>
      </x:c>
      <x:c r="W60" s="40" t="n">
        <x:f>N60/('Inputs'!$B$16*(1+'Inputs'!$B$17*(D60-1))*J60/24)</x:f>
        <x:v>0.9803921568627453</x:v>
      </x:c>
      <x:c r="X60" s="28" t="n">
        <x:v>130</x:v>
      </x:c>
      <x:c r="Y60" s="28" t="n">
        <x:v>0.332</x:v>
      </x:c>
      <x:c r="Z60" s="28" t="str">
        <x:v>Roadmap!A40:K40</x:v>
      </x:c>
      <x:c r="AA60" s="28" t="str">
        <x:v>20 minutes. Trades 10% base XP for 10% base coin output; schedule choice still matters. Disabled until its release/content gate is approved.</x:v>
      </x:c>
      <x:c r="AB60" s="28" t="str">
        <x:f>IF(AND(K60&gt;0,L60&gt;0,N60&gt;0,U60=0,V60&lt;=1.5,W60&lt;=1.5),"MODEL OK","REVIEW")</x:f>
        <x:v>MODEL OK</x:v>
      </x:c>
    </x:row>
    <x:row r="61" ht="62" customHeight="1">
      <x:c r="A61" s="28" t="str">
        <x:v>RF-38</x:v>
      </x:c>
      <x:c r="B61" s="28" t="str">
        <x:v>Zebra Moray Eel</x:v>
      </x:c>
      <x:c r="C61" s="28" t="str">
        <x:v>Epic</x:v>
      </x:c>
      <x:c r="D61" s="32" t="n">
        <x:v>55</x:v>
      </x:c>
      <x:c r="E61" s="32" t="str">
        <x:v>Post-launch</x:v>
      </x:c>
      <x:c r="F61" s="32" t="str">
        <x:v>SC-8H</x:v>
      </x:c>
      <x:c r="G61" s="32" t="str">
        <x:v>Balanced</x:v>
      </x:c>
      <x:c r="H61" s="32" t="n">
        <x:v>1</x:v>
      </x:c>
      <x:c r="I61" s="32" t="n">
        <x:v>1</x:v>
      </x:c>
      <x:c r="J61" s="40" t="n">
        <x:f>VLOOKUP(F61,'Schedules'!$A$5:$G$9,3,FALSE)</x:f>
        <x:v>8</x:v>
      </x:c>
      <x:c r="K61" s="28" t="n">
        <x:f>ROUND('Inputs'!$B$14*(1+'Inputs'!$B$15*(D61-1))*J61/24*VLOOKUP(F61,'Schedules'!$A$5:$G$9,4,FALSE)*H61,0)</x:f>
        <x:v>535</x:v>
      </x:c>
      <x:c r="L61" s="28" t="n">
        <x:f>MAX('Inputs'!$B$19,ROUND(K61*'Inputs'!$B$18,0))</x:f>
        <x:v>134</x:v>
      </x:c>
      <x:c r="M61" s="28" t="n">
        <x:f>L61+K61</x:f>
        <x:v>669</x:v>
      </x:c>
      <x:c r="N61" s="28" t="n">
        <x:f>ROUND('Inputs'!$B$16*(1+'Inputs'!$B$17*(D61-1))*J61/24*VLOOKUP(F61,'Schedules'!$A$5:$G$9,5,FALSE)*I61,0)</x:f>
        <x:v>64</x:v>
      </x:c>
      <x:c r="O61" s="28" t="n">
        <x:f>ROUNDDOWN(L61*'Inputs'!$B$20,0)+ROUNDDOWN(K61*'Inputs'!$B$24,0)</x:f>
        <x:v>180</x:v>
      </x:c>
      <x:c r="P61" s="28" t="n">
        <x:f>ROUNDDOWN(N61*'Inputs'!$B$24,0)</x:f>
        <x:v>6</x:v>
      </x:c>
      <x:c r="Q61" s="28" t="n">
        <x:f>ROUNDDOWN(L61*'Inputs'!$B$20,0)+ROUNDDOWN(K61*'Inputs'!$B$25,0)</x:f>
        <x:v>341</x:v>
      </x:c>
      <x:c r="R61" s="28" t="n">
        <x:f>ROUNDDOWN(N61*'Inputs'!$B$25,0)</x:f>
        <x:v>25</x:v>
      </x:c>
      <x:c r="S61" s="28" t="n">
        <x:f>ROUNDDOWN(L61*'Inputs'!$B$20,0)+ROUNDDOWN(K61*'Inputs'!$B$26,0)</x:f>
        <x:v>501</x:v>
      </x:c>
      <x:c r="T61" s="28" t="n">
        <x:f>ROUNDDOWN(N61*'Inputs'!$B$26,0)</x:f>
        <x:v>44</x:v>
      </x:c>
      <x:c r="U61" s="28" t="n">
        <x:f>0</x:f>
        <x:v>0</x:v>
      </x:c>
      <x:c r="V61" s="40" t="n">
        <x:f>K61/('Inputs'!$B$14*(1+'Inputs'!$B$15*(D61-1))*J61/24)</x:f>
        <x:v>1.2998056365403305</x:v>
      </x:c>
      <x:c r="W61" s="40" t="n">
        <x:f>N61/('Inputs'!$B$16*(1+'Inputs'!$B$17*(D61-1))*J61/24)</x:f>
        <x:v>1.2987012987012987</x:v>
      </x:c>
      <x:c r="X61" s="28" t="n">
        <x:v>300</x:v>
      </x:c>
      <x:c r="Y61" s="28" t="n">
        <x:v>24</x:v>
      </x:c>
      <x:c r="Z61" s="28" t="str">
        <x:v>Roadmap!A41:K41</x:v>
      </x:c>
      <x:c r="AA61" s="28" t="str">
        <x:v>8 hours. Neutral coin/XP choice for a predictable return schedule. Disabled until its release/content gate is approved.</x:v>
      </x:c>
      <x:c r="AB61" s="28" t="str">
        <x:f>IF(AND(K61&gt;0,L61&gt;0,N61&gt;0,U61=0,V61&lt;=1.5,W61&lt;=1.5),"MODEL OK","REVIEW")</x:f>
        <x:v>MODEL OK</x:v>
      </x:c>
    </x:row>
    <x:row r="62" ht="62" customHeight="1">
      <x:c r="A62" s="28" t="str">
        <x:v>RF-39</x:v>
      </x:c>
      <x:c r="B62" s="28" t="str">
        <x:v>Dragon Moray</x:v>
      </x:c>
      <x:c r="C62" s="28" t="str">
        <x:v>Epic</x:v>
      </x:c>
      <x:c r="D62" s="32" t="n">
        <x:v>56</x:v>
      </x:c>
      <x:c r="E62" s="32" t="str">
        <x:v>Post-launch</x:v>
      </x:c>
      <x:c r="F62" s="32" t="str">
        <x:v>SC-20H</x:v>
      </x:c>
      <x:c r="G62" s="32" t="str">
        <x:v>Balanced</x:v>
      </x:c>
      <x:c r="H62" s="32" t="n">
        <x:v>1</x:v>
      </x:c>
      <x:c r="I62" s="32" t="n">
        <x:v>1</x:v>
      </x:c>
      <x:c r="J62" s="40" t="n">
        <x:f>VLOOKUP(F62,'Schedules'!$A$5:$G$9,3,FALSE)</x:f>
        <x:v>20</x:v>
      </x:c>
      <x:c r="K62" s="28" t="n">
        <x:f>ROUND('Inputs'!$B$14*(1+'Inputs'!$B$15*(D62-1))*J62/24*VLOOKUP(F62,'Schedules'!$A$5:$G$9,4,FALSE)*H62,0)</x:f>
        <x:v>1043</x:v>
      </x:c>
      <x:c r="L62" s="28" t="n">
        <x:f>MAX('Inputs'!$B$19,ROUND(K62*'Inputs'!$B$18,0))</x:f>
        <x:v>261</x:v>
      </x:c>
      <x:c r="M62" s="28" t="n">
        <x:f>L62+K62</x:f>
        <x:v>1304</x:v>
      </x:c>
      <x:c r="N62" s="28" t="n">
        <x:f>ROUND('Inputs'!$B$16*(1+'Inputs'!$B$17*(D62-1))*J62/24*VLOOKUP(F62,'Schedules'!$A$5:$G$9,5,FALSE)*I62,0)</x:f>
        <x:v>124</x:v>
      </x:c>
      <x:c r="O62" s="28" t="n">
        <x:f>ROUNDDOWN(L62*'Inputs'!$B$20,0)+ROUNDDOWN(K62*'Inputs'!$B$24,0)</x:f>
        <x:v>351</x:v>
      </x:c>
      <x:c r="P62" s="28" t="n">
        <x:f>ROUNDDOWN(N62*'Inputs'!$B$24,0)</x:f>
        <x:v>12</x:v>
      </x:c>
      <x:c r="Q62" s="28" t="n">
        <x:f>ROUNDDOWN(L62*'Inputs'!$B$20,0)+ROUNDDOWN(K62*'Inputs'!$B$25,0)</x:f>
        <x:v>664</x:v>
      </x:c>
      <x:c r="R62" s="28" t="n">
        <x:f>ROUNDDOWN(N62*'Inputs'!$B$25,0)</x:f>
        <x:v>49</x:v>
      </x:c>
      <x:c r="S62" s="28" t="n">
        <x:f>ROUNDDOWN(L62*'Inputs'!$B$20,0)+ROUNDDOWN(K62*'Inputs'!$B$26,0)</x:f>
        <x:v>977</x:v>
      </x:c>
      <x:c r="T62" s="28" t="n">
        <x:f>ROUNDDOWN(N62*'Inputs'!$B$26,0)</x:f>
        <x:v>86</x:v>
      </x:c>
      <x:c r="U62" s="28" t="n">
        <x:f>0</x:f>
        <x:v>0</x:v>
      </x:c>
      <x:c r="V62" s="40" t="n">
        <x:f>K62/('Inputs'!$B$14*(1+'Inputs'!$B$15*(D62-1))*J62/24)</x:f>
        <x:v>1.0004796163069545</x:v>
      </x:c>
      <x:c r="W62" s="40" t="n">
        <x:f>N62/('Inputs'!$B$16*(1+'Inputs'!$B$17*(D62-1))*J62/24)</x:f>
        <x:v>1</x:v>
      </x:c>
      <x:c r="X62" s="28" t="n">
        <x:v>460</x:v>
      </x:c>
      <x:c r="Y62" s="28" t="n">
        <x:v>64</x:v>
      </x:c>
      <x:c r="Z62" s="28" t="str">
        <x:v>Roadmap!A42:K42</x:v>
      </x:c>
      <x:c r="AA62" s="28" t="str">
        <x:v>20 hours. Neutral coin/XP choice for a predictable return schedule. Disabled until its release/content gate is approved.</x:v>
      </x:c>
      <x:c r="AB62" s="28" t="str">
        <x:f>IF(AND(K62&gt;0,L62&gt;0,N62&gt;0,U62=0,V62&lt;=1.5,W62&lt;=1.5),"MODEL OK","REVIEW")</x:f>
        <x:v>MODEL OK</x:v>
      </x:c>
    </x:row>
    <x:row r="63" ht="62" customHeight="1">
      <x:c r="A63" s="28" t="str">
        <x:v>RF-40</x:v>
      </x:c>
      <x:c r="B63" s="28" t="str">
        <x:v>Humphead Wrasse</x:v>
      </x:c>
      <x:c r="C63" s="28" t="str">
        <x:v>Epic</x:v>
      </x:c>
      <x:c r="D63" s="32" t="n">
        <x:v>57</x:v>
      </x:c>
      <x:c r="E63" s="32" t="str">
        <x:v>Post-launch</x:v>
      </x:c>
      <x:c r="F63" s="32" t="str">
        <x:v>SC-44H</x:v>
      </x:c>
      <x:c r="G63" s="32" t="str">
        <x:v>Payout</x:v>
      </x:c>
      <x:c r="H63" s="32" t="n">
        <x:v>1</x:v>
      </x:c>
      <x:c r="I63" s="32" t="n">
        <x:v>1</x:v>
      </x:c>
      <x:c r="J63" s="40" t="n">
        <x:f>VLOOKUP(F63,'Schedules'!$A$5:$G$9,3,FALSE)</x:f>
        <x:v>44</x:v>
      </x:c>
      <x:c r="K63" s="28" t="n">
        <x:f>ROUND('Inputs'!$B$14*(1+'Inputs'!$B$15*(D63-1))*J63/24*VLOOKUP(F63,'Schedules'!$A$5:$G$9,4,FALSE)*H63,0)</x:f>
        <x:v>2137</x:v>
      </x:c>
      <x:c r="L63" s="28" t="n">
        <x:f>MAX('Inputs'!$B$19,ROUND(K63*'Inputs'!$B$18,0))</x:f>
        <x:v>534</x:v>
      </x:c>
      <x:c r="M63" s="28" t="n">
        <x:f>L63+K63</x:f>
        <x:v>2671</x:v>
      </x:c>
      <x:c r="N63" s="28" t="n">
        <x:f>ROUND('Inputs'!$B$16*(1+'Inputs'!$B$17*(D63-1))*J63/24*VLOOKUP(F63,'Schedules'!$A$5:$G$9,5,FALSE)*I63,0)</x:f>
        <x:v>253</x:v>
      </x:c>
      <x:c r="O63" s="28" t="n">
        <x:f>ROUNDDOWN(L63*'Inputs'!$B$20,0)+ROUNDDOWN(K63*'Inputs'!$B$24,0)</x:f>
        <x:v>720</x:v>
      </x:c>
      <x:c r="P63" s="28" t="n">
        <x:f>ROUNDDOWN(N63*'Inputs'!$B$24,0)</x:f>
        <x:v>25</x:v>
      </x:c>
      <x:c r="Q63" s="28" t="n">
        <x:f>ROUNDDOWN(L63*'Inputs'!$B$20,0)+ROUNDDOWN(K63*'Inputs'!$B$25,0)</x:f>
        <x:v>1361</x:v>
      </x:c>
      <x:c r="R63" s="28" t="n">
        <x:f>ROUNDDOWN(N63*'Inputs'!$B$25,0)</x:f>
        <x:v>101</x:v>
      </x:c>
      <x:c r="S63" s="28" t="n">
        <x:f>ROUNDDOWN(L63*'Inputs'!$B$20,0)+ROUNDDOWN(K63*'Inputs'!$B$26,0)</x:f>
        <x:v>2002</x:v>
      </x:c>
      <x:c r="T63" s="28" t="n">
        <x:f>ROUNDDOWN(N63*'Inputs'!$B$26,0)</x:f>
        <x:v>177</x:v>
      </x:c>
      <x:c r="U63" s="28" t="n">
        <x:f>0</x:f>
        <x:v>0</x:v>
      </x:c>
      <x:c r="V63" s="40" t="n">
        <x:f>K63/('Inputs'!$B$14*(1+'Inputs'!$B$15*(D63-1))*J63/24)</x:f>
        <x:v>0.9198519283746556</x:v>
      </x:c>
      <x:c r="W63" s="40" t="n">
        <x:f>N63/('Inputs'!$B$16*(1+'Inputs'!$B$17*(D63-1))*J63/24)</x:f>
        <x:v>0.9214743589743589</x:v>
      </x:c>
      <x:c r="X63" s="28" t="n">
        <x:v>660</x:v>
      </x:c>
      <x:c r="Y63" s="28" t="n">
        <x:v>144</x:v>
      </x:c>
      <x:c r="Z63" s="28" t="str">
        <x:v>Roadmap!A43:K43</x:v>
      </x:c>
      <x:c r="AA63" s="28" t="str">
        <x:v>44 hours. Long cycle produces a larger single settlement, not a superior daily rate. Disabled until its release/content gate is approved.</x:v>
      </x:c>
      <x:c r="AB63" s="28" t="str">
        <x:f>IF(AND(K63&gt;0,L63&gt;0,N63&gt;0,U63=0,V63&lt;=1.5,W63&lt;=1.5),"MODEL OK","REVIEW")</x:f>
        <x:v>MODEL OK</x:v>
      </x:c>
    </x:row>
    <x:row r="64" ht="62" customHeight="1">
      <x:c r="A64" s="28" t="str">
        <x:v>RF-41</x:v>
      </x:c>
      <x:c r="B64" s="28" t="str">
        <x:v>Pearlscale Angelfish</x:v>
      </x:c>
      <x:c r="C64" s="28" t="str">
        <x:v>Epic</x:v>
      </x:c>
      <x:c r="D64" s="32" t="n">
        <x:v>58</x:v>
      </x:c>
      <x:c r="E64" s="32" t="str">
        <x:v>Post-launch</x:v>
      </x:c>
      <x:c r="F64" s="32" t="str">
        <x:v>SC-2H</x:v>
      </x:c>
      <x:c r="G64" s="32" t="str">
        <x:v>Coin Specialist</x:v>
      </x:c>
      <x:c r="H64" s="32" t="n">
        <x:v>1.1</x:v>
      </x:c>
      <x:c r="I64" s="32" t="n">
        <x:v>0.9</x:v>
      </x:c>
      <x:c r="J64" s="40" t="n">
        <x:f>VLOOKUP(F64,'Schedules'!$A$5:$G$9,3,FALSE)</x:f>
        <x:v>2</x:v>
      </x:c>
      <x:c r="K64" s="28" t="n">
        <x:f>ROUND('Inputs'!$B$14*(1+'Inputs'!$B$15*(D64-1))*J64/24*VLOOKUP(F64,'Schedules'!$A$5:$G$9,4,FALSE)*H64,0)</x:f>
        <x:v>153</x:v>
      </x:c>
      <x:c r="L64" s="28" t="n">
        <x:f>MAX('Inputs'!$B$19,ROUND(K64*'Inputs'!$B$18,0))</x:f>
        <x:v>38</x:v>
      </x:c>
      <x:c r="M64" s="28" t="n">
        <x:f>L64+K64</x:f>
        <x:v>191</x:v>
      </x:c>
      <x:c r="N64" s="28" t="n">
        <x:f>ROUND('Inputs'!$B$16*(1+'Inputs'!$B$17*(D64-1))*J64/24*VLOOKUP(F64,'Schedules'!$A$5:$G$9,5,FALSE)*I64,0)</x:f>
        <x:v>15</x:v>
      </x:c>
      <x:c r="O64" s="28" t="n">
        <x:f>ROUNDDOWN(L64*'Inputs'!$B$20,0)+ROUNDDOWN(K64*'Inputs'!$B$24,0)</x:f>
        <x:v>51</x:v>
      </x:c>
      <x:c r="P64" s="28" t="n">
        <x:f>ROUNDDOWN(N64*'Inputs'!$B$24,0)</x:f>
        <x:v>1</x:v>
      </x:c>
      <x:c r="Q64" s="28" t="n">
        <x:f>ROUNDDOWN(L64*'Inputs'!$B$20,0)+ROUNDDOWN(K64*'Inputs'!$B$25,0)</x:f>
        <x:v>97</x:v>
      </x:c>
      <x:c r="R64" s="28" t="n">
        <x:f>ROUNDDOWN(N64*'Inputs'!$B$25,0)</x:f>
        <x:v>6</x:v>
      </x:c>
      <x:c r="S64" s="28" t="n">
        <x:f>ROUNDDOWN(L64*'Inputs'!$B$20,0)+ROUNDDOWN(K64*'Inputs'!$B$26,0)</x:f>
        <x:v>143</x:v>
      </x:c>
      <x:c r="T64" s="28" t="n">
        <x:f>ROUNDDOWN(N64*'Inputs'!$B$26,0)</x:f>
        <x:v>10</x:v>
      </x:c>
      <x:c r="U64" s="28" t="n">
        <x:f>0</x:f>
        <x:v>0</x:v>
      </x:c>
      <x:c r="V64" s="40" t="n">
        <x:f>K64/('Inputs'!$B$14*(1+'Inputs'!$B$15*(D64-1))*J64/24)</x:f>
        <x:v>1.4305750350631137</x:v>
      </x:c>
      <x:c r="W64" s="40" t="n">
        <x:f>N64/('Inputs'!$B$16*(1+'Inputs'!$B$17*(D64-1))*J64/24)</x:f>
        <x:v>1.1942675159235667</x:v>
      </x:c>
      <x:c r="X64" s="28" t="n">
        <x:v>220</x:v>
      </x:c>
      <x:c r="Y64" s="28" t="n">
        <x:v>4</x:v>
      </x:c>
      <x:c r="Z64" s="28" t="str">
        <x:v>Roadmap!A44:K44</x:v>
      </x:c>
      <x:c r="AA64" s="28" t="str">
        <x:v>2 hours. Trades 10% base XP for 10% base coin output; schedule choice still matters. Disabled until its release/content gate is approved.</x:v>
      </x:c>
      <x:c r="AB64" s="28" t="str">
        <x:f>IF(AND(K64&gt;0,L64&gt;0,N64&gt;0,U64=0,V64&lt;=1.5,W64&lt;=1.5),"MODEL OK","REVIEW")</x:f>
        <x:v>MODEL OK</x:v>
      </x:c>
    </x:row>
    <x:row r="65" ht="62" customHeight="1">
      <x:c r="A65" s="28" t="str">
        <x:v>RF-42</x:v>
      </x:c>
      <x:c r="B65" s="28" t="str">
        <x:v>Emperor Snapper</x:v>
      </x:c>
      <x:c r="C65" s="28" t="str">
        <x:v>Epic</x:v>
      </x:c>
      <x:c r="D65" s="32" t="n">
        <x:v>59</x:v>
      </x:c>
      <x:c r="E65" s="32" t="str">
        <x:v>Post-launch</x:v>
      </x:c>
      <x:c r="F65" s="32" t="str">
        <x:v>SC-20H</x:v>
      </x:c>
      <x:c r="G65" s="32" t="str">
        <x:v>Balanced</x:v>
      </x:c>
      <x:c r="H65" s="32" t="n">
        <x:v>1</x:v>
      </x:c>
      <x:c r="I65" s="32" t="n">
        <x:v>1</x:v>
      </x:c>
      <x:c r="J65" s="40" t="n">
        <x:f>VLOOKUP(F65,'Schedules'!$A$5:$G$9,3,FALSE)</x:f>
        <x:v>20</x:v>
      </x:c>
      <x:c r="K65" s="28" t="n">
        <x:f>ROUND('Inputs'!$B$14*(1+'Inputs'!$B$15*(D65-1))*J65/24*VLOOKUP(F65,'Schedules'!$A$5:$G$9,4,FALSE)*H65,0)</x:f>
        <x:v>1083</x:v>
      </x:c>
      <x:c r="L65" s="28" t="n">
        <x:f>MAX('Inputs'!$B$19,ROUND(K65*'Inputs'!$B$18,0))</x:f>
        <x:v>271</x:v>
      </x:c>
      <x:c r="M65" s="28" t="n">
        <x:f>L65+K65</x:f>
        <x:v>1354</x:v>
      </x:c>
      <x:c r="N65" s="28" t="n">
        <x:f>ROUND('Inputs'!$B$16*(1+'Inputs'!$B$17*(D65-1))*J65/24*VLOOKUP(F65,'Schedules'!$A$5:$G$9,5,FALSE)*I65,0)</x:f>
        <x:v>126</x:v>
      </x:c>
      <x:c r="O65" s="28" t="n">
        <x:f>ROUNDDOWN(L65*'Inputs'!$B$20,0)+ROUNDDOWN(K65*'Inputs'!$B$24,0)</x:f>
        <x:v>365</x:v>
      </x:c>
      <x:c r="P65" s="28" t="n">
        <x:f>ROUNDDOWN(N65*'Inputs'!$B$24,0)</x:f>
        <x:v>12</x:v>
      </x:c>
      <x:c r="Q65" s="28" t="n">
        <x:f>ROUNDDOWN(L65*'Inputs'!$B$20,0)+ROUNDDOWN(K65*'Inputs'!$B$25,0)</x:f>
        <x:v>690</x:v>
      </x:c>
      <x:c r="R65" s="28" t="n">
        <x:f>ROUNDDOWN(N65*'Inputs'!$B$25,0)</x:f>
        <x:v>50</x:v>
      </x:c>
      <x:c r="S65" s="28" t="n">
        <x:f>ROUNDDOWN(L65*'Inputs'!$B$20,0)+ROUNDDOWN(K65*'Inputs'!$B$26,0)</x:f>
        <x:v>1015</x:v>
      </x:c>
      <x:c r="T65" s="28" t="n">
        <x:f>ROUNDDOWN(N65*'Inputs'!$B$26,0)</x:f>
        <x:v>88</x:v>
      </x:c>
      <x:c r="U65" s="28" t="n">
        <x:f>0</x:f>
        <x:v>0</x:v>
      </x:c>
      <x:c r="V65" s="40" t="n">
        <x:f>K65/('Inputs'!$B$14*(1+'Inputs'!$B$15*(D65-1))*J65/24)</x:f>
        <x:v>1</x:v>
      </x:c>
      <x:c r="W65" s="40" t="n">
        <x:f>N65/('Inputs'!$B$16*(1+'Inputs'!$B$17*(D65-1))*J65/24)</x:f>
        <x:v>0.9968354430379746</x:v>
      </x:c>
      <x:c r="X65" s="28" t="n">
        <x:v>360</x:v>
      </x:c>
      <x:c r="Y65" s="28" t="n">
        <x:v>32</x:v>
      </x:c>
      <x:c r="Z65" s="28" t="str">
        <x:v>Roadmap!A45:K45</x:v>
      </x:c>
      <x:c r="AA65" s="28" t="str">
        <x:v>20 hours. Neutral coin/XP choice for a predictable return schedule. Disabled until its release/content gate is approved.</x:v>
      </x:c>
      <x:c r="AB65" s="28" t="str">
        <x:f>IF(AND(K65&gt;0,L65&gt;0,N65&gt;0,U65=0,V65&lt;=1.5,W65&lt;=1.5),"MODEL OK","REVIEW")</x:f>
        <x:v>MODEL OK</x:v>
      </x:c>
    </x:row>
    <x:row r="66" ht="62" customHeight="1">
      <x:c r="A66" s="28" t="str">
        <x:v>RF-43</x:v>
      </x:c>
      <x:c r="B66" s="28" t="str">
        <x:v>Giant Grouper</x:v>
      </x:c>
      <x:c r="C66" s="28" t="str">
        <x:v>Epic</x:v>
      </x:c>
      <x:c r="D66" s="32" t="n">
        <x:v>60</x:v>
      </x:c>
      <x:c r="E66" s="32" t="str">
        <x:v>Post-launch</x:v>
      </x:c>
      <x:c r="F66" s="32" t="str">
        <x:v>SC-20H</x:v>
      </x:c>
      <x:c r="G66" s="32" t="str">
        <x:v>Balanced</x:v>
      </x:c>
      <x:c r="H66" s="32" t="n">
        <x:v>1</x:v>
      </x:c>
      <x:c r="I66" s="32" t="n">
        <x:v>1</x:v>
      </x:c>
      <x:c r="J66" s="40" t="n">
        <x:f>VLOOKUP(F66,'Schedules'!$A$5:$G$9,3,FALSE)</x:f>
        <x:v>20</x:v>
      </x:c>
      <x:c r="K66" s="28" t="n">
        <x:f>ROUND('Inputs'!$B$14*(1+'Inputs'!$B$15*(D66-1))*J66/24*VLOOKUP(F66,'Schedules'!$A$5:$G$9,4,FALSE)*H66,0)</x:f>
        <x:v>1097</x:v>
      </x:c>
      <x:c r="L66" s="28" t="n">
        <x:f>MAX('Inputs'!$B$19,ROUND(K66*'Inputs'!$B$18,0))</x:f>
        <x:v>274</x:v>
      </x:c>
      <x:c r="M66" s="28" t="n">
        <x:f>L66+K66</x:f>
        <x:v>1371</x:v>
      </x:c>
      <x:c r="N66" s="28" t="n">
        <x:f>ROUND('Inputs'!$B$16*(1+'Inputs'!$B$17*(D66-1))*J66/24*VLOOKUP(F66,'Schedules'!$A$5:$G$9,5,FALSE)*I66,0)</x:f>
        <x:v>127</x:v>
      </x:c>
      <x:c r="O66" s="28" t="n">
        <x:f>ROUNDDOWN(L66*'Inputs'!$B$20,0)+ROUNDDOWN(K66*'Inputs'!$B$24,0)</x:f>
        <x:v>369</x:v>
      </x:c>
      <x:c r="P66" s="28" t="n">
        <x:f>ROUNDDOWN(N66*'Inputs'!$B$24,0)</x:f>
        <x:v>12</x:v>
      </x:c>
      <x:c r="Q66" s="28" t="n">
        <x:f>ROUNDDOWN(L66*'Inputs'!$B$20,0)+ROUNDDOWN(K66*'Inputs'!$B$25,0)</x:f>
        <x:v>698</x:v>
      </x:c>
      <x:c r="R66" s="28" t="n">
        <x:f>ROUNDDOWN(N66*'Inputs'!$B$25,0)</x:f>
        <x:v>50</x:v>
      </x:c>
      <x:c r="S66" s="28" t="n">
        <x:f>ROUNDDOWN(L66*'Inputs'!$B$20,0)+ROUNDDOWN(K66*'Inputs'!$B$26,0)</x:f>
        <x:v>1027</x:v>
      </x:c>
      <x:c r="T66" s="28" t="n">
        <x:f>ROUNDDOWN(N66*'Inputs'!$B$26,0)</x:f>
        <x:v>88</x:v>
      </x:c>
      <x:c r="U66" s="28" t="n">
        <x:f>0</x:f>
        <x:v>0</x:v>
      </x:c>
      <x:c r="V66" s="40" t="n">
        <x:f>K66/('Inputs'!$B$14*(1+'Inputs'!$B$15*(D66-1))*J66/24)</x:f>
        <x:v>1.0004559963520292</x:v>
      </x:c>
      <x:c r="W66" s="40" t="n">
        <x:f>N66/('Inputs'!$B$16*(1+'Inputs'!$B$17*(D66-1))*J66/24)</x:f>
        <x:v>0.9984276729559749</x:v>
      </x:c>
      <x:c r="X66" s="28" t="n">
        <x:v>540</x:v>
      </x:c>
      <x:c r="Y66" s="28" t="n">
        <x:v>80</x:v>
      </x:c>
      <x:c r="Z66" s="28" t="str">
        <x:v>Roadmap!A46:K46</x:v>
      </x:c>
      <x:c r="AA66" s="28" t="str">
        <x:v>20 hours. Neutral coin/XP choice for a predictable return schedule. Disabled until its release/content gate is approved.</x:v>
      </x:c>
      <x:c r="AB66" s="28" t="str">
        <x:f>IF(AND(K66&gt;0,L66&gt;0,N66&gt;0,U66=0,V66&lt;=1.5,W66&lt;=1.5),"MODEL OK","REVIEW")</x:f>
        <x:v>MODEL OK</x:v>
      </x:c>
    </x:row>
    <x:row r="67" ht="62" customHeight="1">
      <x:c r="A67" s="28" t="str">
        <x:v>RF-44</x:v>
      </x:c>
      <x:c r="B67" s="28" t="str">
        <x:v>Crystal Seahorse</x:v>
      </x:c>
      <x:c r="C67" s="28" t="str">
        <x:v>Legendary</x:v>
      </x:c>
      <x:c r="D67" s="32" t="n">
        <x:v>61</x:v>
      </x:c>
      <x:c r="E67" s="32" t="str">
        <x:v>Post-launch</x:v>
      </x:c>
      <x:c r="F67" s="32" t="str">
        <x:v>SC-44H</x:v>
      </x:c>
      <x:c r="G67" s="32" t="str">
        <x:v>Payout</x:v>
      </x:c>
      <x:c r="H67" s="32" t="n">
        <x:v>1</x:v>
      </x:c>
      <x:c r="I67" s="32" t="n">
        <x:v>1</x:v>
      </x:c>
      <x:c r="J67" s="40" t="n">
        <x:f>VLOOKUP(F67,'Schedules'!$A$5:$G$9,3,FALSE)</x:f>
        <x:v>44</x:v>
      </x:c>
      <x:c r="K67" s="28" t="n">
        <x:f>ROUND('Inputs'!$B$14*(1+'Inputs'!$B$15*(D67-1))*J67/24*VLOOKUP(F67,'Schedules'!$A$5:$G$9,4,FALSE)*H67,0)</x:f>
        <x:v>2247</x:v>
      </x:c>
      <x:c r="L67" s="28" t="n">
        <x:f>MAX('Inputs'!$B$19,ROUND(K67*'Inputs'!$B$18,0))</x:f>
        <x:v>562</x:v>
      </x:c>
      <x:c r="M67" s="28" t="n">
        <x:f>L67+K67</x:f>
        <x:v>2809</x:v>
      </x:c>
      <x:c r="N67" s="28" t="n">
        <x:f>ROUND('Inputs'!$B$16*(1+'Inputs'!$B$17*(D67-1))*J67/24*VLOOKUP(F67,'Schedules'!$A$5:$G$9,5,FALSE)*I67,0)</x:f>
        <x:v>259</x:v>
      </x:c>
      <x:c r="O67" s="28" t="n">
        <x:f>ROUNDDOWN(L67*'Inputs'!$B$20,0)+ROUNDDOWN(K67*'Inputs'!$B$24,0)</x:f>
        <x:v>757</x:v>
      </x:c>
      <x:c r="P67" s="28" t="n">
        <x:f>ROUNDDOWN(N67*'Inputs'!$B$24,0)</x:f>
        <x:v>25</x:v>
      </x:c>
      <x:c r="Q67" s="28" t="n">
        <x:f>ROUNDDOWN(L67*'Inputs'!$B$20,0)+ROUNDDOWN(K67*'Inputs'!$B$25,0)</x:f>
        <x:v>1431</x:v>
      </x:c>
      <x:c r="R67" s="28" t="n">
        <x:f>ROUNDDOWN(N67*'Inputs'!$B$25,0)</x:f>
        <x:v>103</x:v>
      </x:c>
      <x:c r="S67" s="28" t="n">
        <x:f>ROUNDDOWN(L67*'Inputs'!$B$20,0)+ROUNDDOWN(K67*'Inputs'!$B$26,0)</x:f>
        <x:v>2105</x:v>
      </x:c>
      <x:c r="T67" s="28" t="n">
        <x:f>ROUNDDOWN(N67*'Inputs'!$B$26,0)</x:f>
        <x:v>181</x:v>
      </x:c>
      <x:c r="U67" s="28" t="n">
        <x:f>0</x:f>
        <x:v>0</x:v>
      </x:c>
      <x:c r="V67" s="40" t="n">
        <x:f>K67/('Inputs'!$B$14*(1+'Inputs'!$B$15*(D67-1))*J67/24)</x:f>
        <x:v>0.9201474201474201</x:v>
      </x:c>
      <x:c r="W67" s="40" t="n">
        <x:f>N67/('Inputs'!$B$16*(1+'Inputs'!$B$17*(D67-1))*J67/24)</x:f>
        <x:v>0.9197443181818179</x:v>
      </x:c>
      <x:c r="X67" s="28" t="n">
        <x:v>990</x:v>
      </x:c>
      <x:c r="Y67" s="28" t="n">
        <x:v>192</x:v>
      </x:c>
      <x:c r="Z67" s="28" t="str">
        <x:v>Roadmap!A47:K47</x:v>
      </x:c>
      <x:c r="AA67" s="28" t="str">
        <x:v>44 hours. Long cycle produces a larger single settlement, not a superior daily rate. Disabled until its release/content gate is approved.</x:v>
      </x:c>
      <x:c r="AB67" s="28" t="str">
        <x:f>IF(AND(K67&gt;0,L67&gt;0,N67&gt;0,U67=0,V67&lt;=1.5,W67&lt;=1.5),"MODEL OK","REVIEW")</x:f>
        <x:v>MODEL OK</x:v>
      </x:c>
    </x:row>
    <x:row r="68" ht="62" customHeight="1">
      <x:c r="A68" s="28" t="str">
        <x:v>RF-45</x:v>
      </x:c>
      <x:c r="B68" s="28" t="str">
        <x:v>Celestial Tang</x:v>
      </x:c>
      <x:c r="C68" s="28" t="str">
        <x:v>Legendary</x:v>
      </x:c>
      <x:c r="D68" s="32" t="n">
        <x:v>62</x:v>
      </x:c>
      <x:c r="E68" s="32" t="str">
        <x:v>Post-launch</x:v>
      </x:c>
      <x:c r="F68" s="32" t="str">
        <x:v>SC-2H</x:v>
      </x:c>
      <x:c r="G68" s="32" t="str">
        <x:v>Coin Specialist</x:v>
      </x:c>
      <x:c r="H68" s="32" t="n">
        <x:v>1.1</x:v>
      </x:c>
      <x:c r="I68" s="32" t="n">
        <x:v>0.9</x:v>
      </x:c>
      <x:c r="J68" s="40" t="n">
        <x:f>VLOOKUP(F68,'Schedules'!$A$5:$G$9,3,FALSE)</x:f>
        <x:v>2</x:v>
      </x:c>
      <x:c r="K68" s="28" t="n">
        <x:f>ROUND('Inputs'!$B$14*(1+'Inputs'!$B$15*(D68-1))*J68/24*VLOOKUP(F68,'Schedules'!$A$5:$G$9,4,FALSE)*H68,0)</x:f>
        <x:v>161</x:v>
      </x:c>
      <x:c r="L68" s="28" t="n">
        <x:f>MAX('Inputs'!$B$19,ROUND(K68*'Inputs'!$B$18,0))</x:f>
        <x:v>40</x:v>
      </x:c>
      <x:c r="M68" s="28" t="n">
        <x:f>L68+K68</x:f>
        <x:v>201</x:v>
      </x:c>
      <x:c r="N68" s="28" t="n">
        <x:f>ROUND('Inputs'!$B$16*(1+'Inputs'!$B$17*(D68-1))*J68/24*VLOOKUP(F68,'Schedules'!$A$5:$G$9,5,FALSE)*I68,0)</x:f>
        <x:v>15</x:v>
      </x:c>
      <x:c r="O68" s="28" t="n">
        <x:f>ROUNDDOWN(L68*'Inputs'!$B$20,0)+ROUNDDOWN(K68*'Inputs'!$B$24,0)</x:f>
        <x:v>54</x:v>
      </x:c>
      <x:c r="P68" s="28" t="n">
        <x:f>ROUNDDOWN(N68*'Inputs'!$B$24,0)</x:f>
        <x:v>1</x:v>
      </x:c>
      <x:c r="Q68" s="28" t="n">
        <x:f>ROUNDDOWN(L68*'Inputs'!$B$20,0)+ROUNDDOWN(K68*'Inputs'!$B$25,0)</x:f>
        <x:v>102</x:v>
      </x:c>
      <x:c r="R68" s="28" t="n">
        <x:f>ROUNDDOWN(N68*'Inputs'!$B$25,0)</x:f>
        <x:v>6</x:v>
      </x:c>
      <x:c r="S68" s="28" t="n">
        <x:f>ROUNDDOWN(L68*'Inputs'!$B$20,0)+ROUNDDOWN(K68*'Inputs'!$B$26,0)</x:f>
        <x:v>150</x:v>
      </x:c>
      <x:c r="T68" s="28" t="n">
        <x:f>ROUNDDOWN(N68*'Inputs'!$B$26,0)</x:f>
        <x:v>10</x:v>
      </x:c>
      <x:c r="U68" s="28" t="n">
        <x:f>0</x:f>
        <x:v>0</x:v>
      </x:c>
      <x:c r="V68" s="40" t="n">
        <x:f>K68/('Inputs'!$B$14*(1+'Inputs'!$B$15*(D68-1))*J68/24)</x:f>
        <x:v>1.4330218068535825</x:v>
      </x:c>
      <x:c r="W68" s="40" t="n">
        <x:f>N68/('Inputs'!$B$16*(1+'Inputs'!$B$17*(D68-1))*J68/24)</x:f>
        <x:v>1.1645962732919255</x:v>
      </x:c>
      <x:c r="X68" s="28" t="n">
        <x:v>240</x:v>
      </x:c>
      <x:c r="Y68" s="28" t="n">
        <x:v>2</x:v>
      </x:c>
      <x:c r="Z68" s="28" t="str">
        <x:v>Roadmap!A48:K48</x:v>
      </x:c>
      <x:c r="AA68" s="28" t="str">
        <x:v>2 hours. Trades 10% base XP for 10% base coin output; schedule choice still matters. Disabled until its release/content gate is approved.</x:v>
      </x:c>
      <x:c r="AB68" s="28" t="str">
        <x:f>IF(AND(K68&gt;0,L68&gt;0,N68&gt;0,U68=0,V68&lt;=1.5,W68&lt;=1.5),"MODEL OK","REVIEW")</x:f>
        <x:v>MODEL OK</x:v>
      </x:c>
    </x:row>
    <x:row r="69" ht="62" customHeight="1">
      <x:c r="A69" s="28" t="str">
        <x:v>RF-46</x:v>
      </x:c>
      <x:c r="B69" s="28" t="str">
        <x:v>Starry Goby</x:v>
      </x:c>
      <x:c r="C69" s="28" t="str">
        <x:v>Legendary</x:v>
      </x:c>
      <x:c r="D69" s="32" t="n">
        <x:v>63</x:v>
      </x:c>
      <x:c r="E69" s="32" t="str">
        <x:v>Post-launch</x:v>
      </x:c>
      <x:c r="F69" s="32" t="str">
        <x:v>SC-8H</x:v>
      </x:c>
      <x:c r="G69" s="32" t="str">
        <x:v>Balanced</x:v>
      </x:c>
      <x:c r="H69" s="32" t="n">
        <x:v>1</x:v>
      </x:c>
      <x:c r="I69" s="32" t="n">
        <x:v>1</x:v>
      </x:c>
      <x:c r="J69" s="40" t="n">
        <x:f>VLOOKUP(F69,'Schedules'!$A$5:$G$9,3,FALSE)</x:f>
        <x:v>8</x:v>
      </x:c>
      <x:c r="K69" s="28" t="n">
        <x:f>ROUND('Inputs'!$B$14*(1+'Inputs'!$B$15*(D69-1))*J69/24*VLOOKUP(F69,'Schedules'!$A$5:$G$9,4,FALSE)*H69,0)</x:f>
        <x:v>591</x:v>
      </x:c>
      <x:c r="L69" s="28" t="n">
        <x:f>MAX('Inputs'!$B$19,ROUND(K69*'Inputs'!$B$18,0))</x:f>
        <x:v>148</x:v>
      </x:c>
      <x:c r="M69" s="28" t="n">
        <x:f>L69+K69</x:f>
        <x:v>739</x:v>
      </x:c>
      <x:c r="N69" s="28" t="n">
        <x:f>ROUND('Inputs'!$B$16*(1+'Inputs'!$B$17*(D69-1))*J69/24*VLOOKUP(F69,'Schedules'!$A$5:$G$9,5,FALSE)*I69,0)</x:f>
        <x:v>67</x:v>
      </x:c>
      <x:c r="O69" s="28" t="n">
        <x:f>ROUNDDOWN(L69*'Inputs'!$B$20,0)+ROUNDDOWN(K69*'Inputs'!$B$24,0)</x:f>
        <x:v>199</x:v>
      </x:c>
      <x:c r="P69" s="28" t="n">
        <x:f>ROUNDDOWN(N69*'Inputs'!$B$24,0)</x:f>
        <x:v>6</x:v>
      </x:c>
      <x:c r="Q69" s="28" t="n">
        <x:f>ROUNDDOWN(L69*'Inputs'!$B$20,0)+ROUNDDOWN(K69*'Inputs'!$B$25,0)</x:f>
        <x:v>376</x:v>
      </x:c>
      <x:c r="R69" s="28" t="n">
        <x:f>ROUNDDOWN(N69*'Inputs'!$B$25,0)</x:f>
        <x:v>26</x:v>
      </x:c>
      <x:c r="S69" s="28" t="n">
        <x:f>ROUNDDOWN(L69*'Inputs'!$B$20,0)+ROUNDDOWN(K69*'Inputs'!$B$26,0)</x:f>
        <x:v>553</x:v>
      </x:c>
      <x:c r="T69" s="28" t="n">
        <x:f>ROUNDDOWN(N69*'Inputs'!$B$26,0)</x:f>
        <x:v>46</x:v>
      </x:c>
      <x:c r="U69" s="28" t="n">
        <x:f>0</x:f>
        <x:v>0</x:v>
      </x:c>
      <x:c r="V69" s="40" t="n">
        <x:f>K69/('Inputs'!$B$14*(1+'Inputs'!$B$15*(D69-1))*J69/24)</x:f>
        <x:v>1.299472295514512</x:v>
      </x:c>
      <x:c r="W69" s="40" t="n">
        <x:f>N69/('Inputs'!$B$16*(1+'Inputs'!$B$17*(D69-1))*J69/24)</x:f>
        <x:v>1.2924382716049383</x:v>
      </x:c>
      <x:c r="X69" s="28" t="n">
        <x:v>350</x:v>
      </x:c>
      <x:c r="Y69" s="28" t="n">
        <x:v>16</x:v>
      </x:c>
      <x:c r="Z69" s="28" t="str">
        <x:v>Roadmap!A49:K49</x:v>
      </x:c>
      <x:c r="AA69" s="28" t="str">
        <x:v>8 hours. Neutral coin/XP choice for a predictable return schedule. Disabled until its release/content gate is approved.</x:v>
      </x:c>
      <x:c r="AB69" s="28" t="str">
        <x:f>IF(AND(K69&gt;0,L69&gt;0,N69&gt;0,U69=0,V69&lt;=1.5,W69&lt;=1.5),"MODEL OK","REVIEW")</x:f>
        <x:v>MODEL OK</x:v>
      </x:c>
    </x:row>
    <x:row r="70" ht="62" customHeight="1">
      <x:c r="A70" s="28" t="str">
        <x:v>RF-47</x:v>
      </x:c>
      <x:c r="B70" s="28" t="str">
        <x:v>Opal Ray</x:v>
      </x:c>
      <x:c r="C70" s="28" t="str">
        <x:v>Legendary</x:v>
      </x:c>
      <x:c r="D70" s="32" t="n">
        <x:v>64</x:v>
      </x:c>
      <x:c r="E70" s="32" t="str">
        <x:v>Post-launch</x:v>
      </x:c>
      <x:c r="F70" s="32" t="str">
        <x:v>SC-20H</x:v>
      </x:c>
      <x:c r="G70" s="32" t="str">
        <x:v>Balanced</x:v>
      </x:c>
      <x:c r="H70" s="32" t="n">
        <x:v>1</x:v>
      </x:c>
      <x:c r="I70" s="32" t="n">
        <x:v>1</x:v>
      </x:c>
      <x:c r="J70" s="40" t="n">
        <x:f>VLOOKUP(F70,'Schedules'!$A$5:$G$9,3,FALSE)</x:f>
        <x:v>20</x:v>
      </x:c>
      <x:c r="K70" s="28" t="n">
        <x:f>ROUND('Inputs'!$B$14*(1+'Inputs'!$B$15*(D70-1))*J70/24*VLOOKUP(F70,'Schedules'!$A$5:$G$9,4,FALSE)*H70,0)</x:f>
        <x:v>1151</x:v>
      </x:c>
      <x:c r="L70" s="28" t="n">
        <x:f>MAX('Inputs'!$B$19,ROUND(K70*'Inputs'!$B$18,0))</x:f>
        <x:v>288</x:v>
      </x:c>
      <x:c r="M70" s="28" t="n">
        <x:f>L70+K70</x:f>
        <x:v>1439</x:v>
      </x:c>
      <x:c r="N70" s="28" t="n">
        <x:f>ROUND('Inputs'!$B$16*(1+'Inputs'!$B$17*(D70-1))*J70/24*VLOOKUP(F70,'Schedules'!$A$5:$G$9,5,FALSE)*I70,0)</x:f>
        <x:v>130</x:v>
      </x:c>
      <x:c r="O70" s="28" t="n">
        <x:f>ROUNDDOWN(L70*'Inputs'!$B$20,0)+ROUNDDOWN(K70*'Inputs'!$B$24,0)</x:f>
        <x:v>388</x:v>
      </x:c>
      <x:c r="P70" s="28" t="n">
        <x:f>ROUNDDOWN(N70*'Inputs'!$B$24,0)</x:f>
        <x:v>13</x:v>
      </x:c>
      <x:c r="Q70" s="28" t="n">
        <x:f>ROUNDDOWN(L70*'Inputs'!$B$20,0)+ROUNDDOWN(K70*'Inputs'!$B$25,0)</x:f>
        <x:v>733</x:v>
      </x:c>
      <x:c r="R70" s="28" t="n">
        <x:f>ROUNDDOWN(N70*'Inputs'!$B$25,0)</x:f>
        <x:v>52</x:v>
      </x:c>
      <x:c r="S70" s="28" t="n">
        <x:f>ROUNDDOWN(L70*'Inputs'!$B$20,0)+ROUNDDOWN(K70*'Inputs'!$B$26,0)</x:f>
        <x:v>1078</x:v>
      </x:c>
      <x:c r="T70" s="28" t="n">
        <x:f>ROUNDDOWN(N70*'Inputs'!$B$26,0)</x:f>
        <x:v>91</x:v>
      </x:c>
      <x:c r="U70" s="28" t="n">
        <x:f>0</x:f>
        <x:v>0</x:v>
      </x:c>
      <x:c r="V70" s="40" t="n">
        <x:f>K70/('Inputs'!$B$14*(1+'Inputs'!$B$15*(D70-1))*J70/24)</x:f>
        <x:v>1.0004345936549326</x:v>
      </x:c>
      <x:c r="W70" s="40" t="n">
        <x:f>N70/('Inputs'!$B$16*(1+'Inputs'!$B$17*(D70-1))*J70/24)</x:f>
        <x:v>0.9969325153374232</x:v>
      </x:c>
      <x:c r="X70" s="28" t="n">
        <x:v>570</x:v>
      </x:c>
      <x:c r="Y70" s="28" t="n">
        <x:v>48</x:v>
      </x:c>
      <x:c r="Z70" s="28" t="str">
        <x:v>Roadmap!A50:K50</x:v>
      </x:c>
      <x:c r="AA70" s="28" t="str">
        <x:v>20 hours. Neutral coin/XP choice for a predictable return schedule. Disabled until its release/content gate is approved.</x:v>
      </x:c>
      <x:c r="AB70" s="28" t="str">
        <x:f>IF(AND(K70&gt;0,L70&gt;0,N70&gt;0,U70=0,V70&lt;=1.5,W70&lt;=1.5),"MODEL OK","REVIEW")</x:f>
        <x:v>MODEL OK</x:v>
      </x:c>
    </x:row>
    <x:row r="71" ht="62" customHeight="1">
      <x:c r="A71" s="28" t="str">
        <x:v>RF-48</x:v>
      </x:c>
      <x:c r="B71" s="28" t="str">
        <x:v>Crown Parrotfish</x:v>
      </x:c>
      <x:c r="C71" s="28" t="str">
        <x:v>Legendary</x:v>
      </x:c>
      <x:c r="D71" s="32" t="n">
        <x:v>65</x:v>
      </x:c>
      <x:c r="E71" s="32" t="str">
        <x:v>Post-launch</x:v>
      </x:c>
      <x:c r="F71" s="32" t="str">
        <x:v>SC-44H</x:v>
      </x:c>
      <x:c r="G71" s="32" t="str">
        <x:v>Convenience</x:v>
      </x:c>
      <x:c r="H71" s="32" t="n">
        <x:v>1</x:v>
      </x:c>
      <x:c r="I71" s="32" t="n">
        <x:v>1</x:v>
      </x:c>
      <x:c r="J71" s="40" t="n">
        <x:f>VLOOKUP(F71,'Schedules'!$A$5:$G$9,3,FALSE)</x:f>
        <x:v>44</x:v>
      </x:c>
      <x:c r="K71" s="28" t="n">
        <x:f>ROUND('Inputs'!$B$14*(1+'Inputs'!$B$15*(D71-1))*J71/24*VLOOKUP(F71,'Schedules'!$A$5:$G$9,4,FALSE)*H71,0)</x:f>
        <x:v>2356</x:v>
      </x:c>
      <x:c r="L71" s="28" t="n">
        <x:f>MAX('Inputs'!$B$19,ROUND(K71*'Inputs'!$B$18,0))</x:f>
        <x:v>589</x:v>
      </x:c>
      <x:c r="M71" s="28" t="n">
        <x:f>L71+K71</x:f>
        <x:v>2945</x:v>
      </x:c>
      <x:c r="N71" s="28" t="n">
        <x:f>ROUND('Inputs'!$B$16*(1+'Inputs'!$B$17*(D71-1))*J71/24*VLOOKUP(F71,'Schedules'!$A$5:$G$9,5,FALSE)*I71,0)</x:f>
        <x:v>266</x:v>
      </x:c>
      <x:c r="O71" s="28" t="n">
        <x:f>ROUNDDOWN(L71*'Inputs'!$B$20,0)+ROUNDDOWN(K71*'Inputs'!$B$24,0)</x:f>
        <x:v>794</x:v>
      </x:c>
      <x:c r="P71" s="28" t="n">
        <x:f>ROUNDDOWN(N71*'Inputs'!$B$24,0)</x:f>
        <x:v>26</x:v>
      </x:c>
      <x:c r="Q71" s="28" t="n">
        <x:f>ROUNDDOWN(L71*'Inputs'!$B$20,0)+ROUNDDOWN(K71*'Inputs'!$B$25,0)</x:f>
        <x:v>1501</x:v>
      </x:c>
      <x:c r="R71" s="28" t="n">
        <x:f>ROUNDDOWN(N71*'Inputs'!$B$25,0)</x:f>
        <x:v>106</x:v>
      </x:c>
      <x:c r="S71" s="28" t="n">
        <x:f>ROUNDDOWN(L71*'Inputs'!$B$20,0)+ROUNDDOWN(K71*'Inputs'!$B$26,0)</x:f>
        <x:v>2208</x:v>
      </x:c>
      <x:c r="T71" s="28" t="n">
        <x:f>ROUNDDOWN(N71*'Inputs'!$B$26,0)</x:f>
        <x:v>186</x:v>
      </x:c>
      <x:c r="U71" s="28" t="n">
        <x:f>0</x:f>
        <x:v>0</x:v>
      </x:c>
      <x:c r="V71" s="40" t="n">
        <x:f>K71/('Inputs'!$B$14*(1+'Inputs'!$B$15*(D71-1))*J71/24)</x:f>
        <x:v>0.9200249921899407</x:v>
      </x:c>
      <x:c r="W71" s="40" t="n">
        <x:f>N71/('Inputs'!$B$16*(1+'Inputs'!$B$17*(D71-1))*J71/24)</x:f>
        <x:v>0.9215631929046564</x:v>
      </x:c>
      <x:c r="X71" s="28" t="n">
        <x:v>770</x:v>
      </x:c>
      <x:c r="Y71" s="28" t="n">
        <x:v>96</x:v>
      </x:c>
      <x:c r="Z71" s="28" t="str">
        <x:v>Roadmap!A51:K51</x:v>
      </x:c>
      <x:c r="AA71" s="28" t="str">
        <x:v>44 hours. Longer unattended cycle; no absence penalty and no special care requirement. Disabled until its release/content gate is approved.</x:v>
      </x:c>
      <x:c r="AB71" s="28" t="str">
        <x:f>IF(AND(K71&gt;0,L71&gt;0,N71&gt;0,U71=0,V71&lt;=1.5,W71&lt;=1.5),"MODEL OK","REVIEW")</x:f>
        <x:v>MODEL OK</x:v>
      </x:c>
    </x:row>
    <x:row r="72" ht="62" customHeight="1">
      <x:c r="A72" s="28" t="str">
        <x:v>RF-49</x:v>
      </x:c>
      <x:c r="B72" s="28" t="str">
        <x:v>Lava Lionfish</x:v>
      </x:c>
      <x:c r="C72" s="28" t="str">
        <x:v>Legendary</x:v>
      </x:c>
      <x:c r="D72" s="32" t="n">
        <x:v>66</x:v>
      </x:c>
      <x:c r="E72" s="32" t="str">
        <x:v>Post-launch</x:v>
      </x:c>
      <x:c r="F72" s="32" t="str">
        <x:v>SC-20M</x:v>
      </x:c>
      <x:c r="G72" s="32" t="str">
        <x:v>Coin Specialist</x:v>
      </x:c>
      <x:c r="H72" s="32" t="n">
        <x:v>1.1</x:v>
      </x:c>
      <x:c r="I72" s="32" t="n">
        <x:v>0.9</x:v>
      </x:c>
      <x:c r="J72" s="40" t="n">
        <x:f>VLOOKUP(F72,'Schedules'!$A$5:$G$9,3,FALSE)</x:f>
        <x:v>0.3333333333333333</x:v>
      </x:c>
      <x:c r="K72" s="28" t="n">
        <x:f>ROUND('Inputs'!$B$14*(1+'Inputs'!$B$15*(D72-1))*J72/24*VLOOKUP(F72,'Schedules'!$A$5:$G$9,4,FALSE)*H72,0)</x:f>
        <x:v>27</x:v>
      </x:c>
      <x:c r="L72" s="28" t="n">
        <x:f>MAX('Inputs'!$B$19,ROUND(K72*'Inputs'!$B$18,0))</x:f>
        <x:v>7</x:v>
      </x:c>
      <x:c r="M72" s="28" t="n">
        <x:f>L72+K72</x:f>
        <x:v>34</x:v>
      </x:c>
      <x:c r="N72" s="28" t="n">
        <x:f>ROUND('Inputs'!$B$16*(1+'Inputs'!$B$17*(D72-1))*J72/24*VLOOKUP(F72,'Schedules'!$A$5:$G$9,5,FALSE)*I72,0)</x:f>
        <x:v>2</x:v>
      </x:c>
      <x:c r="O72" s="28" t="n">
        <x:f>ROUNDDOWN(L72*'Inputs'!$B$20,0)+ROUNDDOWN(K72*'Inputs'!$B$24,0)</x:f>
        <x:v>8</x:v>
      </x:c>
      <x:c r="P72" s="28" t="n">
        <x:f>ROUNDDOWN(N72*'Inputs'!$B$24,0)</x:f>
        <x:v>0</x:v>
      </x:c>
      <x:c r="Q72" s="28" t="n">
        <x:f>ROUNDDOWN(L72*'Inputs'!$B$20,0)+ROUNDDOWN(K72*'Inputs'!$B$25,0)</x:f>
        <x:v>16</x:v>
      </x:c>
      <x:c r="R72" s="28" t="n">
        <x:f>ROUNDDOWN(N72*'Inputs'!$B$25,0)</x:f>
        <x:v>0</x:v>
      </x:c>
      <x:c r="S72" s="28" t="n">
        <x:f>ROUNDDOWN(L72*'Inputs'!$B$20,0)+ROUNDDOWN(K72*'Inputs'!$B$26,0)</x:f>
        <x:v>24</x:v>
      </x:c>
      <x:c r="T72" s="28" t="n">
        <x:f>ROUNDDOWN(N72*'Inputs'!$B$26,0)</x:f>
        <x:v>1</x:v>
      </x:c>
      <x:c r="U72" s="28" t="n">
        <x:f>0</x:f>
        <x:v>0</x:v>
      </x:c>
      <x:c r="V72" s="40" t="n">
        <x:f>K72/('Inputs'!$B$14*(1+'Inputs'!$B$15*(D72-1))*J72/24)</x:f>
        <x:v>1.375796178343949</x:v>
      </x:c>
      <x:c r="W72" s="40" t="n">
        <x:f>N72/('Inputs'!$B$16*(1+'Inputs'!$B$17*(D72-1))*J72/24)</x:f>
        <x:v>0.9090909090909092</x:v>
      </x:c>
      <x:c r="X72" s="28" t="n">
        <x:v>280</x:v>
      </x:c>
      <x:c r="Y72" s="28" t="n">
        <x:v>0.332</x:v>
      </x:c>
      <x:c r="Z72" s="28" t="str">
        <x:v>Roadmap!A52:K52</x:v>
      </x:c>
      <x:c r="AA72" s="28" t="str">
        <x:v>20 minutes. Trades 10% base XP for 10% base coin output; schedule choice still matters. Disabled until its release/content gate is approved.</x:v>
      </x:c>
      <x:c r="AB72" s="28" t="str">
        <x:f>IF(AND(K72&gt;0,L72&gt;0,N72&gt;0,U72=0,V72&lt;=1.5,W72&lt;=1.5),"MODEL OK","REVIEW")</x:f>
        <x:v>MODEL OK</x:v>
      </x:c>
    </x:row>
    <x:row r="73" ht="62" customHeight="1">
      <x:c r="A73" s="28" t="str">
        <x:v>RF-50</x:v>
      </x:c>
      <x:c r="B73" s="28" t="str">
        <x:v>Abyssal Anglerfish</x:v>
      </x:c>
      <x:c r="C73" s="28" t="str">
        <x:v>Legendary</x:v>
      </x:c>
      <x:c r="D73" s="32" t="n">
        <x:v>67</x:v>
      </x:c>
      <x:c r="E73" s="32" t="str">
        <x:v>Post-launch</x:v>
      </x:c>
      <x:c r="F73" s="32" t="str">
        <x:v>SC-8H</x:v>
      </x:c>
      <x:c r="G73" s="32" t="str">
        <x:v>Balanced</x:v>
      </x:c>
      <x:c r="H73" s="32" t="n">
        <x:v>1</x:v>
      </x:c>
      <x:c r="I73" s="32" t="n">
        <x:v>1</x:v>
      </x:c>
      <x:c r="J73" s="40" t="n">
        <x:f>VLOOKUP(F73,'Schedules'!$A$5:$G$9,3,FALSE)</x:f>
        <x:v>8</x:v>
      </x:c>
      <x:c r="K73" s="28" t="n">
        <x:f>ROUND('Inputs'!$B$14*(1+'Inputs'!$B$15*(D73-1))*J73/24*VLOOKUP(F73,'Schedules'!$A$5:$G$9,4,FALSE)*H73,0)</x:f>
        <x:v>619</x:v>
      </x:c>
      <x:c r="L73" s="28" t="n">
        <x:f>MAX('Inputs'!$B$19,ROUND(K73*'Inputs'!$B$18,0))</x:f>
        <x:v>155</x:v>
      </x:c>
      <x:c r="M73" s="28" t="n">
        <x:f>L73+K73</x:f>
        <x:v>774</x:v>
      </x:c>
      <x:c r="N73" s="28" t="n">
        <x:f>ROUND('Inputs'!$B$16*(1+'Inputs'!$B$17*(D73-1))*J73/24*VLOOKUP(F73,'Schedules'!$A$5:$G$9,5,FALSE)*I73,0)</x:f>
        <x:v>69</x:v>
      </x:c>
      <x:c r="O73" s="28" t="n">
        <x:f>ROUNDDOWN(L73*'Inputs'!$B$20,0)+ROUNDDOWN(K73*'Inputs'!$B$24,0)</x:f>
        <x:v>208</x:v>
      </x:c>
      <x:c r="P73" s="28" t="n">
        <x:f>ROUNDDOWN(N73*'Inputs'!$B$24,0)</x:f>
        <x:v>6</x:v>
      </x:c>
      <x:c r="Q73" s="28" t="n">
        <x:f>ROUNDDOWN(L73*'Inputs'!$B$20,0)+ROUNDDOWN(K73*'Inputs'!$B$25,0)</x:f>
        <x:v>394</x:v>
      </x:c>
      <x:c r="R73" s="28" t="n">
        <x:f>ROUNDDOWN(N73*'Inputs'!$B$25,0)</x:f>
        <x:v>27</x:v>
      </x:c>
      <x:c r="S73" s="28" t="n">
        <x:f>ROUNDDOWN(L73*'Inputs'!$B$20,0)+ROUNDDOWN(K73*'Inputs'!$B$26,0)</x:f>
        <x:v>580</x:v>
      </x:c>
      <x:c r="T73" s="28" t="n">
        <x:f>ROUNDDOWN(N73*'Inputs'!$B$26,0)</x:f>
        <x:v>48</x:v>
      </x:c>
      <x:c r="U73" s="28" t="n">
        <x:f>0</x:f>
        <x:v>0</x:v>
      </x:c>
      <x:c r="V73" s="40" t="n">
        <x:f>K73/('Inputs'!$B$14*(1+'Inputs'!$B$15*(D73-1))*J73/24)</x:f>
        <x:v>1.2993282955499583</x:v>
      </x:c>
      <x:c r="W73" s="40" t="n">
        <x:f>N73/('Inputs'!$B$16*(1+'Inputs'!$B$17*(D73-1))*J73/24)</x:f>
        <x:v>1.29894578313253</x:v>
      </x:c>
      <x:c r="X73" s="28" t="n">
        <x:v>440</x:v>
      </x:c>
      <x:c r="Y73" s="28" t="n">
        <x:v>24</x:v>
      </x:c>
      <x:c r="Z73" s="28" t="str">
        <x:v>Roadmap!A53:K53</x:v>
      </x:c>
      <x:c r="AA73" s="28" t="str">
        <x:v>8 hours. Neutral coin/XP choice for a predictable return schedule. Disabled until its release/content gate is approved.</x:v>
      </x:c>
      <x:c r="AB73" s="28" t="str">
        <x:f>IF(AND(K73&gt;0,L73&gt;0,N73&gt;0,U73=0,V73&lt;=1.5,W73&lt;=1.5),"MODEL OK","REVIEW")</x:f>
        <x:v>MODEL OK</x:v>
      </x:c>
    </x:row>
    <x:row r="74" ht="62" customHeight="1">
      <x:c r="A74" s="28" t="str">
        <x:v>RF-51</x:v>
      </x:c>
      <x:c r="B74" s="28" t="str">
        <x:v>Barreleye Fish</x:v>
      </x:c>
      <x:c r="C74" s="28" t="str">
        <x:v>Legendary</x:v>
      </x:c>
      <x:c r="D74" s="32" t="n">
        <x:v>68</x:v>
      </x:c>
      <x:c r="E74" s="32" t="str">
        <x:v>Post-launch</x:v>
      </x:c>
      <x:c r="F74" s="32" t="str">
        <x:v>SC-20H</x:v>
      </x:c>
      <x:c r="G74" s="32" t="str">
        <x:v>Collection</x:v>
      </x:c>
      <x:c r="H74" s="32" t="n">
        <x:v>1</x:v>
      </x:c>
      <x:c r="I74" s="32" t="n">
        <x:v>1</x:v>
      </x:c>
      <x:c r="J74" s="40" t="n">
        <x:f>VLOOKUP(F74,'Schedules'!$A$5:$G$9,3,FALSE)</x:f>
        <x:v>20</x:v>
      </x:c>
      <x:c r="K74" s="28" t="n">
        <x:f>ROUND('Inputs'!$B$14*(1+'Inputs'!$B$15*(D74-1))*J74/24*VLOOKUP(F74,'Schedules'!$A$5:$G$9,4,FALSE)*H74,0)</x:f>
        <x:v>1204</x:v>
      </x:c>
      <x:c r="L74" s="28" t="n">
        <x:f>MAX('Inputs'!$B$19,ROUND(K74*'Inputs'!$B$18,0))</x:f>
        <x:v>301</x:v>
      </x:c>
      <x:c r="M74" s="28" t="n">
        <x:f>L74+K74</x:f>
        <x:v>1505</x:v>
      </x:c>
      <x:c r="N74" s="28" t="n">
        <x:f>ROUND('Inputs'!$B$16*(1+'Inputs'!$B$17*(D74-1))*J74/24*VLOOKUP(F74,'Schedules'!$A$5:$G$9,5,FALSE)*I74,0)</x:f>
        <x:v>134</x:v>
      </x:c>
      <x:c r="O74" s="28" t="n">
        <x:f>ROUNDDOWN(L74*'Inputs'!$B$20,0)+ROUNDDOWN(K74*'Inputs'!$B$24,0)</x:f>
        <x:v>405</x:v>
      </x:c>
      <x:c r="P74" s="28" t="n">
        <x:f>ROUNDDOWN(N74*'Inputs'!$B$24,0)</x:f>
        <x:v>13</x:v>
      </x:c>
      <x:c r="Q74" s="28" t="n">
        <x:f>ROUNDDOWN(L74*'Inputs'!$B$20,0)+ROUNDDOWN(K74*'Inputs'!$B$25,0)</x:f>
        <x:v>766</x:v>
      </x:c>
      <x:c r="R74" s="28" t="n">
        <x:f>ROUNDDOWN(N74*'Inputs'!$B$25,0)</x:f>
        <x:v>53</x:v>
      </x:c>
      <x:c r="S74" s="28" t="n">
        <x:f>ROUNDDOWN(L74*'Inputs'!$B$20,0)+ROUNDDOWN(K74*'Inputs'!$B$26,0)</x:f>
        <x:v>1127</x:v>
      </x:c>
      <x:c r="T74" s="28" t="n">
        <x:f>ROUNDDOWN(N74*'Inputs'!$B$26,0)</x:f>
        <x:v>93</x:v>
      </x:c>
      <x:c r="U74" s="28" t="n">
        <x:f>0</x:f>
        <x:v>0</x:v>
      </x:c>
      <x:c r="V74" s="40" t="n">
        <x:f>K74/('Inputs'!$B$14*(1+'Inputs'!$B$15*(D74-1))*J74/24)</x:f>
        <x:v>0.999584889995849</x:v>
      </x:c>
      <x:c r="W74" s="40" t="n">
        <x:f>N74/('Inputs'!$B$16*(1+'Inputs'!$B$17*(D74-1))*J74/24)</x:f>
        <x:v>1.0029940119760479</x:v>
      </x:c>
      <x:c r="X74" s="28" t="n">
        <x:v>680</x:v>
      </x:c>
      <x:c r="Y74" s="28" t="n">
        <x:v>64</x:v>
      </x:c>
      <x:c r="Z74" s="28" t="str">
        <x:v>Roadmap!A54:K54</x:v>
      </x:c>
      <x:c r="AA74" s="28" t="str">
        <x:v>20 hours. Distinctive journal/scene choice; no hidden collection-stat multiplier. Disabled until its release/content gate is approved.</x:v>
      </x:c>
      <x:c r="AB74" s="28" t="str">
        <x:f>IF(AND(K74&gt;0,L74&gt;0,N74&gt;0,U74=0,V74&lt;=1.5,W74&lt;=1.5),"MODEL OK","REVIEW")</x:f>
        <x:v>MODEL OK</x:v>
      </x:c>
    </x:row>
    <x:row r="75" ht="62" customHeight="1">
      <x:c r="A75" s="28" t="str">
        <x:v>RF-52</x:v>
      </x:c>
      <x:c r="B75" s="28" t="str">
        <x:v>Mythic Coelacanth</x:v>
      </x:c>
      <x:c r="C75" s="28" t="str">
        <x:v>Legendary</x:v>
      </x:c>
      <x:c r="D75" s="32" t="n">
        <x:v>69</x:v>
      </x:c>
      <x:c r="E75" s="32" t="str">
        <x:v>Post-launch</x:v>
      </x:c>
      <x:c r="F75" s="32" t="str">
        <x:v>SC-44H</x:v>
      </x:c>
      <x:c r="G75" s="32" t="str">
        <x:v>Payout</x:v>
      </x:c>
      <x:c r="H75" s="32" t="n">
        <x:v>1</x:v>
      </x:c>
      <x:c r="I75" s="32" t="n">
        <x:v>1</x:v>
      </x:c>
      <x:c r="J75" s="40" t="n">
        <x:f>VLOOKUP(F75,'Schedules'!$A$5:$G$9,3,FALSE)</x:f>
        <x:v>44</x:v>
      </x:c>
      <x:c r="K75" s="28" t="n">
        <x:f>ROUND('Inputs'!$B$14*(1+'Inputs'!$B$15*(D75-1))*J75/24*VLOOKUP(F75,'Schedules'!$A$5:$G$9,4,FALSE)*H75,0)</x:f>
        <x:v>2465</x:v>
      </x:c>
      <x:c r="L75" s="28" t="n">
        <x:f>MAX('Inputs'!$B$19,ROUND(K75*'Inputs'!$B$18,0))</x:f>
        <x:v>616</x:v>
      </x:c>
      <x:c r="M75" s="28" t="n">
        <x:f>L75+K75</x:f>
        <x:v>3081</x:v>
      </x:c>
      <x:c r="N75" s="28" t="n">
        <x:f>ROUND('Inputs'!$B$16*(1+'Inputs'!$B$17*(D75-1))*J75/24*VLOOKUP(F75,'Schedules'!$A$5:$G$9,5,FALSE)*I75,0)</x:f>
        <x:v>272</x:v>
      </x:c>
      <x:c r="O75" s="28" t="n">
        <x:f>ROUNDDOWN(L75*'Inputs'!$B$20,0)+ROUNDDOWN(K75*'Inputs'!$B$24,0)</x:f>
        <x:v>831</x:v>
      </x:c>
      <x:c r="P75" s="28" t="n">
        <x:f>ROUNDDOWN(N75*'Inputs'!$B$24,0)</x:f>
        <x:v>27</x:v>
      </x:c>
      <x:c r="Q75" s="28" t="n">
        <x:f>ROUNDDOWN(L75*'Inputs'!$B$20,0)+ROUNDDOWN(K75*'Inputs'!$B$25,0)</x:f>
        <x:v>1571</x:v>
      </x:c>
      <x:c r="R75" s="28" t="n">
        <x:f>ROUNDDOWN(N75*'Inputs'!$B$25,0)</x:f>
        <x:v>108</x:v>
      </x:c>
      <x:c r="S75" s="28" t="n">
        <x:f>ROUNDDOWN(L75*'Inputs'!$B$20,0)+ROUNDDOWN(K75*'Inputs'!$B$26,0)</x:f>
        <x:v>2310</x:v>
      </x:c>
      <x:c r="T75" s="28" t="n">
        <x:f>ROUNDDOWN(N75*'Inputs'!$B$26,0)</x:f>
        <x:v>190</x:v>
      </x:c>
      <x:c r="U75" s="28" t="n">
        <x:f>0</x:f>
        <x:v>0</x:v>
      </x:c>
      <x:c r="V75" s="40" t="n">
        <x:f>K75/('Inputs'!$B$14*(1+'Inputs'!$B$15*(D75-1))*J75/24)</x:f>
        <x:v>0.9199134199134198</x:v>
      </x:c>
      <x:c r="W75" s="40" t="n">
        <x:f>N75/('Inputs'!$B$16*(1+'Inputs'!$B$17*(D75-1))*J75/24)</x:f>
        <x:v>0.9199134199134197</x:v>
      </x:c>
      <x:c r="X75" s="28" t="n">
        <x:v>970</x:v>
      </x:c>
      <x:c r="Y75" s="28" t="n">
        <x:v>144</x:v>
      </x:c>
      <x:c r="Z75" s="28" t="str">
        <x:v>Roadmap!A55:K55</x:v>
      </x:c>
      <x:c r="AA75" s="28" t="str">
        <x:v>44 hours. Long cycle produces a larger single settlement, not a superior daily rate. Disabled until its release/content gate is approved.</x:v>
      </x:c>
      <x:c r="AB75" s="28" t="str">
        <x:f>IF(AND(K75&gt;0,L75&gt;0,N75&gt;0,U75=0,V75&lt;=1.5,W75&lt;=1.5),"MODEL OK","REVIEW")</x:f>
        <x:v>MODEL OK</x:v>
      </x:c>
    </x:row>
    <x:row r="76" ht="62" customHeight="1">
      <x:c r="A76" s="28" t="str">
        <x:v>RF-53</x:v>
      </x:c>
      <x:c r="B76" s="28" t="str">
        <x:v>Poseidon Ray</x:v>
      </x:c>
      <x:c r="C76" s="28" t="str">
        <x:v>Legendary</x:v>
      </x:c>
      <x:c r="D76" s="32" t="n">
        <x:v>70</x:v>
      </x:c>
      <x:c r="E76" s="32" t="str">
        <x:v>Post-launch</x:v>
      </x:c>
      <x:c r="F76" s="32" t="str">
        <x:v>SC-44H</x:v>
      </x:c>
      <x:c r="G76" s="32" t="str">
        <x:v>Payout</x:v>
      </x:c>
      <x:c r="H76" s="32" t="n">
        <x:v>1</x:v>
      </x:c>
      <x:c r="I76" s="32" t="n">
        <x:v>1</x:v>
      </x:c>
      <x:c r="J76" s="40" t="n">
        <x:f>VLOOKUP(F76,'Schedules'!$A$5:$G$9,3,FALSE)</x:f>
        <x:v>44</x:v>
      </x:c>
      <x:c r="K76" s="28" t="n">
        <x:f>ROUND('Inputs'!$B$14*(1+'Inputs'!$B$15*(D76-1))*J76/24*VLOOKUP(F76,'Schedules'!$A$5:$G$9,4,FALSE)*H76,0)</x:f>
        <x:v>2493</x:v>
      </x:c>
      <x:c r="L76" s="28" t="n">
        <x:f>MAX('Inputs'!$B$19,ROUND(K76*'Inputs'!$B$18,0))</x:f>
        <x:v>623</x:v>
      </x:c>
      <x:c r="M76" s="28" t="n">
        <x:f>L76+K76</x:f>
        <x:v>3116</x:v>
      </x:c>
      <x:c r="N76" s="28" t="n">
        <x:f>ROUND('Inputs'!$B$16*(1+'Inputs'!$B$17*(D76-1))*J76/24*VLOOKUP(F76,'Schedules'!$A$5:$G$9,5,FALSE)*I76,0)</x:f>
        <x:v>274</x:v>
      </x:c>
      <x:c r="O76" s="28" t="n">
        <x:f>ROUNDDOWN(L76*'Inputs'!$B$20,0)+ROUNDDOWN(K76*'Inputs'!$B$24,0)</x:f>
        <x:v>840</x:v>
      </x:c>
      <x:c r="P76" s="28" t="n">
        <x:f>ROUNDDOWN(N76*'Inputs'!$B$24,0)</x:f>
        <x:v>27</x:v>
      </x:c>
      <x:c r="Q76" s="28" t="n">
        <x:f>ROUNDDOWN(L76*'Inputs'!$B$20,0)+ROUNDDOWN(K76*'Inputs'!$B$25,0)</x:f>
        <x:v>1588</x:v>
      </x:c>
      <x:c r="R76" s="28" t="n">
        <x:f>ROUNDDOWN(N76*'Inputs'!$B$25,0)</x:f>
        <x:v>109</x:v>
      </x:c>
      <x:c r="S76" s="28" t="n">
        <x:f>ROUNDDOWN(L76*'Inputs'!$B$20,0)+ROUNDDOWN(K76*'Inputs'!$B$26,0)</x:f>
        <x:v>2336</x:v>
      </x:c>
      <x:c r="T76" s="28" t="n">
        <x:f>ROUNDDOWN(N76*'Inputs'!$B$26,0)</x:f>
        <x:v>191</x:v>
      </x:c>
      <x:c r="U76" s="28" t="n">
        <x:f>0</x:f>
        <x:v>0</x:v>
      </x:c>
      <x:c r="V76" s="40" t="n">
        <x:f>K76/('Inputs'!$B$14*(1+'Inputs'!$B$15*(D76-1))*J76/24)</x:f>
        <x:v>0.9201638799689955</x:v>
      </x:c>
      <x:c r="W76" s="40" t="n">
        <x:f>N76/('Inputs'!$B$16*(1+'Inputs'!$B$17*(D76-1))*J76/24)</x:f>
        <x:v>0.9211941904249596</x:v>
      </x:c>
      <x:c r="X76" s="28" t="n">
        <x:v>1100</x:v>
      </x:c>
      <x:c r="Y76" s="28" t="n">
        <x:v>192</x:v>
      </x:c>
      <x:c r="Z76" s="28" t="str">
        <x:v>Roadmap!A56:K56</x:v>
      </x:c>
      <x:c r="AA76" s="28" t="str">
        <x:v>44 hours. Long cycle produces a larger single settlement, not a superior daily rate. Disabled until its release/content gate is approved.</x:v>
      </x:c>
      <x:c r="AB76" s="28" t="str">
        <x:f>IF(AND(K76&gt;0,L76&gt;0,N76&gt;0,U76=0,V76&lt;=1.5,W76&lt;=1.5),"MODEL OK","REVIEW")</x:f>
        <x:v>MODEL OK</x:v>
      </x:c>
    </x:row>
  </x:sheetData>
  <x:mergeCells>
    <x:mergeCell ref="A1:AB1"/>
    <x:mergeCell ref="A2:AB2"/>
  </x:mergeCells>
  <x:dataValidations count="2">
    <x:dataValidation type="list" sqref="E5:E76">
      <x:formula1>"Launch,Post-launch,Reserve L1–40"</x:formula1>
    </x:dataValidation>
    <x:dataValidation type="list" sqref="F5:F76">
      <x:formula1>"SC-20M,SC-2H,SC-8H,SC-20H,SC-44H"</x:formula1>
    </x:dataValidation>
  </x:dataValidations>
  <x:pageMargins left="0.7" right="0.7" top="0.75" bottom="0.75" header="0.3" footer="0.3"/>
  <x:tableParts count="1">
    <x:tablePart xmlns:r="http://schemas.openxmlformats.org/officeDocument/2006/relationships" r:id="Rfcd01e9155d64279"/>
  </x:tableParts>
</x:worksheet>
</file>

<file path=xl/worksheets/sheet9.xml><?xml version="1.0" encoding="utf-8"?>
<x:worksheet xmlns:x="http://schemas.openxmlformats.org/spreadsheetml/2006/main">
  <x:sheetFormatPr defaultRowHeight="15"/>
  <x:cols>
    <x:col min="1" max="1" width="15" hidden="0" customWidth="1"/>
    <x:col min="2" max="2" width="28" hidden="0" customWidth="1"/>
    <x:col min="3" max="3" width="17" hidden="0" customWidth="1"/>
    <x:col min="4" max="4" width="14" hidden="0" customWidth="1"/>
    <x:col min="5" max="5" width="22" hidden="0" customWidth="1"/>
    <x:col min="6" max="6" width="17" hidden="0" customWidth="1"/>
    <x:col min="7" max="7" width="15" hidden="0" customWidth="1"/>
    <x:col min="8" max="8" width="24" hidden="0" customWidth="1"/>
    <x:col min="9" max="9" width="23" hidden="0" customWidth="1"/>
    <x:col min="10" max="10" width="12" hidden="0" customWidth="1"/>
    <x:col min="11" max="11" width="13" hidden="0" customWidth="1"/>
    <x:col min="12" max="12" width="14" hidden="0" customWidth="1"/>
    <x:col min="13" max="13" width="17" hidden="0" customWidth="1"/>
    <x:col min="14" max="14" width="52" hidden="0" customWidth="1"/>
    <x:col min="15" max="15" width="54" hidden="0" customWidth="1"/>
    <x:col min="16" max="16" width="24" hidden="0" customWidth="1"/>
    <x:col min="17" max="17" width="18" hidden="0" customWidth="1"/>
    <x:col min="18" max="18" width="29" hidden="0" customWidth="1"/>
  </x:cols>
  <x:sheetData>
    <x:row r="1" ht="34" customHeight="1">
      <x:c r="A1" s="6" t="str">
        <x:v>PERMANENT FISH COMPANIONS</x:v>
      </x:c>
      <x:c r="B1" s="6"/>
      <x:c r="C1" s="6"/>
      <x:c r="D1" s="6"/>
      <x:c r="E1" s="6"/>
      <x:c r="F1" s="6"/>
      <x:c r="G1" s="6"/>
      <x:c r="H1" s="6"/>
      <x:c r="I1" s="6"/>
      <x:c r="J1" s="6"/>
      <x:c r="K1" s="6"/>
      <x:c r="L1" s="6"/>
      <x:c r="M1" s="6"/>
      <x:c r="N1" s="6"/>
      <x:c r="O1" s="6"/>
      <x:c r="P1" s="6"/>
      <x:c r="Q1" s="6"/>
      <x:c r="R1" s="6"/>
    </x:row>
    <x:row r="2" ht="32" customHeight="1">
      <x:c r="A2" s="13" t="str">
        <x:v>Premium / seasonal ownership is not consumed, does not produce Coins or XP, and is excluded from economic mastery. One visible copy per owned companion ID; freely store and move.</x:v>
      </x:c>
      <x:c r="B2" s="13"/>
      <x:c r="C2" s="13"/>
      <x:c r="D2" s="13"/>
      <x:c r="E2" s="13"/>
      <x:c r="F2" s="13"/>
      <x:c r="G2" s="13"/>
      <x:c r="H2" s="13"/>
      <x:c r="I2" s="13"/>
      <x:c r="J2" s="13"/>
      <x:c r="K2" s="13"/>
      <x:c r="L2" s="13"/>
      <x:c r="M2" s="13"/>
      <x:c r="N2" s="13"/>
      <x:c r="O2" s="13"/>
      <x:c r="P2" s="13"/>
      <x:c r="Q2" s="13"/>
      <x:c r="R2" s="13"/>
    </x:row>
    <x:row r="3">
      <x:c r="A3" s="2"/>
      <x:c r="B3" s="2"/>
      <x:c r="C3" s="2"/>
      <x:c r="D3" s="2"/>
      <x:c r="E3" s="2"/>
      <x:c r="F3" s="2"/>
      <x:c r="G3" s="2"/>
      <x:c r="H3" s="2"/>
      <x:c r="I3" s="2"/>
      <x:c r="J3" s="2"/>
      <x:c r="K3" s="2"/>
      <x:c r="L3" s="2"/>
      <x:c r="M3" s="2"/>
      <x:c r="N3" s="2"/>
      <x:c r="O3" s="2"/>
      <x:c r="P3" s="2"/>
      <x:c r="Q3" s="2"/>
      <x:c r="R3" s="2"/>
    </x:row>
    <x:row r="4" ht="32" customHeight="1">
      <x:c r="A4" s="21" t="str">
        <x:v>ID</x:v>
      </x:c>
      <x:c r="B4" s="21" t="str">
        <x:v>Companion</x:v>
      </x:c>
      <x:c r="C4" s="21" t="str">
        <x:v>Edition</x:v>
      </x:c>
      <x:c r="D4" s="21" t="str">
        <x:v>Unlock level</x:v>
      </x:c>
      <x:c r="E4" s="21" t="str">
        <x:v>Release gate</x:v>
      </x:c>
      <x:c r="F4" s="21" t="str">
        <x:v>Acquisition</x:v>
      </x:c>
      <x:c r="G4" s="21" t="str">
        <x:v>Pearl price</x:v>
      </x:c>
      <x:c r="H4" s="21" t="str">
        <x:v>Event</x:v>
      </x:c>
      <x:c r="I4" s="21" t="str">
        <x:v>Ownership</x:v>
      </x:c>
      <x:c r="J4" s="21" t="str">
        <x:v>Buy XP</x:v>
      </x:c>
      <x:c r="K4" s="21" t="str">
        <x:v>Sell Coins</x:v>
      </x:c>
      <x:c r="L4" s="21" t="str">
        <x:v>Harvest XP</x:v>
      </x:c>
      <x:c r="M4" s="21" t="str">
        <x:v>Production slots</x:v>
      </x:c>
      <x:c r="N4" s="21" t="str">
        <x:v>Guaranteed route</x:v>
      </x:c>
      <x:c r="O4" s="21" t="str">
        <x:v>Visual hook</x:v>
      </x:c>
      <x:c r="P4" s="21" t="str">
        <x:v>Original price</x:v>
      </x:c>
      <x:c r="Q4" s="21" t="str">
        <x:v>Original adult hours</x:v>
      </x:c>
      <x:c r="R4" s="21" t="str">
        <x:v>Original source</x:v>
      </x:c>
    </x:row>
    <x:row r="5" ht="72" customHeight="1">
      <x:c r="A5" s="28" t="str">
        <x:v>PF-01</x:v>
      </x:c>
      <x:c r="B5" s="28" t="str">
        <x:v>Bubble Eye Goldfish</x:v>
      </x:c>
      <x:c r="C5" s="28" t="str">
        <x:v>Premium</x:v>
      </x:c>
      <x:c r="D5" s="32" t="n">
        <x:v>2</x:v>
      </x:c>
      <x:c r="E5" s="32" t="str">
        <x:v>Launch</x:v>
      </x:c>
      <x:c r="F5" s="28" t="str">
        <x:v>Gift</x:v>
      </x:c>
      <x:c r="G5" s="32" t="n">
        <x:v>0</x:v>
      </x:c>
      <x:c r="H5" s="28" t="str">
        <x:v>None</x:v>
      </x:c>
      <x:c r="I5" s="28" t="str">
        <x:v>Permanent / no loss</x:v>
      </x:c>
      <x:c r="J5" s="28" t="n">
        <x:v>0</x:v>
      </x:c>
      <x:c r="K5" s="28" t="n">
        <x:v>0</x:v>
      </x:c>
      <x:c r="L5" s="28" t="n">
        <x:v>0</x:v>
      </x:c>
      <x:c r="M5" s="28" t="n">
        <x:v>0</x:v>
      </x:c>
      <x:c r="N5" s="28" t="str">
        <x:v>Welcome journal: claim free forever</x:v>
      </x:c>
      <x:c r="O5" s="28" t="str">
        <x:v>Wobbling bubble cheeks - instantly adorable</x:v>
      </x:c>
      <x:c r="P5" s="28" t="n">
        <x:v>1</x:v>
      </x:c>
      <x:c r="Q5" s="28" t="n">
        <x:v>16</x:v>
      </x:c>
      <x:c r="R5" s="28" t="str">
        <x:v>Premium Fish!A2:X2</x:v>
      </x:c>
    </x:row>
    <x:row r="6" ht="72" customHeight="1">
      <x:c r="A6" s="28" t="str">
        <x:v>PF-02</x:v>
      </x:c>
      <x:c r="B6" s="28" t="str">
        <x:v>Koi</x:v>
      </x:c>
      <x:c r="C6" s="28" t="str">
        <x:v>Premium</x:v>
      </x:c>
      <x:c r="D6" s="32" t="n">
        <x:v>5</x:v>
      </x:c>
      <x:c r="E6" s="32" t="str">
        <x:v>Launch</x:v>
      </x:c>
      <x:c r="F6" s="28" t="str">
        <x:v>Pearls</x:v>
      </x:c>
      <x:c r="G6" s="32" t="n">
        <x:v>18</x:v>
      </x:c>
      <x:c r="H6" s="28" t="str">
        <x:v>None</x:v>
      </x:c>
      <x:c r="I6" s="28" t="str">
        <x:v>Permanent / no loss</x:v>
      </x:c>
      <x:c r="J6" s="28" t="n">
        <x:v>0</x:v>
      </x:c>
      <x:c r="K6" s="28" t="n">
        <x:v>0</x:v>
      </x:c>
      <x:c r="L6" s="28" t="n">
        <x:v>0</x:v>
      </x:c>
      <x:c r="M6" s="28" t="n">
        <x:v>0</x:v>
      </x:c>
      <x:c r="N6" s="28" t="str">
        <x:v>Guaranteed direct purchase; no consumable egg</x:v>
      </x:c>
      <x:c r="O6" s="28" t="str">
        <x:v>Painted silk pattern, unique per fish</x:v>
      </x:c>
      <x:c r="P6" s="28" t="n">
        <x:v>3</x:v>
      </x:c>
      <x:c r="Q6" s="28" t="n">
        <x:v>32</x:v>
      </x:c>
      <x:c r="R6" s="28" t="str">
        <x:v>Premium Fish!A3:X3</x:v>
      </x:c>
    </x:row>
    <x:row r="7" ht="72" customHeight="1">
      <x:c r="A7" s="28" t="str">
        <x:v>PF-03</x:v>
      </x:c>
      <x:c r="B7" s="28" t="str">
        <x:v>Platinum Betta</x:v>
      </x:c>
      <x:c r="C7" s="28" t="str">
        <x:v>Premium</x:v>
      </x:c>
      <x:c r="D7" s="32" t="n">
        <x:v>8</x:v>
      </x:c>
      <x:c r="E7" s="32" t="str">
        <x:v>Launch</x:v>
      </x:c>
      <x:c r="F7" s="28" t="str">
        <x:v>Pearls</x:v>
      </x:c>
      <x:c r="G7" s="32" t="n">
        <x:v>24</x:v>
      </x:c>
      <x:c r="H7" s="28" t="str">
        <x:v>None</x:v>
      </x:c>
      <x:c r="I7" s="28" t="str">
        <x:v>Permanent / no loss</x:v>
      </x:c>
      <x:c r="J7" s="28" t="n">
        <x:v>0</x:v>
      </x:c>
      <x:c r="K7" s="28" t="n">
        <x:v>0</x:v>
      </x:c>
      <x:c r="L7" s="28" t="n">
        <x:v>0</x:v>
      </x:c>
      <x:c r="M7" s="28" t="n">
        <x:v>0</x:v>
      </x:c>
      <x:c r="N7" s="28" t="str">
        <x:v>Guaranteed direct purchase; no consumable egg</x:v>
      </x:c>
      <x:c r="O7" s="28" t="str">
        <x:v>Metallic white fins trailing like a gown</x:v>
      </x:c>
      <x:c r="P7" s="28" t="n">
        <x:v>4</x:v>
      </x:c>
      <x:c r="Q7" s="28" t="n">
        <x:v>8</x:v>
      </x:c>
      <x:c r="R7" s="28" t="str">
        <x:v>Premium Fish!A4:X4</x:v>
      </x:c>
    </x:row>
    <x:row r="8" ht="72" customHeight="1">
      <x:c r="A8" s="28" t="str">
        <x:v>PF-04</x:v>
      </x:c>
      <x:c r="B8" s="28" t="str">
        <x:v>Mandarin Dragonet</x:v>
      </x:c>
      <x:c r="C8" s="28" t="str">
        <x:v>Premium</x:v>
      </x:c>
      <x:c r="D8" s="32" t="n">
        <x:v>10</x:v>
      </x:c>
      <x:c r="E8" s="32" t="str">
        <x:v>Launch</x:v>
      </x:c>
      <x:c r="F8" s="28" t="str">
        <x:v>Pearls</x:v>
      </x:c>
      <x:c r="G8" s="32" t="n">
        <x:v>24</x:v>
      </x:c>
      <x:c r="H8" s="28" t="str">
        <x:v>None</x:v>
      </x:c>
      <x:c r="I8" s="28" t="str">
        <x:v>Permanent / no loss</x:v>
      </x:c>
      <x:c r="J8" s="28" t="n">
        <x:v>0</x:v>
      </x:c>
      <x:c r="K8" s="28" t="n">
        <x:v>0</x:v>
      </x:c>
      <x:c r="L8" s="28" t="n">
        <x:v>0</x:v>
      </x:c>
      <x:c r="M8" s="28" t="n">
        <x:v>0</x:v>
      </x:c>
      <x:c r="N8" s="28" t="str">
        <x:v>Guaranteed direct purchase; no consumable egg</x:v>
      </x:c>
      <x:c r="O8" s="28" t="str">
        <x:v>Psychedelic orange-and-blue swirls</x:v>
      </x:c>
      <x:c r="P8" s="28" t="n">
        <x:v>3</x:v>
      </x:c>
      <x:c r="Q8" s="28" t="n">
        <x:v>32</x:v>
      </x:c>
      <x:c r="R8" s="28" t="str">
        <x:v>Premium Fish!A5:X5</x:v>
      </x:c>
    </x:row>
    <x:row r="9" ht="72" customHeight="1">
      <x:c r="A9" s="28" t="str">
        <x:v>PF-05</x:v>
      </x:c>
      <x:c r="B9" s="28" t="str">
        <x:v>Axolotl</x:v>
      </x:c>
      <x:c r="C9" s="28" t="str">
        <x:v>Premium</x:v>
      </x:c>
      <x:c r="D9" s="32" t="n">
        <x:v>12</x:v>
      </x:c>
      <x:c r="E9" s="32" t="str">
        <x:v>Launch</x:v>
      </x:c>
      <x:c r="F9" s="28" t="str">
        <x:v>Pearls</x:v>
      </x:c>
      <x:c r="G9" s="32" t="n">
        <x:v>30</x:v>
      </x:c>
      <x:c r="H9" s="28" t="str">
        <x:v>None</x:v>
      </x:c>
      <x:c r="I9" s="28" t="str">
        <x:v>Permanent / no loss</x:v>
      </x:c>
      <x:c r="J9" s="28" t="n">
        <x:v>0</x:v>
      </x:c>
      <x:c r="K9" s="28" t="n">
        <x:v>0</x:v>
      </x:c>
      <x:c r="L9" s="28" t="n">
        <x:v>0</x:v>
      </x:c>
      <x:c r="M9" s="28" t="n">
        <x:v>0</x:v>
      </x:c>
      <x:c r="N9" s="28" t="str">
        <x:v>Guaranteed direct purchase; no consumable egg</x:v>
      </x:c>
      <x:c r="O9" s="28" t="str">
        <x:v>Pink smiling face with feathery gills</x:v>
      </x:c>
      <x:c r="P9" s="28" t="n">
        <x:v>5</x:v>
      </x:c>
      <x:c r="Q9" s="28" t="n">
        <x:v>48</x:v>
      </x:c>
      <x:c r="R9" s="28" t="str">
        <x:v>Premium Fish!A6:X6</x:v>
      </x:c>
    </x:row>
    <x:row r="10" ht="72" customHeight="1">
      <x:c r="A10" s="28" t="str">
        <x:v>PF-06</x:v>
      </x:c>
      <x:c r="B10" s="28" t="str">
        <x:v>Flashlight Fish</x:v>
      </x:c>
      <x:c r="C10" s="28" t="str">
        <x:v>Premium</x:v>
      </x:c>
      <x:c r="D10" s="32" t="n">
        <x:v>16</x:v>
      </x:c>
      <x:c r="E10" s="32" t="str">
        <x:v>Launch</x:v>
      </x:c>
      <x:c r="F10" s="28" t="str">
        <x:v>Pearls</x:v>
      </x:c>
      <x:c r="G10" s="32" t="n">
        <x:v>35</x:v>
      </x:c>
      <x:c r="H10" s="28" t="str">
        <x:v>None</x:v>
      </x:c>
      <x:c r="I10" s="28" t="str">
        <x:v>Permanent / no loss</x:v>
      </x:c>
      <x:c r="J10" s="28" t="n">
        <x:v>0</x:v>
      </x:c>
      <x:c r="K10" s="28" t="n">
        <x:v>0</x:v>
      </x:c>
      <x:c r="L10" s="28" t="n">
        <x:v>0</x:v>
      </x:c>
      <x:c r="M10" s="28" t="n">
        <x:v>0</x:v>
      </x:c>
      <x:c r="N10" s="28" t="str">
        <x:v>Guaranteed direct purchase; no consumable egg</x:v>
      </x:c>
      <x:c r="O10" s="28" t="str">
        <x:v>Bioluminescent cheek lights that blink in the dark</x:v>
      </x:c>
      <x:c r="P10" s="28" t="n">
        <x:v>7</x:v>
      </x:c>
      <x:c r="Q10" s="28" t="n">
        <x:v>48</x:v>
      </x:c>
      <x:c r="R10" s="28" t="str">
        <x:v>Premium Fish!A7:X7</x:v>
      </x:c>
    </x:row>
    <x:row r="11" ht="72" customHeight="1">
      <x:c r="A11" s="28" t="str">
        <x:v>PF-07</x:v>
      </x:c>
      <x:c r="B11" s="28" t="str">
        <x:v>Golden Arowana</x:v>
      </x:c>
      <x:c r="C11" s="28" t="str">
        <x:v>Premium</x:v>
      </x:c>
      <x:c r="D11" s="32" t="n">
        <x:v>20</x:v>
      </x:c>
      <x:c r="E11" s="32" t="str">
        <x:v>Launch</x:v>
      </x:c>
      <x:c r="F11" s="28" t="str">
        <x:v>Pearls</x:v>
      </x:c>
      <x:c r="G11" s="32" t="n">
        <x:v>45</x:v>
      </x:c>
      <x:c r="H11" s="28" t="str">
        <x:v>None</x:v>
      </x:c>
      <x:c r="I11" s="28" t="str">
        <x:v>Permanent / no loss</x:v>
      </x:c>
      <x:c r="J11" s="28" t="n">
        <x:v>0</x:v>
      </x:c>
      <x:c r="K11" s="28" t="n">
        <x:v>0</x:v>
      </x:c>
      <x:c r="L11" s="28" t="n">
        <x:v>0</x:v>
      </x:c>
      <x:c r="M11" s="28" t="n">
        <x:v>0</x:v>
      </x:c>
      <x:c r="N11" s="28" t="str">
        <x:v>Guaranteed direct purchase; no consumable egg</x:v>
      </x:c>
      <x:c r="O11" s="28" t="str">
        <x:v>Gleaming dragon scales - Asian 'lucky' fish</x:v>
      </x:c>
      <x:c r="P11" s="28" t="n">
        <x:v>8</x:v>
      </x:c>
      <x:c r="Q11" s="28" t="n">
        <x:v>96</x:v>
      </x:c>
      <x:c r="R11" s="28" t="str">
        <x:v>Premium Fish!A8:X8</x:v>
      </x:c>
    </x:row>
    <x:row r="12" ht="72" customHeight="1">
      <x:c r="A12" s="28" t="str">
        <x:v>PF-08</x:v>
      </x:c>
      <x:c r="B12" s="28" t="str">
        <x:v>Peppermint Angelfish</x:v>
      </x:c>
      <x:c r="C12" s="28" t="str">
        <x:v>Premium</x:v>
      </x:c>
      <x:c r="D12" s="32" t="n">
        <x:v>25</x:v>
      </x:c>
      <x:c r="E12" s="32" t="str">
        <x:v>Launch</x:v>
      </x:c>
      <x:c r="F12" s="28" t="str">
        <x:v>Pearls</x:v>
      </x:c>
      <x:c r="G12" s="32" t="n">
        <x:v>50</x:v>
      </x:c>
      <x:c r="H12" s="28" t="str">
        <x:v>None</x:v>
      </x:c>
      <x:c r="I12" s="28" t="str">
        <x:v>Permanent / no loss</x:v>
      </x:c>
      <x:c r="J12" s="28" t="n">
        <x:v>0</x:v>
      </x:c>
      <x:c r="K12" s="28" t="n">
        <x:v>0</x:v>
      </x:c>
      <x:c r="L12" s="28" t="n">
        <x:v>0</x:v>
      </x:c>
      <x:c r="M12" s="28" t="n">
        <x:v>0</x:v>
      </x:c>
      <x:c r="N12" s="28" t="str">
        <x:v>Guaranteed direct purchase; no consumable egg</x:v>
      </x:c>
      <x:c r="O12" s="28" t="str">
        <x:v>Candy-cane stripes</x:v>
      </x:c>
      <x:c r="P12" s="28" t="n">
        <x:v>10</x:v>
      </x:c>
      <x:c r="Q12" s="28" t="n">
        <x:v>144</x:v>
      </x:c>
      <x:c r="R12" s="28" t="str">
        <x:v>Premium Fish!A9:X9</x:v>
      </x:c>
    </x:row>
    <x:row r="13" ht="72" customHeight="1">
      <x:c r="A13" s="28" t="str">
        <x:v>PF-09</x:v>
      </x:c>
      <x:c r="B13" s="28" t="str">
        <x:v>Black Diamond Stingray</x:v>
      </x:c>
      <x:c r="C13" s="28" t="str">
        <x:v>Premium</x:v>
      </x:c>
      <x:c r="D13" s="32" t="n">
        <x:v>35</x:v>
      </x:c>
      <x:c r="E13" s="32" t="str">
        <x:v>Launch</x:v>
      </x:c>
      <x:c r="F13" s="28" t="str">
        <x:v>Pearls</x:v>
      </x:c>
      <x:c r="G13" s="32" t="n">
        <x:v>70</x:v>
      </x:c>
      <x:c r="H13" s="28" t="str">
        <x:v>None</x:v>
      </x:c>
      <x:c r="I13" s="28" t="str">
        <x:v>Permanent / no loss</x:v>
      </x:c>
      <x:c r="J13" s="28" t="n">
        <x:v>0</x:v>
      </x:c>
      <x:c r="K13" s="28" t="n">
        <x:v>0</x:v>
      </x:c>
      <x:c r="L13" s="28" t="n">
        <x:v>0</x:v>
      </x:c>
      <x:c r="M13" s="28" t="n">
        <x:v>0</x:v>
      </x:c>
      <x:c r="N13" s="28" t="str">
        <x:v>Guaranteed direct purchase; no consumable egg</x:v>
      </x:c>
      <x:c r="O13" s="28" t="str">
        <x:v>Galaxy-spotted black disc gliding on sand</x:v>
      </x:c>
      <x:c r="P13" s="28" t="n">
        <x:v>15</x:v>
      </x:c>
      <x:c r="Q13" s="28" t="n">
        <x:v>192</x:v>
      </x:c>
      <x:c r="R13" s="28" t="str">
        <x:v>Premium Fish!A10:X10</x:v>
      </x:c>
    </x:row>
    <x:row r="14" ht="72" customHeight="1">
      <x:c r="A14" s="28" t="str">
        <x:v>PF-10</x:v>
      </x:c>
      <x:c r="B14" s="28" t="str">
        <x:v>Platinum Arowana</x:v>
      </x:c>
      <x:c r="C14" s="28" t="str">
        <x:v>Premium</x:v>
      </x:c>
      <x:c r="D14" s="32" t="n">
        <x:v>40</x:v>
      </x:c>
      <x:c r="E14" s="32" t="str">
        <x:v>Launch</x:v>
      </x:c>
      <x:c r="F14" s="28" t="str">
        <x:v>Pearls</x:v>
      </x:c>
      <x:c r="G14" s="32" t="n">
        <x:v>80</x:v>
      </x:c>
      <x:c r="H14" s="28" t="str">
        <x:v>None</x:v>
      </x:c>
      <x:c r="I14" s="28" t="str">
        <x:v>Permanent / no loss</x:v>
      </x:c>
      <x:c r="J14" s="28" t="n">
        <x:v>0</x:v>
      </x:c>
      <x:c r="K14" s="28" t="n">
        <x:v>0</x:v>
      </x:c>
      <x:c r="L14" s="28" t="n">
        <x:v>0</x:v>
      </x:c>
      <x:c r="M14" s="28" t="n">
        <x:v>0</x:v>
      </x:c>
      <x:c r="N14" s="28" t="str">
        <x:v>Guaranteed direct purchase; no consumable egg</x:v>
      </x:c>
      <x:c r="O14" s="28" t="str">
        <x:v>Pure-white dragon fish - one in a million</x:v>
      </x:c>
      <x:c r="P14" s="28" t="n">
        <x:v>20</x:v>
      </x:c>
      <x:c r="Q14" s="28" t="n">
        <x:v>240</x:v>
      </x:c>
      <x:c r="R14" s="28" t="str">
        <x:v>Premium Fish!A11:X11</x:v>
      </x:c>
    </x:row>
    <x:row r="15" ht="72" customHeight="1">
      <x:c r="A15" s="28" t="str">
        <x:v>RP-01</x:v>
      </x:c>
      <x:c r="B15" s="28" t="str">
        <x:v>Golden Seahorse</x:v>
      </x:c>
      <x:c r="C15" s="28" t="str">
        <x:v>Premium</x:v>
      </x:c>
      <x:c r="D15" s="32" t="n">
        <x:v>5</x:v>
      </x:c>
      <x:c r="E15" s="32" t="str">
        <x:v>Reserve L1–40</x:v>
      </x:c>
      <x:c r="F15" s="28" t="str">
        <x:v>Pearls</x:v>
      </x:c>
      <x:c r="G15" s="32" t="n">
        <x:v>18</x:v>
      </x:c>
      <x:c r="H15" s="28" t="str">
        <x:v>None</x:v>
      </x:c>
      <x:c r="I15" s="28" t="str">
        <x:v>Permanent / no loss</x:v>
      </x:c>
      <x:c r="J15" s="28" t="n">
        <x:v>0</x:v>
      </x:c>
      <x:c r="K15" s="28" t="n">
        <x:v>0</x:v>
      </x:c>
      <x:c r="L15" s="28" t="n">
        <x:v>0</x:v>
      </x:c>
      <x:c r="M15" s="28" t="n">
        <x:v>0</x:v>
      </x:c>
      <x:c r="N15" s="28" t="str">
        <x:v>Guaranteed permanent companion; not active until content wave</x:v>
      </x:c>
      <x:c r="O15" s="28" t="str">
        <x:v>Warm gold seahorse with a curled tail; gentle hovering and head tilts.</x:v>
      </x:c>
      <x:c r="P15" s="28" t="str">
        <x:v>2 pearls - living jewelry</x:v>
      </x:c>
      <x:c r="Q15" s="28" t="n">
        <x:v>16</x:v>
      </x:c>
      <x:c r="R15" s="28" t="str">
        <x:v>Roadmap!A25:K25</x:v>
      </x:c>
    </x:row>
    <x:row r="16" ht="72" customHeight="1">
      <x:c r="A16" s="28" t="str">
        <x:v>RP-02</x:v>
      </x:c>
      <x:c r="B16" s="28" t="str">
        <x:v>Glass Catfish</x:v>
      </x:c>
      <x:c r="C16" s="28" t="str">
        <x:v>Premium</x:v>
      </x:c>
      <x:c r="D16" s="32" t="n">
        <x:v>8</x:v>
      </x:c>
      <x:c r="E16" s="32" t="str">
        <x:v>Reserve L1–40</x:v>
      </x:c>
      <x:c r="F16" s="28" t="str">
        <x:v>Pearls</x:v>
      </x:c>
      <x:c r="G16" s="32" t="n">
        <x:v>20</x:v>
      </x:c>
      <x:c r="H16" s="28" t="str">
        <x:v>None</x:v>
      </x:c>
      <x:c r="I16" s="28" t="str">
        <x:v>Permanent / no loss</x:v>
      </x:c>
      <x:c r="J16" s="28" t="n">
        <x:v>0</x:v>
      </x:c>
      <x:c r="K16" s="28" t="n">
        <x:v>0</x:v>
      </x:c>
      <x:c r="L16" s="28" t="n">
        <x:v>0</x:v>
      </x:c>
      <x:c r="M16" s="28" t="n">
        <x:v>0</x:v>
      </x:c>
      <x:c r="N16" s="28" t="str">
        <x:v>Guaranteed permanent companion; not active until content wave</x:v>
      </x:c>
      <x:c r="O16" s="28" t="str">
        <x:v>Translucent rounded catfish with a readable luminous outline and visible stylized spine.</x:v>
      </x:c>
      <x:c r="P16" s="28" t="str">
        <x:v>2 pearls - fully transparent body</x:v>
      </x:c>
      <x:c r="Q16" s="28" t="n">
        <x:v>24</x:v>
      </x:c>
      <x:c r="R16" s="28" t="str">
        <x:v>Roadmap!A26:K26</x:v>
      </x:c>
    </x:row>
    <x:row r="17" ht="72" customHeight="1">
      <x:c r="A17" s="28" t="str">
        <x:v>RP-03</x:v>
      </x:c>
      <x:c r="B17" s="28" t="str">
        <x:v>Ornate Ghost Pipefish</x:v>
      </x:c>
      <x:c r="C17" s="28" t="str">
        <x:v>Premium</x:v>
      </x:c>
      <x:c r="D17" s="32" t="n">
        <x:v>15</x:v>
      </x:c>
      <x:c r="E17" s="32" t="str">
        <x:v>Reserve L1–40</x:v>
      </x:c>
      <x:c r="F17" s="28" t="str">
        <x:v>Pearls</x:v>
      </x:c>
      <x:c r="G17" s="32" t="n">
        <x:v>30</x:v>
      </x:c>
      <x:c r="H17" s="28" t="str">
        <x:v>None</x:v>
      </x:c>
      <x:c r="I17" s="28" t="str">
        <x:v>Permanent / no loss</x:v>
      </x:c>
      <x:c r="J17" s="28" t="n">
        <x:v>0</x:v>
      </x:c>
      <x:c r="K17" s="28" t="n">
        <x:v>0</x:v>
      </x:c>
      <x:c r="L17" s="28" t="n">
        <x:v>0</x:v>
      </x:c>
      <x:c r="M17" s="28" t="n">
        <x:v>0</x:v>
      </x:c>
      <x:c r="N17" s="28" t="str">
        <x:v>Guaranteed permanent companion; not active until content wave</x:v>
      </x:c>
      <x:c r="O17" s="28" t="str">
        <x:v>Patterned drifting twig silhouette with playful fin flutter; original decorative palette.</x:v>
      </x:c>
      <x:c r="P17" s="28" t="str">
        <x:v>4 pearls - harlequin drifting twig</x:v>
      </x:c>
      <x:c r="Q17" s="28" t="n">
        <x:v>40</x:v>
      </x:c>
      <x:c r="R17" s="28" t="str">
        <x:v>Roadmap!A27:K27</x:v>
      </x:c>
    </x:row>
    <x:row r="18" ht="72" customHeight="1">
      <x:c r="A18" s="28" t="str">
        <x:v>RP-04</x:v>
      </x:c>
      <x:c r="B18" s="28" t="str">
        <x:v>Ribbon Eel</x:v>
      </x:c>
      <x:c r="C18" s="28" t="str">
        <x:v>Premium</x:v>
      </x:c>
      <x:c r="D18" s="32" t="n">
        <x:v>18</x:v>
      </x:c>
      <x:c r="E18" s="32" t="str">
        <x:v>Reserve L1–40</x:v>
      </x:c>
      <x:c r="F18" s="28" t="str">
        <x:v>Pearls</x:v>
      </x:c>
      <x:c r="G18" s="32" t="n">
        <x:v>35</x:v>
      </x:c>
      <x:c r="H18" s="28" t="str">
        <x:v>None</x:v>
      </x:c>
      <x:c r="I18" s="28" t="str">
        <x:v>Permanent / no loss</x:v>
      </x:c>
      <x:c r="J18" s="28" t="n">
        <x:v>0</x:v>
      </x:c>
      <x:c r="K18" s="28" t="n">
        <x:v>0</x:v>
      </x:c>
      <x:c r="L18" s="28" t="n">
        <x:v>0</x:v>
      </x:c>
      <x:c r="M18" s="28" t="n">
        <x:v>0</x:v>
      </x:c>
      <x:c r="N18" s="28" t="str">
        <x:v>Guaranteed permanent companion; not active until content wave</x:v>
      </x:c>
      <x:c r="O18" s="28" t="str">
        <x:v>Electric-blue ribbon body with gold accents; slow looping swim and curious face.</x:v>
      </x:c>
      <x:c r="P18" s="28" t="str">
        <x:v>6 pearls - electric blue ribbon</x:v>
      </x:c>
      <x:c r="Q18" s="28" t="n">
        <x:v>72</x:v>
      </x:c>
      <x:c r="R18" s="28" t="str">
        <x:v>Roadmap!A28:K28</x:v>
      </x:c>
    </x:row>
    <x:row r="19" ht="72" customHeight="1">
      <x:c r="A19" s="28" t="str">
        <x:v>RP-05</x:v>
      </x:c>
      <x:c r="B19" s="28" t="str">
        <x:v>Clown Frogfish</x:v>
      </x:c>
      <x:c r="C19" s="28" t="str">
        <x:v>Premium</x:v>
      </x:c>
      <x:c r="D19" s="32" t="n">
        <x:v>22</x:v>
      </x:c>
      <x:c r="E19" s="32" t="str">
        <x:v>Reserve L1–40</x:v>
      </x:c>
      <x:c r="F19" s="28" t="str">
        <x:v>Pearls</x:v>
      </x:c>
      <x:c r="G19" s="32" t="n">
        <x:v>45</x:v>
      </x:c>
      <x:c r="H19" s="28" t="str">
        <x:v>None</x:v>
      </x:c>
      <x:c r="I19" s="28" t="str">
        <x:v>Permanent / no loss</x:v>
      </x:c>
      <x:c r="J19" s="28" t="n">
        <x:v>0</x:v>
      </x:c>
      <x:c r="K19" s="28" t="n">
        <x:v>0</x:v>
      </x:c>
      <x:c r="L19" s="28" t="n">
        <x:v>0</x:v>
      </x:c>
      <x:c r="M19" s="28" t="n">
        <x:v>0</x:v>
      </x:c>
      <x:c r="N19" s="28" t="str">
        <x:v>Guaranteed permanent companion; not active until content wave</x:v>
      </x:c>
      <x:c r="O19" s="28" t="str">
        <x:v>Round coral-colored companion with fin-walking motion; no productive advantage.</x:v>
      </x:c>
      <x:c r="P19" s="28" t="str">
        <x:v>9 pearls - coral-mimic that walks on fins</x:v>
      </x:c>
      <x:c r="Q19" s="28" t="n">
        <x:v>120</x:v>
      </x:c>
      <x:c r="R19" s="28" t="str">
        <x:v>Roadmap!A29:K29</x:v>
      </x:c>
    </x:row>
    <x:row r="20" ht="72" customHeight="1">
      <x:c r="A20" s="28" t="str">
        <x:v>RP-06</x:v>
      </x:c>
      <x:c r="B20" s="28" t="str">
        <x:v>Leafy Seadragon</x:v>
      </x:c>
      <x:c r="C20" s="28" t="str">
        <x:v>Premium</x:v>
      </x:c>
      <x:c r="D20" s="32" t="n">
        <x:v>28</x:v>
      </x:c>
      <x:c r="E20" s="32" t="str">
        <x:v>Reserve L1–40</x:v>
      </x:c>
      <x:c r="F20" s="28" t="str">
        <x:v>Pearls</x:v>
      </x:c>
      <x:c r="G20" s="32" t="n">
        <x:v>50</x:v>
      </x:c>
      <x:c r="H20" s="28" t="str">
        <x:v>None</x:v>
      </x:c>
      <x:c r="I20" s="28" t="str">
        <x:v>Permanent / no loss</x:v>
      </x:c>
      <x:c r="J20" s="28" t="n">
        <x:v>0</x:v>
      </x:c>
      <x:c r="K20" s="28" t="n">
        <x:v>0</x:v>
      </x:c>
      <x:c r="L20" s="28" t="n">
        <x:v>0</x:v>
      </x:c>
      <x:c r="M20" s="28" t="n">
        <x:v>0</x:v>
      </x:c>
      <x:c r="N20" s="28" t="str">
        <x:v>Guaranteed permanent companion; not active until content wave</x:v>
      </x:c>
      <x:c r="O20" s="28" t="str">
        <x:v>Leaf-shaped appendages sway softly around a clear seadragon silhouette; no speed bonus.</x:v>
      </x:c>
      <x:c r="P20" s="28" t="str">
        <x:v>11 pearls - living seaweed; fast premium</x:v>
      </x:c>
      <x:c r="Q20" s="28" t="n">
        <x:v>12</x:v>
      </x:c>
      <x:c r="R20" s="28" t="str">
        <x:v>Roadmap!A30:K30</x:v>
      </x:c>
    </x:row>
    <x:row r="21" ht="72" customHeight="1">
      <x:c r="A21" s="28" t="str">
        <x:v>RP-07</x:v>
      </x:c>
      <x:c r="B21" s="28" t="str">
        <x:v>Peacock Mantis Shrimp</x:v>
      </x:c>
      <x:c r="C21" s="28" t="str">
        <x:v>Premium</x:v>
      </x:c>
      <x:c r="D21" s="32" t="n">
        <x:v>30</x:v>
      </x:c>
      <x:c r="E21" s="32" t="str">
        <x:v>Reserve L1–40</x:v>
      </x:c>
      <x:c r="F21" s="28" t="str">
        <x:v>Pearls</x:v>
      </x:c>
      <x:c r="G21" s="32" t="n">
        <x:v>55</x:v>
      </x:c>
      <x:c r="H21" s="28" t="str">
        <x:v>None</x:v>
      </x:c>
      <x:c r="I21" s="28" t="str">
        <x:v>Permanent / no loss</x:v>
      </x:c>
      <x:c r="J21" s="28" t="n">
        <x:v>0</x:v>
      </x:c>
      <x:c r="K21" s="28" t="n">
        <x:v>0</x:v>
      </x:c>
      <x:c r="L21" s="28" t="n">
        <x:v>0</x:v>
      </x:c>
      <x:c r="M21" s="28" t="n">
        <x:v>0</x:v>
      </x:c>
      <x:c r="N21" s="28" t="str">
        <x:v>Guaranteed permanent companion; not active until content wave</x:v>
      </x:c>
      <x:c r="O21" s="28" t="str">
        <x:v>Rainbow armor plates and bright expressive eyes; safe restrained color shimmer.</x:v>
      </x:c>
      <x:c r="P21" s="28" t="str">
        <x:v>12 pearls - full-rainbow armor</x:v>
      </x:c>
      <x:c r="Q21" s="28" t="n">
        <x:v>192</x:v>
      </x:c>
      <x:c r="R21" s="28" t="str">
        <x:v>Roadmap!A31:K31</x:v>
      </x:c>
    </x:row>
    <x:row r="22" ht="72" customHeight="1">
      <x:c r="A22" s="28" t="str">
        <x:v>LE-01</x:v>
      </x:c>
      <x:c r="B22" s="28" t="str">
        <x:v>Heartfin Tetra</x:v>
      </x:c>
      <x:c r="C22" s="28" t="str">
        <x:v>Seasonal</x:v>
      </x:c>
      <x:c r="D22" s="32" t="n">
        <x:v>5</x:v>
      </x:c>
      <x:c r="E22" s="32" t="str">
        <x:v>Event-gated</x:v>
      </x:c>
      <x:c r="F22" s="28" t="str">
        <x:v>Event</x:v>
      </x:c>
      <x:c r="G22" s="32" t="n">
        <x:v>0</x:v>
      </x:c>
      <x:c r="H22" s="28" t="str">
        <x:v>Valentine's</x:v>
      </x:c>
      <x:c r="I22" s="28" t="str">
        <x:v>Permanent / no loss</x:v>
      </x:c>
      <x:c r="J22" s="28" t="n">
        <x:v>0</x:v>
      </x:c>
      <x:c r="K22" s="28" t="n">
        <x:v>0</x:v>
      </x:c>
      <x:c r="L22" s="28" t="n">
        <x:v>0</x:v>
      </x:c>
      <x:c r="M22" s="28" t="n">
        <x:v>0</x:v>
      </x:c>
      <x:c r="N22" s="28" t="str">
        <x:v>Main free event reward; Vampire / Frost are optional extended-track variants</x:v>
      </x:c>
      <x:c r="O22" s="28" t="str">
        <x:v>Small pink-and-rose tetra with a heart-shaped tail silhouette; permanent seasonal keepsake.</x:v>
      </x:c>
      <x:c r="P22" s="28" t="n">
        <x:v>500</x:v>
      </x:c>
      <x:c r="Q22" s="28" t="n">
        <x:v>8</x:v>
      </x:c>
      <x:c r="R22" s="28" t="str">
        <x:v>Limited Edition!A2:Z2</x:v>
      </x:c>
    </x:row>
    <x:row r="23" ht="72" customHeight="1">
      <x:c r="A23" s="28" t="str">
        <x:v>LE-02</x:v>
      </x:c>
      <x:c r="B23" s="28" t="str">
        <x:v>Emerald Cod</x:v>
      </x:c>
      <x:c r="C23" s="28" t="str">
        <x:v>Seasonal</x:v>
      </x:c>
      <x:c r="D23" s="32" t="n">
        <x:v>8</x:v>
      </x:c>
      <x:c r="E23" s="32" t="str">
        <x:v>Event-gated</x:v>
      </x:c>
      <x:c r="F23" s="28" t="str">
        <x:v>Event</x:v>
      </x:c>
      <x:c r="G23" s="32" t="n">
        <x:v>0</x:v>
      </x:c>
      <x:c r="H23" s="28" t="str">
        <x:v>St. Patrick's</x:v>
      </x:c>
      <x:c r="I23" s="28" t="str">
        <x:v>Permanent / no loss</x:v>
      </x:c>
      <x:c r="J23" s="28" t="n">
        <x:v>0</x:v>
      </x:c>
      <x:c r="K23" s="28" t="n">
        <x:v>0</x:v>
      </x:c>
      <x:c r="L23" s="28" t="n">
        <x:v>0</x:v>
      </x:c>
      <x:c r="M23" s="28" t="n">
        <x:v>0</x:v>
      </x:c>
      <x:c r="N23" s="28" t="str">
        <x:v>Main free event reward; Vampire / Frost are optional extended-track variants</x:v>
      </x:c>
      <x:c r="O23" s="28" t="str">
        <x:v>Rounded emerald fish with clover-like fin accents and friendly gold freckles; no economic boost.</x:v>
      </x:c>
      <x:c r="P23" s="28" t="n">
        <x:v>800</x:v>
      </x:c>
      <x:c r="Q23" s="28" t="n">
        <x:v>24</x:v>
      </x:c>
      <x:c r="R23" s="28" t="str">
        <x:v>Limited Edition!A3:Z3</x:v>
      </x:c>
    </x:row>
    <x:row r="24" ht="72" customHeight="1">
      <x:c r="A24" s="28" t="str">
        <x:v>LE-03</x:v>
      </x:c>
      <x:c r="B24" s="28" t="str">
        <x:v>Sakura Goldfish</x:v>
      </x:c>
      <x:c r="C24" s="28" t="str">
        <x:v>Seasonal</x:v>
      </x:c>
      <x:c r="D24" s="32" t="n">
        <x:v>8</x:v>
      </x:c>
      <x:c r="E24" s="32" t="str">
        <x:v>Event-gated</x:v>
      </x:c>
      <x:c r="F24" s="28" t="str">
        <x:v>Event</x:v>
      </x:c>
      <x:c r="G24" s="32" t="n">
        <x:v>0</x:v>
      </x:c>
      <x:c r="H24" s="28" t="str">
        <x:v>Spring Blossom</x:v>
      </x:c>
      <x:c r="I24" s="28" t="str">
        <x:v>Permanent / no loss</x:v>
      </x:c>
      <x:c r="J24" s="28" t="n">
        <x:v>0</x:v>
      </x:c>
      <x:c r="K24" s="28" t="n">
        <x:v>0</x:v>
      </x:c>
      <x:c r="L24" s="28" t="n">
        <x:v>0</x:v>
      </x:c>
      <x:c r="M24" s="28" t="n">
        <x:v>0</x:v>
      </x:c>
      <x:c r="N24" s="28" t="str">
        <x:v>Main free event reward; Vampire / Frost are optional extended-track variants</x:v>
      </x:c>
      <x:c r="O24" s="28" t="str">
        <x:v>Warm white goldfish with pink blossom markings and softly fanning fins.</x:v>
      </x:c>
      <x:c r="P24" s="28" t="n">
        <x:v>8</x:v>
      </x:c>
      <x:c r="Q24" s="28" t="n">
        <x:v>40</x:v>
      </x:c>
      <x:c r="R24" s="28" t="str">
        <x:v>Limited Edition!A4:Z4</x:v>
      </x:c>
    </x:row>
    <x:row r="25" ht="72" customHeight="1">
      <x:c r="A25" s="28" t="str">
        <x:v>LE-04</x:v>
      </x:c>
      <x:c r="B25" s="28" t="str">
        <x:v>Firework Fish</x:v>
      </x:c>
      <x:c r="C25" s="28" t="str">
        <x:v>Seasonal</x:v>
      </x:c>
      <x:c r="D25" s="32" t="n">
        <x:v>8</x:v>
      </x:c>
      <x:c r="E25" s="32" t="str">
        <x:v>Event-gated</x:v>
      </x:c>
      <x:c r="F25" s="28" t="str">
        <x:v>Event</x:v>
      </x:c>
      <x:c r="G25" s="32" t="n">
        <x:v>0</x:v>
      </x:c>
      <x:c r="H25" s="28" t="str">
        <x:v>Summer Festival</x:v>
      </x:c>
      <x:c r="I25" s="28" t="str">
        <x:v>Permanent / no loss</x:v>
      </x:c>
      <x:c r="J25" s="28" t="n">
        <x:v>0</x:v>
      </x:c>
      <x:c r="K25" s="28" t="n">
        <x:v>0</x:v>
      </x:c>
      <x:c r="L25" s="28" t="n">
        <x:v>0</x:v>
      </x:c>
      <x:c r="M25" s="28" t="n">
        <x:v>0</x:v>
      </x:c>
      <x:c r="N25" s="28" t="str">
        <x:v>Main free event reward; Vampire / Frost are optional extended-track variants</x:v>
      </x:c>
      <x:c r="O25" s="28" t="str">
        <x:v>Bold warm-cool fin rays like a stylized celebration; no flashing firework effect.</x:v>
      </x:c>
      <x:c r="P25" s="28" t="n">
        <x:v>7</x:v>
      </x:c>
      <x:c r="Q25" s="28" t="n">
        <x:v>24</x:v>
      </x:c>
      <x:c r="R25" s="28" t="str">
        <x:v>Limited Edition!A5:Z5</x:v>
      </x:c>
    </x:row>
    <x:row r="26" ht="72" customHeight="1">
      <x:c r="A26" s="28" t="str">
        <x:v>LE-05</x:v>
      </x:c>
      <x:c r="B26" s="28" t="str">
        <x:v>Jack-o'-Lantern Puffer</x:v>
      </x:c>
      <x:c r="C26" s="28" t="str">
        <x:v>Seasonal</x:v>
      </x:c>
      <x:c r="D26" s="32" t="n">
        <x:v>8</x:v>
      </x:c>
      <x:c r="E26" s="32" t="str">
        <x:v>Event-gated</x:v>
      </x:c>
      <x:c r="F26" s="28" t="str">
        <x:v>Event</x:v>
      </x:c>
      <x:c r="G26" s="32" t="n">
        <x:v>0</x:v>
      </x:c>
      <x:c r="H26" s="28" t="str">
        <x:v>Halloween</x:v>
      </x:c>
      <x:c r="I26" s="28" t="str">
        <x:v>Permanent / no loss</x:v>
      </x:c>
      <x:c r="J26" s="28" t="n">
        <x:v>0</x:v>
      </x:c>
      <x:c r="K26" s="28" t="n">
        <x:v>0</x:v>
      </x:c>
      <x:c r="L26" s="28" t="n">
        <x:v>0</x:v>
      </x:c>
      <x:c r="M26" s="28" t="n">
        <x:v>0</x:v>
      </x:c>
      <x:c r="N26" s="28" t="str">
        <x:v>Main free event reward; Vampire / Frost are optional extended-track variants</x:v>
      </x:c>
      <x:c r="O26" s="28" t="str">
        <x:v>Round orange puffer with a smiling carved-pumpkin motif; friendly rather than frightening.</x:v>
      </x:c>
      <x:c r="P26" s="28" t="n">
        <x:v>8</x:v>
      </x:c>
      <x:c r="Q26" s="28" t="n">
        <x:v>48</x:v>
      </x:c>
      <x:c r="R26" s="28" t="str">
        <x:v>Limited Edition!A6:Z6</x:v>
      </x:c>
    </x:row>
    <x:row r="27" ht="72" customHeight="1">
      <x:c r="A27" s="28" t="str">
        <x:v>LE-06</x:v>
      </x:c>
      <x:c r="B27" s="28" t="str">
        <x:v>Midnight Vampire Squid</x:v>
      </x:c>
      <x:c r="C27" s="28" t="str">
        <x:v>Seasonal</x:v>
      </x:c>
      <x:c r="D27" s="32" t="n">
        <x:v>8</x:v>
      </x:c>
      <x:c r="E27" s="32" t="str">
        <x:v>Event-gated</x:v>
      </x:c>
      <x:c r="F27" s="28" t="str">
        <x:v>Event</x:v>
      </x:c>
      <x:c r="G27" s="32" t="n">
        <x:v>0</x:v>
      </x:c>
      <x:c r="H27" s="28" t="str">
        <x:v>Halloween (ultra)</x:v>
      </x:c>
      <x:c r="I27" s="28" t="str">
        <x:v>Permanent / no loss</x:v>
      </x:c>
      <x:c r="J27" s="28" t="n">
        <x:v>0</x:v>
      </x:c>
      <x:c r="K27" s="28" t="n">
        <x:v>0</x:v>
      </x:c>
      <x:c r="L27" s="28" t="n">
        <x:v>0</x:v>
      </x:c>
      <x:c r="M27" s="28" t="n">
        <x:v>0</x:v>
      </x:c>
      <x:c r="N27" s="28" t="str">
        <x:v>Main free event reward; Vampire / Frost are optional extended-track variants</x:v>
      </x:c>
      <x:c r="O27" s="28" t="str">
        <x:v>Small midnight-purple squid with a cape-like fin spread and gentle moonlit trim; extended free reward.</x:v>
      </x:c>
      <x:c r="P27" s="28" t="n">
        <x:v>20</x:v>
      </x:c>
      <x:c r="Q27" s="28" t="n">
        <x:v>192</x:v>
      </x:c>
      <x:c r="R27" s="28" t="str">
        <x:v>Limited Edition!A7:Z7</x:v>
      </x:c>
    </x:row>
    <x:row r="28" ht="72" customHeight="1">
      <x:c r="A28" s="28" t="str">
        <x:v>LE-07</x:v>
      </x:c>
      <x:c r="B28" s="28" t="str">
        <x:v>Santa Clownfish</x:v>
      </x:c>
      <x:c r="C28" s="28" t="str">
        <x:v>Seasonal</x:v>
      </x:c>
      <x:c r="D28" s="32" t="n">
        <x:v>5</x:v>
      </x:c>
      <x:c r="E28" s="32" t="str">
        <x:v>Event-gated</x:v>
      </x:c>
      <x:c r="F28" s="28" t="str">
        <x:v>Event</x:v>
      </x:c>
      <x:c r="G28" s="32" t="n">
        <x:v>0</x:v>
      </x:c>
      <x:c r="H28" s="28" t="str">
        <x:v>Winterfest</x:v>
      </x:c>
      <x:c r="I28" s="28" t="str">
        <x:v>Permanent / no loss</x:v>
      </x:c>
      <x:c r="J28" s="28" t="n">
        <x:v>0</x:v>
      </x:c>
      <x:c r="K28" s="28" t="n">
        <x:v>0</x:v>
      </x:c>
      <x:c r="L28" s="28" t="n">
        <x:v>0</x:v>
      </x:c>
      <x:c r="M28" s="28" t="n">
        <x:v>0</x:v>
      </x:c>
      <x:c r="N28" s="28" t="str">
        <x:v>Main free event reward; Vampire / Frost are optional extended-track variants</x:v>
      </x:c>
      <x:c r="O28" s="28" t="str">
        <x:v>Red-and-cream clownfish with a soft winter cap motif; slow playful wiggle.</x:v>
      </x:c>
      <x:c r="P28" s="28" t="n">
        <x:v>6</x:v>
      </x:c>
      <x:c r="Q28" s="28" t="n">
        <x:v>32</x:v>
      </x:c>
      <x:c r="R28" s="28" t="str">
        <x:v>Limited Edition!A8:Z8</x:v>
      </x:c>
    </x:row>
    <x:row r="29" ht="72" customHeight="1">
      <x:c r="A29" s="28" t="str">
        <x:v>LE-08</x:v>
      </x:c>
      <x:c r="B29" s="28" t="str">
        <x:v>Frost Angelfish</x:v>
      </x:c>
      <x:c r="C29" s="28" t="str">
        <x:v>Seasonal</x:v>
      </x:c>
      <x:c r="D29" s="32" t="n">
        <x:v>8</x:v>
      </x:c>
      <x:c r="E29" s="32" t="str">
        <x:v>Event-gated</x:v>
      </x:c>
      <x:c r="F29" s="28" t="str">
        <x:v>Event</x:v>
      </x:c>
      <x:c r="G29" s="32" t="n">
        <x:v>0</x:v>
      </x:c>
      <x:c r="H29" s="28" t="str">
        <x:v>Winterfest</x:v>
      </x:c>
      <x:c r="I29" s="28" t="str">
        <x:v>Permanent / no loss</x:v>
      </x:c>
      <x:c r="J29" s="28" t="n">
        <x:v>0</x:v>
      </x:c>
      <x:c r="K29" s="28" t="n">
        <x:v>0</x:v>
      </x:c>
      <x:c r="L29" s="28" t="n">
        <x:v>0</x:v>
      </x:c>
      <x:c r="M29" s="28" t="n">
        <x:v>0</x:v>
      </x:c>
      <x:c r="N29" s="28" t="str">
        <x:v>Main free event reward; Vampire / Frost are optional extended-track variants</x:v>
      </x:c>
      <x:c r="O29" s="28" t="str">
        <x:v>Frost-blue angelfish with translucent scalloped fins; subtle static sparkle fallback.</x:v>
      </x:c>
      <x:c r="P29" s="28" t="n">
        <x:v>9</x:v>
      </x:c>
      <x:c r="Q29" s="28" t="n">
        <x:v>72</x:v>
      </x:c>
      <x:c r="R29" s="28" t="str">
        <x:v>Limited Edition!A9:Z9</x:v>
      </x:c>
    </x:row>
    <x:row r="30" ht="72" customHeight="1">
      <x:c r="A30" s="28" t="str">
        <x:v>LE-09</x:v>
      </x:c>
      <x:c r="B30" s="28" t="str">
        <x:v>Golden Koi</x:v>
      </x:c>
      <x:c r="C30" s="28" t="str">
        <x:v>Seasonal</x:v>
      </x:c>
      <x:c r="D30" s="32" t="n">
        <x:v>8</x:v>
      </x:c>
      <x:c r="E30" s="32" t="str">
        <x:v>Event-gated</x:v>
      </x:c>
      <x:c r="F30" s="28" t="str">
        <x:v>Event</x:v>
      </x:c>
      <x:c r="G30" s="32" t="n">
        <x:v>0</x:v>
      </x:c>
      <x:c r="H30" s="28" t="str">
        <x:v>Lunar New Year</x:v>
      </x:c>
      <x:c r="I30" s="28" t="str">
        <x:v>Permanent / no loss</x:v>
      </x:c>
      <x:c r="J30" s="28" t="n">
        <x:v>0</x:v>
      </x:c>
      <x:c r="K30" s="28" t="n">
        <x:v>0</x:v>
      </x:c>
      <x:c r="L30" s="28" t="n">
        <x:v>0</x:v>
      </x:c>
      <x:c r="M30" s="28" t="n">
        <x:v>0</x:v>
      </x:c>
      <x:c r="N30" s="28" t="str">
        <x:v>Main free event reward; Vampire / Frost are optional extended-track variants</x:v>
      </x:c>
      <x:c r="O30" s="28" t="str">
        <x:v>Gold and red koi with a painted festive pattern; no currency conversion or lucky-stat effect.</x:v>
      </x:c>
      <x:c r="P30" s="28" t="n">
        <x:v>10</x:v>
      </x:c>
      <x:c r="Q30" s="28" t="n">
        <x:v>96</x:v>
      </x:c>
      <x:c r="R30" s="28" t="str">
        <x:v>Limited Edition!A10:Z10</x:v>
      </x:c>
    </x:row>
    <x:row r="31" ht="72" customHeight="1">
      <x:c r="A31" s="28" t="str">
        <x:v>LE-10</x:v>
      </x:c>
      <x:c r="B31" s="28" t="str">
        <x:v>Anniversary Rainbowfish</x:v>
      </x:c>
      <x:c r="C31" s="28" t="str">
        <x:v>Seasonal</x:v>
      </x:c>
      <x:c r="D31" s="32" t="n">
        <x:v>3</x:v>
      </x:c>
      <x:c r="E31" s="32" t="str">
        <x:v>Event-gated</x:v>
      </x:c>
      <x:c r="F31" s="28" t="str">
        <x:v>Event</x:v>
      </x:c>
      <x:c r="G31" s="32" t="n">
        <x:v>0</x:v>
      </x:c>
      <x:c r="H31" s="28" t="str">
        <x:v>Game Anniversary</x:v>
      </x:c>
      <x:c r="I31" s="28" t="str">
        <x:v>Permanent / no loss</x:v>
      </x:c>
      <x:c r="J31" s="28" t="n">
        <x:v>0</x:v>
      </x:c>
      <x:c r="K31" s="28" t="n">
        <x:v>0</x:v>
      </x:c>
      <x:c r="L31" s="28" t="n">
        <x:v>0</x:v>
      </x:c>
      <x:c r="M31" s="28" t="n">
        <x:v>0</x:v>
      </x:c>
      <x:c r="N31" s="28" t="str">
        <x:v>Main free event reward; Vampire / Frost are optional extended-track variants</x:v>
      </x:c>
      <x:c r="O31" s="28" t="str">
        <x:v>Rainbow fish with an anniversary ribbon motif; permanent free event reward, no year baked into art.</x:v>
      </x:c>
      <x:c r="P31" s="28" t="n">
        <x:v>0</x:v>
      </x:c>
      <x:c r="Q31" s="28" t="n">
        <x:v>144</x:v>
      </x:c>
      <x:c r="R31" s="28" t="str">
        <x:v>Limited Edition!A11:Z11</x:v>
      </x:c>
    </x:row>
  </x:sheetData>
  <x:mergeCells>
    <x:mergeCell ref="A1:R1"/>
    <x:mergeCell ref="A2:R2"/>
  </x:mergeCells>
  <x:pageMargins left="0.7" right="0.7" top="0.75" bottom="0.75" header="0.3" footer="0.3"/>
  <x:tableParts count="1">
    <x:tablePart xmlns:r="http://schemas.openxmlformats.org/officeDocument/2006/relationships" r:id="R4d13d427eec942e0"/>
  </x:tableParts>
</x:worksheet>
</file>

<file path=xl/worksheets/sheet10.xml><?xml version="1.0" encoding="utf-8"?>
<x:worksheet xmlns:x="http://schemas.openxmlformats.org/spreadsheetml/2006/main">
  <x:sheetFormatPr defaultRowHeight="15"/>
  <x:cols>
    <x:col min="1" max="1" width="11" hidden="0" customWidth="1"/>
    <x:col min="2" max="2" width="23" hidden="0" customWidth="1"/>
    <x:col min="3" max="3" width="22" hidden="0" customWidth="1"/>
    <x:col min="4" max="4" width="22" hidden="0" customWidth="1"/>
    <x:col min="5" max="5" width="20" hidden="0" customWidth="1"/>
    <x:col min="6" max="6" width="20" hidden="0" customWidth="1"/>
    <x:col min="7" max="7" width="22" hidden="0" customWidth="1"/>
    <x:col min="8" max="8" width="23" hidden="0" customWidth="1"/>
    <x:col min="9" max="9" width="19" hidden="0" customWidth="1"/>
    <x:col min="10" max="10" width="19" hidden="0" customWidth="1"/>
    <x:col min="11" max="11" width="18" hidden="0" customWidth="1"/>
    <x:col min="12" max="12" width="18" hidden="0" customWidth="1"/>
    <x:col min="13" max="13" width="65" hidden="0" customWidth="1"/>
    <x:col min="14" max="14" width="50" hidden="0" customWidth="1"/>
  </x:cols>
  <x:sheetData>
    <x:row r="1" ht="34" customHeight="1">
      <x:c r="A1" s="6" t="str">
        <x:v>LEVEL PROGRESSION &amp; REWARD BEATS</x:v>
      </x:c>
      <x:c r="B1" s="6"/>
      <x:c r="C1" s="6"/>
      <x:c r="D1" s="6"/>
      <x:c r="E1" s="6"/>
      <x:c r="F1" s="6"/>
      <x:c r="G1" s="6"/>
      <x:c r="H1" s="6"/>
      <x:c r="I1" s="6"/>
      <x:c r="J1" s="6"/>
      <x:c r="K1" s="6"/>
      <x:c r="L1" s="6"/>
      <x:c r="M1" s="6"/>
      <x:c r="N1" s="6"/>
    </x:row>
    <x:row r="2" ht="32" customHeight="1">
      <x:c r="A2" s="13" t="str">
        <x:v>Reference slots are calibration assumptions only. The cash-flow simulator separately purchases actual slots. Every launch level has an authored reason to care; no placeholder crates.</x:v>
      </x:c>
      <x:c r="B2" s="13"/>
      <x:c r="C2" s="13"/>
      <x:c r="D2" s="13"/>
      <x:c r="E2" s="13"/>
      <x:c r="F2" s="13"/>
      <x:c r="G2" s="13"/>
      <x:c r="H2" s="13"/>
      <x:c r="I2" s="13"/>
      <x:c r="J2" s="13"/>
      <x:c r="K2" s="13"/>
      <x:c r="L2" s="13"/>
      <x:c r="M2" s="13"/>
      <x:c r="N2" s="13"/>
    </x:row>
    <x:row r="3">
      <x:c r="A3" s="2"/>
      <x:c r="B3" s="2"/>
      <x:c r="C3" s="2"/>
      <x:c r="D3" s="2"/>
      <x:c r="E3" s="2"/>
      <x:c r="F3" s="2"/>
      <x:c r="G3" s="2"/>
      <x:c r="H3" s="2"/>
      <x:c r="I3" s="2"/>
      <x:c r="J3" s="2"/>
      <x:c r="K3" s="2"/>
      <x:c r="L3" s="2"/>
      <x:c r="M3" s="2"/>
      <x:c r="N3" s="2"/>
    </x:row>
    <x:row r="4" ht="32" customHeight="1">
      <x:c r="A4" s="21" t="str">
        <x:v>Level</x:v>
      </x:c>
      <x:c r="B4" s="21" t="str">
        <x:v>Release state</x:v>
      </x:c>
      <x:c r="C4" s="21" t="str">
        <x:v>Reference eligible slots</x:v>
      </x:c>
      <x:c r="D4" s="21" t="str">
        <x:v>Reference Coins/day</x:v>
      </x:c>
      <x:c r="E4" s="21" t="str">
        <x:v>Reference XP/day</x:v>
      </x:c>
      <x:c r="F4" s="21" t="str">
        <x:v>Target days to next</x:v>
      </x:c>
      <x:c r="G4" s="21" t="str">
        <x:v>XP to next level</x:v>
      </x:c>
      <x:c r="H4" s="21" t="str">
        <x:v>Cumulative entry XP</x:v>
      </x:c>
      <x:c r="I4" s="21" t="str">
        <x:v>Level-up Coins</x:v>
      </x:c>
      <x:c r="J4" s="21" t="str">
        <x:v>Level-up Pearls</x:v>
      </x:c>
      <x:c r="K4" s="21" t="str">
        <x:v>Launch fish count</x:v>
      </x:c>
      <x:c r="L4" s="21" t="str">
        <x:v>Launch decor count</x:v>
      </x:c>
      <x:c r="M4" s="21" t="str">
        <x:v>Player-visible beat</x:v>
      </x:c>
      <x:c r="N4" s="21" t="str">
        <x:v>Cap rule</x:v>
      </x:c>
    </x:row>
    <x:row r="5" ht="58" customHeight="1">
      <x:c r="A5" s="28" t="n">
        <x:v>1</x:v>
      </x:c>
      <x:c r="B5" s="28" t="str">
        <x:f>IF(A5&lt;='Inputs'!$B$5,"Launch","HOLD / unvalidated")</x:f>
        <x:v>Launch</x:v>
      </x:c>
      <x:c r="C5" s="28" t="n">
        <x:f>SUMIF('Tanks'!$C$5:$C$19,"&lt;="&amp;A5,'Tanks'!$D$5:$D$19)</x:f>
        <x:v>10</x:v>
      </x:c>
      <x:c r="D5" s="38" t="n">
        <x:f>'Inputs'!$B$14*(1+'Inputs'!$B$15*(A5-1))*C5*'Inputs'!$B$32</x:f>
        <x:v>3000</x:v>
      </x:c>
      <x:c r="E5" s="38" t="n">
        <x:f>'Inputs'!$B$16*(1+'Inputs'!$B$17*(A5-1))*C5*'Inputs'!$B$32</x:f>
        <x:v>800</x:v>
      </x:c>
      <x:c r="F5" s="34" t="n">
        <x:v>0.01</x:v>
      </x:c>
      <x:c r="G5" s="38" t="n">
        <x:f>IF(A5&gt;='Inputs'!$B$6,0,IF(A5=1,'Inputs'!$B$11,ROUNDUP(E5*(1+IF(A5&gt;=3,'Inputs'!$B$27+'Inputs'!$B$29/7,0))*F5/10,0)*10))</x:f>
        <x:v>80</x:v>
      </x:c>
      <x:c r="H5" s="38" t="n">
        <x:f>0</x:f>
        <x:v>0</x:v>
      </x:c>
      <x:c r="I5" s="38" t="n">
        <x:f>IF(A5=1,0,IF(A5=2,'Inputs'!$B$12,ROUND(D5*'Inputs'!$B$51/5,0)*5))</x:f>
        <x:v>0</x:v>
      </x:c>
      <x:c r="J5" s="38" t="n">
        <x:f>IF(A5=1,0,IF(A5=2,'Inputs'!$B$13,IF(MOD(A5,5)=0,3,IF(MOD(A5,2)=0,1,0))))</x:f>
        <x:v>0</x:v>
      </x:c>
      <x:c r="K5" s="28" t="n">
        <x:f>COUNTIFS('Coin Fish'!$D$5:$D$76,A5,'Coin Fish'!$E$5:$E$76,"Launch")</x:f>
        <x:v>4</x:v>
      </x:c>
      <x:c r="L5" s="28" t="n">
        <x:f>COUNTIFS('Decor Catalog'!$G$5:$G$124,A5,'Decor Catalog'!$T$5:$T$124,"Launch")</x:f>
        <x:v>2</x:v>
      </x:c>
      <x:c r="M5" s="28" t="str">
        <x:v>Personalize tank; four free fish; collect first maturity reward</x:v>
      </x:c>
      <x:c r="N5" s="28" t="str">
        <x:v>No banked account XP beyond L40. Lifetime statistics may continue.</x:v>
      </x:c>
    </x:row>
    <x:row r="6" ht="58" customHeight="1">
      <x:c r="A6" s="28" t="n">
        <x:v>2</x:v>
      </x:c>
      <x:c r="B6" s="28" t="str">
        <x:f>IF(A6&lt;='Inputs'!$B$5,"Launch","HOLD / unvalidated")</x:f>
        <x:v>Launch</x:v>
      </x:c>
      <x:c r="C6" s="28" t="n">
        <x:f>SUMIF('Tanks'!$C$5:$C$19,"&lt;="&amp;A6,'Tanks'!$D$5:$D$19)</x:f>
        <x:v>10</x:v>
      </x:c>
      <x:c r="D6" s="38" t="n">
        <x:f>'Inputs'!$B$14*(1+'Inputs'!$B$15*(A6-1))*C6*'Inputs'!$B$32</x:f>
        <x:v>3135</x:v>
      </x:c>
      <x:c r="E6" s="38" t="n">
        <x:f>'Inputs'!$B$16*(1+'Inputs'!$B$17*(A6-1))*C6*'Inputs'!$B$32</x:f>
        <x:v>808.0000000000001</x:v>
      </x:c>
      <x:c r="F6" s="34" t="n">
        <x:v>0.15</x:v>
      </x:c>
      <x:c r="G6" s="38" t="n">
        <x:f>IF(A6&gt;='Inputs'!$B$6,0,IF(A6=1,'Inputs'!$B$11,ROUNDUP(E6*(1+IF(A6&gt;=3,'Inputs'!$B$27+'Inputs'!$B$29/7,0))*F6/10,0)*10))</x:f>
        <x:v>130</x:v>
      </x:c>
      <x:c r="H6" s="38" t="n">
        <x:f>H5+G5</x:f>
        <x:v>80</x:v>
      </x:c>
      <x:c r="I6" s="38" t="n">
        <x:f>IF(A6=1,0,IF(A6=2,'Inputs'!$B$12,ROUND(D6*'Inputs'!$B$51/5,0)*5))</x:f>
        <x:v>500</x:v>
      </x:c>
      <x:c r="J6" s="38" t="n">
        <x:f>IF(A6=1,0,IF(A6=2,'Inputs'!$B$13,IF(MOD(A6,5)=0,3,IF(MOD(A6,2)=0,1,0))))</x:f>
        <x:v>1</x:v>
      </x:c>
      <x:c r="K6" s="28" t="n">
        <x:f>COUNTIFS('Coin Fish'!$D$5:$D$76,A6,'Coin Fish'!$E$5:$E$76,"Launch")</x:f>
        <x:v>1</x:v>
      </x:c>
      <x:c r="L6" s="28" t="n">
        <x:f>COUNTIFS('Decor Catalog'!$G$5:$G$124,A6,'Decor Catalog'!$T$5:$T$124,"Launch")</x:f>
        <x:v>2</x:v>
      </x:c>
      <x:c r="M6" s="28" t="str">
        <x:v>Zebra Danio; free Bubble Eye companion; 1 Pearl; 500 Coins</x:v>
      </x:c>
      <x:c r="N6" s="28" t="str">
        <x:v>No banked account XP beyond L40. Lifetime statistics may continue.</x:v>
      </x:c>
    </x:row>
    <x:row r="7" ht="58" customHeight="1">
      <x:c r="A7" s="28" t="n">
        <x:v>3</x:v>
      </x:c>
      <x:c r="B7" s="28" t="str">
        <x:f>IF(A7&lt;='Inputs'!$B$5,"Launch","HOLD / unvalidated")</x:f>
        <x:v>Launch</x:v>
      </x:c>
      <x:c r="C7" s="28" t="n">
        <x:f>SUMIF('Tanks'!$C$5:$C$19,"&lt;="&amp;A7,'Tanks'!$D$5:$D$19)</x:f>
        <x:v>15</x:v>
      </x:c>
      <x:c r="D7" s="38" t="n">
        <x:f>'Inputs'!$B$14*(1+'Inputs'!$B$15*(A7-1))*C7*'Inputs'!$B$32</x:f>
        <x:v>4905.000000000001</x:v>
      </x:c>
      <x:c r="E7" s="38" t="n">
        <x:f>'Inputs'!$B$16*(1+'Inputs'!$B$17*(A7-1))*C7*'Inputs'!$B$32</x:f>
        <x:v>1224</x:v>
      </x:c>
      <x:c r="F7" s="34" t="n">
        <x:v>0.2</x:v>
      </x:c>
      <x:c r="G7" s="38" t="n">
        <x:f>IF(A7&gt;='Inputs'!$B$6,0,IF(A7=1,'Inputs'!$B$11,ROUNDUP(E7*(1+IF(A7&gt;=3,'Inputs'!$B$27+'Inputs'!$B$29/7,0))*F7/10,0)*10))</x:f>
        <x:v>300</x:v>
      </x:c>
      <x:c r="H7" s="38" t="n">
        <x:f>H6+G6</x:f>
        <x:v>210</x:v>
      </x:c>
      <x:c r="I7" s="38" t="n">
        <x:f>IF(A7=1,0,IF(A7=2,'Inputs'!$B$12,ROUND(D7*'Inputs'!$B$51/5,0)*5))</x:f>
        <x:v>75</x:v>
      </x:c>
      <x:c r="J7" s="38" t="n">
        <x:f>IF(A7=1,0,IF(A7=2,'Inputs'!$B$13,IF(MOD(A7,5)=0,3,IF(MOD(A7,2)=0,1,0))))</x:f>
        <x:v>0</x:v>
      </x:c>
      <x:c r="K7" s="28" t="n">
        <x:f>COUNTIFS('Coin Fish'!$D$5:$D$76,A7,'Coin Fish'!$E$5:$E$76,"Launch")</x:f>
        <x:v>1</x:v>
      </x:c>
      <x:c r="L7" s="28" t="n">
        <x:f>COUNTIFS('Decor Catalog'!$G$5:$G$124,A7,'Decor Catalog'!$T$5:$T$124,"Launch")</x:f>
        <x:v>2</x:v>
      </x:c>
      <x:c r="M7" s="28" t="str">
        <x:v>Cherry Barb; first capacity upgrade; choice-based quest board</x:v>
      </x:c>
      <x:c r="N7" s="28" t="str">
        <x:v>No banked account XP beyond L40. Lifetime statistics may continue.</x:v>
      </x:c>
    </x:row>
    <x:row r="8" ht="58" customHeight="1">
      <x:c r="A8" s="28" t="n">
        <x:v>4</x:v>
      </x:c>
      <x:c r="B8" s="28" t="str">
        <x:f>IF(A8&lt;='Inputs'!$B$5,"Launch","HOLD / unvalidated")</x:f>
        <x:v>Launch</x:v>
      </x:c>
      <x:c r="C8" s="28" t="n">
        <x:f>SUMIF('Tanks'!$C$5:$C$19,"&lt;="&amp;A8,'Tanks'!$D$5:$D$19)</x:f>
        <x:v>15</x:v>
      </x:c>
      <x:c r="D8" s="38" t="n">
        <x:f>'Inputs'!$B$14*(1+'Inputs'!$B$15*(A8-1))*C8*'Inputs'!$B$32</x:f>
        <x:v>5107.5</x:v>
      </x:c>
      <x:c r="E8" s="38" t="n">
        <x:f>'Inputs'!$B$16*(1+'Inputs'!$B$17*(A8-1))*C8*'Inputs'!$B$32</x:f>
        <x:v>1236</x:v>
      </x:c>
      <x:c r="F8" s="34" t="n">
        <x:v>0.35</x:v>
      </x:c>
      <x:c r="G8" s="38" t="n">
        <x:f>IF(A8&gt;='Inputs'!$B$6,0,IF(A8=1,'Inputs'!$B$11,ROUNDUP(E8*(1+IF(A8&gt;=3,'Inputs'!$B$27+'Inputs'!$B$29/7,0))*F8/10,0)*10))</x:f>
        <x:v>530</x:v>
      </x:c>
      <x:c r="H8" s="38" t="n">
        <x:f>H7+G7</x:f>
        <x:v>510</x:v>
      </x:c>
      <x:c r="I8" s="38" t="n">
        <x:f>IF(A8=1,0,IF(A8=2,'Inputs'!$B$12,ROUND(D8*'Inputs'!$B$51/5,0)*5))</x:f>
        <x:v>75</x:v>
      </x:c>
      <x:c r="J8" s="38" t="n">
        <x:f>IF(A8=1,0,IF(A8=2,'Inputs'!$B$13,IF(MOD(A8,5)=0,3,IF(MOD(A8,2)=0,1,0))))</x:f>
        <x:v>1</x:v>
      </x:c>
      <x:c r="K8" s="28" t="n">
        <x:f>COUNTIFS('Coin Fish'!$D$5:$D$76,A8,'Coin Fish'!$E$5:$E$76,"Launch")</x:f>
        <x:v>1</x:v>
      </x:c>
      <x:c r="L8" s="28" t="n">
        <x:f>COUNTIFS('Decor Catalog'!$G$5:$G$124,A8,'Decor Catalog'!$T$5:$T$124,"Launch")</x:f>
        <x:v>4</x:v>
      </x:c>
      <x:c r="M8" s="28" t="str">
        <x:v>Ember Tetra; favorite / protect fish controls</x:v>
      </x:c>
      <x:c r="N8" s="28" t="str">
        <x:v>No banked account XP beyond L40. Lifetime statistics may continue.</x:v>
      </x:c>
    </x:row>
    <x:row r="9" ht="58" customHeight="1">
      <x:c r="A9" s="28" t="n">
        <x:v>5</x:v>
      </x:c>
      <x:c r="B9" s="28" t="str">
        <x:f>IF(A9&lt;='Inputs'!$B$5,"Launch","HOLD / unvalidated")</x:f>
        <x:v>Launch</x:v>
      </x:c>
      <x:c r="C9" s="28" t="n">
        <x:f>SUMIF('Tanks'!$C$5:$C$19,"&lt;="&amp;A9,'Tanks'!$D$5:$D$19)</x:f>
        <x:v>15</x:v>
      </x:c>
      <x:c r="D9" s="38" t="n">
        <x:f>'Inputs'!$B$14*(1+'Inputs'!$B$15*(A9-1))*C9*'Inputs'!$B$32</x:f>
        <x:v>5309.999999999999</x:v>
      </x:c>
      <x:c r="E9" s="38" t="n">
        <x:f>'Inputs'!$B$16*(1+'Inputs'!$B$17*(A9-1))*C9*'Inputs'!$B$32</x:f>
        <x:v>1248.0000000000002</x:v>
      </x:c>
      <x:c r="F9" s="34" t="n">
        <x:v>0.55</x:v>
      </x:c>
      <x:c r="G9" s="38" t="n">
        <x:f>IF(A9&gt;='Inputs'!$B$6,0,IF(A9=1,'Inputs'!$B$11,ROUNDUP(E9*(1+IF(A9&gt;=3,'Inputs'!$B$27+'Inputs'!$B$29/7,0))*F9/10,0)*10))</x:f>
        <x:v>830</x:v>
      </x:c>
      <x:c r="H9" s="38" t="n">
        <x:f>H8+G8</x:f>
        <x:v>1040</x:v>
      </x:c>
      <x:c r="I9" s="38" t="n">
        <x:f>IF(A9=1,0,IF(A9=2,'Inputs'!$B$12,ROUND(D9*'Inputs'!$B$51/5,0)*5))</x:f>
        <x:v>80</x:v>
      </x:c>
      <x:c r="J9" s="38" t="n">
        <x:f>IF(A9=1,0,IF(A9=2,'Inputs'!$B$13,IF(MOD(A9,5)=0,3,IF(MOD(A9,2)=0,1,0))))</x:f>
        <x:v>3</x:v>
      </x:c>
      <x:c r="K9" s="28" t="n">
        <x:f>COUNTIFS('Coin Fish'!$D$5:$D$76,A9,'Coin Fish'!$E$5:$E$76,"Launch")</x:f>
        <x:v>1</x:v>
      </x:c>
      <x:c r="L9" s="28" t="n">
        <x:f>COUNTIFS('Decor Catalog'!$G$5:$G$124,A9,'Decor Catalog'!$T$5:$T$124,"Launch")</x:f>
        <x:v>2</x:v>
      </x:c>
      <x:c r="M9" s="28" t="str">
        <x:v>White Cloud Minnow; solo-friendly gifts; companion shop</x:v>
      </x:c>
      <x:c r="N9" s="28" t="str">
        <x:v>No banked account XP beyond L40. Lifetime statistics may continue.</x:v>
      </x:c>
    </x:row>
    <x:row r="10" ht="58" customHeight="1">
      <x:c r="A10" s="28" t="n">
        <x:v>6</x:v>
      </x:c>
      <x:c r="B10" s="28" t="str">
        <x:f>IF(A10&lt;='Inputs'!$B$5,"Launch","HOLD / unvalidated")</x:f>
        <x:v>Launch</x:v>
      </x:c>
      <x:c r="C10" s="28" t="n">
        <x:f>SUMIF('Tanks'!$C$5:$C$19,"&lt;="&amp;A10,'Tanks'!$D$5:$D$19)</x:f>
        <x:v>15</x:v>
      </x:c>
      <x:c r="D10" s="38" t="n">
        <x:f>'Inputs'!$B$14*(1+'Inputs'!$B$15*(A10-1))*C10*'Inputs'!$B$32</x:f>
        <x:v>5512.500000000001</x:v>
      </x:c>
      <x:c r="E10" s="38" t="n">
        <x:f>'Inputs'!$B$16*(1+'Inputs'!$B$17*(A10-1))*C10*'Inputs'!$B$32</x:f>
        <x:v>1260.0000000000002</x:v>
      </x:c>
      <x:c r="F10" s="34" t="n">
        <x:v>0.7</x:v>
      </x:c>
      <x:c r="G10" s="38" t="n">
        <x:f>IF(A10&gt;='Inputs'!$B$6,0,IF(A10=1,'Inputs'!$B$11,ROUNDUP(E10*(1+IF(A10&gt;=3,'Inputs'!$B$27+'Inputs'!$B$29/7,0))*F10/10,0)*10))</x:f>
        <x:v>1070</x:v>
      </x:c>
      <x:c r="H10" s="38" t="n">
        <x:f>H9+G9</x:f>
        <x:v>1870</x:v>
      </x:c>
      <x:c r="I10" s="38" t="n">
        <x:f>IF(A10=1,0,IF(A10=2,'Inputs'!$B$12,ROUND(D10*'Inputs'!$B$51/5,0)*5))</x:f>
        <x:v>85</x:v>
      </x:c>
      <x:c r="J10" s="38" t="n">
        <x:f>IF(A10=1,0,IF(A10=2,'Inputs'!$B$13,IF(MOD(A10,5)=0,3,IF(MOD(A10,2)=0,1,0))))</x:f>
        <x:v>1</x:v>
      </x:c>
      <x:c r="K10" s="28" t="n">
        <x:f>COUNTIFS('Coin Fish'!$D$5:$D$76,A10,'Coin Fish'!$E$5:$E$76,"Launch")</x:f>
        <x:v>1</x:v>
      </x:c>
      <x:c r="L10" s="28" t="n">
        <x:f>COUNTIFS('Decor Catalog'!$G$5:$G$124,A10,'Decor Catalog'!$T$5:$T$124,"Launch")</x:f>
        <x:v>2</x:v>
      </x:c>
      <x:c r="M10" s="28" t="str">
        <x:v>Harlequin Rasbora; saved aquarium photo</x:v>
      </x:c>
      <x:c r="N10" s="28" t="str">
        <x:v>No banked account XP beyond L40. Lifetime statistics may continue.</x:v>
      </x:c>
    </x:row>
    <x:row r="11" ht="58" customHeight="1">
      <x:c r="A11" s="28" t="n">
        <x:v>7</x:v>
      </x:c>
      <x:c r="B11" s="28" t="str">
        <x:f>IF(A11&lt;='Inputs'!$B$5,"Launch","HOLD / unvalidated")</x:f>
        <x:v>Launch</x:v>
      </x:c>
      <x:c r="C11" s="28" t="n">
        <x:f>SUMIF('Tanks'!$C$5:$C$19,"&lt;="&amp;A11,'Tanks'!$D$5:$D$19)</x:f>
        <x:v>25</x:v>
      </x:c>
      <x:c r="D11" s="38" t="n">
        <x:f>'Inputs'!$B$14*(1+'Inputs'!$B$15*(A11-1))*C11*'Inputs'!$B$32</x:f>
        <x:v>9525</x:v>
      </x:c>
      <x:c r="E11" s="38" t="n">
        <x:f>'Inputs'!$B$16*(1+'Inputs'!$B$17*(A11-1))*C11*'Inputs'!$B$32</x:f>
        <x:v>2120</x:v>
      </x:c>
      <x:c r="F11" s="34" t="n">
        <x:v>0.8</x:v>
      </x:c>
      <x:c r="G11" s="38" t="n">
        <x:f>IF(A11&gt;='Inputs'!$B$6,0,IF(A11=1,'Inputs'!$B$11,ROUNDUP(E11*(1+IF(A11&gt;=3,'Inputs'!$B$27+'Inputs'!$B$29/7,0))*F11/10,0)*10))</x:f>
        <x:v>2050</x:v>
      </x:c>
      <x:c r="H11" s="38" t="n">
        <x:f>H10+G10</x:f>
        <x:v>2940</x:v>
      </x:c>
      <x:c r="I11" s="38" t="n">
        <x:f>IF(A11=1,0,IF(A11=2,'Inputs'!$B$12,ROUND(D11*'Inputs'!$B$51/5,0)*5))</x:f>
        <x:v>145</x:v>
      </x:c>
      <x:c r="J11" s="38" t="n">
        <x:f>IF(A11=1,0,IF(A11=2,'Inputs'!$B$13,IF(MOD(A11,5)=0,3,IF(MOD(A11,2)=0,1,0))))</x:f>
        <x:v>0</x:v>
      </x:c>
      <x:c r="K11" s="28" t="n">
        <x:f>COUNTIFS('Coin Fish'!$D$5:$D$76,A11,'Coin Fish'!$E$5:$E$76,"Launch")</x:f>
        <x:v>0</x:v>
      </x:c>
      <x:c r="L11" s="28" t="n">
        <x:f>COUNTIFS('Decor Catalog'!$G$5:$G$124,A11,'Decor Catalog'!$T$5:$T$124,"Launch")</x:f>
        <x:v>3</x:v>
      </x:c>
      <x:c r="M11" s="28" t="str">
        <x:v>Second tank; copy layout; nursery batch controls</x:v>
      </x:c>
      <x:c r="N11" s="28" t="str">
        <x:v>No banked account XP beyond L40. Lifetime statistics may continue.</x:v>
      </x:c>
    </x:row>
    <x:row r="12" ht="58" customHeight="1">
      <x:c r="A12" s="28" t="n">
        <x:v>8</x:v>
      </x:c>
      <x:c r="B12" s="28" t="str">
        <x:f>IF(A12&lt;='Inputs'!$B$5,"Launch","HOLD / unvalidated")</x:f>
        <x:v>Launch</x:v>
      </x:c>
      <x:c r="C12" s="28" t="n">
        <x:f>SUMIF('Tanks'!$C$5:$C$19,"&lt;="&amp;A12,'Tanks'!$D$5:$D$19)</x:f>
        <x:v>25</x:v>
      </x:c>
      <x:c r="D12" s="38" t="n">
        <x:f>'Inputs'!$B$14*(1+'Inputs'!$B$15*(A12-1))*C12*'Inputs'!$B$32</x:f>
        <x:v>9862.5</x:v>
      </x:c>
      <x:c r="E12" s="38" t="n">
        <x:f>'Inputs'!$B$16*(1+'Inputs'!$B$17*(A12-1))*C12*'Inputs'!$B$32</x:f>
        <x:v>2140</x:v>
      </x:c>
      <x:c r="F12" s="34" t="n">
        <x:v>1</x:v>
      </x:c>
      <x:c r="G12" s="38" t="n">
        <x:f>IF(A12&gt;='Inputs'!$B$6,0,IF(A12=1,'Inputs'!$B$11,ROUNDUP(E12*(1+IF(A12&gt;=3,'Inputs'!$B$27+'Inputs'!$B$29/7,0))*F12/10,0)*10))</x:f>
        <x:v>2590</x:v>
      </x:c>
      <x:c r="H12" s="38" t="n">
        <x:f>H11+G11</x:f>
        <x:v>4990</x:v>
      </x:c>
      <x:c r="I12" s="38" t="n">
        <x:f>IF(A12=1,0,IF(A12=2,'Inputs'!$B$12,ROUND(D12*'Inputs'!$B$51/5,0)*5))</x:f>
        <x:v>150</x:v>
      </x:c>
      <x:c r="J12" s="38" t="n">
        <x:f>IF(A12=1,0,IF(A12=2,'Inputs'!$B$13,IF(MOD(A12,5)=0,3,IF(MOD(A12,2)=0,1,0))))</x:f>
        <x:v>1</x:v>
      </x:c>
      <x:c r="K12" s="28" t="n">
        <x:f>COUNTIFS('Coin Fish'!$D$5:$D$76,A12,'Coin Fish'!$E$5:$E$76,"Launch")</x:f>
        <x:v>1</x:v>
      </x:c>
      <x:c r="L12" s="28" t="n">
        <x:f>COUNTIFS('Decor Catalog'!$G$5:$G$124,A12,'Decor Catalog'!$T$5:$T$124,"Launch")</x:f>
        <x:v>3</x:v>
      </x:c>
      <x:c r="M12" s="28" t="str">
        <x:v>Green Chromis; first free event invitation</x:v>
      </x:c>
      <x:c r="N12" s="28" t="str">
        <x:v>No banked account XP beyond L40. Lifetime statistics may continue.</x:v>
      </x:c>
    </x:row>
    <x:row r="13" ht="58" customHeight="1">
      <x:c r="A13" s="28" t="n">
        <x:v>9</x:v>
      </x:c>
      <x:c r="B13" s="28" t="str">
        <x:f>IF(A13&lt;='Inputs'!$B$5,"Launch","HOLD / unvalidated")</x:f>
        <x:v>Launch</x:v>
      </x:c>
      <x:c r="C13" s="28" t="n">
        <x:f>SUMIF('Tanks'!$C$5:$C$19,"&lt;="&amp;A13,'Tanks'!$D$5:$D$19)</x:f>
        <x:v>30</x:v>
      </x:c>
      <x:c r="D13" s="38" t="n">
        <x:f>'Inputs'!$B$14*(1+'Inputs'!$B$15*(A13-1))*C13*'Inputs'!$B$32</x:f>
        <x:v>12239.999999999998</x:v>
      </x:c>
      <x:c r="E13" s="38" t="n">
        <x:f>'Inputs'!$B$16*(1+'Inputs'!$B$17*(A13-1))*C13*'Inputs'!$B$32</x:f>
        <x:v>2592</x:v>
      </x:c>
      <x:c r="F13" s="34" t="n">
        <x:v>1.25</x:v>
      </x:c>
      <x:c r="G13" s="38" t="n">
        <x:f>IF(A13&gt;='Inputs'!$B$6,0,IF(A13=1,'Inputs'!$B$11,ROUNDUP(E13*(1+IF(A13&gt;=3,'Inputs'!$B$27+'Inputs'!$B$29/7,0))*F13/10,0)*10))</x:f>
        <x:v>3910</x:v>
      </x:c>
      <x:c r="H13" s="38" t="n">
        <x:f>H12+G12</x:f>
        <x:v>7580</x:v>
      </x:c>
      <x:c r="I13" s="38" t="n">
        <x:f>IF(A13=1,0,IF(A13=2,'Inputs'!$B$12,ROUND(D13*'Inputs'!$B$51/5,0)*5))</x:f>
        <x:v>185</x:v>
      </x:c>
      <x:c r="J13" s="38" t="n">
        <x:f>IF(A13=1,0,IF(A13=2,'Inputs'!$B$13,IF(MOD(A13,5)=0,3,IF(MOD(A13,2)=0,1,0))))</x:f>
        <x:v>0</x:v>
      </x:c>
      <x:c r="K13" s="28" t="n">
        <x:f>COUNTIFS('Coin Fish'!$D$5:$D$76,A13,'Coin Fish'!$E$5:$E$76,"Launch")</x:f>
        <x:v>1</x:v>
      </x:c>
      <x:c r="L13" s="28" t="n">
        <x:f>COUNTIFS('Decor Catalog'!$G$5:$G$124,A13,'Decor Catalog'!$T$5:$T$124,"Launch")</x:f>
        <x:v>2</x:v>
      </x:c>
      <x:c r="M13" s="28" t="str">
        <x:v>Royal Gramma; Tank 1 reaches 20 productive slots</x:v>
      </x:c>
      <x:c r="N13" s="28" t="str">
        <x:v>No banked account XP beyond L40. Lifetime statistics may continue.</x:v>
      </x:c>
    </x:row>
    <x:row r="14" ht="58" customHeight="1">
      <x:c r="A14" s="28" t="n">
        <x:v>10</x:v>
      </x:c>
      <x:c r="B14" s="28" t="str">
        <x:f>IF(A14&lt;='Inputs'!$B$5,"Launch","HOLD / unvalidated")</x:f>
        <x:v>Launch</x:v>
      </x:c>
      <x:c r="C14" s="28" t="n">
        <x:f>SUMIF('Tanks'!$C$5:$C$19,"&lt;="&amp;A14,'Tanks'!$D$5:$D$19)</x:f>
        <x:v>30</x:v>
      </x:c>
      <x:c r="D14" s="38" t="n">
        <x:f>'Inputs'!$B$14*(1+'Inputs'!$B$15*(A14-1))*C14*'Inputs'!$B$32</x:f>
        <x:v>12645</x:v>
      </x:c>
      <x:c r="E14" s="38" t="n">
        <x:f>'Inputs'!$B$16*(1+'Inputs'!$B$17*(A14-1))*C14*'Inputs'!$B$32</x:f>
        <x:v>2616.0000000000005</x:v>
      </x:c>
      <x:c r="F14" s="34" t="n">
        <x:v>1.2</x:v>
      </x:c>
      <x:c r="G14" s="38" t="n">
        <x:f>IF(A14&gt;='Inputs'!$B$6,0,IF(A14=1,'Inputs'!$B$11,ROUNDUP(E14*(1+IF(A14&gt;=3,'Inputs'!$B$27+'Inputs'!$B$29/7,0))*F14/10,0)*10))</x:f>
        <x:v>3790</x:v>
      </x:c>
      <x:c r="H14" s="38" t="n">
        <x:f>H13+G13</x:f>
        <x:v>11490</x:v>
      </x:c>
      <x:c r="I14" s="38" t="n">
        <x:f>IF(A14=1,0,IF(A14=2,'Inputs'!$B$12,ROUND(D14*'Inputs'!$B$51/5,0)*5))</x:f>
        <x:v>190</x:v>
      </x:c>
      <x:c r="J14" s="38" t="n">
        <x:f>IF(A14=1,0,IF(A14=2,'Inputs'!$B$13,IF(MOD(A14,5)=0,3,IF(MOD(A14,2)=0,1,0))))</x:f>
        <x:v>3</x:v>
      </x:c>
      <x:c r="K14" s="28" t="n">
        <x:f>COUNTIFS('Coin Fish'!$D$5:$D$76,A14,'Coin Fish'!$E$5:$E$76,"Launch")</x:f>
        <x:v>1</x:v>
      </x:c>
      <x:c r="L14" s="28" t="n">
        <x:f>COUNTIFS('Decor Catalog'!$G$5:$G$124,A14,'Decor Catalog'!$T$5:$T$124,"Launch")</x:f>
        <x:v>3</x:v>
      </x:c>
      <x:c r="M14" s="28" t="str">
        <x:v>Dwarf Gourami; Coral Cove project; gallery introduction</x:v>
      </x:c>
      <x:c r="N14" s="28" t="str">
        <x:v>No banked account XP beyond L40. Lifetime statistics may continue.</x:v>
      </x:c>
    </x:row>
    <x:row r="15" ht="58" customHeight="1">
      <x:c r="A15" s="28" t="n">
        <x:v>11</x:v>
      </x:c>
      <x:c r="B15" s="28" t="str">
        <x:f>IF(A15&lt;='Inputs'!$B$5,"Launch","HOLD / unvalidated")</x:f>
        <x:v>Launch</x:v>
      </x:c>
      <x:c r="C15" s="28" t="n">
        <x:f>SUMIF('Tanks'!$C$5:$C$19,"&lt;="&amp;A15,'Tanks'!$D$5:$D$19)</x:f>
        <x:v>30</x:v>
      </x:c>
      <x:c r="D15" s="38" t="n">
        <x:f>'Inputs'!$B$14*(1+'Inputs'!$B$15*(A15-1))*C15*'Inputs'!$B$32</x:f>
        <x:v>13050</x:v>
      </x:c>
      <x:c r="E15" s="38" t="n">
        <x:f>'Inputs'!$B$16*(1+'Inputs'!$B$17*(A15-1))*C15*'Inputs'!$B$32</x:f>
        <x:v>2640.0000000000005</x:v>
      </x:c>
      <x:c r="F15" s="34" t="n">
        <x:v>1.3599999999999999</x:v>
      </x:c>
      <x:c r="G15" s="38" t="n">
        <x:f>IF(A15&gt;='Inputs'!$B$6,0,IF(A15=1,'Inputs'!$B$11,ROUNDUP(E15*(1+IF(A15&gt;=3,'Inputs'!$B$27+'Inputs'!$B$29/7,0))*F15/10,0)*10))</x:f>
        <x:v>4330</x:v>
      </x:c>
      <x:c r="H15" s="38" t="n">
        <x:f>H14+G14</x:f>
        <x:v>15280</x:v>
      </x:c>
      <x:c r="I15" s="38" t="n">
        <x:f>IF(A15=1,0,IF(A15=2,'Inputs'!$B$12,ROUND(D15*'Inputs'!$B$51/5,0)*5))</x:f>
        <x:v>195</x:v>
      </x:c>
      <x:c r="J15" s="38" t="n">
        <x:f>IF(A15=1,0,IF(A15=2,'Inputs'!$B$13,IF(MOD(A15,5)=0,3,IF(MOD(A15,2)=0,1,0))))</x:f>
        <x:v>0</x:v>
      </x:c>
      <x:c r="K15" s="28" t="n">
        <x:f>COUNTIFS('Coin Fish'!$D$5:$D$76,A15,'Coin Fish'!$E$5:$E$76,"Launch")</x:f>
        <x:v>1</x:v>
      </x:c>
      <x:c r="L15" s="28" t="n">
        <x:f>COUNTIFS('Decor Catalog'!$G$5:$G$124,A15,'Decor Catalog'!$T$5:$T$124,"Launch")</x:f>
        <x:v>1</x:v>
      </x:c>
      <x:c r="M15" s="28" t="str">
        <x:v>Pajama Cardinalfish; coin-versus-XP role comparison</x:v>
      </x:c>
      <x:c r="N15" s="28" t="str">
        <x:v>No banked account XP beyond L40. Lifetime statistics may continue.</x:v>
      </x:c>
    </x:row>
    <x:row r="16" ht="58" customHeight="1">
      <x:c r="A16" s="28" t="n">
        <x:v>12</x:v>
      </x:c>
      <x:c r="B16" s="28" t="str">
        <x:f>IF(A16&lt;='Inputs'!$B$5,"Launch","HOLD / unvalidated")</x:f>
        <x:v>Launch</x:v>
      </x:c>
      <x:c r="C16" s="28" t="n">
        <x:f>SUMIF('Tanks'!$C$5:$C$19,"&lt;="&amp;A16,'Tanks'!$D$5:$D$19)</x:f>
        <x:v>35</x:v>
      </x:c>
      <x:c r="D16" s="38" t="n">
        <x:f>'Inputs'!$B$14*(1+'Inputs'!$B$15*(A16-1))*C16*'Inputs'!$B$32</x:f>
        <x:v>15697.5</x:v>
      </x:c>
      <x:c r="E16" s="38" t="n">
        <x:f>'Inputs'!$B$16*(1+'Inputs'!$B$17*(A16-1))*C16*'Inputs'!$B$32</x:f>
        <x:v>3108</x:v>
      </x:c>
      <x:c r="F16" s="34" t="n">
        <x:v>1.52</x:v>
      </x:c>
      <x:c r="G16" s="38" t="n">
        <x:f>IF(A16&gt;='Inputs'!$B$6,0,IF(A16=1,'Inputs'!$B$11,ROUNDUP(E16*(1+IF(A16&gt;=3,'Inputs'!$B$27+'Inputs'!$B$29/7,0))*F16/10,0)*10))</x:f>
        <x:v>5700</x:v>
      </x:c>
      <x:c r="H16" s="38" t="n">
        <x:f>H15+G15</x:f>
        <x:v>19610</x:v>
      </x:c>
      <x:c r="I16" s="38" t="n">
        <x:f>IF(A16=1,0,IF(A16=2,'Inputs'!$B$12,ROUND(D16*'Inputs'!$B$51/5,0)*5))</x:f>
        <x:v>235</x:v>
      </x:c>
      <x:c r="J16" s="38" t="n">
        <x:f>IF(A16=1,0,IF(A16=2,'Inputs'!$B$13,IF(MOD(A16,5)=0,3,IF(MOD(A16,2)=0,1,0))))</x:f>
        <x:v>1</x:v>
      </x:c>
      <x:c r="K16" s="28" t="n">
        <x:f>COUNTIFS('Coin Fish'!$D$5:$D$76,A16,'Coin Fish'!$E$5:$E$76,"Launch")</x:f>
        <x:v>1</x:v>
      </x:c>
      <x:c r="L16" s="28" t="n">
        <x:f>COUNTIFS('Decor Catalog'!$G$5:$G$124,A16,'Decor Catalog'!$T$5:$T$124,"Launch")</x:f>
        <x:v>2</x:v>
      </x:c>
      <x:c r="M16" s="28" t="str">
        <x:v>Pearl Gourami; second-tank upgrade; daily schedule comparison</x:v>
      </x:c>
      <x:c r="N16" s="28" t="str">
        <x:v>No banked account XP beyond L40. Lifetime statistics may continue.</x:v>
      </x:c>
    </x:row>
    <x:row r="17" ht="58" customHeight="1">
      <x:c r="A17" s="28" t="n">
        <x:v>13</x:v>
      </x:c>
      <x:c r="B17" s="28" t="str">
        <x:f>IF(A17&lt;='Inputs'!$B$5,"Launch","HOLD / unvalidated")</x:f>
        <x:v>Launch</x:v>
      </x:c>
      <x:c r="C17" s="28" t="n">
        <x:f>SUMIF('Tanks'!$C$5:$C$19,"&lt;="&amp;A17,'Tanks'!$D$5:$D$19)</x:f>
        <x:v>35</x:v>
      </x:c>
      <x:c r="D17" s="38" t="n">
        <x:f>'Inputs'!$B$14*(1+'Inputs'!$B$15*(A17-1))*C17*'Inputs'!$B$32</x:f>
        <x:v>16170</x:v>
      </x:c>
      <x:c r="E17" s="38" t="n">
        <x:f>'Inputs'!$B$16*(1+'Inputs'!$B$17*(A17-1))*C17*'Inputs'!$B$32</x:f>
        <x:v>3136.0000000000005</x:v>
      </x:c>
      <x:c r="F17" s="34" t="n">
        <x:v>1.68</x:v>
      </x:c>
      <x:c r="G17" s="38" t="n">
        <x:f>IF(A17&gt;='Inputs'!$B$6,0,IF(A17=1,'Inputs'!$B$11,ROUNDUP(E17*(1+IF(A17&gt;=3,'Inputs'!$B$27+'Inputs'!$B$29/7,0))*F17/10,0)*10))</x:f>
        <x:v>6360</x:v>
      </x:c>
      <x:c r="H17" s="38" t="n">
        <x:f>H16+G16</x:f>
        <x:v>25310</x:v>
      </x:c>
      <x:c r="I17" s="38" t="n">
        <x:f>IF(A17=1,0,IF(A17=2,'Inputs'!$B$12,ROUND(D17*'Inputs'!$B$51/5,0)*5))</x:f>
        <x:v>245</x:v>
      </x:c>
      <x:c r="J17" s="38" t="n">
        <x:f>IF(A17=1,0,IF(A17=2,'Inputs'!$B$13,IF(MOD(A17,5)=0,3,IF(MOD(A17,2)=0,1,0))))</x:f>
        <x:v>0</x:v>
      </x:c>
      <x:c r="K17" s="28" t="n">
        <x:f>COUNTIFS('Coin Fish'!$D$5:$D$76,A17,'Coin Fish'!$E$5:$E$76,"Launch")</x:f>
        <x:v>1</x:v>
      </x:c>
      <x:c r="L17" s="28" t="n">
        <x:f>COUNTIFS('Decor Catalog'!$G$5:$G$124,A17,'Decor Catalog'!$T$5:$T$124,"Launch")</x:f>
        <x:v>2</x:v>
      </x:c>
      <x:c r="M17" s="28" t="str">
        <x:v>Corydoras Catfish; photo composition prompt</x:v>
      </x:c>
      <x:c r="N17" s="28" t="str">
        <x:v>No banked account XP beyond L40. Lifetime statistics may continue.</x:v>
      </x:c>
    </x:row>
    <x:row r="18" ht="58" customHeight="1">
      <x:c r="A18" s="28" t="n">
        <x:v>14</x:v>
      </x:c>
      <x:c r="B18" s="28" t="str">
        <x:f>IF(A18&lt;='Inputs'!$B$5,"Launch","HOLD / unvalidated")</x:f>
        <x:v>Launch</x:v>
      </x:c>
      <x:c r="C18" s="28" t="n">
        <x:f>SUMIF('Tanks'!$C$5:$C$19,"&lt;="&amp;A18,'Tanks'!$D$5:$D$19)</x:f>
        <x:v>35</x:v>
      </x:c>
      <x:c r="D18" s="38" t="n">
        <x:f>'Inputs'!$B$14*(1+'Inputs'!$B$15*(A18-1))*C18*'Inputs'!$B$32</x:f>
        <x:v>16642.5</x:v>
      </x:c>
      <x:c r="E18" s="38" t="n">
        <x:f>'Inputs'!$B$16*(1+'Inputs'!$B$17*(A18-1))*C18*'Inputs'!$B$32</x:f>
        <x:v>3164</x:v>
      </x:c>
      <x:c r="F18" s="34" t="n">
        <x:v>1.8399999999999999</x:v>
      </x:c>
      <x:c r="G18" s="38" t="n">
        <x:f>IF(A18&gt;='Inputs'!$B$6,0,IF(A18=1,'Inputs'!$B$11,ROUNDUP(E18*(1+IF(A18&gt;=3,'Inputs'!$B$27+'Inputs'!$B$29/7,0))*F18/10,0)*10))</x:f>
        <x:v>7020</x:v>
      </x:c>
      <x:c r="H18" s="38" t="n">
        <x:f>H17+G17</x:f>
        <x:v>31670</x:v>
      </x:c>
      <x:c r="I18" s="38" t="n">
        <x:f>IF(A18=1,0,IF(A18=2,'Inputs'!$B$12,ROUND(D18*'Inputs'!$B$51/5,0)*5))</x:f>
        <x:v>250</x:v>
      </x:c>
      <x:c r="J18" s="38" t="n">
        <x:f>IF(A18=1,0,IF(A18=2,'Inputs'!$B$13,IF(MOD(A18,5)=0,3,IF(MOD(A18,2)=0,1,0))))</x:f>
        <x:v>1</x:v>
      </x:c>
      <x:c r="K18" s="28" t="n">
        <x:f>COUNTIFS('Coin Fish'!$D$5:$D$76,A18,'Coin Fish'!$E$5:$E$76,"Launch")</x:f>
        <x:v>1</x:v>
      </x:c>
      <x:c r="L18" s="28" t="n">
        <x:f>COUNTIFS('Decor Catalog'!$G$5:$G$124,A18,'Decor Catalog'!$T$5:$T$124,"Launch")</x:f>
        <x:v>1</x:v>
      </x:c>
      <x:c r="M18" s="28" t="str">
        <x:v>Sixline Wrasse; mastery badge preview</x:v>
      </x:c>
      <x:c r="N18" s="28" t="str">
        <x:v>No banked account XP beyond L40. Lifetime statistics may continue.</x:v>
      </x:c>
    </x:row>
    <x:row r="19" ht="58" customHeight="1">
      <x:c r="A19" s="28" t="n">
        <x:v>15</x:v>
      </x:c>
      <x:c r="B19" s="28" t="str">
        <x:f>IF(A19&lt;='Inputs'!$B$5,"Launch","HOLD / unvalidated")</x:f>
        <x:v>Launch</x:v>
      </x:c>
      <x:c r="C19" s="28" t="n">
        <x:f>SUMIF('Tanks'!$C$5:$C$19,"&lt;="&amp;A19,'Tanks'!$D$5:$D$19)</x:f>
        <x:v>35</x:v>
      </x:c>
      <x:c r="D19" s="38" t="n">
        <x:f>'Inputs'!$B$14*(1+'Inputs'!$B$15*(A19-1))*C19*'Inputs'!$B$32</x:f>
        <x:v>17115</x:v>
      </x:c>
      <x:c r="E19" s="38" t="n">
        <x:f>'Inputs'!$B$16*(1+'Inputs'!$B$17*(A19-1))*C19*'Inputs'!$B$32</x:f>
        <x:v>3192.0000000000005</x:v>
      </x:c>
      <x:c r="F19" s="34" t="n">
        <x:v>2</x:v>
      </x:c>
      <x:c r="G19" s="38" t="n">
        <x:f>IF(A19&gt;='Inputs'!$B$6,0,IF(A19=1,'Inputs'!$B$11,ROUNDUP(E19*(1+IF(A19&gt;=3,'Inputs'!$B$27+'Inputs'!$B$29/7,0))*F19/10,0)*10))</x:f>
        <x:v>7700</x:v>
      </x:c>
      <x:c r="H19" s="38" t="n">
        <x:f>H18+G18</x:f>
        <x:v>38690</x:v>
      </x:c>
      <x:c r="I19" s="38" t="n">
        <x:f>IF(A19=1,0,IF(A19=2,'Inputs'!$B$12,ROUND(D19*'Inputs'!$B$51/5,0)*5))</x:f>
        <x:v>255</x:v>
      </x:c>
      <x:c r="J19" s="38" t="n">
        <x:f>IF(A19=1,0,IF(A19=2,'Inputs'!$B$13,IF(MOD(A19,5)=0,3,IF(MOD(A19,2)=0,1,0))))</x:f>
        <x:v>3</x:v>
      </x:c>
      <x:c r="K19" s="28" t="n">
        <x:f>COUNTIFS('Coin Fish'!$D$5:$D$76,A19,'Coin Fish'!$E$5:$E$76,"Launch")</x:f>
        <x:v>1</x:v>
      </x:c>
      <x:c r="L19" s="28" t="n">
        <x:f>COUNTIFS('Decor Catalog'!$G$5:$G$124,A19,'Decor Catalog'!$T$5:$T$124,"Launch")</x:f>
        <x:v>2</x:v>
      </x:c>
      <x:c r="M19" s="28" t="str">
        <x:v>Shy Hamlet; Sunken Library project</x:v>
      </x:c>
      <x:c r="N19" s="28" t="str">
        <x:v>No banked account XP beyond L40. Lifetime statistics may continue.</x:v>
      </x:c>
    </x:row>
    <x:row r="20" ht="58" customHeight="1">
      <x:c r="A20" s="28" t="n">
        <x:v>16</x:v>
      </x:c>
      <x:c r="B20" s="28" t="str">
        <x:f>IF(A20&lt;='Inputs'!$B$5,"Launch","HOLD / unvalidated")</x:f>
        <x:v>Launch</x:v>
      </x:c>
      <x:c r="C20" s="28" t="n">
        <x:f>SUMIF('Tanks'!$C$5:$C$19,"&lt;="&amp;A20,'Tanks'!$D$5:$D$19)</x:f>
        <x:v>45</x:v>
      </x:c>
      <x:c r="D20" s="38" t="n">
        <x:f>'Inputs'!$B$14*(1+'Inputs'!$B$15*(A20-1))*C20*'Inputs'!$B$32</x:f>
        <x:v>22612.499999999996</x:v>
      </x:c>
      <x:c r="E20" s="38" t="n">
        <x:f>'Inputs'!$B$16*(1+'Inputs'!$B$17*(A20-1))*C20*'Inputs'!$B$32</x:f>
        <x:v>4140</x:v>
      </x:c>
      <x:c r="F20" s="34" t="n">
        <x:v>2.16</x:v>
      </x:c>
      <x:c r="G20" s="38" t="n">
        <x:f>IF(A20&gt;='Inputs'!$B$6,0,IF(A20=1,'Inputs'!$B$11,ROUNDUP(E20*(1+IF(A20&gt;=3,'Inputs'!$B$27+'Inputs'!$B$29/7,0))*F20/10,0)*10))</x:f>
        <x:v>10790</x:v>
      </x:c>
      <x:c r="H20" s="38" t="n">
        <x:f>H19+G19</x:f>
        <x:v>46390</x:v>
      </x:c>
      <x:c r="I20" s="38" t="n">
        <x:f>IF(A20=1,0,IF(A20=2,'Inputs'!$B$12,ROUND(D20*'Inputs'!$B$51/5,0)*5))</x:f>
        <x:v>340</x:v>
      </x:c>
      <x:c r="J20" s="38" t="n">
        <x:f>IF(A20=1,0,IF(A20=2,'Inputs'!$B$13,IF(MOD(A20,5)=0,3,IF(MOD(A20,2)=0,1,0))))</x:f>
        <x:v>1</x:v>
      </x:c>
      <x:c r="K20" s="28" t="n">
        <x:f>COUNTIFS('Coin Fish'!$D$5:$D$76,A20,'Coin Fish'!$E$5:$E$76,"Launch")</x:f>
        <x:v>1</x:v>
      </x:c>
      <x:c r="L20" s="28" t="n">
        <x:f>COUNTIFS('Decor Catalog'!$G$5:$G$124,A20,'Decor Catalog'!$T$5:$T$124,"Launch")</x:f>
        <x:v>2</x:v>
      </x:c>
      <x:c r="M20" s="28" t="str">
        <x:v>Hawaiian Hogfish; third tank</x:v>
      </x:c>
      <x:c r="N20" s="28" t="str">
        <x:v>No banked account XP beyond L40. Lifetime statistics may continue.</x:v>
      </x:c>
    </x:row>
    <x:row r="21" ht="58" customHeight="1">
      <x:c r="A21" s="28" t="n">
        <x:v>17</x:v>
      </x:c>
      <x:c r="B21" s="28" t="str">
        <x:f>IF(A21&lt;='Inputs'!$B$5,"Launch","HOLD / unvalidated")</x:f>
        <x:v>Launch</x:v>
      </x:c>
      <x:c r="C21" s="28" t="n">
        <x:f>SUMIF('Tanks'!$C$5:$C$19,"&lt;="&amp;A21,'Tanks'!$D$5:$D$19)</x:f>
        <x:v>45</x:v>
      </x:c>
      <x:c r="D21" s="38" t="n">
        <x:f>'Inputs'!$B$14*(1+'Inputs'!$B$15*(A21-1))*C21*'Inputs'!$B$32</x:f>
        <x:v>23220.000000000004</x:v>
      </x:c>
      <x:c r="E21" s="38" t="n">
        <x:f>'Inputs'!$B$16*(1+'Inputs'!$B$17*(A21-1))*C21*'Inputs'!$B$32</x:f>
        <x:v>4175.999999999999</x:v>
      </x:c>
      <x:c r="F21" s="34" t="n">
        <x:v>2.3200000000000003</x:v>
      </x:c>
      <x:c r="G21" s="38" t="n">
        <x:f>IF(A21&gt;='Inputs'!$B$6,0,IF(A21=1,'Inputs'!$B$11,ROUNDUP(E21*(1+IF(A21&gt;=3,'Inputs'!$B$27+'Inputs'!$B$29/7,0))*F21/10,0)*10))</x:f>
        <x:v>11690</x:v>
      </x:c>
      <x:c r="H21" s="38" t="n">
        <x:f>H20+G20</x:f>
        <x:v>57180</x:v>
      </x:c>
      <x:c r="I21" s="38" t="n">
        <x:f>IF(A21=1,0,IF(A21=2,'Inputs'!$B$12,ROUND(D21*'Inputs'!$B$51/5,0)*5))</x:f>
        <x:v>350</x:v>
      </x:c>
      <x:c r="J21" s="38" t="n">
        <x:f>IF(A21=1,0,IF(A21=2,'Inputs'!$B$13,IF(MOD(A21,5)=0,3,IF(MOD(A21,2)=0,1,0))))</x:f>
        <x:v>0</x:v>
      </x:c>
      <x:c r="K21" s="28" t="n">
        <x:f>COUNTIFS('Coin Fish'!$D$5:$D$76,A21,'Coin Fish'!$E$5:$E$76,"Launch")</x:f>
        <x:v>1</x:v>
      </x:c>
      <x:c r="L21" s="28" t="n">
        <x:f>COUNTIFS('Decor Catalog'!$G$5:$G$124,A21,'Decor Catalog'!$T$5:$T$124,"Launch")</x:f>
        <x:v>1</x:v>
      </x:c>
      <x:c r="M21" s="28" t="str">
        <x:v>Scooter Blenny; weekend planning preset</x:v>
      </x:c>
      <x:c r="N21" s="28" t="str">
        <x:v>No banked account XP beyond L40. Lifetime statistics may continue.</x:v>
      </x:c>
    </x:row>
    <x:row r="22" ht="58" customHeight="1">
      <x:c r="A22" s="28" t="n">
        <x:v>18</x:v>
      </x:c>
      <x:c r="B22" s="28" t="str">
        <x:f>IF(A22&lt;='Inputs'!$B$5,"Launch","HOLD / unvalidated")</x:f>
        <x:v>Launch</x:v>
      </x:c>
      <x:c r="C22" s="28" t="n">
        <x:f>SUMIF('Tanks'!$C$5:$C$19,"&lt;="&amp;A22,'Tanks'!$D$5:$D$19)</x:f>
        <x:v>50</x:v>
      </x:c>
      <x:c r="D22" s="38" t="n">
        <x:f>'Inputs'!$B$14*(1+'Inputs'!$B$15*(A22-1))*C22*'Inputs'!$B$32</x:f>
        <x:v>26475.000000000004</x:v>
      </x:c>
      <x:c r="E22" s="38" t="n">
        <x:f>'Inputs'!$B$16*(1+'Inputs'!$B$17*(A22-1))*C22*'Inputs'!$B$32</x:f>
        <x:v>4680</x:v>
      </x:c>
      <x:c r="F22" s="34" t="n">
        <x:v>2.48</x:v>
      </x:c>
      <x:c r="G22" s="38" t="n">
        <x:f>IF(A22&gt;='Inputs'!$B$6,0,IF(A22=1,'Inputs'!$B$11,ROUNDUP(E22*(1+IF(A22&gt;=3,'Inputs'!$B$27+'Inputs'!$B$29/7,0))*F22/10,0)*10))</x:f>
        <x:v>14000</x:v>
      </x:c>
      <x:c r="H22" s="38" t="n">
        <x:f>H21+G21</x:f>
        <x:v>68870</x:v>
      </x:c>
      <x:c r="I22" s="38" t="n">
        <x:f>IF(A22=1,0,IF(A22=2,'Inputs'!$B$12,ROUND(D22*'Inputs'!$B$51/5,0)*5))</x:f>
        <x:v>395</x:v>
      </x:c>
      <x:c r="J22" s="38" t="n">
        <x:f>IF(A22=1,0,IF(A22=2,'Inputs'!$B$13,IF(MOD(A22,5)=0,3,IF(MOD(A22,2)=0,1,0))))</x:f>
        <x:v>1</x:v>
      </x:c>
      <x:c r="K22" s="28" t="n">
        <x:f>COUNTIFS('Coin Fish'!$D$5:$D$76,A22,'Coin Fish'!$E$5:$E$76,"Launch")</x:f>
        <x:v>1</x:v>
      </x:c>
      <x:c r="L22" s="28" t="n">
        <x:f>COUNTIFS('Decor Catalog'!$G$5:$G$124,A22,'Decor Catalog'!$T$5:$T$124,"Launch")</x:f>
        <x:v>2</x:v>
      </x:c>
      <x:c r="M22" s="28" t="str">
        <x:v>Siamese Fighting Fish; second-tank cap upgrade</x:v>
      </x:c>
      <x:c r="N22" s="28" t="str">
        <x:v>No banked account XP beyond L40. Lifetime statistics may continue.</x:v>
      </x:c>
    </x:row>
    <x:row r="23" ht="58" customHeight="1">
      <x:c r="A23" s="28" t="n">
        <x:v>19</x:v>
      </x:c>
      <x:c r="B23" s="28" t="str">
        <x:f>IF(A23&lt;='Inputs'!$B$5,"Launch","HOLD / unvalidated")</x:f>
        <x:v>Launch</x:v>
      </x:c>
      <x:c r="C23" s="28" t="n">
        <x:f>SUMIF('Tanks'!$C$5:$C$19,"&lt;="&amp;A23,'Tanks'!$D$5:$D$19)</x:f>
        <x:v>50</x:v>
      </x:c>
      <x:c r="D23" s="38" t="n">
        <x:f>'Inputs'!$B$14*(1+'Inputs'!$B$15*(A23-1))*C23*'Inputs'!$B$32</x:f>
        <x:v>27150</x:v>
      </x:c>
      <x:c r="E23" s="38" t="n">
        <x:f>'Inputs'!$B$16*(1+'Inputs'!$B$17*(A23-1))*C23*'Inputs'!$B$32</x:f>
        <x:v>4720</x:v>
      </x:c>
      <x:c r="F23" s="34" t="n">
        <x:v>2.6399999999999997</x:v>
      </x:c>
      <x:c r="G23" s="38" t="n">
        <x:f>IF(A23&gt;='Inputs'!$B$6,0,IF(A23=1,'Inputs'!$B$11,ROUNDUP(E23*(1+IF(A23&gt;=3,'Inputs'!$B$27+'Inputs'!$B$29/7,0))*F23/10,0)*10))</x:f>
        <x:v>15030</x:v>
      </x:c>
      <x:c r="H23" s="38" t="n">
        <x:f>H22+G22</x:f>
        <x:v>82870</x:v>
      </x:c>
      <x:c r="I23" s="38" t="n">
        <x:f>IF(A23=1,0,IF(A23=2,'Inputs'!$B$12,ROUND(D23*'Inputs'!$B$51/5,0)*5))</x:f>
        <x:v>405</x:v>
      </x:c>
      <x:c r="J23" s="38" t="n">
        <x:f>IF(A23=1,0,IF(A23=2,'Inputs'!$B$13,IF(MOD(A23,5)=0,3,IF(MOD(A23,2)=0,1,0))))</x:f>
        <x:v>0</x:v>
      </x:c>
      <x:c r="K23" s="28" t="n">
        <x:f>COUNTIFS('Coin Fish'!$D$5:$D$76,A23,'Coin Fish'!$E$5:$E$76,"Launch")</x:f>
        <x:v>1</x:v>
      </x:c>
      <x:c r="L23" s="28" t="n">
        <x:f>COUNTIFS('Decor Catalog'!$G$5:$G$124,A23,'Decor Catalog'!$T$5:$T$124,"Launch")</x:f>
        <x:v>1</x:v>
      </x:c>
      <x:c r="M23" s="28" t="str">
        <x:v>Firefish Goby; collect a new family</x:v>
      </x:c>
      <x:c r="N23" s="28" t="str">
        <x:v>No banked account XP beyond L40. Lifetime statistics may continue.</x:v>
      </x:c>
    </x:row>
    <x:row r="24" ht="58" customHeight="1">
      <x:c r="A24" s="28" t="n">
        <x:v>20</x:v>
      </x:c>
      <x:c r="B24" s="28" t="str">
        <x:f>IF(A24&lt;='Inputs'!$B$5,"Launch","HOLD / unvalidated")</x:f>
        <x:v>Launch</x:v>
      </x:c>
      <x:c r="C24" s="28" t="n">
        <x:f>SUMIF('Tanks'!$C$5:$C$19,"&lt;="&amp;A24,'Tanks'!$D$5:$D$19)</x:f>
        <x:v>50</x:v>
      </x:c>
      <x:c r="D24" s="38" t="n">
        <x:f>'Inputs'!$B$14*(1+'Inputs'!$B$15*(A24-1))*C24*'Inputs'!$B$32</x:f>
        <x:v>27825</x:v>
      </x:c>
      <x:c r="E24" s="38" t="n">
        <x:f>'Inputs'!$B$16*(1+'Inputs'!$B$17*(A24-1))*C24*'Inputs'!$B$32</x:f>
        <x:v>4760</x:v>
      </x:c>
      <x:c r="F24" s="34" t="n">
        <x:v>2</x:v>
      </x:c>
      <x:c r="G24" s="38" t="n">
        <x:f>IF(A24&gt;='Inputs'!$B$6,0,IF(A24=1,'Inputs'!$B$11,ROUNDUP(E24*(1+IF(A24&gt;=3,'Inputs'!$B$27+'Inputs'!$B$29/7,0))*F24/10,0)*10))</x:f>
        <x:v>11480</x:v>
      </x:c>
      <x:c r="H24" s="38" t="n">
        <x:f>H23+G23</x:f>
        <x:v>97900</x:v>
      </x:c>
      <x:c r="I24" s="38" t="n">
        <x:f>IF(A24=1,0,IF(A24=2,'Inputs'!$B$12,ROUND(D24*'Inputs'!$B$51/5,0)*5))</x:f>
        <x:v>415</x:v>
      </x:c>
      <x:c r="J24" s="38" t="n">
        <x:f>IF(A24=1,0,IF(A24=2,'Inputs'!$B$13,IF(MOD(A24,5)=0,3,IF(MOD(A24,2)=0,1,0))))</x:f>
        <x:v>3</x:v>
      </x:c>
      <x:c r="K24" s="28" t="n">
        <x:f>COUNTIFS('Coin Fish'!$D$5:$D$76,A24,'Coin Fish'!$E$5:$E$76,"Launch")</x:f>
        <x:v>1</x:v>
      </x:c>
      <x:c r="L24" s="28" t="n">
        <x:f>COUNTIFS('Decor Catalog'!$G$5:$G$124,A24,'Decor Catalog'!$T$5:$T$124,"Launch")</x:f>
        <x:v>2</x:v>
      </x:c>
      <x:c r="M24" s="28" t="str">
        <x:v>Ocellaris Clownfish; Moonlit Zen project</x:v>
      </x:c>
      <x:c r="N24" s="28" t="str">
        <x:v>No banked account XP beyond L40. Lifetime statistics may continue.</x:v>
      </x:c>
    </x:row>
    <x:row r="25" ht="58" customHeight="1">
      <x:c r="A25" s="28" t="n">
        <x:v>21</x:v>
      </x:c>
      <x:c r="B25" s="28" t="str">
        <x:f>IF(A25&lt;='Inputs'!$B$5,"Launch","HOLD / unvalidated")</x:f>
        <x:v>Launch</x:v>
      </x:c>
      <x:c r="C25" s="28" t="n">
        <x:f>SUMIF('Tanks'!$C$5:$C$19,"&lt;="&amp;A25,'Tanks'!$D$5:$D$19)</x:f>
        <x:v>55</x:v>
      </x:c>
      <x:c r="D25" s="38" t="n">
        <x:f>'Inputs'!$B$14*(1+'Inputs'!$B$15*(A25-1))*C25*'Inputs'!$B$32</x:f>
        <x:v>31350</x:v>
      </x:c>
      <x:c r="E25" s="38" t="n">
        <x:f>'Inputs'!$B$16*(1+'Inputs'!$B$17*(A25-1))*C25*'Inputs'!$B$32</x:f>
        <x:v>5279.999999999999</x:v>
      </x:c>
      <x:c r="F25" s="34" t="n">
        <x:v>2.2</x:v>
      </x:c>
      <x:c r="G25" s="38" t="n">
        <x:f>IF(A25&gt;='Inputs'!$B$6,0,IF(A25=1,'Inputs'!$B$11,ROUNDUP(E25*(1+IF(A25&gt;=3,'Inputs'!$B$27+'Inputs'!$B$29/7,0))*F25/10,0)*10))</x:f>
        <x:v>14010</x:v>
      </x:c>
      <x:c r="H25" s="38" t="n">
        <x:f>H24+G24</x:f>
        <x:v>109380</x:v>
      </x:c>
      <x:c r="I25" s="38" t="n">
        <x:f>IF(A25=1,0,IF(A25=2,'Inputs'!$B$12,ROUND(D25*'Inputs'!$B$51/5,0)*5))</x:f>
        <x:v>470</x:v>
      </x:c>
      <x:c r="J25" s="38" t="n">
        <x:f>IF(A25=1,0,IF(A25=2,'Inputs'!$B$13,IF(MOD(A25,5)=0,3,IF(MOD(A25,2)=0,1,0))))</x:f>
        <x:v>0</x:v>
      </x:c>
      <x:c r="K25" s="28" t="n">
        <x:f>COUNTIFS('Coin Fish'!$D$5:$D$76,A25,'Coin Fish'!$E$5:$E$76,"Launch")</x:f>
        <x:v>0</x:v>
      </x:c>
      <x:c r="L25" s="28" t="n">
        <x:f>COUNTIFS('Decor Catalog'!$G$5:$G$124,A25,'Decor Catalog'!$T$5:$T$124,"Launch")</x:f>
        <x:v>1</x:v>
      </x:c>
      <x:c r="M25" s="28" t="str">
        <x:v>Third-tank expansion; gallery chapter spotlight</x:v>
      </x:c>
      <x:c r="N25" s="28" t="str">
        <x:v>No banked account XP beyond L40. Lifetime statistics may continue.</x:v>
      </x:c>
    </x:row>
    <x:row r="26" ht="58" customHeight="1">
      <x:c r="A26" s="28" t="n">
        <x:v>22</x:v>
      </x:c>
      <x:c r="B26" s="28" t="str">
        <x:f>IF(A26&lt;='Inputs'!$B$5,"Launch","HOLD / unvalidated")</x:f>
        <x:v>Launch</x:v>
      </x:c>
      <x:c r="C26" s="28" t="n">
        <x:f>SUMIF('Tanks'!$C$5:$C$19,"&lt;="&amp;A26,'Tanks'!$D$5:$D$19)</x:f>
        <x:v>55</x:v>
      </x:c>
      <x:c r="D26" s="38" t="n">
        <x:f>'Inputs'!$B$14*(1+'Inputs'!$B$15*(A26-1))*C26*'Inputs'!$B$32</x:f>
        <x:v>32092.499999999996</x:v>
      </x:c>
      <x:c r="E26" s="38" t="n">
        <x:f>'Inputs'!$B$16*(1+'Inputs'!$B$17*(A26-1))*C26*'Inputs'!$B$32</x:f>
        <x:v>5324</x:v>
      </x:c>
      <x:c r="F26" s="34" t="n">
        <x:v>2.4</x:v>
      </x:c>
      <x:c r="G26" s="38" t="n">
        <x:f>IF(A26&gt;='Inputs'!$B$6,0,IF(A26=1,'Inputs'!$B$11,ROUNDUP(E26*(1+IF(A26&gt;=3,'Inputs'!$B$27+'Inputs'!$B$29/7,0))*F26/10,0)*10))</x:f>
        <x:v>15410</x:v>
      </x:c>
      <x:c r="H26" s="38" t="n">
        <x:f>H25+G25</x:f>
        <x:v>123390</x:v>
      </x:c>
      <x:c r="I26" s="38" t="n">
        <x:f>IF(A26=1,0,IF(A26=2,'Inputs'!$B$12,ROUND(D26*'Inputs'!$B$51/5,0)*5))</x:f>
        <x:v>480</x:v>
      </x:c>
      <x:c r="J26" s="38" t="n">
        <x:f>IF(A26=1,0,IF(A26=2,'Inputs'!$B$13,IF(MOD(A26,5)=0,3,IF(MOD(A26,2)=0,1,0))))</x:f>
        <x:v>1</x:v>
      </x:c>
      <x:c r="K26" s="28" t="n">
        <x:f>COUNTIFS('Coin Fish'!$D$5:$D$76,A26,'Coin Fish'!$E$5:$E$76,"Launch")</x:f>
        <x:v>1</x:v>
      </x:c>
      <x:c r="L26" s="28" t="n">
        <x:f>COUNTIFS('Decor Catalog'!$G$5:$G$124,A26,'Decor Catalog'!$T$5:$T$124,"Launch")</x:f>
        <x:v>2</x:v>
      </x:c>
      <x:c r="M26" s="28" t="str">
        <x:v>Yellow Tang; clear coin-specialist trade-off</x:v>
      </x:c>
      <x:c r="N26" s="28" t="str">
        <x:v>No banked account XP beyond L40. Lifetime statistics may continue.</x:v>
      </x:c>
    </x:row>
    <x:row r="27" ht="58" customHeight="1">
      <x:c r="A27" s="28" t="n">
        <x:v>23</x:v>
      </x:c>
      <x:c r="B27" s="28" t="str">
        <x:f>IF(A27&lt;='Inputs'!$B$5,"Launch","HOLD / unvalidated")</x:f>
        <x:v>Launch</x:v>
      </x:c>
      <x:c r="C27" s="28" t="n">
        <x:f>SUMIF('Tanks'!$C$5:$C$19,"&lt;="&amp;A27,'Tanks'!$D$5:$D$19)</x:f>
        <x:v>55</x:v>
      </x:c>
      <x:c r="D27" s="38" t="n">
        <x:f>'Inputs'!$B$14*(1+'Inputs'!$B$15*(A27-1))*C27*'Inputs'!$B$32</x:f>
        <x:v>32835</x:v>
      </x:c>
      <x:c r="E27" s="38" t="n">
        <x:f>'Inputs'!$B$16*(1+'Inputs'!$B$17*(A27-1))*C27*'Inputs'!$B$32</x:f>
        <x:v>5368.000000000001</x:v>
      </x:c>
      <x:c r="F27" s="34" t="n">
        <x:v>2.6</x:v>
      </x:c>
      <x:c r="G27" s="38" t="n">
        <x:f>IF(A27&gt;='Inputs'!$B$6,0,IF(A27=1,'Inputs'!$B$11,ROUNDUP(E27*(1+IF(A27&gt;=3,'Inputs'!$B$27+'Inputs'!$B$29/7,0))*F27/10,0)*10))</x:f>
        <x:v>16830</x:v>
      </x:c>
      <x:c r="H27" s="38" t="n">
        <x:f>H26+G26</x:f>
        <x:v>138800</x:v>
      </x:c>
      <x:c r="I27" s="38" t="n">
        <x:f>IF(A27=1,0,IF(A27=2,'Inputs'!$B$12,ROUND(D27*'Inputs'!$B$51/5,0)*5))</x:f>
        <x:v>495</x:v>
      </x:c>
      <x:c r="J27" s="38" t="n">
        <x:f>IF(A27=1,0,IF(A27=2,'Inputs'!$B$13,IF(MOD(A27,5)=0,3,IF(MOD(A27,2)=0,1,0))))</x:f>
        <x:v>0</x:v>
      </x:c>
      <x:c r="K27" s="28" t="n">
        <x:f>COUNTIFS('Coin Fish'!$D$5:$D$76,A27,'Coin Fish'!$E$5:$E$76,"Launch")</x:f>
        <x:v>1</x:v>
      </x:c>
      <x:c r="L27" s="28" t="n">
        <x:f>COUNTIFS('Decor Catalog'!$G$5:$G$124,A27,'Decor Catalog'!$T$5:$T$124,"Launch")</x:f>
        <x:v>1</x:v>
      </x:c>
      <x:c r="M27" s="28" t="str">
        <x:v>Freshwater Angelfish; new collection page</x:v>
      </x:c>
      <x:c r="N27" s="28" t="str">
        <x:v>No banked account XP beyond L40. Lifetime statistics may continue.</x:v>
      </x:c>
    </x:row>
    <x:row r="28" ht="58" customHeight="1">
      <x:c r="A28" s="28" t="n">
        <x:v>24</x:v>
      </x:c>
      <x:c r="B28" s="28" t="str">
        <x:f>IF(A28&lt;='Inputs'!$B$5,"Launch","HOLD / unvalidated")</x:f>
        <x:v>Launch</x:v>
      </x:c>
      <x:c r="C28" s="28" t="n">
        <x:f>SUMIF('Tanks'!$C$5:$C$19,"&lt;="&amp;A28,'Tanks'!$D$5:$D$19)</x:f>
        <x:v>55</x:v>
      </x:c>
      <x:c r="D28" s="38" t="n">
        <x:f>'Inputs'!$B$14*(1+'Inputs'!$B$15*(A28-1))*C28*'Inputs'!$B$32</x:f>
        <x:v>33577.5</x:v>
      </x:c>
      <x:c r="E28" s="38" t="n">
        <x:f>'Inputs'!$B$16*(1+'Inputs'!$B$17*(A28-1))*C28*'Inputs'!$B$32</x:f>
        <x:v>5412</x:v>
      </x:c>
      <x:c r="F28" s="34" t="n">
        <x:v>2.8</x:v>
      </x:c>
      <x:c r="G28" s="38" t="n">
        <x:f>IF(A28&gt;='Inputs'!$B$6,0,IF(A28=1,'Inputs'!$B$11,ROUNDUP(E28*(1+IF(A28&gt;=3,'Inputs'!$B$27+'Inputs'!$B$29/7,0))*F28/10,0)*10))</x:f>
        <x:v>18280</x:v>
      </x:c>
      <x:c r="H28" s="38" t="n">
        <x:f>H27+G27</x:f>
        <x:v>155630</x:v>
      </x:c>
      <x:c r="I28" s="38" t="n">
        <x:f>IF(A28=1,0,IF(A28=2,'Inputs'!$B$12,ROUND(D28*'Inputs'!$B$51/5,0)*5))</x:f>
        <x:v>505</x:v>
      </x:c>
      <x:c r="J28" s="38" t="n">
        <x:f>IF(A28=1,0,IF(A28=2,'Inputs'!$B$13,IF(MOD(A28,5)=0,3,IF(MOD(A28,2)=0,1,0))))</x:f>
        <x:v>1</x:v>
      </x:c>
      <x:c r="K28" s="28" t="n">
        <x:f>COUNTIFS('Coin Fish'!$D$5:$D$76,A28,'Coin Fish'!$E$5:$E$76,"Launch")</x:f>
        <x:v>1</x:v>
      </x:c>
      <x:c r="L28" s="28" t="n">
        <x:f>COUNTIFS('Decor Catalog'!$G$5:$G$124,A28,'Decor Catalog'!$T$5:$T$124,"Launch")</x:f>
        <x:v>2</x:v>
      </x:c>
      <x:c r="M28" s="28" t="str">
        <x:v>Banggai Cardinalfish; long-cycle creature without neglect risk</x:v>
      </x:c>
      <x:c r="N28" s="28" t="str">
        <x:v>No banked account XP beyond L40. Lifetime statistics may continue.</x:v>
      </x:c>
    </x:row>
    <x:row r="29" ht="58" customHeight="1">
      <x:c r="A29" s="28" t="n">
        <x:v>25</x:v>
      </x:c>
      <x:c r="B29" s="28" t="str">
        <x:f>IF(A29&lt;='Inputs'!$B$5,"Launch","HOLD / unvalidated")</x:f>
        <x:v>Launch</x:v>
      </x:c>
      <x:c r="C29" s="28" t="n">
        <x:f>SUMIF('Tanks'!$C$5:$C$19,"&lt;="&amp;A29,'Tanks'!$D$5:$D$19)</x:f>
        <x:v>65</x:v>
      </x:c>
      <x:c r="D29" s="38" t="n">
        <x:f>'Inputs'!$B$14*(1+'Inputs'!$B$15*(A29-1))*C29*'Inputs'!$B$32</x:f>
        <x:v>40560.00000000001</x:v>
      </x:c>
      <x:c r="E29" s="38" t="n">
        <x:f>'Inputs'!$B$16*(1+'Inputs'!$B$17*(A29-1))*C29*'Inputs'!$B$32</x:f>
        <x:v>6448</x:v>
      </x:c>
      <x:c r="F29" s="34" t="n">
        <x:v>3</x:v>
      </x:c>
      <x:c r="G29" s="38" t="n">
        <x:f>IF(A29&gt;='Inputs'!$B$6,0,IF(A29=1,'Inputs'!$B$11,ROUNDUP(E29*(1+IF(A29&gt;=3,'Inputs'!$B$27+'Inputs'!$B$29/7,0))*F29/10,0)*10))</x:f>
        <x:v>23330</x:v>
      </x:c>
      <x:c r="H29" s="38" t="n">
        <x:f>H28+G28</x:f>
        <x:v>173910</x:v>
      </x:c>
      <x:c r="I29" s="38" t="n">
        <x:f>IF(A29=1,0,IF(A29=2,'Inputs'!$B$12,ROUND(D29*'Inputs'!$B$51/5,0)*5))</x:f>
        <x:v>610</x:v>
      </x:c>
      <x:c r="J29" s="38" t="n">
        <x:f>IF(A29=1,0,IF(A29=2,'Inputs'!$B$13,IF(MOD(A29,5)=0,3,IF(MOD(A29,2)=0,1,0))))</x:f>
        <x:v>3</x:v>
      </x:c>
      <x:c r="K29" s="28" t="n">
        <x:f>COUNTIFS('Coin Fish'!$D$5:$D$76,A29,'Coin Fish'!$E$5:$E$76,"Launch")</x:f>
        <x:v>1</x:v>
      </x:c>
      <x:c r="L29" s="28" t="n">
        <x:f>COUNTIFS('Decor Catalog'!$G$5:$G$124,A29,'Decor Catalog'!$T$5:$T$124,"Launch")</x:f>
        <x:v>1</x:v>
      </x:c>
      <x:c r="M29" s="28" t="str">
        <x:v>Bicolor Blenny; fourth tank; harbor project</x:v>
      </x:c>
      <x:c r="N29" s="28" t="str">
        <x:v>No banked account XP beyond L40. Lifetime statistics may continue.</x:v>
      </x:c>
    </x:row>
    <x:row r="30" ht="58" customHeight="1">
      <x:c r="A30" s="28" t="n">
        <x:v>26</x:v>
      </x:c>
      <x:c r="B30" s="28" t="str">
        <x:f>IF(A30&lt;='Inputs'!$B$5,"Launch","HOLD / unvalidated")</x:f>
        <x:v>Launch</x:v>
      </x:c>
      <x:c r="C30" s="28" t="n">
        <x:f>SUMIF('Tanks'!$C$5:$C$19,"&lt;="&amp;A30,'Tanks'!$D$5:$D$19)</x:f>
        <x:v>65</x:v>
      </x:c>
      <x:c r="D30" s="38" t="n">
        <x:f>'Inputs'!$B$14*(1+'Inputs'!$B$15*(A30-1))*C30*'Inputs'!$B$32</x:f>
        <x:v>41437.5</x:v>
      </x:c>
      <x:c r="E30" s="38" t="n">
        <x:f>'Inputs'!$B$16*(1+'Inputs'!$B$17*(A30-1))*C30*'Inputs'!$B$32</x:f>
        <x:v>6500</x:v>
      </x:c>
      <x:c r="F30" s="34" t="n">
        <x:v>3.2</x:v>
      </x:c>
      <x:c r="G30" s="38" t="n">
        <x:f>IF(A30&gt;='Inputs'!$B$6,0,IF(A30=1,'Inputs'!$B$11,ROUNDUP(E30*(1+IF(A30&gt;=3,'Inputs'!$B$27+'Inputs'!$B$29/7,0))*F30/10,0)*10))</x:f>
        <x:v>25080</x:v>
      </x:c>
      <x:c r="H30" s="38" t="n">
        <x:f>H29+G29</x:f>
        <x:v>197240</x:v>
      </x:c>
      <x:c r="I30" s="38" t="n">
        <x:f>IF(A30=1,0,IF(A30=2,'Inputs'!$B$12,ROUND(D30*'Inputs'!$B$51/5,0)*5))</x:f>
        <x:v>620</x:v>
      </x:c>
      <x:c r="J30" s="38" t="n">
        <x:f>IF(A30=1,0,IF(A30=2,'Inputs'!$B$13,IF(MOD(A30,5)=0,3,IF(MOD(A30,2)=0,1,0))))</x:f>
        <x:v>1</x:v>
      </x:c>
      <x:c r="K30" s="28" t="n">
        <x:f>COUNTIFS('Coin Fish'!$D$5:$D$76,A30,'Coin Fish'!$E$5:$E$76,"Launch")</x:f>
        <x:v>1</x:v>
      </x:c>
      <x:c r="L30" s="28" t="n">
        <x:f>COUNTIFS('Decor Catalog'!$G$5:$G$124,A30,'Decor Catalog'!$T$5:$T$124,"Launch")</x:f>
        <x:v>2</x:v>
      </x:c>
      <x:c r="M30" s="28" t="str">
        <x:v>Coral Beauty; richer reef palette</x:v>
      </x:c>
      <x:c r="N30" s="28" t="str">
        <x:v>No banked account XP beyond L40. Lifetime statistics may continue.</x:v>
      </x:c>
    </x:row>
    <x:row r="31" ht="58" customHeight="1">
      <x:c r="A31" s="28" t="n">
        <x:v>27</x:v>
      </x:c>
      <x:c r="B31" s="28" t="str">
        <x:f>IF(A31&lt;='Inputs'!$B$5,"Launch","HOLD / unvalidated")</x:f>
        <x:v>Launch</x:v>
      </x:c>
      <x:c r="C31" s="28" t="n">
        <x:f>SUMIF('Tanks'!$C$5:$C$19,"&lt;="&amp;A31,'Tanks'!$D$5:$D$19)</x:f>
        <x:v>65</x:v>
      </x:c>
      <x:c r="D31" s="38" t="n">
        <x:f>'Inputs'!$B$14*(1+'Inputs'!$B$15*(A31-1))*C31*'Inputs'!$B$32</x:f>
        <x:v>42314.99999999999</x:v>
      </x:c>
      <x:c r="E31" s="38" t="n">
        <x:f>'Inputs'!$B$16*(1+'Inputs'!$B$17*(A31-1))*C31*'Inputs'!$B$32</x:f>
        <x:v>6552.000000000001</x:v>
      </x:c>
      <x:c r="F31" s="34" t="n">
        <x:v>3.4000000000000004</x:v>
      </x:c>
      <x:c r="G31" s="38" t="n">
        <x:f>IF(A31&gt;='Inputs'!$B$6,0,IF(A31=1,'Inputs'!$B$11,ROUNDUP(E31*(1+IF(A31&gt;=3,'Inputs'!$B$27+'Inputs'!$B$29/7,0))*F31/10,0)*10))</x:f>
        <x:v>26860</x:v>
      </x:c>
      <x:c r="H31" s="38" t="n">
        <x:f>H30+G30</x:f>
        <x:v>222320</x:v>
      </x:c>
      <x:c r="I31" s="38" t="n">
        <x:f>IF(A31=1,0,IF(A31=2,'Inputs'!$B$12,ROUND(D31*'Inputs'!$B$51/5,0)*5))</x:f>
        <x:v>635</x:v>
      </x:c>
      <x:c r="J31" s="38" t="n">
        <x:f>IF(A31=1,0,IF(A31=2,'Inputs'!$B$13,IF(MOD(A31,5)=0,3,IF(MOD(A31,2)=0,1,0))))</x:f>
        <x:v>0</x:v>
      </x:c>
      <x:c r="K31" s="28" t="n">
        <x:f>COUNTIFS('Coin Fish'!$D$5:$D$76,A31,'Coin Fish'!$E$5:$E$76,"Launch")</x:f>
        <x:v>1</x:v>
      </x:c>
      <x:c r="L31" s="28" t="n">
        <x:f>COUNTIFS('Decor Catalog'!$G$5:$G$124,A31,'Decor Catalog'!$T$5:$T$124,"Launch")</x:f>
        <x:v>1</x:v>
      </x:c>
      <x:c r="M31" s="28" t="str">
        <x:v>Royal Dottyback; composition challenge</x:v>
      </x:c>
      <x:c r="N31" s="28" t="str">
        <x:v>No banked account XP beyond L40. Lifetime statistics may continue.</x:v>
      </x:c>
    </x:row>
    <x:row r="32" ht="58" customHeight="1">
      <x:c r="A32" s="28" t="n">
        <x:v>28</x:v>
      </x:c>
      <x:c r="B32" s="28" t="str">
        <x:f>IF(A32&lt;='Inputs'!$B$5,"Launch","HOLD / unvalidated")</x:f>
        <x:v>Launch</x:v>
      </x:c>
      <x:c r="C32" s="28" t="n">
        <x:f>SUMIF('Tanks'!$C$5:$C$19,"&lt;="&amp;A32,'Tanks'!$D$5:$D$19)</x:f>
        <x:v>70</x:v>
      </x:c>
      <x:c r="D32" s="38" t="n">
        <x:f>'Inputs'!$B$14*(1+'Inputs'!$B$15*(A32-1))*C32*'Inputs'!$B$32</x:f>
        <x:v>46515</x:v>
      </x:c>
      <x:c r="E32" s="38" t="n">
        <x:f>'Inputs'!$B$16*(1+'Inputs'!$B$17*(A32-1))*C32*'Inputs'!$B$32</x:f>
        <x:v>7112</x:v>
      </x:c>
      <x:c r="F32" s="34" t="n">
        <x:v>3.6</x:v>
      </x:c>
      <x:c r="G32" s="38" t="n">
        <x:f>IF(A32&gt;='Inputs'!$B$6,0,IF(A32=1,'Inputs'!$B$11,ROUNDUP(E32*(1+IF(A32&gt;=3,'Inputs'!$B$27+'Inputs'!$B$29/7,0))*F32/10,0)*10))</x:f>
        <x:v>30880</x:v>
      </x:c>
      <x:c r="H32" s="38" t="n">
        <x:f>H31+G31</x:f>
        <x:v>249180</x:v>
      </x:c>
      <x:c r="I32" s="38" t="n">
        <x:f>IF(A32=1,0,IF(A32=2,'Inputs'!$B$12,ROUND(D32*'Inputs'!$B$51/5,0)*5))</x:f>
        <x:v>700</x:v>
      </x:c>
      <x:c r="J32" s="38" t="n">
        <x:f>IF(A32=1,0,IF(A32=2,'Inputs'!$B$13,IF(MOD(A32,5)=0,3,IF(MOD(A32,2)=0,1,0))))</x:f>
        <x:v>1</x:v>
      </x:c>
      <x:c r="K32" s="28" t="n">
        <x:f>COUNTIFS('Coin Fish'!$D$5:$D$76,A32,'Coin Fish'!$E$5:$E$76,"Launch")</x:f>
        <x:v>1</x:v>
      </x:c>
      <x:c r="L32" s="28" t="n">
        <x:f>COUNTIFS('Decor Catalog'!$G$5:$G$124,A32,'Decor Catalog'!$T$5:$T$124,"Launch")</x:f>
        <x:v>2</x:v>
      </x:c>
      <x:c r="M32" s="28" t="str">
        <x:v>Golden Puffer; third-tank cap upgrade</x:v>
      </x:c>
      <x:c r="N32" s="28" t="str">
        <x:v>No banked account XP beyond L40. Lifetime statistics may continue.</x:v>
      </x:c>
    </x:row>
    <x:row r="33" ht="58" customHeight="1">
      <x:c r="A33" s="28" t="n">
        <x:v>29</x:v>
      </x:c>
      <x:c r="B33" s="28" t="str">
        <x:f>IF(A33&lt;='Inputs'!$B$5,"Launch","HOLD / unvalidated")</x:f>
        <x:v>Launch</x:v>
      </x:c>
      <x:c r="C33" s="28" t="n">
        <x:f>SUMIF('Tanks'!$C$5:$C$19,"&lt;="&amp;A33,'Tanks'!$D$5:$D$19)</x:f>
        <x:v>70</x:v>
      </x:c>
      <x:c r="D33" s="38" t="n">
        <x:f>'Inputs'!$B$14*(1+'Inputs'!$B$15*(A33-1))*C33*'Inputs'!$B$32</x:f>
        <x:v>47459.99999999999</x:v>
      </x:c>
      <x:c r="E33" s="38" t="n">
        <x:f>'Inputs'!$B$16*(1+'Inputs'!$B$17*(A33-1))*C33*'Inputs'!$B$32</x:f>
        <x:v>7168.000000000001</x:v>
      </x:c>
      <x:c r="F33" s="34" t="n">
        <x:v>3.8</x:v>
      </x:c>
      <x:c r="G33" s="38" t="n">
        <x:f>IF(A33&gt;='Inputs'!$B$6,0,IF(A33=1,'Inputs'!$B$11,ROUNDUP(E33*(1+IF(A33&gt;=3,'Inputs'!$B$27+'Inputs'!$B$29/7,0))*F33/10,0)*10))</x:f>
        <x:v>32850</x:v>
      </x:c>
      <x:c r="H33" s="38" t="n">
        <x:f>H32+G32</x:f>
        <x:v>280060</x:v>
      </x:c>
      <x:c r="I33" s="38" t="n">
        <x:f>IF(A33=1,0,IF(A33=2,'Inputs'!$B$12,ROUND(D33*'Inputs'!$B$51/5,0)*5))</x:f>
        <x:v>710</x:v>
      </x:c>
      <x:c r="J33" s="38" t="n">
        <x:f>IF(A33=1,0,IF(A33=2,'Inputs'!$B$13,IF(MOD(A33,5)=0,3,IF(MOD(A33,2)=0,1,0))))</x:f>
        <x:v>0</x:v>
      </x:c>
      <x:c r="K33" s="28" t="n">
        <x:f>COUNTIFS('Coin Fish'!$D$5:$D$76,A33,'Coin Fish'!$E$5:$E$76,"Launch")</x:f>
        <x:v>1</x:v>
      </x:c>
      <x:c r="L33" s="28" t="n">
        <x:f>COUNTIFS('Decor Catalog'!$G$5:$G$124,A33,'Decor Catalog'!$T$5:$T$124,"Launch")</x:f>
        <x:v>1</x:v>
      </x:c>
      <x:c r="M33" s="28" t="str">
        <x:v>Flame Angelfish; rare coin specialist</x:v>
      </x:c>
      <x:c r="N33" s="28" t="str">
        <x:v>No banked account XP beyond L40. Lifetime statistics may continue.</x:v>
      </x:c>
    </x:row>
    <x:row r="34" ht="58" customHeight="1">
      <x:c r="A34" s="28" t="n">
        <x:v>30</x:v>
      </x:c>
      <x:c r="B34" s="28" t="str">
        <x:f>IF(A34&lt;='Inputs'!$B$5,"Launch","HOLD / unvalidated")</x:f>
        <x:v>Launch</x:v>
      </x:c>
      <x:c r="C34" s="28" t="n">
        <x:f>SUMIF('Tanks'!$C$5:$C$19,"&lt;="&amp;A34,'Tanks'!$D$5:$D$19)</x:f>
        <x:v>75</x:v>
      </x:c>
      <x:c r="D34" s="38" t="n">
        <x:f>'Inputs'!$B$14*(1+'Inputs'!$B$15*(A34-1))*C34*'Inputs'!$B$32</x:f>
        <x:v>51862.5</x:v>
      </x:c>
      <x:c r="E34" s="38" t="n">
        <x:f>'Inputs'!$B$16*(1+'Inputs'!$B$17*(A34-1))*C34*'Inputs'!$B$32</x:f>
        <x:v>7740</x:v>
      </x:c>
      <x:c r="F34" s="34" t="n">
        <x:v>3</x:v>
      </x:c>
      <x:c r="G34" s="38" t="n">
        <x:f>IF(A34&gt;='Inputs'!$B$6,0,IF(A34=1,'Inputs'!$B$11,ROUNDUP(E34*(1+IF(A34&gt;=3,'Inputs'!$B$27+'Inputs'!$B$29/7,0))*F34/10,0)*10))</x:f>
        <x:v>28000</x:v>
      </x:c>
      <x:c r="H34" s="38" t="n">
        <x:f>H33+G33</x:f>
        <x:v>312910</x:v>
      </x:c>
      <x:c r="I34" s="38" t="n">
        <x:f>IF(A34=1,0,IF(A34=2,'Inputs'!$B$12,ROUND(D34*'Inputs'!$B$51/5,0)*5))</x:f>
        <x:v>780</x:v>
      </x:c>
      <x:c r="J34" s="38" t="n">
        <x:f>IF(A34=1,0,IF(A34=2,'Inputs'!$B$13,IF(MOD(A34,5)=0,3,IF(MOD(A34,2)=0,1,0))))</x:f>
        <x:v>3</x:v>
      </x:c>
      <x:c r="K34" s="28" t="n">
        <x:f>COUNTIFS('Coin Fish'!$D$5:$D$76,A34,'Coin Fish'!$E$5:$E$76,"Launch")</x:f>
        <x:v>1</x:v>
      </x:c>
      <x:c r="L34" s="28" t="n">
        <x:f>COUNTIFS('Decor Catalog'!$G$5:$G$124,A34,'Decor Catalog'!$T$5:$T$124,"Launch")</x:f>
        <x:v>2</x:v>
      </x:c>
      <x:c r="M34" s="28" t="str">
        <x:v>Longhorn Cowfish; fourth-tank expansion; Glasshouse project</x:v>
      </x:c>
      <x:c r="N34" s="28" t="str">
        <x:v>No banked account XP beyond L40. Lifetime statistics may continue.</x:v>
      </x:c>
    </x:row>
    <x:row r="35" ht="58" customHeight="1">
      <x:c r="A35" s="28" t="n">
        <x:v>31</x:v>
      </x:c>
      <x:c r="B35" s="28" t="str">
        <x:f>IF(A35&lt;='Inputs'!$B$5,"Launch","HOLD / unvalidated")</x:f>
        <x:v>Launch</x:v>
      </x:c>
      <x:c r="C35" s="28" t="n">
        <x:f>SUMIF('Tanks'!$C$5:$C$19,"&lt;="&amp;A35,'Tanks'!$D$5:$D$19)</x:f>
        <x:v>75</x:v>
      </x:c>
      <x:c r="D35" s="38" t="n">
        <x:f>'Inputs'!$B$14*(1+'Inputs'!$B$15*(A35-1))*C35*'Inputs'!$B$32</x:f>
        <x:v>52874.99999999999</x:v>
      </x:c>
      <x:c r="E35" s="38" t="n">
        <x:f>'Inputs'!$B$16*(1+'Inputs'!$B$17*(A35-1))*C35*'Inputs'!$B$32</x:f>
        <x:v>7800</x:v>
      </x:c>
      <x:c r="F35" s="34" t="n">
        <x:v>3.2</x:v>
      </x:c>
      <x:c r="G35" s="38" t="n">
        <x:f>IF(A35&gt;='Inputs'!$B$6,0,IF(A35=1,'Inputs'!$B$11,ROUNDUP(E35*(1+IF(A35&gt;=3,'Inputs'!$B$27+'Inputs'!$B$29/7,0))*F35/10,0)*10))</x:f>
        <x:v>30100</x:v>
      </x:c>
      <x:c r="H35" s="38" t="n">
        <x:f>H34+G34</x:f>
        <x:v>340910</x:v>
      </x:c>
      <x:c r="I35" s="38" t="n">
        <x:f>IF(A35=1,0,IF(A35=2,'Inputs'!$B$12,ROUND(D35*'Inputs'!$B$51/5,0)*5))</x:f>
        <x:v>795</x:v>
      </x:c>
      <x:c r="J35" s="38" t="n">
        <x:f>IF(A35=1,0,IF(A35=2,'Inputs'!$B$13,IF(MOD(A35,5)=0,3,IF(MOD(A35,2)=0,1,0))))</x:f>
        <x:v>0</x:v>
      </x:c>
      <x:c r="K35" s="28" t="n">
        <x:f>COUNTIFS('Coin Fish'!$D$5:$D$76,A35,'Coin Fish'!$E$5:$E$76,"Launch")</x:f>
        <x:v>0</x:v>
      </x:c>
      <x:c r="L35" s="28" t="n">
        <x:f>COUNTIFS('Decor Catalog'!$G$5:$G$124,A35,'Decor Catalog'!$T$5:$T$124,"Launch")</x:f>
        <x:v>1</x:v>
      </x:c>
      <x:c r="M35" s="28" t="str">
        <x:v>Complete a curated aquarium chapter; no placeholder crate</x:v>
      </x:c>
      <x:c r="N35" s="28" t="str">
        <x:v>No banked account XP beyond L40. Lifetime statistics may continue.</x:v>
      </x:c>
    </x:row>
    <x:row r="36" ht="58" customHeight="1">
      <x:c r="A36" s="28" t="n">
        <x:v>32</x:v>
      </x:c>
      <x:c r="B36" s="28" t="str">
        <x:f>IF(A36&lt;='Inputs'!$B$5,"Launch","HOLD / unvalidated")</x:f>
        <x:v>Launch</x:v>
      </x:c>
      <x:c r="C36" s="28" t="n">
        <x:f>SUMIF('Tanks'!$C$5:$C$19,"&lt;="&amp;A36,'Tanks'!$D$5:$D$19)</x:f>
        <x:v>75</x:v>
      </x:c>
      <x:c r="D36" s="38" t="n">
        <x:f>'Inputs'!$B$14*(1+'Inputs'!$B$15*(A36-1))*C36*'Inputs'!$B$32</x:f>
        <x:v>53887.5</x:v>
      </x:c>
      <x:c r="E36" s="38" t="n">
        <x:f>'Inputs'!$B$16*(1+'Inputs'!$B$17*(A36-1))*C36*'Inputs'!$B$32</x:f>
        <x:v>7860</x:v>
      </x:c>
      <x:c r="F36" s="34" t="n">
        <x:v>3.4</x:v>
      </x:c>
      <x:c r="G36" s="38" t="n">
        <x:f>IF(A36&gt;='Inputs'!$B$6,0,IF(A36=1,'Inputs'!$B$11,ROUNDUP(E36*(1+IF(A36&gt;=3,'Inputs'!$B$27+'Inputs'!$B$29/7,0))*F36/10,0)*10))</x:f>
        <x:v>32230</x:v>
      </x:c>
      <x:c r="H36" s="38" t="n">
        <x:f>H35+G35</x:f>
        <x:v>371010</x:v>
      </x:c>
      <x:c r="I36" s="38" t="n">
        <x:f>IF(A36=1,0,IF(A36=2,'Inputs'!$B$12,ROUND(D36*'Inputs'!$B$51/5,0)*5))</x:f>
        <x:v>810</x:v>
      </x:c>
      <x:c r="J36" s="38" t="n">
        <x:f>IF(A36=1,0,IF(A36=2,'Inputs'!$B$13,IF(MOD(A36,5)=0,3,IF(MOD(A36,2)=0,1,0))))</x:f>
        <x:v>1</x:v>
      </x:c>
      <x:c r="K36" s="28" t="n">
        <x:f>COUNTIFS('Coin Fish'!$D$5:$D$76,A36,'Coin Fish'!$E$5:$E$76,"Launch")</x:f>
        <x:v>1</x:v>
      </x:c>
      <x:c r="L36" s="28" t="n">
        <x:f>COUNTIFS('Decor Catalog'!$G$5:$G$124,A36,'Decor Catalog'!$T$5:$T$124,"Launch")</x:f>
        <x:v>2</x:v>
      </x:c>
      <x:c r="M36" s="28" t="str">
        <x:v>Foxface Rabbitfish; short-cycle sidegrade</x:v>
      </x:c>
      <x:c r="N36" s="28" t="str">
        <x:v>No banked account XP beyond L40. Lifetime statistics may continue.</x:v>
      </x:c>
    </x:row>
    <x:row r="37" ht="58" customHeight="1">
      <x:c r="A37" s="28" t="n">
        <x:v>33</x:v>
      </x:c>
      <x:c r="B37" s="28" t="str">
        <x:f>IF(A37&lt;='Inputs'!$B$5,"Launch","HOLD / unvalidated")</x:f>
        <x:v>Launch</x:v>
      </x:c>
      <x:c r="C37" s="28" t="n">
        <x:f>SUMIF('Tanks'!$C$5:$C$19,"&lt;="&amp;A37,'Tanks'!$D$5:$D$19)</x:f>
        <x:v>75</x:v>
      </x:c>
      <x:c r="D37" s="38" t="n">
        <x:f>'Inputs'!$B$14*(1+'Inputs'!$B$15*(A37-1))*C37*'Inputs'!$B$32</x:f>
        <x:v>54900</x:v>
      </x:c>
      <x:c r="E37" s="38" t="n">
        <x:f>'Inputs'!$B$16*(1+'Inputs'!$B$17*(A37-1))*C37*'Inputs'!$B$32</x:f>
        <x:v>7920</x:v>
      </x:c>
      <x:c r="F37" s="34" t="n">
        <x:v>3.6</x:v>
      </x:c>
      <x:c r="G37" s="38" t="n">
        <x:f>IF(A37&gt;='Inputs'!$B$6,0,IF(A37=1,'Inputs'!$B$11,ROUNDUP(E37*(1+IF(A37&gt;=3,'Inputs'!$B$27+'Inputs'!$B$29/7,0))*F37/10,0)*10))</x:f>
        <x:v>34380</x:v>
      </x:c>
      <x:c r="H37" s="38" t="n">
        <x:f>H36+G36</x:f>
        <x:v>403240</x:v>
      </x:c>
      <x:c r="I37" s="38" t="n">
        <x:f>IF(A37=1,0,IF(A37=2,'Inputs'!$B$12,ROUND(D37*'Inputs'!$B$51/5,0)*5))</x:f>
        <x:v>825</x:v>
      </x:c>
      <x:c r="J37" s="38" t="n">
        <x:f>IF(A37=1,0,IF(A37=2,'Inputs'!$B$13,IF(MOD(A37,5)=0,3,IF(MOD(A37,2)=0,1,0))))</x:f>
        <x:v>0</x:v>
      </x:c>
      <x:c r="K37" s="28" t="n">
        <x:f>COUNTIFS('Coin Fish'!$D$5:$D$76,A37,'Coin Fish'!$E$5:$E$76,"Launch")</x:f>
        <x:v>1</x:v>
      </x:c>
      <x:c r="L37" s="28" t="n">
        <x:f>COUNTIFS('Decor Catalog'!$G$5:$G$124,A37,'Decor Catalog'!$T$5:$T$124,"Launch")</x:f>
        <x:v>1</x:v>
      </x:c>
      <x:c r="M37" s="28" t="str">
        <x:v>Picasso Triggerfish; no decor stat synergies</x:v>
      </x:c>
      <x:c r="N37" s="28" t="str">
        <x:v>No banked account XP beyond L40. Lifetime statistics may continue.</x:v>
      </x:c>
    </x:row>
    <x:row r="38" ht="58" customHeight="1">
      <x:c r="A38" s="28" t="n">
        <x:v>34</x:v>
      </x:c>
      <x:c r="B38" s="28" t="str">
        <x:f>IF(A38&lt;='Inputs'!$B$5,"Launch","HOLD / unvalidated")</x:f>
        <x:v>Launch</x:v>
      </x:c>
      <x:c r="C38" s="28" t="n">
        <x:f>SUMIF('Tanks'!$C$5:$C$19,"&lt;="&amp;A38,'Tanks'!$D$5:$D$19)</x:f>
        <x:v>85</x:v>
      </x:c>
      <x:c r="D38" s="38" t="n">
        <x:f>'Inputs'!$B$14*(1+'Inputs'!$B$15*(A38-1))*C38*'Inputs'!$B$32</x:f>
        <x:v>63367.49999999999</x:v>
      </x:c>
      <x:c r="E38" s="38" t="n">
        <x:f>'Inputs'!$B$16*(1+'Inputs'!$B$17*(A38-1))*C38*'Inputs'!$B$32</x:f>
        <x:v>9044.000000000002</x:v>
      </x:c>
      <x:c r="F38" s="34" t="n">
        <x:v>3.8</x:v>
      </x:c>
      <x:c r="G38" s="38" t="n">
        <x:f>IF(A38&gt;='Inputs'!$B$6,0,IF(A38=1,'Inputs'!$B$11,ROUNDUP(E38*(1+IF(A38&gt;=3,'Inputs'!$B$27+'Inputs'!$B$29/7,0))*F38/10,0)*10))</x:f>
        <x:v>41440</x:v>
      </x:c>
      <x:c r="H38" s="38" t="n">
        <x:f>H37+G37</x:f>
        <x:v>437620</x:v>
      </x:c>
      <x:c r="I38" s="38" t="n">
        <x:f>IF(A38=1,0,IF(A38=2,'Inputs'!$B$12,ROUND(D38*'Inputs'!$B$51/5,0)*5))</x:f>
        <x:v>950</x:v>
      </x:c>
      <x:c r="J38" s="38" t="n">
        <x:f>IF(A38=1,0,IF(A38=2,'Inputs'!$B$13,IF(MOD(A38,5)=0,3,IF(MOD(A38,2)=0,1,0))))</x:f>
        <x:v>1</x:v>
      </x:c>
      <x:c r="K38" s="28" t="n">
        <x:f>COUNTIFS('Coin Fish'!$D$5:$D$76,A38,'Coin Fish'!$E$5:$E$76,"Launch")</x:f>
        <x:v>1</x:v>
      </x:c>
      <x:c r="L38" s="28" t="n">
        <x:f>COUNTIFS('Decor Catalog'!$G$5:$G$124,A38,'Decor Catalog'!$T$5:$T$124,"Launch")</x:f>
        <x:v>2</x:v>
      </x:c>
      <x:c r="M38" s="28" t="str">
        <x:v>Sunburst Anthias; fifth tank; Reef Palace project</x:v>
      </x:c>
      <x:c r="N38" s="28" t="str">
        <x:v>No banked account XP beyond L40. Lifetime statistics may continue.</x:v>
      </x:c>
    </x:row>
    <x:row r="39" ht="58" customHeight="1">
      <x:c r="A39" s="28" t="n">
        <x:v>35</x:v>
      </x:c>
      <x:c r="B39" s="28" t="str">
        <x:f>IF(A39&lt;='Inputs'!$B$5,"Launch","HOLD / unvalidated")</x:f>
        <x:v>Launch</x:v>
      </x:c>
      <x:c r="C39" s="28" t="n">
        <x:f>SUMIF('Tanks'!$C$5:$C$19,"&lt;="&amp;A39,'Tanks'!$D$5:$D$19)</x:f>
        <x:v>85</x:v>
      </x:c>
      <x:c r="D39" s="38" t="n">
        <x:f>'Inputs'!$B$14*(1+'Inputs'!$B$15*(A39-1))*C39*'Inputs'!$B$32</x:f>
        <x:v>64515</x:v>
      </x:c>
      <x:c r="E39" s="38" t="n">
        <x:f>'Inputs'!$B$16*(1+'Inputs'!$B$17*(A39-1))*C39*'Inputs'!$B$32</x:f>
        <x:v>9112.000000000002</x:v>
      </x:c>
      <x:c r="F39" s="34" t="n">
        <x:v>4</x:v>
      </x:c>
      <x:c r="G39" s="38" t="n">
        <x:f>IF(A39&gt;='Inputs'!$B$6,0,IF(A39=1,'Inputs'!$B$11,ROUNDUP(E39*(1+IF(A39&gt;=3,'Inputs'!$B$27+'Inputs'!$B$29/7,0))*F39/10,0)*10))</x:f>
        <x:v>43950</x:v>
      </x:c>
      <x:c r="H39" s="38" t="n">
        <x:f>H38+G38</x:f>
        <x:v>479060</x:v>
      </x:c>
      <x:c r="I39" s="38" t="n">
        <x:f>IF(A39=1,0,IF(A39=2,'Inputs'!$B$12,ROUND(D39*'Inputs'!$B$51/5,0)*5))</x:f>
        <x:v>970</x:v>
      </x:c>
      <x:c r="J39" s="38" t="n">
        <x:f>IF(A39=1,0,IF(A39=2,'Inputs'!$B$13,IF(MOD(A39,5)=0,3,IF(MOD(A39,2)=0,1,0))))</x:f>
        <x:v>3</x:v>
      </x:c>
      <x:c r="K39" s="28" t="n">
        <x:f>COUNTIFS('Coin Fish'!$D$5:$D$76,A39,'Coin Fish'!$E$5:$E$76,"Launch")</x:f>
        <x:v>1</x:v>
      </x:c>
      <x:c r="L39" s="28" t="n">
        <x:f>COUNTIFS('Decor Catalog'!$G$5:$G$124,A39,'Decor Catalog'!$T$5:$T$124,"Launch")</x:f>
        <x:v>1</x:v>
      </x:c>
      <x:c r="M39" s="28" t="str">
        <x:v>Discus; large expressive silhouette</x:v>
      </x:c>
      <x:c r="N39" s="28" t="str">
        <x:v>No banked account XP beyond L40. Lifetime statistics may continue.</x:v>
      </x:c>
    </x:row>
    <x:row r="40" ht="58" customHeight="1">
      <x:c r="A40" s="28" t="n">
        <x:v>36</x:v>
      </x:c>
      <x:c r="B40" s="28" t="str">
        <x:f>IF(A40&lt;='Inputs'!$B$5,"Launch","HOLD / unvalidated")</x:f>
        <x:v>Launch</x:v>
      </x:c>
      <x:c r="C40" s="28" t="n">
        <x:f>SUMIF('Tanks'!$C$5:$C$19,"&lt;="&amp;A40,'Tanks'!$D$5:$D$19)</x:f>
        <x:v>90</x:v>
      </x:c>
      <x:c r="D40" s="38" t="n">
        <x:f>'Inputs'!$B$14*(1+'Inputs'!$B$15*(A40-1))*C40*'Inputs'!$B$32</x:f>
        <x:v>69525.00000000001</x:v>
      </x:c>
      <x:c r="E40" s="38" t="n">
        <x:f>'Inputs'!$B$16*(1+'Inputs'!$B$17*(A40-1))*C40*'Inputs'!$B$32</x:f>
        <x:v>9720.000000000002</x:v>
      </x:c>
      <x:c r="F40" s="34" t="n">
        <x:v>4.2</x:v>
      </x:c>
      <x:c r="G40" s="38" t="n">
        <x:f>IF(A40&gt;='Inputs'!$B$6,0,IF(A40=1,'Inputs'!$B$11,ROUNDUP(E40*(1+IF(A40&gt;=3,'Inputs'!$B$27+'Inputs'!$B$29/7,0))*F40/10,0)*10))</x:f>
        <x:v>49230</x:v>
      </x:c>
      <x:c r="H40" s="38" t="n">
        <x:f>H39+G39</x:f>
        <x:v>523010</x:v>
      </x:c>
      <x:c r="I40" s="38" t="n">
        <x:f>IF(A40=1,0,IF(A40=2,'Inputs'!$B$12,ROUND(D40*'Inputs'!$B$51/5,0)*5))</x:f>
        <x:v>1045</x:v>
      </x:c>
      <x:c r="J40" s="38" t="n">
        <x:f>IF(A40=1,0,IF(A40=2,'Inputs'!$B$13,IF(MOD(A40,5)=0,3,IF(MOD(A40,2)=0,1,0))))</x:f>
        <x:v>1</x:v>
      </x:c>
      <x:c r="K40" s="28" t="n">
        <x:f>COUNTIFS('Coin Fish'!$D$5:$D$76,A40,'Coin Fish'!$E$5:$E$76,"Launch")</x:f>
        <x:v>1</x:v>
      </x:c>
      <x:c r="L40" s="28" t="n">
        <x:f>COUNTIFS('Decor Catalog'!$G$5:$G$124,A40,'Decor Catalog'!$T$5:$T$124,"Launch")</x:f>
        <x:v>2</x:v>
      </x:c>
      <x:c r="M40" s="28" t="str">
        <x:v>Moorish Idol; fourth-tank cap upgrade</x:v>
      </x:c>
      <x:c r="N40" s="28" t="str">
        <x:v>No banked account XP beyond L40. Lifetime statistics may continue.</x:v>
      </x:c>
    </x:row>
    <x:row r="41" ht="58" customHeight="1">
      <x:c r="A41" s="28" t="n">
        <x:v>37</x:v>
      </x:c>
      <x:c r="B41" s="28" t="str">
        <x:f>IF(A41&lt;='Inputs'!$B$5,"Launch","HOLD / unvalidated")</x:f>
        <x:v>Launch</x:v>
      </x:c>
      <x:c r="C41" s="28" t="n">
        <x:f>SUMIF('Tanks'!$C$5:$C$19,"&lt;="&amp;A41,'Tanks'!$D$5:$D$19)</x:f>
        <x:v>90</x:v>
      </x:c>
      <x:c r="D41" s="38" t="n">
        <x:f>'Inputs'!$B$14*(1+'Inputs'!$B$15*(A41-1))*C41*'Inputs'!$B$32</x:f>
        <x:v>70740</x:v>
      </x:c>
      <x:c r="E41" s="38" t="n">
        <x:f>'Inputs'!$B$16*(1+'Inputs'!$B$17*(A41-1))*C41*'Inputs'!$B$32</x:f>
        <x:v>9792</x:v>
      </x:c>
      <x:c r="F41" s="34" t="n">
        <x:v>4.4</x:v>
      </x:c>
      <x:c r="G41" s="38" t="n">
        <x:f>IF(A41&gt;='Inputs'!$B$6,0,IF(A41=1,'Inputs'!$B$11,ROUNDUP(E41*(1+IF(A41&gt;=3,'Inputs'!$B$27+'Inputs'!$B$29/7,0))*F41/10,0)*10))</x:f>
        <x:v>51950</x:v>
      </x:c>
      <x:c r="H41" s="38" t="n">
        <x:f>H40+G40</x:f>
        <x:v>572240</x:v>
      </x:c>
      <x:c r="I41" s="38" t="n">
        <x:f>IF(A41=1,0,IF(A41=2,'Inputs'!$B$12,ROUND(D41*'Inputs'!$B$51/5,0)*5))</x:f>
        <x:v>1060</x:v>
      </x:c>
      <x:c r="J41" s="38" t="n">
        <x:f>IF(A41=1,0,IF(A41=2,'Inputs'!$B$13,IF(MOD(A41,5)=0,3,IF(MOD(A41,2)=0,1,0))))</x:f>
        <x:v>0</x:v>
      </x:c>
      <x:c r="K41" s="28" t="n">
        <x:f>COUNTIFS('Coin Fish'!$D$5:$D$76,A41,'Coin Fish'!$E$5:$E$76,"Launch")</x:f>
        <x:v>1</x:v>
      </x:c>
      <x:c r="L41" s="28" t="n">
        <x:f>COUNTIFS('Decor Catalog'!$G$5:$G$124,A41,'Decor Catalog'!$T$5:$T$124,"Launch")</x:f>
        <x:v>1</x:v>
      </x:c>
      <x:c r="M41" s="28" t="str">
        <x:v>Bluedot Jawfish; earned gallery frame</x:v>
      </x:c>
      <x:c r="N41" s="28" t="str">
        <x:v>No banked account XP beyond L40. Lifetime statistics may continue.</x:v>
      </x:c>
    </x:row>
    <x:row r="42" ht="58" customHeight="1">
      <x:c r="A42" s="28" t="n">
        <x:v>38</x:v>
      </x:c>
      <x:c r="B42" s="28" t="str">
        <x:f>IF(A42&lt;='Inputs'!$B$5,"Launch","HOLD / unvalidated")</x:f>
        <x:v>Launch</x:v>
      </x:c>
      <x:c r="C42" s="28" t="n">
        <x:f>SUMIF('Tanks'!$C$5:$C$19,"&lt;="&amp;A42,'Tanks'!$D$5:$D$19)</x:f>
        <x:v>95</x:v>
      </x:c>
      <x:c r="D42" s="38" t="n">
        <x:f>'Inputs'!$B$14*(1+'Inputs'!$B$15*(A42-1))*C42*'Inputs'!$B$32</x:f>
        <x:v>75952.5</x:v>
      </x:c>
      <x:c r="E42" s="38" t="n">
        <x:f>'Inputs'!$B$16*(1+'Inputs'!$B$17*(A42-1))*C42*'Inputs'!$B$32</x:f>
        <x:v>10412.000000000002</x:v>
      </x:c>
      <x:c r="F42" s="34" t="n">
        <x:v>4.6</x:v>
      </x:c>
      <x:c r="G42" s="38" t="n">
        <x:f>IF(A42&gt;='Inputs'!$B$6,0,IF(A42=1,'Inputs'!$B$11,ROUNDUP(E42*(1+IF(A42&gt;=3,'Inputs'!$B$27+'Inputs'!$B$29/7,0))*F42/10,0)*10))</x:f>
        <x:v>57750</x:v>
      </x:c>
      <x:c r="H42" s="38" t="n">
        <x:f>H41+G41</x:f>
        <x:v>624190</x:v>
      </x:c>
      <x:c r="I42" s="38" t="n">
        <x:f>IF(A42=1,0,IF(A42=2,'Inputs'!$B$12,ROUND(D42*'Inputs'!$B$51/5,0)*5))</x:f>
        <x:v>1140</x:v>
      </x:c>
      <x:c r="J42" s="38" t="n">
        <x:f>IF(A42=1,0,IF(A42=2,'Inputs'!$B$13,IF(MOD(A42,5)=0,3,IF(MOD(A42,2)=0,1,0))))</x:f>
        <x:v>1</x:v>
      </x:c>
      <x:c r="K42" s="28" t="n">
        <x:f>COUNTIFS('Coin Fish'!$D$5:$D$76,A42,'Coin Fish'!$E$5:$E$76,"Launch")</x:f>
        <x:v>1</x:v>
      </x:c>
      <x:c r="L42" s="28" t="n">
        <x:f>COUNTIFS('Decor Catalog'!$G$5:$G$124,A42,'Decor Catalog'!$T$5:$T$124,"Launch")</x:f>
        <x:v>2</x:v>
      </x:c>
      <x:c r="M42" s="28" t="str">
        <x:v>Blueline Triggerfish; fifth-tank expansion; Observatory project</x:v>
      </x:c>
      <x:c r="N42" s="28" t="str">
        <x:v>No banked account XP beyond L40. Lifetime statistics may continue.</x:v>
      </x:c>
    </x:row>
    <x:row r="43" ht="58" customHeight="1">
      <x:c r="A43" s="28" t="n">
        <x:v>39</x:v>
      </x:c>
      <x:c r="B43" s="28" t="str">
        <x:f>IF(A43&lt;='Inputs'!$B$5,"Launch","HOLD / unvalidated")</x:f>
        <x:v>Launch</x:v>
      </x:c>
      <x:c r="C43" s="28" t="n">
        <x:f>SUMIF('Tanks'!$C$5:$C$19,"&lt;="&amp;A43,'Tanks'!$D$5:$D$19)</x:f>
        <x:v>95</x:v>
      </x:c>
      <x:c r="D43" s="38" t="n">
        <x:f>'Inputs'!$B$14*(1+'Inputs'!$B$15*(A43-1))*C43*'Inputs'!$B$32</x:f>
        <x:v>77235</x:v>
      </x:c>
      <x:c r="E43" s="38" t="n">
        <x:f>'Inputs'!$B$16*(1+'Inputs'!$B$17*(A43-1))*C43*'Inputs'!$B$32</x:f>
        <x:v>10488</x:v>
      </x:c>
      <x:c r="F43" s="34" t="n">
        <x:v>4.8</x:v>
      </x:c>
      <x:c r="G43" s="38" t="n">
        <x:f>IF(A43&gt;='Inputs'!$B$6,0,IF(A43=1,'Inputs'!$B$11,ROUNDUP(E43*(1+IF(A43&gt;=3,'Inputs'!$B$27+'Inputs'!$B$29/7,0))*F43/10,0)*10))</x:f>
        <x:v>60700</x:v>
      </x:c>
      <x:c r="H43" s="38" t="n">
        <x:f>H42+G42</x:f>
        <x:v>681940</x:v>
      </x:c>
      <x:c r="I43" s="38" t="n">
        <x:f>IF(A43=1,0,IF(A43=2,'Inputs'!$B$12,ROUND(D43*'Inputs'!$B$51/5,0)*5))</x:f>
        <x:v>1160</x:v>
      </x:c>
      <x:c r="J43" s="38" t="n">
        <x:f>IF(A43=1,0,IF(A43=2,'Inputs'!$B$13,IF(MOD(A43,5)=0,3,IF(MOD(A43,2)=0,1,0))))</x:f>
        <x:v>0</x:v>
      </x:c>
      <x:c r="K43" s="28" t="n">
        <x:f>COUNTIFS('Coin Fish'!$D$5:$D$76,A43,'Coin Fish'!$E$5:$E$76,"Launch")</x:f>
        <x:v>1</x:v>
      </x:c>
      <x:c r="L43" s="28" t="n">
        <x:f>COUNTIFS('Decor Catalog'!$G$5:$G$124,A43,'Decor Catalog'!$T$5:$T$124,"Launch")</x:f>
        <x:v>1</x:v>
      </x:c>
      <x:c r="M43" s="28" t="str">
        <x:v>Harlequin Tuskfish; capstone preview</x:v>
      </x:c>
      <x:c r="N43" s="28" t="str">
        <x:v>No banked account XP beyond L40. Lifetime statistics may continue.</x:v>
      </x:c>
    </x:row>
    <x:row r="44" ht="58" customHeight="1">
      <x:c r="A44" s="28" t="n">
        <x:v>40</x:v>
      </x:c>
      <x:c r="B44" s="28" t="str">
        <x:f>IF(A44&lt;='Inputs'!$B$5,"Launch","HOLD / unvalidated")</x:f>
        <x:v>Launch</x:v>
      </x:c>
      <x:c r="C44" s="28" t="n">
        <x:f>SUMIF('Tanks'!$C$5:$C$19,"&lt;="&amp;A44,'Tanks'!$D$5:$D$19)</x:f>
        <x:v>100</x:v>
      </x:c>
      <x:c r="D44" s="38" t="n">
        <x:f>'Inputs'!$B$14*(1+'Inputs'!$B$15*(A44-1))*C44*'Inputs'!$B$32</x:f>
        <x:v>82650</x:v>
      </x:c>
      <x:c r="E44" s="38" t="n">
        <x:f>'Inputs'!$B$16*(1+'Inputs'!$B$17*(A44-1))*C44*'Inputs'!$B$32</x:f>
        <x:v>11120</x:v>
      </x:c>
      <x:c r="F44" s="34" t="n">
        <x:v>5</x:v>
      </x:c>
      <x:c r="G44" s="38" t="n">
        <x:f>IF(A44&gt;='Inputs'!$B$6,0,IF(A44=1,'Inputs'!$B$11,ROUNDUP(E44*(1+IF(A44&gt;=3,'Inputs'!$B$27+'Inputs'!$B$29/7,0))*F44/10,0)*10))</x:f>
        <x:v>67040</x:v>
      </x:c>
      <x:c r="H44" s="38" t="n">
        <x:f>H43+G43</x:f>
        <x:v>742640</x:v>
      </x:c>
      <x:c r="I44" s="38" t="n">
        <x:f>IF(A44=1,0,IF(A44=2,'Inputs'!$B$12,ROUND(D44*'Inputs'!$B$51/5,0)*5))</x:f>
        <x:v>1240</x:v>
      </x:c>
      <x:c r="J44" s="38" t="n">
        <x:f>IF(A44=1,0,IF(A44=2,'Inputs'!$B$13,IF(MOD(A44,5)=0,3,IF(MOD(A44,2)=0,1,0))))</x:f>
        <x:v>3</x:v>
      </x:c>
      <x:c r="K44" s="28" t="n">
        <x:f>COUNTIFS('Coin Fish'!$D$5:$D$76,A44,'Coin Fish'!$E$5:$E$76,"Launch")</x:f>
        <x:v>1</x:v>
      </x:c>
      <x:c r="L44" s="28" t="n">
        <x:f>COUNTIFS('Decor Catalog'!$G$5:$G$124,A44,'Decor Catalog'!$T$5:$T$124,"Launch")</x:f>
        <x:v>3</x:v>
      </x:c>
      <x:c r="M44" s="28" t="str">
        <x:v>Queen Angelfish; 100 production slots; Aurora / Grand Gallery; no level reset</x:v>
      </x:c>
      <x:c r="N44" s="28" t="str">
        <x:v>No banked account XP beyond L40. Lifetime statistics may continue.</x:v>
      </x:c>
    </x:row>
    <x:row r="45" ht="58" customHeight="1">
      <x:c r="A45" s="28" t="n">
        <x:v>41</x:v>
      </x:c>
      <x:c r="B45" s="28" t="str">
        <x:f>IF(A45&lt;='Inputs'!$B$5,"Launch","HOLD / unvalidated")</x:f>
        <x:v>HOLD / unvalidated</x:v>
      </x:c>
      <x:c r="C45" s="28" t="n">
        <x:f>SUMIF('Tanks'!$C$5:$C$19,"&lt;="&amp;A45,'Tanks'!$D$5:$D$19)</x:f>
        <x:v>100</x:v>
      </x:c>
      <x:c r="D45" s="38" t="n">
        <x:f>'Inputs'!$B$14*(1+'Inputs'!$B$15*(A45-1))*C45*'Inputs'!$B$32</x:f>
        <x:v>83999.99999999999</x:v>
      </x:c>
      <x:c r="E45" s="38" t="n">
        <x:f>'Inputs'!$B$16*(1+'Inputs'!$B$17*(A45-1))*C45*'Inputs'!$B$32</x:f>
        <x:v>11199.999999999998</x:v>
      </x:c>
      <x:c r="F45" s="34" t="n">
        <x:v>5.15</x:v>
      </x:c>
      <x:c r="G45" s="38" t="n">
        <x:f>IF(A45&gt;='Inputs'!$B$6,0,IF(A45=1,'Inputs'!$B$11,ROUNDUP(E45*(1+IF(A45&gt;=3,'Inputs'!$B$27+'Inputs'!$B$29/7,0))*F45/10,0)*10))</x:f>
        <x:v>69550</x:v>
      </x:c>
      <x:c r="H45" s="38" t="n">
        <x:f>H44+G44</x:f>
        <x:v>809680</x:v>
      </x:c>
      <x:c r="I45" s="38" t="n">
        <x:f>IF(A45=1,0,IF(A45=2,'Inputs'!$B$12,ROUND(D45*'Inputs'!$B$51/5,0)*5))</x:f>
        <x:v>1260</x:v>
      </x:c>
      <x:c r="J45" s="38" t="n">
        <x:f>IF(A45=1,0,IF(A45=2,'Inputs'!$B$13,IF(MOD(A45,5)=0,3,IF(MOD(A45,2)=0,1,0))))</x:f>
        <x:v>0</x:v>
      </x:c>
      <x:c r="K45" s="28" t="n">
        <x:f>COUNTIFS('Coin Fish'!$D$5:$D$76,A45,'Coin Fish'!$E$5:$E$76,"Launch")</x:f>
        <x:v>0</x:v>
      </x:c>
      <x:c r="L45" s="28" t="n">
        <x:f>COUNTIFS('Decor Catalog'!$G$5:$G$124,A45,'Decor Catalog'!$T$5:$T$124,"Launch")</x:f>
        <x:v>0</x:v>
      </x:c>
      <x:c r="M45" s="28" t="str">
        <x:v>Catalog reserve only; re-simulate new tanks, sinks and content before activating this level.</x:v>
      </x:c>
      <x:c r="N45" s="28" t="str">
        <x:v>No banked account XP beyond L40. Lifetime statistics may continue.</x:v>
      </x:c>
    </x:row>
    <x:row r="46" ht="58" customHeight="1">
      <x:c r="A46" s="28" t="n">
        <x:v>42</x:v>
      </x:c>
      <x:c r="B46" s="28" t="str">
        <x:f>IF(A46&lt;='Inputs'!$B$5,"Launch","HOLD / unvalidated")</x:f>
        <x:v>HOLD / unvalidated</x:v>
      </x:c>
      <x:c r="C46" s="28" t="n">
        <x:f>SUMIF('Tanks'!$C$5:$C$19,"&lt;="&amp;A46,'Tanks'!$D$5:$D$19)</x:f>
        <x:v>100</x:v>
      </x:c>
      <x:c r="D46" s="38" t="n">
        <x:f>'Inputs'!$B$14*(1+'Inputs'!$B$15*(A46-1))*C46*'Inputs'!$B$32</x:f>
        <x:v>85349.99999999999</x:v>
      </x:c>
      <x:c r="E46" s="38" t="n">
        <x:f>'Inputs'!$B$16*(1+'Inputs'!$B$17*(A46-1))*C46*'Inputs'!$B$32</x:f>
        <x:v>11280.000000000002</x:v>
      </x:c>
      <x:c r="F46" s="34" t="n">
        <x:v>5.3</x:v>
      </x:c>
      <x:c r="G46" s="38" t="n">
        <x:f>IF(A46&gt;='Inputs'!$B$6,0,IF(A46=1,'Inputs'!$B$11,ROUNDUP(E46*(1+IF(A46&gt;=3,'Inputs'!$B$27+'Inputs'!$B$29/7,0))*F46/10,0)*10))</x:f>
        <x:v>72090</x:v>
      </x:c>
      <x:c r="H46" s="38" t="n">
        <x:f>H45+G45</x:f>
        <x:v>879230</x:v>
      </x:c>
      <x:c r="I46" s="38" t="n">
        <x:f>IF(A46=1,0,IF(A46=2,'Inputs'!$B$12,ROUND(D46*'Inputs'!$B$51/5,0)*5))</x:f>
        <x:v>1280</x:v>
      </x:c>
      <x:c r="J46" s="38" t="n">
        <x:f>IF(A46=1,0,IF(A46=2,'Inputs'!$B$13,IF(MOD(A46,5)=0,3,IF(MOD(A46,2)=0,1,0))))</x:f>
        <x:v>1</x:v>
      </x:c>
      <x:c r="K46" s="28" t="n">
        <x:f>COUNTIFS('Coin Fish'!$D$5:$D$76,A46,'Coin Fish'!$E$5:$E$76,"Launch")</x:f>
        <x:v>0</x:v>
      </x:c>
      <x:c r="L46" s="28" t="n">
        <x:f>COUNTIFS('Decor Catalog'!$G$5:$G$124,A46,'Decor Catalog'!$T$5:$T$124,"Launch")</x:f>
        <x:v>0</x:v>
      </x:c>
      <x:c r="M46" s="28" t="str">
        <x:v>Catalog reserve only; re-simulate new tanks, sinks and content before activating this level.</x:v>
      </x:c>
      <x:c r="N46" s="28" t="str">
        <x:v>No banked account XP beyond L40. Lifetime statistics may continue.</x:v>
      </x:c>
    </x:row>
    <x:row r="47" ht="58" customHeight="1">
      <x:c r="A47" s="28" t="n">
        <x:v>43</x:v>
      </x:c>
      <x:c r="B47" s="28" t="str">
        <x:f>IF(A47&lt;='Inputs'!$B$5,"Launch","HOLD / unvalidated")</x:f>
        <x:v>HOLD / unvalidated</x:v>
      </x:c>
      <x:c r="C47" s="28" t="n">
        <x:f>SUMIF('Tanks'!$C$5:$C$19,"&lt;="&amp;A47,'Tanks'!$D$5:$D$19)</x:f>
        <x:v>100</x:v>
      </x:c>
      <x:c r="D47" s="38" t="n">
        <x:f>'Inputs'!$B$14*(1+'Inputs'!$B$15*(A47-1))*C47*'Inputs'!$B$32</x:f>
        <x:v>86699.99999999999</x:v>
      </x:c>
      <x:c r="E47" s="38" t="n">
        <x:f>'Inputs'!$B$16*(1+'Inputs'!$B$17*(A47-1))*C47*'Inputs'!$B$32</x:f>
        <x:v>11360</x:v>
      </x:c>
      <x:c r="F47" s="34" t="n">
        <x:v>5.45</x:v>
      </x:c>
      <x:c r="G47" s="38" t="n">
        <x:f>IF(A47&gt;='Inputs'!$B$6,0,IF(A47=1,'Inputs'!$B$11,ROUNDUP(E47*(1+IF(A47&gt;=3,'Inputs'!$B$27+'Inputs'!$B$29/7,0))*F47/10,0)*10))</x:f>
        <x:v>74650</x:v>
      </x:c>
      <x:c r="H47" s="38" t="n">
        <x:f>H46+G46</x:f>
        <x:v>951320</x:v>
      </x:c>
      <x:c r="I47" s="38" t="n">
        <x:f>IF(A47=1,0,IF(A47=2,'Inputs'!$B$12,ROUND(D47*'Inputs'!$B$51/5,0)*5))</x:f>
        <x:v>1300</x:v>
      </x:c>
      <x:c r="J47" s="38" t="n">
        <x:f>IF(A47=1,0,IF(A47=2,'Inputs'!$B$13,IF(MOD(A47,5)=0,3,IF(MOD(A47,2)=0,1,0))))</x:f>
        <x:v>0</x:v>
      </x:c>
      <x:c r="K47" s="28" t="n">
        <x:f>COUNTIFS('Coin Fish'!$D$5:$D$76,A47,'Coin Fish'!$E$5:$E$76,"Launch")</x:f>
        <x:v>0</x:v>
      </x:c>
      <x:c r="L47" s="28" t="n">
        <x:f>COUNTIFS('Decor Catalog'!$G$5:$G$124,A47,'Decor Catalog'!$T$5:$T$124,"Launch")</x:f>
        <x:v>0</x:v>
      </x:c>
      <x:c r="M47" s="28" t="str">
        <x:v>Catalog reserve only; re-simulate new tanks, sinks and content before activating this level.</x:v>
      </x:c>
      <x:c r="N47" s="28" t="str">
        <x:v>No banked account XP beyond L40. Lifetime statistics may continue.</x:v>
      </x:c>
    </x:row>
    <x:row r="48" ht="58" customHeight="1">
      <x:c r="A48" s="28" t="n">
        <x:v>44</x:v>
      </x:c>
      <x:c r="B48" s="28" t="str">
        <x:f>IF(A48&lt;='Inputs'!$B$5,"Launch","HOLD / unvalidated")</x:f>
        <x:v>HOLD / unvalidated</x:v>
      </x:c>
      <x:c r="C48" s="28" t="n">
        <x:f>SUMIF('Tanks'!$C$5:$C$19,"&lt;="&amp;A48,'Tanks'!$D$5:$D$19)</x:f>
        <x:v>100</x:v>
      </x:c>
      <x:c r="D48" s="38" t="n">
        <x:f>'Inputs'!$B$14*(1+'Inputs'!$B$15*(A48-1))*C48*'Inputs'!$B$32</x:f>
        <x:v>88049.99999999999</x:v>
      </x:c>
      <x:c r="E48" s="38" t="n">
        <x:f>'Inputs'!$B$16*(1+'Inputs'!$B$17*(A48-1))*C48*'Inputs'!$B$32</x:f>
        <x:v>11440</x:v>
      </x:c>
      <x:c r="F48" s="34" t="n">
        <x:v>5.6</x:v>
      </x:c>
      <x:c r="G48" s="38" t="n">
        <x:f>IF(A48&gt;='Inputs'!$B$6,0,IF(A48=1,'Inputs'!$B$11,ROUNDUP(E48*(1+IF(A48&gt;=3,'Inputs'!$B$27+'Inputs'!$B$29/7,0))*F48/10,0)*10))</x:f>
        <x:v>77250</x:v>
      </x:c>
      <x:c r="H48" s="38" t="n">
        <x:f>H47+G47</x:f>
        <x:v>1025970</x:v>
      </x:c>
      <x:c r="I48" s="38" t="n">
        <x:f>IF(A48=1,0,IF(A48=2,'Inputs'!$B$12,ROUND(D48*'Inputs'!$B$51/5,0)*5))</x:f>
        <x:v>1320</x:v>
      </x:c>
      <x:c r="J48" s="38" t="n">
        <x:f>IF(A48=1,0,IF(A48=2,'Inputs'!$B$13,IF(MOD(A48,5)=0,3,IF(MOD(A48,2)=0,1,0))))</x:f>
        <x:v>1</x:v>
      </x:c>
      <x:c r="K48" s="28" t="n">
        <x:f>COUNTIFS('Coin Fish'!$D$5:$D$76,A48,'Coin Fish'!$E$5:$E$76,"Launch")</x:f>
        <x:v>0</x:v>
      </x:c>
      <x:c r="L48" s="28" t="n">
        <x:f>COUNTIFS('Decor Catalog'!$G$5:$G$124,A48,'Decor Catalog'!$T$5:$T$124,"Launch")</x:f>
        <x:v>0</x:v>
      </x:c>
      <x:c r="M48" s="28" t="str">
        <x:v>Catalog reserve only; re-simulate new tanks, sinks and content before activating this level.</x:v>
      </x:c>
      <x:c r="N48" s="28" t="str">
        <x:v>No banked account XP beyond L40. Lifetime statistics may continue.</x:v>
      </x:c>
    </x:row>
    <x:row r="49" ht="58" customHeight="1">
      <x:c r="A49" s="28" t="n">
        <x:v>45</x:v>
      </x:c>
      <x:c r="B49" s="28" t="str">
        <x:f>IF(A49&lt;='Inputs'!$B$5,"Launch","HOLD / unvalidated")</x:f>
        <x:v>HOLD / unvalidated</x:v>
      </x:c>
      <x:c r="C49" s="28" t="n">
        <x:f>SUMIF('Tanks'!$C$5:$C$19,"&lt;="&amp;A49,'Tanks'!$D$5:$D$19)</x:f>
        <x:v>100</x:v>
      </x:c>
      <x:c r="D49" s="38" t="n">
        <x:f>'Inputs'!$B$14*(1+'Inputs'!$B$15*(A49-1))*C49*'Inputs'!$B$32</x:f>
        <x:v>89400</x:v>
      </x:c>
      <x:c r="E49" s="38" t="n">
        <x:f>'Inputs'!$B$16*(1+'Inputs'!$B$17*(A49-1))*C49*'Inputs'!$B$32</x:f>
        <x:v>11520</x:v>
      </x:c>
      <x:c r="F49" s="34" t="n">
        <x:v>5.75</x:v>
      </x:c>
      <x:c r="G49" s="38" t="n">
        <x:f>IF(A49&gt;='Inputs'!$B$6,0,IF(A49=1,'Inputs'!$B$11,ROUNDUP(E49*(1+IF(A49&gt;=3,'Inputs'!$B$27+'Inputs'!$B$29/7,0))*F49/10,0)*10))</x:f>
        <x:v>79870</x:v>
      </x:c>
      <x:c r="H49" s="38" t="n">
        <x:f>H48+G48</x:f>
        <x:v>1103220</x:v>
      </x:c>
      <x:c r="I49" s="38" t="n">
        <x:f>IF(A49=1,0,IF(A49=2,'Inputs'!$B$12,ROUND(D49*'Inputs'!$B$51/5,0)*5))</x:f>
        <x:v>1340</x:v>
      </x:c>
      <x:c r="J49" s="38" t="n">
        <x:f>IF(A49=1,0,IF(A49=2,'Inputs'!$B$13,IF(MOD(A49,5)=0,3,IF(MOD(A49,2)=0,1,0))))</x:f>
        <x:v>3</x:v>
      </x:c>
      <x:c r="K49" s="28" t="n">
        <x:f>COUNTIFS('Coin Fish'!$D$5:$D$76,A49,'Coin Fish'!$E$5:$E$76,"Launch")</x:f>
        <x:v>0</x:v>
      </x:c>
      <x:c r="L49" s="28" t="n">
        <x:f>COUNTIFS('Decor Catalog'!$G$5:$G$124,A49,'Decor Catalog'!$T$5:$T$124,"Launch")</x:f>
        <x:v>0</x:v>
      </x:c>
      <x:c r="M49" s="28" t="str">
        <x:v>Catalog reserve only; re-simulate new tanks, sinks and content before activating this level.</x:v>
      </x:c>
      <x:c r="N49" s="28" t="str">
        <x:v>No banked account XP beyond L40. Lifetime statistics may continue.</x:v>
      </x:c>
    </x:row>
    <x:row r="50" ht="58" customHeight="1">
      <x:c r="A50" s="28" t="n">
        <x:v>46</x:v>
      </x:c>
      <x:c r="B50" s="28" t="str">
        <x:f>IF(A50&lt;='Inputs'!$B$5,"Launch","HOLD / unvalidated")</x:f>
        <x:v>HOLD / unvalidated</x:v>
      </x:c>
      <x:c r="C50" s="28" t="n">
        <x:f>SUMIF('Tanks'!$C$5:$C$19,"&lt;="&amp;A50,'Tanks'!$D$5:$D$19)</x:f>
        <x:v>100</x:v>
      </x:c>
      <x:c r="D50" s="38" t="n">
        <x:f>'Inputs'!$B$14*(1+'Inputs'!$B$15*(A50-1))*C50*'Inputs'!$B$32</x:f>
        <x:v>90750</x:v>
      </x:c>
      <x:c r="E50" s="38" t="n">
        <x:f>'Inputs'!$B$16*(1+'Inputs'!$B$17*(A50-1))*C50*'Inputs'!$B$32</x:f>
        <x:v>11599.999999999998</x:v>
      </x:c>
      <x:c r="F50" s="34" t="n">
        <x:v>5.9</x:v>
      </x:c>
      <x:c r="G50" s="38" t="n">
        <x:f>IF(A50&gt;='Inputs'!$B$6,0,IF(A50=1,'Inputs'!$B$11,ROUNDUP(E50*(1+IF(A50&gt;=3,'Inputs'!$B$27+'Inputs'!$B$29/7,0))*F50/10,0)*10))</x:f>
        <x:v>82520</x:v>
      </x:c>
      <x:c r="H50" s="38" t="n">
        <x:f>H49+G49</x:f>
        <x:v>1183090</x:v>
      </x:c>
      <x:c r="I50" s="38" t="n">
        <x:f>IF(A50=1,0,IF(A50=2,'Inputs'!$B$12,ROUND(D50*'Inputs'!$B$51/5,0)*5))</x:f>
        <x:v>1360</x:v>
      </x:c>
      <x:c r="J50" s="38" t="n">
        <x:f>IF(A50=1,0,IF(A50=2,'Inputs'!$B$13,IF(MOD(A50,5)=0,3,IF(MOD(A50,2)=0,1,0))))</x:f>
        <x:v>1</x:v>
      </x:c>
      <x:c r="K50" s="28" t="n">
        <x:f>COUNTIFS('Coin Fish'!$D$5:$D$76,A50,'Coin Fish'!$E$5:$E$76,"Launch")</x:f>
        <x:v>0</x:v>
      </x:c>
      <x:c r="L50" s="28" t="n">
        <x:f>COUNTIFS('Decor Catalog'!$G$5:$G$124,A50,'Decor Catalog'!$T$5:$T$124,"Launch")</x:f>
        <x:v>0</x:v>
      </x:c>
      <x:c r="M50" s="28" t="str">
        <x:v>Catalog reserve only; re-simulate new tanks, sinks and content before activating this level.</x:v>
      </x:c>
      <x:c r="N50" s="28" t="str">
        <x:v>No banked account XP beyond L40. Lifetime statistics may continue.</x:v>
      </x:c>
    </x:row>
    <x:row r="51" ht="58" customHeight="1">
      <x:c r="A51" s="28" t="n">
        <x:v>47</x:v>
      </x:c>
      <x:c r="B51" s="28" t="str">
        <x:f>IF(A51&lt;='Inputs'!$B$5,"Launch","HOLD / unvalidated")</x:f>
        <x:v>HOLD / unvalidated</x:v>
      </x:c>
      <x:c r="C51" s="28" t="n">
        <x:f>SUMIF('Tanks'!$C$5:$C$19,"&lt;="&amp;A51,'Tanks'!$D$5:$D$19)</x:f>
        <x:v>100</x:v>
      </x:c>
      <x:c r="D51" s="38" t="n">
        <x:f>'Inputs'!$B$14*(1+'Inputs'!$B$15*(A51-1))*C51*'Inputs'!$B$32</x:f>
        <x:v>92100</x:v>
      </x:c>
      <x:c r="E51" s="38" t="n">
        <x:f>'Inputs'!$B$16*(1+'Inputs'!$B$17*(A51-1))*C51*'Inputs'!$B$32</x:f>
        <x:v>11680</x:v>
      </x:c>
      <x:c r="F51" s="34" t="n">
        <x:v>6.05</x:v>
      </x:c>
      <x:c r="G51" s="38" t="n">
        <x:f>IF(A51&gt;='Inputs'!$B$6,0,IF(A51=1,'Inputs'!$B$11,ROUNDUP(E51*(1+IF(A51&gt;=3,'Inputs'!$B$27+'Inputs'!$B$29/7,0))*F51/10,0)*10))</x:f>
        <x:v>85210</x:v>
      </x:c>
      <x:c r="H51" s="38" t="n">
        <x:f>H50+G50</x:f>
        <x:v>1265610</x:v>
      </x:c>
      <x:c r="I51" s="38" t="n">
        <x:f>IF(A51=1,0,IF(A51=2,'Inputs'!$B$12,ROUND(D51*'Inputs'!$B$51/5,0)*5))</x:f>
        <x:v>1380</x:v>
      </x:c>
      <x:c r="J51" s="38" t="n">
        <x:f>IF(A51=1,0,IF(A51=2,'Inputs'!$B$13,IF(MOD(A51,5)=0,3,IF(MOD(A51,2)=0,1,0))))</x:f>
        <x:v>0</x:v>
      </x:c>
      <x:c r="K51" s="28" t="n">
        <x:f>COUNTIFS('Coin Fish'!$D$5:$D$76,A51,'Coin Fish'!$E$5:$E$76,"Launch")</x:f>
        <x:v>0</x:v>
      </x:c>
      <x:c r="L51" s="28" t="n">
        <x:f>COUNTIFS('Decor Catalog'!$G$5:$G$124,A51,'Decor Catalog'!$T$5:$T$124,"Launch")</x:f>
        <x:v>0</x:v>
      </x:c>
      <x:c r="M51" s="28" t="str">
        <x:v>Catalog reserve only; re-simulate new tanks, sinks and content before activating this level.</x:v>
      </x:c>
      <x:c r="N51" s="28" t="str">
        <x:v>No banked account XP beyond L40. Lifetime statistics may continue.</x:v>
      </x:c>
    </x:row>
    <x:row r="52" ht="58" customHeight="1">
      <x:c r="A52" s="28" t="n">
        <x:v>48</x:v>
      </x:c>
      <x:c r="B52" s="28" t="str">
        <x:f>IF(A52&lt;='Inputs'!$B$5,"Launch","HOLD / unvalidated")</x:f>
        <x:v>HOLD / unvalidated</x:v>
      </x:c>
      <x:c r="C52" s="28" t="n">
        <x:f>SUMIF('Tanks'!$C$5:$C$19,"&lt;="&amp;A52,'Tanks'!$D$5:$D$19)</x:f>
        <x:v>100</x:v>
      </x:c>
      <x:c r="D52" s="38" t="n">
        <x:f>'Inputs'!$B$14*(1+'Inputs'!$B$15*(A52-1))*C52*'Inputs'!$B$32</x:f>
        <x:v>93449.99999999999</x:v>
      </x:c>
      <x:c r="E52" s="38" t="n">
        <x:f>'Inputs'!$B$16*(1+'Inputs'!$B$17*(A52-1))*C52*'Inputs'!$B$32</x:f>
        <x:v>11760</x:v>
      </x:c>
      <x:c r="F52" s="34" t="n">
        <x:v>6.2</x:v>
      </x:c>
      <x:c r="G52" s="38" t="n">
        <x:f>IF(A52&gt;='Inputs'!$B$6,0,IF(A52=1,'Inputs'!$B$11,ROUNDUP(E52*(1+IF(A52&gt;=3,'Inputs'!$B$27+'Inputs'!$B$29/7,0))*F52/10,0)*10))</x:f>
        <x:v>87920</x:v>
      </x:c>
      <x:c r="H52" s="38" t="n">
        <x:f>H51+G51</x:f>
        <x:v>1350820</x:v>
      </x:c>
      <x:c r="I52" s="38" t="n">
        <x:f>IF(A52=1,0,IF(A52=2,'Inputs'!$B$12,ROUND(D52*'Inputs'!$B$51/5,0)*5))</x:f>
        <x:v>1400</x:v>
      </x:c>
      <x:c r="J52" s="38" t="n">
        <x:f>IF(A52=1,0,IF(A52=2,'Inputs'!$B$13,IF(MOD(A52,5)=0,3,IF(MOD(A52,2)=0,1,0))))</x:f>
        <x:v>1</x:v>
      </x:c>
      <x:c r="K52" s="28" t="n">
        <x:f>COUNTIFS('Coin Fish'!$D$5:$D$76,A52,'Coin Fish'!$E$5:$E$76,"Launch")</x:f>
        <x:v>0</x:v>
      </x:c>
      <x:c r="L52" s="28" t="n">
        <x:f>COUNTIFS('Decor Catalog'!$G$5:$G$124,A52,'Decor Catalog'!$T$5:$T$124,"Launch")</x:f>
        <x:v>0</x:v>
      </x:c>
      <x:c r="M52" s="28" t="str">
        <x:v>Catalog reserve only; re-simulate new tanks, sinks and content before activating this level.</x:v>
      </x:c>
      <x:c r="N52" s="28" t="str">
        <x:v>No banked account XP beyond L40. Lifetime statistics may continue.</x:v>
      </x:c>
    </x:row>
    <x:row r="53" ht="58" customHeight="1">
      <x:c r="A53" s="28" t="n">
        <x:v>49</x:v>
      </x:c>
      <x:c r="B53" s="28" t="str">
        <x:f>IF(A53&lt;='Inputs'!$B$5,"Launch","HOLD / unvalidated")</x:f>
        <x:v>HOLD / unvalidated</x:v>
      </x:c>
      <x:c r="C53" s="28" t="n">
        <x:f>SUMIF('Tanks'!$C$5:$C$19,"&lt;="&amp;A53,'Tanks'!$D$5:$D$19)</x:f>
        <x:v>100</x:v>
      </x:c>
      <x:c r="D53" s="38" t="n">
        <x:f>'Inputs'!$B$14*(1+'Inputs'!$B$15*(A53-1))*C53*'Inputs'!$B$32</x:f>
        <x:v>94800.00000000001</x:v>
      </x:c>
      <x:c r="E53" s="38" t="n">
        <x:f>'Inputs'!$B$16*(1+'Inputs'!$B$17*(A53-1))*C53*'Inputs'!$B$32</x:f>
        <x:v>11839.999999999998</x:v>
      </x:c>
      <x:c r="F53" s="34" t="n">
        <x:v>6.35</x:v>
      </x:c>
      <x:c r="G53" s="38" t="n">
        <x:f>IF(A53&gt;='Inputs'!$B$6,0,IF(A53=1,'Inputs'!$B$11,ROUNDUP(E53*(1+IF(A53&gt;=3,'Inputs'!$B$27+'Inputs'!$B$29/7,0))*F53/10,0)*10))</x:f>
        <x:v>90660</x:v>
      </x:c>
      <x:c r="H53" s="38" t="n">
        <x:f>H52+G52</x:f>
        <x:v>1438740</x:v>
      </x:c>
      <x:c r="I53" s="38" t="n">
        <x:f>IF(A53=1,0,IF(A53=2,'Inputs'!$B$12,ROUND(D53*'Inputs'!$B$51/5,0)*5))</x:f>
        <x:v>1420</x:v>
      </x:c>
      <x:c r="J53" s="38" t="n">
        <x:f>IF(A53=1,0,IF(A53=2,'Inputs'!$B$13,IF(MOD(A53,5)=0,3,IF(MOD(A53,2)=0,1,0))))</x:f>
        <x:v>0</x:v>
      </x:c>
      <x:c r="K53" s="28" t="n">
        <x:f>COUNTIFS('Coin Fish'!$D$5:$D$76,A53,'Coin Fish'!$E$5:$E$76,"Launch")</x:f>
        <x:v>0</x:v>
      </x:c>
      <x:c r="L53" s="28" t="n">
        <x:f>COUNTIFS('Decor Catalog'!$G$5:$G$124,A53,'Decor Catalog'!$T$5:$T$124,"Launch")</x:f>
        <x:v>0</x:v>
      </x:c>
      <x:c r="M53" s="28" t="str">
        <x:v>Catalog reserve only; re-simulate new tanks, sinks and content before activating this level.</x:v>
      </x:c>
      <x:c r="N53" s="28" t="str">
        <x:v>No banked account XP beyond L40. Lifetime statistics may continue.</x:v>
      </x:c>
    </x:row>
    <x:row r="54" ht="58" customHeight="1">
      <x:c r="A54" s="28" t="n">
        <x:v>50</x:v>
      </x:c>
      <x:c r="B54" s="28" t="str">
        <x:f>IF(A54&lt;='Inputs'!$B$5,"Launch","HOLD / unvalidated")</x:f>
        <x:v>HOLD / unvalidated</x:v>
      </x:c>
      <x:c r="C54" s="28" t="n">
        <x:f>SUMIF('Tanks'!$C$5:$C$19,"&lt;="&amp;A54,'Tanks'!$D$5:$D$19)</x:f>
        <x:v>100</x:v>
      </x:c>
      <x:c r="D54" s="38" t="n">
        <x:f>'Inputs'!$B$14*(1+'Inputs'!$B$15*(A54-1))*C54*'Inputs'!$B$32</x:f>
        <x:v>96150</x:v>
      </x:c>
      <x:c r="E54" s="38" t="n">
        <x:f>'Inputs'!$B$16*(1+'Inputs'!$B$17*(A54-1))*C54*'Inputs'!$B$32</x:f>
        <x:v>11920</x:v>
      </x:c>
      <x:c r="F54" s="34" t="n">
        <x:v>6.5</x:v>
      </x:c>
      <x:c r="G54" s="38" t="n">
        <x:f>IF(A54&gt;='Inputs'!$B$6,0,IF(A54=1,'Inputs'!$B$11,ROUNDUP(E54*(1+IF(A54&gt;=3,'Inputs'!$B$27+'Inputs'!$B$29/7,0))*F54/10,0)*10))</x:f>
        <x:v>93420</x:v>
      </x:c>
      <x:c r="H54" s="38" t="n">
        <x:f>H53+G53</x:f>
        <x:v>1529400</x:v>
      </x:c>
      <x:c r="I54" s="38" t="n">
        <x:f>IF(A54=1,0,IF(A54=2,'Inputs'!$B$12,ROUND(D54*'Inputs'!$B$51/5,0)*5))</x:f>
        <x:v>1440</x:v>
      </x:c>
      <x:c r="J54" s="38" t="n">
        <x:f>IF(A54=1,0,IF(A54=2,'Inputs'!$B$13,IF(MOD(A54,5)=0,3,IF(MOD(A54,2)=0,1,0))))</x:f>
        <x:v>3</x:v>
      </x:c>
      <x:c r="K54" s="28" t="n">
        <x:f>COUNTIFS('Coin Fish'!$D$5:$D$76,A54,'Coin Fish'!$E$5:$E$76,"Launch")</x:f>
        <x:v>0</x:v>
      </x:c>
      <x:c r="L54" s="28" t="n">
        <x:f>COUNTIFS('Decor Catalog'!$G$5:$G$124,A54,'Decor Catalog'!$T$5:$T$124,"Launch")</x:f>
        <x:v>0</x:v>
      </x:c>
      <x:c r="M54" s="28" t="str">
        <x:v>Catalog reserve only; re-simulate new tanks, sinks and content before activating this level.</x:v>
      </x:c>
      <x:c r="N54" s="28" t="str">
        <x:v>No banked account XP beyond L40. Lifetime statistics may continue.</x:v>
      </x:c>
    </x:row>
    <x:row r="55" ht="58" customHeight="1">
      <x:c r="A55" s="28" t="n">
        <x:v>51</x:v>
      </x:c>
      <x:c r="B55" s="28" t="str">
        <x:f>IF(A55&lt;='Inputs'!$B$5,"Launch","HOLD / unvalidated")</x:f>
        <x:v>HOLD / unvalidated</x:v>
      </x:c>
      <x:c r="C55" s="28" t="n">
        <x:f>SUMIF('Tanks'!$C$5:$C$19,"&lt;="&amp;A55,'Tanks'!$D$5:$D$19)</x:f>
        <x:v>100</x:v>
      </x:c>
      <x:c r="D55" s="38" t="n">
        <x:f>'Inputs'!$B$14*(1+'Inputs'!$B$15*(A55-1))*C55*'Inputs'!$B$32</x:f>
        <x:v>97500</x:v>
      </x:c>
      <x:c r="E55" s="38" t="n">
        <x:f>'Inputs'!$B$16*(1+'Inputs'!$B$17*(A55-1))*C55*'Inputs'!$B$32</x:f>
        <x:v>12000</x:v>
      </x:c>
      <x:c r="F55" s="34" t="n">
        <x:v>6.65</x:v>
      </x:c>
      <x:c r="G55" s="38" t="n">
        <x:f>IF(A55&gt;='Inputs'!$B$6,0,IF(A55=1,'Inputs'!$B$11,ROUNDUP(E55*(1+IF(A55&gt;=3,'Inputs'!$B$27+'Inputs'!$B$29/7,0))*F55/10,0)*10))</x:f>
        <x:v>96220</x:v>
      </x:c>
      <x:c r="H55" s="38" t="n">
        <x:f>H54+G54</x:f>
        <x:v>1622820</x:v>
      </x:c>
      <x:c r="I55" s="38" t="n">
        <x:f>IF(A55=1,0,IF(A55=2,'Inputs'!$B$12,ROUND(D55*'Inputs'!$B$51/5,0)*5))</x:f>
        <x:v>1465</x:v>
      </x:c>
      <x:c r="J55" s="38" t="n">
        <x:f>IF(A55=1,0,IF(A55=2,'Inputs'!$B$13,IF(MOD(A55,5)=0,3,IF(MOD(A55,2)=0,1,0))))</x:f>
        <x:v>0</x:v>
      </x:c>
      <x:c r="K55" s="28" t="n">
        <x:f>COUNTIFS('Coin Fish'!$D$5:$D$76,A55,'Coin Fish'!$E$5:$E$76,"Launch")</x:f>
        <x:v>0</x:v>
      </x:c>
      <x:c r="L55" s="28" t="n">
        <x:f>COUNTIFS('Decor Catalog'!$G$5:$G$124,A55,'Decor Catalog'!$T$5:$T$124,"Launch")</x:f>
        <x:v>0</x:v>
      </x:c>
      <x:c r="M55" s="28" t="str">
        <x:v>Catalog reserve only; re-simulate new tanks, sinks and content before activating this level.</x:v>
      </x:c>
      <x:c r="N55" s="28" t="str">
        <x:v>No banked account XP beyond L40. Lifetime statistics may continue.</x:v>
      </x:c>
    </x:row>
    <x:row r="56" ht="58" customHeight="1">
      <x:c r="A56" s="28" t="n">
        <x:v>52</x:v>
      </x:c>
      <x:c r="B56" s="28" t="str">
        <x:f>IF(A56&lt;='Inputs'!$B$5,"Launch","HOLD / unvalidated")</x:f>
        <x:v>HOLD / unvalidated</x:v>
      </x:c>
      <x:c r="C56" s="28" t="n">
        <x:f>SUMIF('Tanks'!$C$5:$C$19,"&lt;="&amp;A56,'Tanks'!$D$5:$D$19)</x:f>
        <x:v>100</x:v>
      </x:c>
      <x:c r="D56" s="38" t="n">
        <x:f>'Inputs'!$B$14*(1+'Inputs'!$B$15*(A56-1))*C56*'Inputs'!$B$32</x:f>
        <x:v>98850</x:v>
      </x:c>
      <x:c r="E56" s="38" t="n">
        <x:f>'Inputs'!$B$16*(1+'Inputs'!$B$17*(A56-1))*C56*'Inputs'!$B$32</x:f>
        <x:v>12080</x:v>
      </x:c>
      <x:c r="F56" s="34" t="n">
        <x:v>6.8</x:v>
      </x:c>
      <x:c r="G56" s="38" t="n">
        <x:f>IF(A56&gt;='Inputs'!$B$6,0,IF(A56=1,'Inputs'!$B$11,ROUNDUP(E56*(1+IF(A56&gt;=3,'Inputs'!$B$27+'Inputs'!$B$29/7,0))*F56/10,0)*10))</x:f>
        <x:v>99050</x:v>
      </x:c>
      <x:c r="H56" s="38" t="n">
        <x:f>H55+G55</x:f>
        <x:v>1719040</x:v>
      </x:c>
      <x:c r="I56" s="38" t="n">
        <x:f>IF(A56=1,0,IF(A56=2,'Inputs'!$B$12,ROUND(D56*'Inputs'!$B$51/5,0)*5))</x:f>
        <x:v>1485</x:v>
      </x:c>
      <x:c r="J56" s="38" t="n">
        <x:f>IF(A56=1,0,IF(A56=2,'Inputs'!$B$13,IF(MOD(A56,5)=0,3,IF(MOD(A56,2)=0,1,0))))</x:f>
        <x:v>1</x:v>
      </x:c>
      <x:c r="K56" s="28" t="n">
        <x:f>COUNTIFS('Coin Fish'!$D$5:$D$76,A56,'Coin Fish'!$E$5:$E$76,"Launch")</x:f>
        <x:v>0</x:v>
      </x:c>
      <x:c r="L56" s="28" t="n">
        <x:f>COUNTIFS('Decor Catalog'!$G$5:$G$124,A56,'Decor Catalog'!$T$5:$T$124,"Launch")</x:f>
        <x:v>0</x:v>
      </x:c>
      <x:c r="M56" s="28" t="str">
        <x:v>Catalog reserve only; re-simulate new tanks, sinks and content before activating this level.</x:v>
      </x:c>
      <x:c r="N56" s="28" t="str">
        <x:v>No banked account XP beyond L40. Lifetime statistics may continue.</x:v>
      </x:c>
    </x:row>
    <x:row r="57" ht="58" customHeight="1">
      <x:c r="A57" s="28" t="n">
        <x:v>53</x:v>
      </x:c>
      <x:c r="B57" s="28" t="str">
        <x:f>IF(A57&lt;='Inputs'!$B$5,"Launch","HOLD / unvalidated")</x:f>
        <x:v>HOLD / unvalidated</x:v>
      </x:c>
      <x:c r="C57" s="28" t="n">
        <x:f>SUMIF('Tanks'!$C$5:$C$19,"&lt;="&amp;A57,'Tanks'!$D$5:$D$19)</x:f>
        <x:v>100</x:v>
      </x:c>
      <x:c r="D57" s="38" t="n">
        <x:f>'Inputs'!$B$14*(1+'Inputs'!$B$15*(A57-1))*C57*'Inputs'!$B$32</x:f>
        <x:v>100199.99999999999</x:v>
      </x:c>
      <x:c r="E57" s="38" t="n">
        <x:f>'Inputs'!$B$16*(1+'Inputs'!$B$17*(A57-1))*C57*'Inputs'!$B$32</x:f>
        <x:v>12160.000000000002</x:v>
      </x:c>
      <x:c r="F57" s="34" t="n">
        <x:v>6.95</x:v>
      </x:c>
      <x:c r="G57" s="38" t="n">
        <x:f>IF(A57&gt;='Inputs'!$B$6,0,IF(A57=1,'Inputs'!$B$11,ROUNDUP(E57*(1+IF(A57&gt;=3,'Inputs'!$B$27+'Inputs'!$B$29/7,0))*F57/10,0)*10))</x:f>
        <x:v>101900</x:v>
      </x:c>
      <x:c r="H57" s="38" t="n">
        <x:f>H56+G56</x:f>
        <x:v>1818090</x:v>
      </x:c>
      <x:c r="I57" s="38" t="n">
        <x:f>IF(A57=1,0,IF(A57=2,'Inputs'!$B$12,ROUND(D57*'Inputs'!$B$51/5,0)*5))</x:f>
        <x:v>1505</x:v>
      </x:c>
      <x:c r="J57" s="38" t="n">
        <x:f>IF(A57=1,0,IF(A57=2,'Inputs'!$B$13,IF(MOD(A57,5)=0,3,IF(MOD(A57,2)=0,1,0))))</x:f>
        <x:v>0</x:v>
      </x:c>
      <x:c r="K57" s="28" t="n">
        <x:f>COUNTIFS('Coin Fish'!$D$5:$D$76,A57,'Coin Fish'!$E$5:$E$76,"Launch")</x:f>
        <x:v>0</x:v>
      </x:c>
      <x:c r="L57" s="28" t="n">
        <x:f>COUNTIFS('Decor Catalog'!$G$5:$G$124,A57,'Decor Catalog'!$T$5:$T$124,"Launch")</x:f>
        <x:v>0</x:v>
      </x:c>
      <x:c r="M57" s="28" t="str">
        <x:v>Catalog reserve only; re-simulate new tanks, sinks and content before activating this level.</x:v>
      </x:c>
      <x:c r="N57" s="28" t="str">
        <x:v>No banked account XP beyond L40. Lifetime statistics may continue.</x:v>
      </x:c>
    </x:row>
    <x:row r="58" ht="58" customHeight="1">
      <x:c r="A58" s="28" t="n">
        <x:v>54</x:v>
      </x:c>
      <x:c r="B58" s="28" t="str">
        <x:f>IF(A58&lt;='Inputs'!$B$5,"Launch","HOLD / unvalidated")</x:f>
        <x:v>HOLD / unvalidated</x:v>
      </x:c>
      <x:c r="C58" s="28" t="n">
        <x:f>SUMIF('Tanks'!$C$5:$C$19,"&lt;="&amp;A58,'Tanks'!$D$5:$D$19)</x:f>
        <x:v>100</x:v>
      </x:c>
      <x:c r="D58" s="38" t="n">
        <x:f>'Inputs'!$B$14*(1+'Inputs'!$B$15*(A58-1))*C58*'Inputs'!$B$32</x:f>
        <x:v>101549.99999999999</x:v>
      </x:c>
      <x:c r="E58" s="38" t="n">
        <x:f>'Inputs'!$B$16*(1+'Inputs'!$B$17*(A58-1))*C58*'Inputs'!$B$32</x:f>
        <x:v>12240</x:v>
      </x:c>
      <x:c r="F58" s="34" t="n">
        <x:v>7.1</x:v>
      </x:c>
      <x:c r="G58" s="38" t="n">
        <x:f>IF(A58&gt;='Inputs'!$B$6,0,IF(A58=1,'Inputs'!$B$11,ROUNDUP(E58*(1+IF(A58&gt;=3,'Inputs'!$B$27+'Inputs'!$B$29/7,0))*F58/10,0)*10))</x:f>
        <x:v>104790</x:v>
      </x:c>
      <x:c r="H58" s="38" t="n">
        <x:f>H57+G57</x:f>
        <x:v>1919990</x:v>
      </x:c>
      <x:c r="I58" s="38" t="n">
        <x:f>IF(A58=1,0,IF(A58=2,'Inputs'!$B$12,ROUND(D58*'Inputs'!$B$51/5,0)*5))</x:f>
        <x:v>1525</x:v>
      </x:c>
      <x:c r="J58" s="38" t="n">
        <x:f>IF(A58=1,0,IF(A58=2,'Inputs'!$B$13,IF(MOD(A58,5)=0,3,IF(MOD(A58,2)=0,1,0))))</x:f>
        <x:v>1</x:v>
      </x:c>
      <x:c r="K58" s="28" t="n">
        <x:f>COUNTIFS('Coin Fish'!$D$5:$D$76,A58,'Coin Fish'!$E$5:$E$76,"Launch")</x:f>
        <x:v>0</x:v>
      </x:c>
      <x:c r="L58" s="28" t="n">
        <x:f>COUNTIFS('Decor Catalog'!$G$5:$G$124,A58,'Decor Catalog'!$T$5:$T$124,"Launch")</x:f>
        <x:v>0</x:v>
      </x:c>
      <x:c r="M58" s="28" t="str">
        <x:v>Catalog reserve only; re-simulate new tanks, sinks and content before activating this level.</x:v>
      </x:c>
      <x:c r="N58" s="28" t="str">
        <x:v>No banked account XP beyond L40. Lifetime statistics may continue.</x:v>
      </x:c>
    </x:row>
    <x:row r="59" ht="58" customHeight="1">
      <x:c r="A59" s="28" t="n">
        <x:v>55</x:v>
      </x:c>
      <x:c r="B59" s="28" t="str">
        <x:f>IF(A59&lt;='Inputs'!$B$5,"Launch","HOLD / unvalidated")</x:f>
        <x:v>HOLD / unvalidated</x:v>
      </x:c>
      <x:c r="C59" s="28" t="n">
        <x:f>SUMIF('Tanks'!$C$5:$C$19,"&lt;="&amp;A59,'Tanks'!$D$5:$D$19)</x:f>
        <x:v>100</x:v>
      </x:c>
      <x:c r="D59" s="38" t="n">
        <x:f>'Inputs'!$B$14*(1+'Inputs'!$B$15*(A59-1))*C59*'Inputs'!$B$32</x:f>
        <x:v>102900</x:v>
      </x:c>
      <x:c r="E59" s="38" t="n">
        <x:f>'Inputs'!$B$16*(1+'Inputs'!$B$17*(A59-1))*C59*'Inputs'!$B$32</x:f>
        <x:v>12320</x:v>
      </x:c>
      <x:c r="F59" s="34" t="n">
        <x:v>7.25</x:v>
      </x:c>
      <x:c r="G59" s="38" t="n">
        <x:f>IF(A59&gt;='Inputs'!$B$6,0,IF(A59=1,'Inputs'!$B$11,ROUNDUP(E59*(1+IF(A59&gt;=3,'Inputs'!$B$27+'Inputs'!$B$29/7,0))*F59/10,0)*10))</x:f>
        <x:v>107700</x:v>
      </x:c>
      <x:c r="H59" s="38" t="n">
        <x:f>H58+G58</x:f>
        <x:v>2024780</x:v>
      </x:c>
      <x:c r="I59" s="38" t="n">
        <x:f>IF(A59=1,0,IF(A59=2,'Inputs'!$B$12,ROUND(D59*'Inputs'!$B$51/5,0)*5))</x:f>
        <x:v>1545</x:v>
      </x:c>
      <x:c r="J59" s="38" t="n">
        <x:f>IF(A59=1,0,IF(A59=2,'Inputs'!$B$13,IF(MOD(A59,5)=0,3,IF(MOD(A59,2)=0,1,0))))</x:f>
        <x:v>3</x:v>
      </x:c>
      <x:c r="K59" s="28" t="n">
        <x:f>COUNTIFS('Coin Fish'!$D$5:$D$76,A59,'Coin Fish'!$E$5:$E$76,"Launch")</x:f>
        <x:v>0</x:v>
      </x:c>
      <x:c r="L59" s="28" t="n">
        <x:f>COUNTIFS('Decor Catalog'!$G$5:$G$124,A59,'Decor Catalog'!$T$5:$T$124,"Launch")</x:f>
        <x:v>0</x:v>
      </x:c>
      <x:c r="M59" s="28" t="str">
        <x:v>Catalog reserve only; re-simulate new tanks, sinks and content before activating this level.</x:v>
      </x:c>
      <x:c r="N59" s="28" t="str">
        <x:v>No banked account XP beyond L40. Lifetime statistics may continue.</x:v>
      </x:c>
    </x:row>
    <x:row r="60" ht="58" customHeight="1">
      <x:c r="A60" s="28" t="n">
        <x:v>56</x:v>
      </x:c>
      <x:c r="B60" s="28" t="str">
        <x:f>IF(A60&lt;='Inputs'!$B$5,"Launch","HOLD / unvalidated")</x:f>
        <x:v>HOLD / unvalidated</x:v>
      </x:c>
      <x:c r="C60" s="28" t="n">
        <x:f>SUMIF('Tanks'!$C$5:$C$19,"&lt;="&amp;A60,'Tanks'!$D$5:$D$19)</x:f>
        <x:v>100</x:v>
      </x:c>
      <x:c r="D60" s="38" t="n">
        <x:f>'Inputs'!$B$14*(1+'Inputs'!$B$15*(A60-1))*C60*'Inputs'!$B$32</x:f>
        <x:v>104250</x:v>
      </x:c>
      <x:c r="E60" s="38" t="n">
        <x:f>'Inputs'!$B$16*(1+'Inputs'!$B$17*(A60-1))*C60*'Inputs'!$B$32</x:f>
        <x:v>12400.000000000002</x:v>
      </x:c>
      <x:c r="F60" s="34" t="n">
        <x:v>7.4</x:v>
      </x:c>
      <x:c r="G60" s="38" t="n">
        <x:f>IF(A60&gt;='Inputs'!$B$6,0,IF(A60=1,'Inputs'!$B$11,ROUNDUP(E60*(1+IF(A60&gt;=3,'Inputs'!$B$27+'Inputs'!$B$29/7,0))*F60/10,0)*10))</x:f>
        <x:v>110640</x:v>
      </x:c>
      <x:c r="H60" s="38" t="n">
        <x:f>H59+G59</x:f>
        <x:v>2132480</x:v>
      </x:c>
      <x:c r="I60" s="38" t="n">
        <x:f>IF(A60=1,0,IF(A60=2,'Inputs'!$B$12,ROUND(D60*'Inputs'!$B$51/5,0)*5))</x:f>
        <x:v>1565</x:v>
      </x:c>
      <x:c r="J60" s="38" t="n">
        <x:f>IF(A60=1,0,IF(A60=2,'Inputs'!$B$13,IF(MOD(A60,5)=0,3,IF(MOD(A60,2)=0,1,0))))</x:f>
        <x:v>1</x:v>
      </x:c>
      <x:c r="K60" s="28" t="n">
        <x:f>COUNTIFS('Coin Fish'!$D$5:$D$76,A60,'Coin Fish'!$E$5:$E$76,"Launch")</x:f>
        <x:v>0</x:v>
      </x:c>
      <x:c r="L60" s="28" t="n">
        <x:f>COUNTIFS('Decor Catalog'!$G$5:$G$124,A60,'Decor Catalog'!$T$5:$T$124,"Launch")</x:f>
        <x:v>0</x:v>
      </x:c>
      <x:c r="M60" s="28" t="str">
        <x:v>Catalog reserve only; re-simulate new tanks, sinks and content before activating this level.</x:v>
      </x:c>
      <x:c r="N60" s="28" t="str">
        <x:v>No banked account XP beyond L40. Lifetime statistics may continue.</x:v>
      </x:c>
    </x:row>
    <x:row r="61" ht="58" customHeight="1">
      <x:c r="A61" s="28" t="n">
        <x:v>57</x:v>
      </x:c>
      <x:c r="B61" s="28" t="str">
        <x:f>IF(A61&lt;='Inputs'!$B$5,"Launch","HOLD / unvalidated")</x:f>
        <x:v>HOLD / unvalidated</x:v>
      </x:c>
      <x:c r="C61" s="28" t="n">
        <x:f>SUMIF('Tanks'!$C$5:$C$19,"&lt;="&amp;A61,'Tanks'!$D$5:$D$19)</x:f>
        <x:v>100</x:v>
      </x:c>
      <x:c r="D61" s="38" t="n">
        <x:f>'Inputs'!$B$14*(1+'Inputs'!$B$15*(A61-1))*C61*'Inputs'!$B$32</x:f>
        <x:v>105600</x:v>
      </x:c>
      <x:c r="E61" s="38" t="n">
        <x:f>'Inputs'!$B$16*(1+'Inputs'!$B$17*(A61-1))*C61*'Inputs'!$B$32</x:f>
        <x:v>12480</x:v>
      </x:c>
      <x:c r="F61" s="34" t="n">
        <x:v>7.55</x:v>
      </x:c>
      <x:c r="G61" s="38" t="n">
        <x:f>IF(A61&gt;='Inputs'!$B$6,0,IF(A61=1,'Inputs'!$B$11,ROUNDUP(E61*(1+IF(A61&gt;=3,'Inputs'!$B$27+'Inputs'!$B$29/7,0))*F61/10,0)*10))</x:f>
        <x:v>113610</x:v>
      </x:c>
      <x:c r="H61" s="38" t="n">
        <x:f>H60+G60</x:f>
        <x:v>2243120</x:v>
      </x:c>
      <x:c r="I61" s="38" t="n">
        <x:f>IF(A61=1,0,IF(A61=2,'Inputs'!$B$12,ROUND(D61*'Inputs'!$B$51/5,0)*5))</x:f>
        <x:v>1585</x:v>
      </x:c>
      <x:c r="J61" s="38" t="n">
        <x:f>IF(A61=1,0,IF(A61=2,'Inputs'!$B$13,IF(MOD(A61,5)=0,3,IF(MOD(A61,2)=0,1,0))))</x:f>
        <x:v>0</x:v>
      </x:c>
      <x:c r="K61" s="28" t="n">
        <x:f>COUNTIFS('Coin Fish'!$D$5:$D$76,A61,'Coin Fish'!$E$5:$E$76,"Launch")</x:f>
        <x:v>0</x:v>
      </x:c>
      <x:c r="L61" s="28" t="n">
        <x:f>COUNTIFS('Decor Catalog'!$G$5:$G$124,A61,'Decor Catalog'!$T$5:$T$124,"Launch")</x:f>
        <x:v>0</x:v>
      </x:c>
      <x:c r="M61" s="28" t="str">
        <x:v>Catalog reserve only; re-simulate new tanks, sinks and content before activating this level.</x:v>
      </x:c>
      <x:c r="N61" s="28" t="str">
        <x:v>No banked account XP beyond L40. Lifetime statistics may continue.</x:v>
      </x:c>
    </x:row>
    <x:row r="62" ht="58" customHeight="1">
      <x:c r="A62" s="28" t="n">
        <x:v>58</x:v>
      </x:c>
      <x:c r="B62" s="28" t="str">
        <x:f>IF(A62&lt;='Inputs'!$B$5,"Launch","HOLD / unvalidated")</x:f>
        <x:v>HOLD / unvalidated</x:v>
      </x:c>
      <x:c r="C62" s="28" t="n">
        <x:f>SUMIF('Tanks'!$C$5:$C$19,"&lt;="&amp;A62,'Tanks'!$D$5:$D$19)</x:f>
        <x:v>100</x:v>
      </x:c>
      <x:c r="D62" s="38" t="n">
        <x:f>'Inputs'!$B$14*(1+'Inputs'!$B$15*(A62-1))*C62*'Inputs'!$B$32</x:f>
        <x:v>106950.00000000001</x:v>
      </x:c>
      <x:c r="E62" s="38" t="n">
        <x:f>'Inputs'!$B$16*(1+'Inputs'!$B$17*(A62-1))*C62*'Inputs'!$B$32</x:f>
        <x:v>12560</x:v>
      </x:c>
      <x:c r="F62" s="34" t="n">
        <x:v>7.699999999999999</x:v>
      </x:c>
      <x:c r="G62" s="38" t="n">
        <x:f>IF(A62&gt;='Inputs'!$B$6,0,IF(A62=1,'Inputs'!$B$11,ROUNDUP(E62*(1+IF(A62&gt;=3,'Inputs'!$B$27+'Inputs'!$B$29/7,0))*F62/10,0)*10))</x:f>
        <x:v>116610</x:v>
      </x:c>
      <x:c r="H62" s="38" t="n">
        <x:f>H61+G61</x:f>
        <x:v>2356730</x:v>
      </x:c>
      <x:c r="I62" s="38" t="n">
        <x:f>IF(A62=1,0,IF(A62=2,'Inputs'!$B$12,ROUND(D62*'Inputs'!$B$51/5,0)*5))</x:f>
        <x:v>1605</x:v>
      </x:c>
      <x:c r="J62" s="38" t="n">
        <x:f>IF(A62=1,0,IF(A62=2,'Inputs'!$B$13,IF(MOD(A62,5)=0,3,IF(MOD(A62,2)=0,1,0))))</x:f>
        <x:v>1</x:v>
      </x:c>
      <x:c r="K62" s="28" t="n">
        <x:f>COUNTIFS('Coin Fish'!$D$5:$D$76,A62,'Coin Fish'!$E$5:$E$76,"Launch")</x:f>
        <x:v>0</x:v>
      </x:c>
      <x:c r="L62" s="28" t="n">
        <x:f>COUNTIFS('Decor Catalog'!$G$5:$G$124,A62,'Decor Catalog'!$T$5:$T$124,"Launch")</x:f>
        <x:v>0</x:v>
      </x:c>
      <x:c r="M62" s="28" t="str">
        <x:v>Catalog reserve only; re-simulate new tanks, sinks and content before activating this level.</x:v>
      </x:c>
      <x:c r="N62" s="28" t="str">
        <x:v>No banked account XP beyond L40. Lifetime statistics may continue.</x:v>
      </x:c>
    </x:row>
    <x:row r="63" ht="58" customHeight="1">
      <x:c r="A63" s="28" t="n">
        <x:v>59</x:v>
      </x:c>
      <x:c r="B63" s="28" t="str">
        <x:f>IF(A63&lt;='Inputs'!$B$5,"Launch","HOLD / unvalidated")</x:f>
        <x:v>HOLD / unvalidated</x:v>
      </x:c>
      <x:c r="C63" s="28" t="n">
        <x:f>SUMIF('Tanks'!$C$5:$C$19,"&lt;="&amp;A63,'Tanks'!$D$5:$D$19)</x:f>
        <x:v>100</x:v>
      </x:c>
      <x:c r="D63" s="38" t="n">
        <x:f>'Inputs'!$B$14*(1+'Inputs'!$B$15*(A63-1))*C63*'Inputs'!$B$32</x:f>
        <x:v>108299.99999999999</x:v>
      </x:c>
      <x:c r="E63" s="38" t="n">
        <x:f>'Inputs'!$B$16*(1+'Inputs'!$B$17*(A63-1))*C63*'Inputs'!$B$32</x:f>
        <x:v>12640</x:v>
      </x:c>
      <x:c r="F63" s="34" t="n">
        <x:v>7.85</x:v>
      </x:c>
      <x:c r="G63" s="38" t="n">
        <x:f>IF(A63&gt;='Inputs'!$B$6,0,IF(A63=1,'Inputs'!$B$11,ROUNDUP(E63*(1+IF(A63&gt;=3,'Inputs'!$B$27+'Inputs'!$B$29/7,0))*F63/10,0)*10))</x:f>
        <x:v>119640</x:v>
      </x:c>
      <x:c r="H63" s="38" t="n">
        <x:f>H62+G62</x:f>
        <x:v>2473340</x:v>
      </x:c>
      <x:c r="I63" s="38" t="n">
        <x:f>IF(A63=1,0,IF(A63=2,'Inputs'!$B$12,ROUND(D63*'Inputs'!$B$51/5,0)*5))</x:f>
        <x:v>1625</x:v>
      </x:c>
      <x:c r="J63" s="38" t="n">
        <x:f>IF(A63=1,0,IF(A63=2,'Inputs'!$B$13,IF(MOD(A63,5)=0,3,IF(MOD(A63,2)=0,1,0))))</x:f>
        <x:v>0</x:v>
      </x:c>
      <x:c r="K63" s="28" t="n">
        <x:f>COUNTIFS('Coin Fish'!$D$5:$D$76,A63,'Coin Fish'!$E$5:$E$76,"Launch")</x:f>
        <x:v>0</x:v>
      </x:c>
      <x:c r="L63" s="28" t="n">
        <x:f>COUNTIFS('Decor Catalog'!$G$5:$G$124,A63,'Decor Catalog'!$T$5:$T$124,"Launch")</x:f>
        <x:v>0</x:v>
      </x:c>
      <x:c r="M63" s="28" t="str">
        <x:v>Catalog reserve only; re-simulate new tanks, sinks and content before activating this level.</x:v>
      </x:c>
      <x:c r="N63" s="28" t="str">
        <x:v>No banked account XP beyond L40. Lifetime statistics may continue.</x:v>
      </x:c>
    </x:row>
    <x:row r="64" ht="58" customHeight="1">
      <x:c r="A64" s="28" t="n">
        <x:v>60</x:v>
      </x:c>
      <x:c r="B64" s="28" t="str">
        <x:f>IF(A64&lt;='Inputs'!$B$5,"Launch","HOLD / unvalidated")</x:f>
        <x:v>HOLD / unvalidated</x:v>
      </x:c>
      <x:c r="C64" s="28" t="n">
        <x:f>SUMIF('Tanks'!$C$5:$C$19,"&lt;="&amp;A64,'Tanks'!$D$5:$D$19)</x:f>
        <x:v>100</x:v>
      </x:c>
      <x:c r="D64" s="38" t="n">
        <x:f>'Inputs'!$B$14*(1+'Inputs'!$B$15*(A64-1))*C64*'Inputs'!$B$32</x:f>
        <x:v>109650</x:v>
      </x:c>
      <x:c r="E64" s="38" t="n">
        <x:f>'Inputs'!$B$16*(1+'Inputs'!$B$17*(A64-1))*C64*'Inputs'!$B$32</x:f>
        <x:v>12719.999999999998</x:v>
      </x:c>
      <x:c r="F64" s="34" t="n">
        <x:v>8</x:v>
      </x:c>
      <x:c r="G64" s="38" t="n">
        <x:f>IF(A64&gt;='Inputs'!$B$6,0,IF(A64=1,'Inputs'!$B$11,ROUNDUP(E64*(1+IF(A64&gt;=3,'Inputs'!$B$27+'Inputs'!$B$29/7,0))*F64/10,0)*10))</x:f>
        <x:v>122700</x:v>
      </x:c>
      <x:c r="H64" s="38" t="n">
        <x:f>H63+G63</x:f>
        <x:v>2592980</x:v>
      </x:c>
      <x:c r="I64" s="38" t="n">
        <x:f>IF(A64=1,0,IF(A64=2,'Inputs'!$B$12,ROUND(D64*'Inputs'!$B$51/5,0)*5))</x:f>
        <x:v>1645</x:v>
      </x:c>
      <x:c r="J64" s="38" t="n">
        <x:f>IF(A64=1,0,IF(A64=2,'Inputs'!$B$13,IF(MOD(A64,5)=0,3,IF(MOD(A64,2)=0,1,0))))</x:f>
        <x:v>3</x:v>
      </x:c>
      <x:c r="K64" s="28" t="n">
        <x:f>COUNTIFS('Coin Fish'!$D$5:$D$76,A64,'Coin Fish'!$E$5:$E$76,"Launch")</x:f>
        <x:v>0</x:v>
      </x:c>
      <x:c r="L64" s="28" t="n">
        <x:f>COUNTIFS('Decor Catalog'!$G$5:$G$124,A64,'Decor Catalog'!$T$5:$T$124,"Launch")</x:f>
        <x:v>0</x:v>
      </x:c>
      <x:c r="M64" s="28" t="str">
        <x:v>Catalog reserve only; re-simulate new tanks, sinks and content before activating this level.</x:v>
      </x:c>
      <x:c r="N64" s="28" t="str">
        <x:v>No banked account XP beyond L40. Lifetime statistics may continue.</x:v>
      </x:c>
    </x:row>
    <x:row r="65" ht="58" customHeight="1">
      <x:c r="A65" s="28" t="n">
        <x:v>61</x:v>
      </x:c>
      <x:c r="B65" s="28" t="str">
        <x:f>IF(A65&lt;='Inputs'!$B$5,"Launch","HOLD / unvalidated")</x:f>
        <x:v>HOLD / unvalidated</x:v>
      </x:c>
      <x:c r="C65" s="28" t="n">
        <x:f>SUMIF('Tanks'!$C$5:$C$19,"&lt;="&amp;A65,'Tanks'!$D$5:$D$19)</x:f>
        <x:v>100</x:v>
      </x:c>
      <x:c r="D65" s="38" t="n">
        <x:f>'Inputs'!$B$14*(1+'Inputs'!$B$15*(A65-1))*C65*'Inputs'!$B$32</x:f>
        <x:v>111000</x:v>
      </x:c>
      <x:c r="E65" s="38" t="n">
        <x:f>'Inputs'!$B$16*(1+'Inputs'!$B$17*(A65-1))*C65*'Inputs'!$B$32</x:f>
        <x:v>12800.000000000002</x:v>
      </x:c>
      <x:c r="F65" s="34" t="n">
        <x:v>8.15</x:v>
      </x:c>
      <x:c r="G65" s="38" t="n">
        <x:f>IF(A65&gt;='Inputs'!$B$6,0,IF(A65=1,'Inputs'!$B$11,ROUNDUP(E65*(1+IF(A65&gt;=3,'Inputs'!$B$27+'Inputs'!$B$29/7,0))*F65/10,0)*10))</x:f>
        <x:v>125790</x:v>
      </x:c>
      <x:c r="H65" s="38" t="n">
        <x:f>H64+G64</x:f>
        <x:v>2715680</x:v>
      </x:c>
      <x:c r="I65" s="38" t="n">
        <x:f>IF(A65=1,0,IF(A65=2,'Inputs'!$B$12,ROUND(D65*'Inputs'!$B$51/5,0)*5))</x:f>
        <x:v>1665</x:v>
      </x:c>
      <x:c r="J65" s="38" t="n">
        <x:f>IF(A65=1,0,IF(A65=2,'Inputs'!$B$13,IF(MOD(A65,5)=0,3,IF(MOD(A65,2)=0,1,0))))</x:f>
        <x:v>0</x:v>
      </x:c>
      <x:c r="K65" s="28" t="n">
        <x:f>COUNTIFS('Coin Fish'!$D$5:$D$76,A65,'Coin Fish'!$E$5:$E$76,"Launch")</x:f>
        <x:v>0</x:v>
      </x:c>
      <x:c r="L65" s="28" t="n">
        <x:f>COUNTIFS('Decor Catalog'!$G$5:$G$124,A65,'Decor Catalog'!$T$5:$T$124,"Launch")</x:f>
        <x:v>0</x:v>
      </x:c>
      <x:c r="M65" s="28" t="str">
        <x:v>Catalog reserve only; re-simulate new tanks, sinks and content before activating this level.</x:v>
      </x:c>
      <x:c r="N65" s="28" t="str">
        <x:v>No banked account XP beyond L40. Lifetime statistics may continue.</x:v>
      </x:c>
    </x:row>
    <x:row r="66" ht="58" customHeight="1">
      <x:c r="A66" s="28" t="n">
        <x:v>62</x:v>
      </x:c>
      <x:c r="B66" s="28" t="str">
        <x:f>IF(A66&lt;='Inputs'!$B$5,"Launch","HOLD / unvalidated")</x:f>
        <x:v>HOLD / unvalidated</x:v>
      </x:c>
      <x:c r="C66" s="28" t="n">
        <x:f>SUMIF('Tanks'!$C$5:$C$19,"&lt;="&amp;A66,'Tanks'!$D$5:$D$19)</x:f>
        <x:v>100</x:v>
      </x:c>
      <x:c r="D66" s="38" t="n">
        <x:f>'Inputs'!$B$14*(1+'Inputs'!$B$15*(A66-1))*C66*'Inputs'!$B$32</x:f>
        <x:v>112350</x:v>
      </x:c>
      <x:c r="E66" s="38" t="n">
        <x:f>'Inputs'!$B$16*(1+'Inputs'!$B$17*(A66-1))*C66*'Inputs'!$B$32</x:f>
        <x:v>12880</x:v>
      </x:c>
      <x:c r="F66" s="34" t="n">
        <x:v>8.3</x:v>
      </x:c>
      <x:c r="G66" s="38" t="n">
        <x:f>IF(A66&gt;='Inputs'!$B$6,0,IF(A66=1,'Inputs'!$B$11,ROUNDUP(E66*(1+IF(A66&gt;=3,'Inputs'!$B$27+'Inputs'!$B$29/7,0))*F66/10,0)*10))</x:f>
        <x:v>128900</x:v>
      </x:c>
      <x:c r="H66" s="38" t="n">
        <x:f>H65+G65</x:f>
        <x:v>2841470</x:v>
      </x:c>
      <x:c r="I66" s="38" t="n">
        <x:f>IF(A66=1,0,IF(A66=2,'Inputs'!$B$12,ROUND(D66*'Inputs'!$B$51/5,0)*5))</x:f>
        <x:v>1685</x:v>
      </x:c>
      <x:c r="J66" s="38" t="n">
        <x:f>IF(A66=1,0,IF(A66=2,'Inputs'!$B$13,IF(MOD(A66,5)=0,3,IF(MOD(A66,2)=0,1,0))))</x:f>
        <x:v>1</x:v>
      </x:c>
      <x:c r="K66" s="28" t="n">
        <x:f>COUNTIFS('Coin Fish'!$D$5:$D$76,A66,'Coin Fish'!$E$5:$E$76,"Launch")</x:f>
        <x:v>0</x:v>
      </x:c>
      <x:c r="L66" s="28" t="n">
        <x:f>COUNTIFS('Decor Catalog'!$G$5:$G$124,A66,'Decor Catalog'!$T$5:$T$124,"Launch")</x:f>
        <x:v>0</x:v>
      </x:c>
      <x:c r="M66" s="28" t="str">
        <x:v>Catalog reserve only; re-simulate new tanks, sinks and content before activating this level.</x:v>
      </x:c>
      <x:c r="N66" s="28" t="str">
        <x:v>No banked account XP beyond L40. Lifetime statistics may continue.</x:v>
      </x:c>
    </x:row>
    <x:row r="67" ht="58" customHeight="1">
      <x:c r="A67" s="28" t="n">
        <x:v>63</x:v>
      </x:c>
      <x:c r="B67" s="28" t="str">
        <x:f>IF(A67&lt;='Inputs'!$B$5,"Launch","HOLD / unvalidated")</x:f>
        <x:v>HOLD / unvalidated</x:v>
      </x:c>
      <x:c r="C67" s="28" t="n">
        <x:f>SUMIF('Tanks'!$C$5:$C$19,"&lt;="&amp;A67,'Tanks'!$D$5:$D$19)</x:f>
        <x:v>100</x:v>
      </x:c>
      <x:c r="D67" s="38" t="n">
        <x:f>'Inputs'!$B$14*(1+'Inputs'!$B$15*(A67-1))*C67*'Inputs'!$B$32</x:f>
        <x:v>113700</x:v>
      </x:c>
      <x:c r="E67" s="38" t="n">
        <x:f>'Inputs'!$B$16*(1+'Inputs'!$B$17*(A67-1))*C67*'Inputs'!$B$32</x:f>
        <x:v>12960.000000000002</x:v>
      </x:c>
      <x:c r="F67" s="34" t="n">
        <x:v>8.45</x:v>
      </x:c>
      <x:c r="G67" s="38" t="n">
        <x:f>IF(A67&gt;='Inputs'!$B$6,0,IF(A67=1,'Inputs'!$B$11,ROUNDUP(E67*(1+IF(A67&gt;=3,'Inputs'!$B$27+'Inputs'!$B$29/7,0))*F67/10,0)*10))</x:f>
        <x:v>132050</x:v>
      </x:c>
      <x:c r="H67" s="38" t="n">
        <x:f>H66+G66</x:f>
        <x:v>2970370</x:v>
      </x:c>
      <x:c r="I67" s="38" t="n">
        <x:f>IF(A67=1,0,IF(A67=2,'Inputs'!$B$12,ROUND(D67*'Inputs'!$B$51/5,0)*5))</x:f>
        <x:v>1705</x:v>
      </x:c>
      <x:c r="J67" s="38" t="n">
        <x:f>IF(A67=1,0,IF(A67=2,'Inputs'!$B$13,IF(MOD(A67,5)=0,3,IF(MOD(A67,2)=0,1,0))))</x:f>
        <x:v>0</x:v>
      </x:c>
      <x:c r="K67" s="28" t="n">
        <x:f>COUNTIFS('Coin Fish'!$D$5:$D$76,A67,'Coin Fish'!$E$5:$E$76,"Launch")</x:f>
        <x:v>0</x:v>
      </x:c>
      <x:c r="L67" s="28" t="n">
        <x:f>COUNTIFS('Decor Catalog'!$G$5:$G$124,A67,'Decor Catalog'!$T$5:$T$124,"Launch")</x:f>
        <x:v>0</x:v>
      </x:c>
      <x:c r="M67" s="28" t="str">
        <x:v>Catalog reserve only; re-simulate new tanks, sinks and content before activating this level.</x:v>
      </x:c>
      <x:c r="N67" s="28" t="str">
        <x:v>No banked account XP beyond L40. Lifetime statistics may continue.</x:v>
      </x:c>
    </x:row>
    <x:row r="68" ht="58" customHeight="1">
      <x:c r="A68" s="28" t="n">
        <x:v>64</x:v>
      </x:c>
      <x:c r="B68" s="28" t="str">
        <x:f>IF(A68&lt;='Inputs'!$B$5,"Launch","HOLD / unvalidated")</x:f>
        <x:v>HOLD / unvalidated</x:v>
      </x:c>
      <x:c r="C68" s="28" t="n">
        <x:f>SUMIF('Tanks'!$C$5:$C$19,"&lt;="&amp;A68,'Tanks'!$D$5:$D$19)</x:f>
        <x:v>100</x:v>
      </x:c>
      <x:c r="D68" s="38" t="n">
        <x:f>'Inputs'!$B$14*(1+'Inputs'!$B$15*(A68-1))*C68*'Inputs'!$B$32</x:f>
        <x:v>115050</x:v>
      </x:c>
      <x:c r="E68" s="38" t="n">
        <x:f>'Inputs'!$B$16*(1+'Inputs'!$B$17*(A68-1))*C68*'Inputs'!$B$32</x:f>
        <x:v>13039.999999999998</x:v>
      </x:c>
      <x:c r="F68" s="34" t="n">
        <x:v>8.6</x:v>
      </x:c>
      <x:c r="G68" s="38" t="n">
        <x:f>IF(A68&gt;='Inputs'!$B$6,0,IF(A68=1,'Inputs'!$B$11,ROUNDUP(E68*(1+IF(A68&gt;=3,'Inputs'!$B$27+'Inputs'!$B$29/7,0))*F68/10,0)*10))</x:f>
        <x:v>135220</x:v>
      </x:c>
      <x:c r="H68" s="38" t="n">
        <x:f>H67+G67</x:f>
        <x:v>3102420</x:v>
      </x:c>
      <x:c r="I68" s="38" t="n">
        <x:f>IF(A68=1,0,IF(A68=2,'Inputs'!$B$12,ROUND(D68*'Inputs'!$B$51/5,0)*5))</x:f>
        <x:v>1725</x:v>
      </x:c>
      <x:c r="J68" s="38" t="n">
        <x:f>IF(A68=1,0,IF(A68=2,'Inputs'!$B$13,IF(MOD(A68,5)=0,3,IF(MOD(A68,2)=0,1,0))))</x:f>
        <x:v>1</x:v>
      </x:c>
      <x:c r="K68" s="28" t="n">
        <x:f>COUNTIFS('Coin Fish'!$D$5:$D$76,A68,'Coin Fish'!$E$5:$E$76,"Launch")</x:f>
        <x:v>0</x:v>
      </x:c>
      <x:c r="L68" s="28" t="n">
        <x:f>COUNTIFS('Decor Catalog'!$G$5:$G$124,A68,'Decor Catalog'!$T$5:$T$124,"Launch")</x:f>
        <x:v>0</x:v>
      </x:c>
      <x:c r="M68" s="28" t="str">
        <x:v>Catalog reserve only; re-simulate new tanks, sinks and content before activating this level.</x:v>
      </x:c>
      <x:c r="N68" s="28" t="str">
        <x:v>No banked account XP beyond L40. Lifetime statistics may continue.</x:v>
      </x:c>
    </x:row>
    <x:row r="69" ht="58" customHeight="1">
      <x:c r="A69" s="28" t="n">
        <x:v>65</x:v>
      </x:c>
      <x:c r="B69" s="28" t="str">
        <x:f>IF(A69&lt;='Inputs'!$B$5,"Launch","HOLD / unvalidated")</x:f>
        <x:v>HOLD / unvalidated</x:v>
      </x:c>
      <x:c r="C69" s="28" t="n">
        <x:f>SUMIF('Tanks'!$C$5:$C$19,"&lt;="&amp;A69,'Tanks'!$D$5:$D$19)</x:f>
        <x:v>100</x:v>
      </x:c>
      <x:c r="D69" s="38" t="n">
        <x:f>'Inputs'!$B$14*(1+'Inputs'!$B$15*(A69-1))*C69*'Inputs'!$B$32</x:f>
        <x:v>116400</x:v>
      </x:c>
      <x:c r="E69" s="38" t="n">
        <x:f>'Inputs'!$B$16*(1+'Inputs'!$B$17*(A69-1))*C69*'Inputs'!$B$32</x:f>
        <x:v>13120</x:v>
      </x:c>
      <x:c r="F69" s="34" t="n">
        <x:v>8.75</x:v>
      </x:c>
      <x:c r="G69" s="38" t="n">
        <x:f>IF(A69&gt;='Inputs'!$B$6,0,IF(A69=1,'Inputs'!$B$11,ROUNDUP(E69*(1+IF(A69&gt;=3,'Inputs'!$B$27+'Inputs'!$B$29/7,0))*F69/10,0)*10))</x:f>
        <x:v>138420</x:v>
      </x:c>
      <x:c r="H69" s="38" t="n">
        <x:f>H68+G68</x:f>
        <x:v>3237640</x:v>
      </x:c>
      <x:c r="I69" s="38" t="n">
        <x:f>IF(A69=1,0,IF(A69=2,'Inputs'!$B$12,ROUND(D69*'Inputs'!$B$51/5,0)*5))</x:f>
        <x:v>1745</x:v>
      </x:c>
      <x:c r="J69" s="38" t="n">
        <x:f>IF(A69=1,0,IF(A69=2,'Inputs'!$B$13,IF(MOD(A69,5)=0,3,IF(MOD(A69,2)=0,1,0))))</x:f>
        <x:v>3</x:v>
      </x:c>
      <x:c r="K69" s="28" t="n">
        <x:f>COUNTIFS('Coin Fish'!$D$5:$D$76,A69,'Coin Fish'!$E$5:$E$76,"Launch")</x:f>
        <x:v>0</x:v>
      </x:c>
      <x:c r="L69" s="28" t="n">
        <x:f>COUNTIFS('Decor Catalog'!$G$5:$G$124,A69,'Decor Catalog'!$T$5:$T$124,"Launch")</x:f>
        <x:v>0</x:v>
      </x:c>
      <x:c r="M69" s="28" t="str">
        <x:v>Catalog reserve only; re-simulate new tanks, sinks and content before activating this level.</x:v>
      </x:c>
      <x:c r="N69" s="28" t="str">
        <x:v>No banked account XP beyond L40. Lifetime statistics may continue.</x:v>
      </x:c>
    </x:row>
    <x:row r="70" ht="58" customHeight="1">
      <x:c r="A70" s="28" t="n">
        <x:v>66</x:v>
      </x:c>
      <x:c r="B70" s="28" t="str">
        <x:f>IF(A70&lt;='Inputs'!$B$5,"Launch","HOLD / unvalidated")</x:f>
        <x:v>HOLD / unvalidated</x:v>
      </x:c>
      <x:c r="C70" s="28" t="n">
        <x:f>SUMIF('Tanks'!$C$5:$C$19,"&lt;="&amp;A70,'Tanks'!$D$5:$D$19)</x:f>
        <x:v>100</x:v>
      </x:c>
      <x:c r="D70" s="38" t="n">
        <x:f>'Inputs'!$B$14*(1+'Inputs'!$B$15*(A70-1))*C70*'Inputs'!$B$32</x:f>
        <x:v>117750</x:v>
      </x:c>
      <x:c r="E70" s="38" t="n">
        <x:f>'Inputs'!$B$16*(1+'Inputs'!$B$17*(A70-1))*C70*'Inputs'!$B$32</x:f>
        <x:v>13199.999999999998</x:v>
      </x:c>
      <x:c r="F70" s="34" t="n">
        <x:v>8.9</x:v>
      </x:c>
      <x:c r="G70" s="38" t="n">
        <x:f>IF(A70&gt;='Inputs'!$B$6,0,IF(A70=1,'Inputs'!$B$11,ROUNDUP(E70*(1+IF(A70&gt;=3,'Inputs'!$B$27+'Inputs'!$B$29/7,0))*F70/10,0)*10))</x:f>
        <x:v>141650</x:v>
      </x:c>
      <x:c r="H70" s="38" t="n">
        <x:f>H69+G69</x:f>
        <x:v>3376060</x:v>
      </x:c>
      <x:c r="I70" s="38" t="n">
        <x:f>IF(A70=1,0,IF(A70=2,'Inputs'!$B$12,ROUND(D70*'Inputs'!$B$51/5,0)*5))</x:f>
        <x:v>1765</x:v>
      </x:c>
      <x:c r="J70" s="38" t="n">
        <x:f>IF(A70=1,0,IF(A70=2,'Inputs'!$B$13,IF(MOD(A70,5)=0,3,IF(MOD(A70,2)=0,1,0))))</x:f>
        <x:v>1</x:v>
      </x:c>
      <x:c r="K70" s="28" t="n">
        <x:f>COUNTIFS('Coin Fish'!$D$5:$D$76,A70,'Coin Fish'!$E$5:$E$76,"Launch")</x:f>
        <x:v>0</x:v>
      </x:c>
      <x:c r="L70" s="28" t="n">
        <x:f>COUNTIFS('Decor Catalog'!$G$5:$G$124,A70,'Decor Catalog'!$T$5:$T$124,"Launch")</x:f>
        <x:v>0</x:v>
      </x:c>
      <x:c r="M70" s="28" t="str">
        <x:v>Catalog reserve only; re-simulate new tanks, sinks and content before activating this level.</x:v>
      </x:c>
      <x:c r="N70" s="28" t="str">
        <x:v>No banked account XP beyond L40. Lifetime statistics may continue.</x:v>
      </x:c>
    </x:row>
    <x:row r="71" ht="58" customHeight="1">
      <x:c r="A71" s="28" t="n">
        <x:v>67</x:v>
      </x:c>
      <x:c r="B71" s="28" t="str">
        <x:f>IF(A71&lt;='Inputs'!$B$5,"Launch","HOLD / unvalidated")</x:f>
        <x:v>HOLD / unvalidated</x:v>
      </x:c>
      <x:c r="C71" s="28" t="n">
        <x:f>SUMIF('Tanks'!$C$5:$C$19,"&lt;="&amp;A71,'Tanks'!$D$5:$D$19)</x:f>
        <x:v>100</x:v>
      </x:c>
      <x:c r="D71" s="38" t="n">
        <x:f>'Inputs'!$B$14*(1+'Inputs'!$B$15*(A71-1))*C71*'Inputs'!$B$32</x:f>
        <x:v>119099.99999999999</x:v>
      </x:c>
      <x:c r="E71" s="38" t="n">
        <x:f>'Inputs'!$B$16*(1+'Inputs'!$B$17*(A71-1))*C71*'Inputs'!$B$32</x:f>
        <x:v>13280.000000000002</x:v>
      </x:c>
      <x:c r="F71" s="34" t="n">
        <x:v>9.05</x:v>
      </x:c>
      <x:c r="G71" s="38" t="n">
        <x:f>IF(A71&gt;='Inputs'!$B$6,0,IF(A71=1,'Inputs'!$B$11,ROUNDUP(E71*(1+IF(A71&gt;=3,'Inputs'!$B$27+'Inputs'!$B$29/7,0))*F71/10,0)*10))</x:f>
        <x:v>144910</x:v>
      </x:c>
      <x:c r="H71" s="38" t="n">
        <x:f>H70+G70</x:f>
        <x:v>3517710</x:v>
      </x:c>
      <x:c r="I71" s="38" t="n">
        <x:f>IF(A71=1,0,IF(A71=2,'Inputs'!$B$12,ROUND(D71*'Inputs'!$B$51/5,0)*5))</x:f>
        <x:v>1785</x:v>
      </x:c>
      <x:c r="J71" s="38" t="n">
        <x:f>IF(A71=1,0,IF(A71=2,'Inputs'!$B$13,IF(MOD(A71,5)=0,3,IF(MOD(A71,2)=0,1,0))))</x:f>
        <x:v>0</x:v>
      </x:c>
      <x:c r="K71" s="28" t="n">
        <x:f>COUNTIFS('Coin Fish'!$D$5:$D$76,A71,'Coin Fish'!$E$5:$E$76,"Launch")</x:f>
        <x:v>0</x:v>
      </x:c>
      <x:c r="L71" s="28" t="n">
        <x:f>COUNTIFS('Decor Catalog'!$G$5:$G$124,A71,'Decor Catalog'!$T$5:$T$124,"Launch")</x:f>
        <x:v>0</x:v>
      </x:c>
      <x:c r="M71" s="28" t="str">
        <x:v>Catalog reserve only; re-simulate new tanks, sinks and content before activating this level.</x:v>
      </x:c>
      <x:c r="N71" s="28" t="str">
        <x:v>No banked account XP beyond L40. Lifetime statistics may continue.</x:v>
      </x:c>
    </x:row>
    <x:row r="72" ht="58" customHeight="1">
      <x:c r="A72" s="28" t="n">
        <x:v>68</x:v>
      </x:c>
      <x:c r="B72" s="28" t="str">
        <x:f>IF(A72&lt;='Inputs'!$B$5,"Launch","HOLD / unvalidated")</x:f>
        <x:v>HOLD / unvalidated</x:v>
      </x:c>
      <x:c r="C72" s="28" t="n">
        <x:f>SUMIF('Tanks'!$C$5:$C$19,"&lt;="&amp;A72,'Tanks'!$D$5:$D$19)</x:f>
        <x:v>100</x:v>
      </x:c>
      <x:c r="D72" s="38" t="n">
        <x:f>'Inputs'!$B$14*(1+'Inputs'!$B$15*(A72-1))*C72*'Inputs'!$B$32</x:f>
        <x:v>120450</x:v>
      </x:c>
      <x:c r="E72" s="38" t="n">
        <x:f>'Inputs'!$B$16*(1+'Inputs'!$B$17*(A72-1))*C72*'Inputs'!$B$32</x:f>
        <x:v>13360</x:v>
      </x:c>
      <x:c r="F72" s="34" t="n">
        <x:v>9.2</x:v>
      </x:c>
      <x:c r="G72" s="38" t="n">
        <x:f>IF(A72&gt;='Inputs'!$B$6,0,IF(A72=1,'Inputs'!$B$11,ROUNDUP(E72*(1+IF(A72&gt;=3,'Inputs'!$B$27+'Inputs'!$B$29/7,0))*F72/10,0)*10))</x:f>
        <x:v>148200</x:v>
      </x:c>
      <x:c r="H72" s="38" t="n">
        <x:f>H71+G71</x:f>
        <x:v>3662620</x:v>
      </x:c>
      <x:c r="I72" s="38" t="n">
        <x:f>IF(A72=1,0,IF(A72=2,'Inputs'!$B$12,ROUND(D72*'Inputs'!$B$51/5,0)*5))</x:f>
        <x:v>1805</x:v>
      </x:c>
      <x:c r="J72" s="38" t="n">
        <x:f>IF(A72=1,0,IF(A72=2,'Inputs'!$B$13,IF(MOD(A72,5)=0,3,IF(MOD(A72,2)=0,1,0))))</x:f>
        <x:v>1</x:v>
      </x:c>
      <x:c r="K72" s="28" t="n">
        <x:f>COUNTIFS('Coin Fish'!$D$5:$D$76,A72,'Coin Fish'!$E$5:$E$76,"Launch")</x:f>
        <x:v>0</x:v>
      </x:c>
      <x:c r="L72" s="28" t="n">
        <x:f>COUNTIFS('Decor Catalog'!$G$5:$G$124,A72,'Decor Catalog'!$T$5:$T$124,"Launch")</x:f>
        <x:v>0</x:v>
      </x:c>
      <x:c r="M72" s="28" t="str">
        <x:v>Catalog reserve only; re-simulate new tanks, sinks and content before activating this level.</x:v>
      </x:c>
      <x:c r="N72" s="28" t="str">
        <x:v>No banked account XP beyond L40. Lifetime statistics may continue.</x:v>
      </x:c>
    </x:row>
    <x:row r="73" ht="58" customHeight="1">
      <x:c r="A73" s="28" t="n">
        <x:v>69</x:v>
      </x:c>
      <x:c r="B73" s="28" t="str">
        <x:f>IF(A73&lt;='Inputs'!$B$5,"Launch","HOLD / unvalidated")</x:f>
        <x:v>HOLD / unvalidated</x:v>
      </x:c>
      <x:c r="C73" s="28" t="n">
        <x:f>SUMIF('Tanks'!$C$5:$C$19,"&lt;="&amp;A73,'Tanks'!$D$5:$D$19)</x:f>
        <x:v>100</x:v>
      </x:c>
      <x:c r="D73" s="38" t="n">
        <x:f>'Inputs'!$B$14*(1+'Inputs'!$B$15*(A73-1))*C73*'Inputs'!$B$32</x:f>
        <x:v>121800</x:v>
      </x:c>
      <x:c r="E73" s="38" t="n">
        <x:f>'Inputs'!$B$16*(1+'Inputs'!$B$17*(A73-1))*C73*'Inputs'!$B$32</x:f>
        <x:v>13440.000000000004</x:v>
      </x:c>
      <x:c r="F73" s="34" t="n">
        <x:v>9.35</x:v>
      </x:c>
      <x:c r="G73" s="38" t="n">
        <x:f>IF(A73&gt;='Inputs'!$B$6,0,IF(A73=1,'Inputs'!$B$11,ROUNDUP(E73*(1+IF(A73&gt;=3,'Inputs'!$B$27+'Inputs'!$B$29/7,0))*F73/10,0)*10))</x:f>
        <x:v>151520</x:v>
      </x:c>
      <x:c r="H73" s="38" t="n">
        <x:f>H72+G72</x:f>
        <x:v>3810820</x:v>
      </x:c>
      <x:c r="I73" s="38" t="n">
        <x:f>IF(A73=1,0,IF(A73=2,'Inputs'!$B$12,ROUND(D73*'Inputs'!$B$51/5,0)*5))</x:f>
        <x:v>1825</x:v>
      </x:c>
      <x:c r="J73" s="38" t="n">
        <x:f>IF(A73=1,0,IF(A73=2,'Inputs'!$B$13,IF(MOD(A73,5)=0,3,IF(MOD(A73,2)=0,1,0))))</x:f>
        <x:v>0</x:v>
      </x:c>
      <x:c r="K73" s="28" t="n">
        <x:f>COUNTIFS('Coin Fish'!$D$5:$D$76,A73,'Coin Fish'!$E$5:$E$76,"Launch")</x:f>
        <x:v>0</x:v>
      </x:c>
      <x:c r="L73" s="28" t="n">
        <x:f>COUNTIFS('Decor Catalog'!$G$5:$G$124,A73,'Decor Catalog'!$T$5:$T$124,"Launch")</x:f>
        <x:v>0</x:v>
      </x:c>
      <x:c r="M73" s="28" t="str">
        <x:v>Catalog reserve only; re-simulate new tanks, sinks and content before activating this level.</x:v>
      </x:c>
      <x:c r="N73" s="28" t="str">
        <x:v>No banked account XP beyond L40. Lifetime statistics may continue.</x:v>
      </x:c>
    </x:row>
    <x:row r="74" ht="58" customHeight="1">
      <x:c r="A74" s="28" t="n">
        <x:v>70</x:v>
      </x:c>
      <x:c r="B74" s="28" t="str">
        <x:f>IF(A74&lt;='Inputs'!$B$5,"Launch","HOLD / unvalidated")</x:f>
        <x:v>HOLD / unvalidated</x:v>
      </x:c>
      <x:c r="C74" s="28" t="n">
        <x:f>SUMIF('Tanks'!$C$5:$C$19,"&lt;="&amp;A74,'Tanks'!$D$5:$D$19)</x:f>
        <x:v>100</x:v>
      </x:c>
      <x:c r="D74" s="38" t="n">
        <x:f>'Inputs'!$B$14*(1+'Inputs'!$B$15*(A74-1))*C74*'Inputs'!$B$32</x:f>
        <x:v>123150.00000000003</x:v>
      </x:c>
      <x:c r="E74" s="38" t="n">
        <x:f>'Inputs'!$B$16*(1+'Inputs'!$B$17*(A74-1))*C74*'Inputs'!$B$32</x:f>
        <x:v>13520</x:v>
      </x:c>
      <x:c r="F74" s="34" t="n">
        <x:v>9.5</x:v>
      </x:c>
      <x:c r="G74" s="38" t="n">
        <x:f>IF(A74&gt;='Inputs'!$B$6,0,IF(A74=1,'Inputs'!$B$11,ROUNDUP(E74*(1+IF(A74&gt;=3,'Inputs'!$B$27+'Inputs'!$B$29/7,0))*F74/10,0)*10))</x:f>
        <x:v>0</x:v>
      </x:c>
      <x:c r="H74" s="38" t="n">
        <x:f>H73+G73</x:f>
        <x:v>3962340</x:v>
      </x:c>
      <x:c r="I74" s="38" t="n">
        <x:f>IF(A74=1,0,IF(A74=2,'Inputs'!$B$12,ROUND(D74*'Inputs'!$B$51/5,0)*5))</x:f>
        <x:v>1845</x:v>
      </x:c>
      <x:c r="J74" s="38" t="n">
        <x:f>IF(A74=1,0,IF(A74=2,'Inputs'!$B$13,IF(MOD(A74,5)=0,3,IF(MOD(A74,2)=0,1,0))))</x:f>
        <x:v>3</x:v>
      </x:c>
      <x:c r="K74" s="28" t="n">
        <x:f>COUNTIFS('Coin Fish'!$D$5:$D$76,A74,'Coin Fish'!$E$5:$E$76,"Launch")</x:f>
        <x:v>0</x:v>
      </x:c>
      <x:c r="L74" s="28" t="n">
        <x:f>COUNTIFS('Decor Catalog'!$G$5:$G$124,A74,'Decor Catalog'!$T$5:$T$124,"Launch")</x:f>
        <x:v>0</x:v>
      </x:c>
      <x:c r="M74" s="28" t="str">
        <x:v>Catalog reserve only; re-simulate new tanks, sinks and content before activating this level.</x:v>
      </x:c>
      <x:c r="N74" s="28" t="str">
        <x:v>No banked account XP beyond L40. Lifetime statistics may continue.</x:v>
      </x:c>
    </x:row>
  </x:sheetData>
  <x:mergeCells>
    <x:mergeCell ref="A1:N1"/>
    <x:mergeCell ref="A2:N2"/>
  </x:mergeCells>
  <x:pageMargins left="0.7" right="0.7" top="0.75" bottom="0.75" header="0.3" footer="0.3"/>
  <x:tableParts count="1">
    <x:tablePart xmlns:r="http://schemas.openxmlformats.org/officeDocument/2006/relationships" r:id="Rde32343cbd714a66"/>
  </x:tableParts>
</x:worksheet>
</file>

<file path=xl/worksheets/sheet11.xml><?xml version="1.0" encoding="utf-8"?>
<x:worksheet xmlns:x="http://schemas.openxmlformats.org/spreadsheetml/2006/main">
  <x:sheetFormatPr defaultRowHeight="15"/>
  <x:cols>
    <x:col min="1" max="1" width="18" hidden="0" customWidth="1"/>
    <x:col min="2" max="2" width="10" hidden="0" customWidth="1"/>
    <x:col min="3" max="3" width="13" hidden="0" customWidth="1"/>
    <x:col min="4" max="4" width="13" hidden="0" customWidth="1"/>
    <x:col min="5" max="5" width="16" hidden="0" customWidth="1"/>
    <x:col min="6" max="6" width="17" hidden="0" customWidth="1"/>
    <x:col min="7" max="7" width="20" hidden="0" customWidth="1"/>
    <x:col min="8" max="8" width="17" hidden="0" customWidth="1"/>
    <x:col min="9" max="9" width="18" hidden="0" customWidth="1"/>
    <x:col min="10" max="10" width="18" hidden="0" customWidth="1"/>
    <x:col min="11" max="11" width="20" hidden="0" customWidth="1"/>
    <x:col min="12" max="12" width="20" hidden="0" customWidth="1"/>
    <x:col min="13" max="13" width="55" hidden="0" customWidth="1"/>
  </x:cols>
  <x:sheetData>
    <x:row r="1" ht="34" customHeight="1">
      <x:c r="A1" s="6" t="str">
        <x:v>TANKS &amp; CAPACITY</x:v>
      </x:c>
      <x:c r="B1" s="6"/>
      <x:c r="C1" s="6"/>
      <x:c r="D1" s="6"/>
      <x:c r="E1" s="6"/>
      <x:c r="F1" s="6"/>
      <x:c r="G1" s="6"/>
      <x:c r="H1" s="6"/>
      <x:c r="I1" s="6"/>
      <x:c r="J1" s="6"/>
      <x:c r="K1" s="6"/>
      <x:c r="L1" s="6"/>
      <x:c r="M1" s="6"/>
    </x:row>
    <x:row r="2" ht="32" customHeight="1">
      <x:c r="A2" s="13" t="str">
        <x:v>15 normalized transactions; 5 tanks / 100 production slots at L40. Prices are incremental, not cumulative. Owned slots—not unlocked slots—produce.</x:v>
      </x:c>
      <x:c r="B2" s="13"/>
      <x:c r="C2" s="13"/>
      <x:c r="D2" s="13"/>
      <x:c r="E2" s="13"/>
      <x:c r="F2" s="13"/>
      <x:c r="G2" s="13"/>
      <x:c r="H2" s="13"/>
      <x:c r="I2" s="13"/>
      <x:c r="J2" s="13"/>
      <x:c r="K2" s="13"/>
      <x:c r="L2" s="13"/>
      <x:c r="M2" s="13"/>
    </x:row>
    <x:row r="3">
      <x:c r="A3" s="2"/>
      <x:c r="B3" s="2"/>
      <x:c r="C3" s="2"/>
      <x:c r="D3" s="2"/>
      <x:c r="E3" s="2"/>
      <x:c r="F3" s="2"/>
      <x:c r="G3" s="2"/>
      <x:c r="H3" s="2"/>
      <x:c r="I3" s="2"/>
      <x:c r="J3" s="2"/>
      <x:c r="K3" s="2"/>
      <x:c r="L3" s="2"/>
      <x:c r="M3" s="2"/>
    </x:row>
    <x:row r="4" ht="32" customHeight="1">
      <x:c r="A4" s="21" t="str">
        <x:v>Transaction ID</x:v>
      </x:c>
      <x:c r="B4" s="21" t="str">
        <x:v>Tank</x:v>
      </x:c>
      <x:c r="C4" s="21" t="str">
        <x:v>Unlock level</x:v>
      </x:c>
      <x:c r="D4" s="21" t="str">
        <x:v>Added slots</x:v>
      </x:c>
      <x:c r="E4" s="21" t="str">
        <x:v>Coin cost</x:v>
      </x:c>
      <x:c r="F4" s="21" t="str">
        <x:v>Pearl alternative</x:v>
      </x:c>
      <x:c r="G4" s="21" t="str">
        <x:v>Prerequisite ID</x:v>
      </x:c>
      <x:c r="H4" s="21" t="str">
        <x:v>Action</x:v>
      </x:c>
      <x:c r="I4" s="21" t="str">
        <x:v>Resulting tank slots</x:v>
      </x:c>
      <x:c r="J4" s="21" t="str">
        <x:v>Eligible global slots</x:v>
      </x:c>
      <x:c r="K4" s="21" t="str">
        <x:v>Reference coins/day</x:v>
      </x:c>
      <x:c r="L4" s="21" t="str">
        <x:v>Price / reference day</x:v>
      </x:c>
      <x:c r="M4" s="21" t="str">
        <x:v>Purchase rule</x:v>
      </x:c>
    </x:row>
    <x:row r="5" ht="50" customHeight="1">
      <x:c r="A5" s="28" t="str">
        <x:v>TK-01-10</x:v>
      </x:c>
      <x:c r="B5" s="28" t="n">
        <x:v>1</x:v>
      </x:c>
      <x:c r="C5" s="28" t="n">
        <x:v>1</x:v>
      </x:c>
      <x:c r="D5" s="28" t="n">
        <x:v>10</x:v>
      </x:c>
      <x:c r="E5" s="36" t="n">
        <x:v>0</x:v>
      </x:c>
      <x:c r="F5" s="32" t="n">
        <x:v>0</x:v>
      </x:c>
      <x:c r="G5" s="28" t="str">
        <x:v>None</x:v>
      </x:c>
      <x:c r="H5" s="28" t="str">
        <x:v>New tank</x:v>
      </x:c>
      <x:c r="I5" s="28" t="n">
        <x:f>SUMIFS($D$5:$D$19,$B$5:$B$19,B5,$C$5:$C$19,"&lt;="&amp;C5)</x:f>
        <x:v>10</x:v>
      </x:c>
      <x:c r="J5" s="28" t="n">
        <x:f>SUMIF($C$5:$C$19,"&lt;="&amp;C5,$D$5:$D$19)</x:f>
        <x:v>10</x:v>
      </x:c>
      <x:c r="K5" s="38" t="n">
        <x:f>'Inputs'!$B$14*(1+'Inputs'!$B$15*(C5-1))*J5*'Inputs'!$B$32</x:f>
        <x:v>3000</x:v>
      </x:c>
      <x:c r="L5" s="40" t="n">
        <x:f>IF(K5=0,0,E5/K5)</x:f>
        <x:v>0</x:v>
      </x:c>
      <x:c r="M5" s="28" t="str">
        <x:v>Pay Coins OR Pearls, never both. Same level/prerequisite gate; no friend requirement.</x:v>
      </x:c>
    </x:row>
    <x:row r="6" ht="50" customHeight="1">
      <x:c r="A6" s="28" t="str">
        <x:v>TK-01-15</x:v>
      </x:c>
      <x:c r="B6" s="28" t="n">
        <x:v>1</x:v>
      </x:c>
      <x:c r="C6" s="28" t="n">
        <x:v>3</x:v>
      </x:c>
      <x:c r="D6" s="28" t="n">
        <x:v>5</x:v>
      </x:c>
      <x:c r="E6" s="36" t="n">
        <x:v>300</x:v>
      </x:c>
      <x:c r="F6" s="32" t="n">
        <x:v>3</x:v>
      </x:c>
      <x:c r="G6" s="28" t="str">
        <x:v>TK-01-10</x:v>
      </x:c>
      <x:c r="H6" s="28" t="str">
        <x:v>Upgrade</x:v>
      </x:c>
      <x:c r="I6" s="28" t="n">
        <x:f>SUMIFS($D$5:$D$19,$B$5:$B$19,B6,$C$5:$C$19,"&lt;="&amp;C6)</x:f>
        <x:v>15</x:v>
      </x:c>
      <x:c r="J6" s="28" t="n">
        <x:f>SUMIF($C$5:$C$19,"&lt;="&amp;C6,$D$5:$D$19)</x:f>
        <x:v>15</x:v>
      </x:c>
      <x:c r="K6" s="38" t="n">
        <x:f>'Inputs'!$B$14*(1+'Inputs'!$B$15*(C6-1))*J6*'Inputs'!$B$32</x:f>
        <x:v>4905.000000000001</x:v>
      </x:c>
      <x:c r="L6" s="40" t="n">
        <x:f>IF(K6=0,0,E6/K6)</x:f>
        <x:v>0.061162079510703356</x:v>
      </x:c>
      <x:c r="M6" s="28" t="str">
        <x:v>Pay Coins OR Pearls, never both. Same level/prerequisite gate; no friend requirement.</x:v>
      </x:c>
    </x:row>
    <x:row r="7" ht="50" customHeight="1">
      <x:c r="A7" s="28" t="str">
        <x:v>TK-02-10</x:v>
      </x:c>
      <x:c r="B7" s="28" t="n">
        <x:v>2</x:v>
      </x:c>
      <x:c r="C7" s="28" t="n">
        <x:v>7</x:v>
      </x:c>
      <x:c r="D7" s="28" t="n">
        <x:v>10</x:v>
      </x:c>
      <x:c r="E7" s="36" t="n">
        <x:v>6500</x:v>
      </x:c>
      <x:c r="F7" s="32" t="n">
        <x:v>15</x:v>
      </x:c>
      <x:c r="G7" s="28" t="str">
        <x:v>TK-01-10</x:v>
      </x:c>
      <x:c r="H7" s="28" t="str">
        <x:v>New tank</x:v>
      </x:c>
      <x:c r="I7" s="28" t="n">
        <x:f>SUMIFS($D$5:$D$19,$B$5:$B$19,B7,$C$5:$C$19,"&lt;="&amp;C7)</x:f>
        <x:v>10</x:v>
      </x:c>
      <x:c r="J7" s="28" t="n">
        <x:f>SUMIF($C$5:$C$19,"&lt;="&amp;C7,$D$5:$D$19)</x:f>
        <x:v>25</x:v>
      </x:c>
      <x:c r="K7" s="38" t="n">
        <x:f>'Inputs'!$B$14*(1+'Inputs'!$B$15*(C7-1))*J7*'Inputs'!$B$32</x:f>
        <x:v>9525</x:v>
      </x:c>
      <x:c r="L7" s="40" t="n">
        <x:f>IF(K7=0,0,E7/K7)</x:f>
        <x:v>0.6824146981627297</x:v>
      </x:c>
      <x:c r="M7" s="28" t="str">
        <x:v>Pay Coins OR Pearls, never both. Same level/prerequisite gate; no friend requirement.</x:v>
      </x:c>
    </x:row>
    <x:row r="8" ht="50" customHeight="1">
      <x:c r="A8" s="28" t="str">
        <x:v>TK-01-20</x:v>
      </x:c>
      <x:c r="B8" s="28" t="n">
        <x:v>1</x:v>
      </x:c>
      <x:c r="C8" s="28" t="n">
        <x:v>9</x:v>
      </x:c>
      <x:c r="D8" s="28" t="n">
        <x:v>5</x:v>
      </x:c>
      <x:c r="E8" s="36" t="n">
        <x:v>15000</x:v>
      </x:c>
      <x:c r="F8" s="32" t="n">
        <x:v>15</x:v>
      </x:c>
      <x:c r="G8" s="28" t="str">
        <x:v>TK-01-15</x:v>
      </x:c>
      <x:c r="H8" s="28" t="str">
        <x:v>Upgrade</x:v>
      </x:c>
      <x:c r="I8" s="28" t="n">
        <x:f>SUMIFS($D$5:$D$19,$B$5:$B$19,B8,$C$5:$C$19,"&lt;="&amp;C8)</x:f>
        <x:v>20</x:v>
      </x:c>
      <x:c r="J8" s="28" t="n">
        <x:f>SUMIF($C$5:$C$19,"&lt;="&amp;C8,$D$5:$D$19)</x:f>
        <x:v>30</x:v>
      </x:c>
      <x:c r="K8" s="38" t="n">
        <x:f>'Inputs'!$B$14*(1+'Inputs'!$B$15*(C8-1))*J8*'Inputs'!$B$32</x:f>
        <x:v>12239.999999999998</x:v>
      </x:c>
      <x:c r="L8" s="40" t="n">
        <x:f>IF(K8=0,0,E8/K8)</x:f>
        <x:v>1.2254901960784315</x:v>
      </x:c>
      <x:c r="M8" s="28" t="str">
        <x:v>Pay Coins OR Pearls, never both. Same level/prerequisite gate; no friend requirement.</x:v>
      </x:c>
    </x:row>
    <x:row r="9" ht="50" customHeight="1">
      <x:c r="A9" s="28" t="str">
        <x:v>TK-02-15</x:v>
      </x:c>
      <x:c r="B9" s="28" t="n">
        <x:v>2</x:v>
      </x:c>
      <x:c r="C9" s="28" t="n">
        <x:v>12</x:v>
      </x:c>
      <x:c r="D9" s="28" t="n">
        <x:v>5</x:v>
      </x:c>
      <x:c r="E9" s="36" t="n">
        <x:v>40000</x:v>
      </x:c>
      <x:c r="F9" s="32" t="n">
        <x:v>25</x:v>
      </x:c>
      <x:c r="G9" s="28" t="str">
        <x:v>TK-02-10</x:v>
      </x:c>
      <x:c r="H9" s="28" t="str">
        <x:v>Upgrade</x:v>
      </x:c>
      <x:c r="I9" s="28" t="n">
        <x:f>SUMIFS($D$5:$D$19,$B$5:$B$19,B9,$C$5:$C$19,"&lt;="&amp;C9)</x:f>
        <x:v>15</x:v>
      </x:c>
      <x:c r="J9" s="28" t="n">
        <x:f>SUMIF($C$5:$C$19,"&lt;="&amp;C9,$D$5:$D$19)</x:f>
        <x:v>35</x:v>
      </x:c>
      <x:c r="K9" s="38" t="n">
        <x:f>'Inputs'!$B$14*(1+'Inputs'!$B$15*(C9-1))*J9*'Inputs'!$B$32</x:f>
        <x:v>15697.5</x:v>
      </x:c>
      <x:c r="L9" s="40" t="n">
        <x:f>IF(K9=0,0,E9/K9)</x:f>
        <x:v>2.5481764612199393</x:v>
      </x:c>
      <x:c r="M9" s="28" t="str">
        <x:v>Pay Coins OR Pearls, never both. Same level/prerequisite gate; no friend requirement.</x:v>
      </x:c>
    </x:row>
    <x:row r="10" ht="50" customHeight="1">
      <x:c r="A10" s="28" t="str">
        <x:v>TK-03-10</x:v>
      </x:c>
      <x:c r="B10" s="28" t="n">
        <x:v>3</x:v>
      </x:c>
      <x:c r="C10" s="28" t="n">
        <x:v>16</x:v>
      </x:c>
      <x:c r="D10" s="28" t="n">
        <x:v>10</x:v>
      </x:c>
      <x:c r="E10" s="36" t="n">
        <x:v>120000</x:v>
      </x:c>
      <x:c r="F10" s="32" t="n">
        <x:v>35</x:v>
      </x:c>
      <x:c r="G10" s="28" t="str">
        <x:v>TK-02-10</x:v>
      </x:c>
      <x:c r="H10" s="28" t="str">
        <x:v>New tank</x:v>
      </x:c>
      <x:c r="I10" s="28" t="n">
        <x:f>SUMIFS($D$5:$D$19,$B$5:$B$19,B10,$C$5:$C$19,"&lt;="&amp;C10)</x:f>
        <x:v>10</x:v>
      </x:c>
      <x:c r="J10" s="28" t="n">
        <x:f>SUMIF($C$5:$C$19,"&lt;="&amp;C10,$D$5:$D$19)</x:f>
        <x:v>45</x:v>
      </x:c>
      <x:c r="K10" s="38" t="n">
        <x:f>'Inputs'!$B$14*(1+'Inputs'!$B$15*(C10-1))*J10*'Inputs'!$B$32</x:f>
        <x:v>22612.499999999996</x:v>
      </x:c>
      <x:c r="L10" s="40" t="n">
        <x:f>IF(K10=0,0,E10/K10)</x:f>
        <x:v>5.306799336650084</x:v>
      </x:c>
      <x:c r="M10" s="28" t="str">
        <x:v>Pay Coins OR Pearls, never both. Same level/prerequisite gate; no friend requirement.</x:v>
      </x:c>
    </x:row>
    <x:row r="11" ht="50" customHeight="1">
      <x:c r="A11" s="28" t="str">
        <x:v>TK-02-20</x:v>
      </x:c>
      <x:c r="B11" s="28" t="n">
        <x:v>2</x:v>
      </x:c>
      <x:c r="C11" s="28" t="n">
        <x:v>18</x:v>
      </x:c>
      <x:c r="D11" s="28" t="n">
        <x:v>5</x:v>
      </x:c>
      <x:c r="E11" s="36" t="n">
        <x:v>105000</x:v>
      </x:c>
      <x:c r="F11" s="32" t="n">
        <x:v>30</x:v>
      </x:c>
      <x:c r="G11" s="28" t="str">
        <x:v>TK-02-15</x:v>
      </x:c>
      <x:c r="H11" s="28" t="str">
        <x:v>Upgrade</x:v>
      </x:c>
      <x:c r="I11" s="28" t="n">
        <x:f>SUMIFS($D$5:$D$19,$B$5:$B$19,B11,$C$5:$C$19,"&lt;="&amp;C11)</x:f>
        <x:v>20</x:v>
      </x:c>
      <x:c r="J11" s="28" t="n">
        <x:f>SUMIF($C$5:$C$19,"&lt;="&amp;C11,$D$5:$D$19)</x:f>
        <x:v>50</x:v>
      </x:c>
      <x:c r="K11" s="38" t="n">
        <x:f>'Inputs'!$B$14*(1+'Inputs'!$B$15*(C11-1))*J11*'Inputs'!$B$32</x:f>
        <x:v>26475.000000000004</x:v>
      </x:c>
      <x:c r="L11" s="40" t="n">
        <x:f>IF(K11=0,0,E11/K11)</x:f>
        <x:v>3.966005665722379</x:v>
      </x:c>
      <x:c r="M11" s="28" t="str">
        <x:v>Pay Coins OR Pearls, never both. Same level/prerequisite gate; no friend requirement.</x:v>
      </x:c>
    </x:row>
    <x:row r="12" ht="50" customHeight="1">
      <x:c r="A12" s="28" t="str">
        <x:v>TK-03-15</x:v>
      </x:c>
      <x:c r="B12" s="28" t="n">
        <x:v>3</x:v>
      </x:c>
      <x:c r="C12" s="28" t="n">
        <x:v>21</x:v>
      </x:c>
      <x:c r="D12" s="28" t="n">
        <x:v>5</x:v>
      </x:c>
      <x:c r="E12" s="36" t="n">
        <x:v>200000</x:v>
      </x:c>
      <x:c r="F12" s="32" t="n">
        <x:v>45</x:v>
      </x:c>
      <x:c r="G12" s="28" t="str">
        <x:v>TK-03-10</x:v>
      </x:c>
      <x:c r="H12" s="28" t="str">
        <x:v>Upgrade</x:v>
      </x:c>
      <x:c r="I12" s="28" t="n">
        <x:f>SUMIFS($D$5:$D$19,$B$5:$B$19,B12,$C$5:$C$19,"&lt;="&amp;C12)</x:f>
        <x:v>15</x:v>
      </x:c>
      <x:c r="J12" s="28" t="n">
        <x:f>SUMIF($C$5:$C$19,"&lt;="&amp;C12,$D$5:$D$19)</x:f>
        <x:v>55</x:v>
      </x:c>
      <x:c r="K12" s="38" t="n">
        <x:f>'Inputs'!$B$14*(1+'Inputs'!$B$15*(C12-1))*J12*'Inputs'!$B$32</x:f>
        <x:v>31350</x:v>
      </x:c>
      <x:c r="L12" s="40" t="n">
        <x:f>IF(K12=0,0,E12/K12)</x:f>
        <x:v>6.379585326953748</x:v>
      </x:c>
      <x:c r="M12" s="28" t="str">
        <x:v>Pay Coins OR Pearls, never both. Same level/prerequisite gate; no friend requirement.</x:v>
      </x:c>
    </x:row>
    <x:row r="13" ht="50" customHeight="1">
      <x:c r="A13" s="28" t="str">
        <x:v>TK-04-10</x:v>
      </x:c>
      <x:c r="B13" s="28" t="n">
        <x:v>4</x:v>
      </x:c>
      <x:c r="C13" s="28" t="n">
        <x:v>25</x:v>
      </x:c>
      <x:c r="D13" s="28" t="n">
        <x:v>10</x:v>
      </x:c>
      <x:c r="E13" s="36" t="n">
        <x:v>300000</x:v>
      </x:c>
      <x:c r="F13" s="32" t="n">
        <x:v>55</x:v>
      </x:c>
      <x:c r="G13" s="28" t="str">
        <x:v>TK-03-10</x:v>
      </x:c>
      <x:c r="H13" s="28" t="str">
        <x:v>New tank</x:v>
      </x:c>
      <x:c r="I13" s="28" t="n">
        <x:f>SUMIFS($D$5:$D$19,$B$5:$B$19,B13,$C$5:$C$19,"&lt;="&amp;C13)</x:f>
        <x:v>10</x:v>
      </x:c>
      <x:c r="J13" s="28" t="n">
        <x:f>SUMIF($C$5:$C$19,"&lt;="&amp;C13,$D$5:$D$19)</x:f>
        <x:v>65</x:v>
      </x:c>
      <x:c r="K13" s="38" t="n">
        <x:f>'Inputs'!$B$14*(1+'Inputs'!$B$15*(C13-1))*J13*'Inputs'!$B$32</x:f>
        <x:v>40560.00000000001</x:v>
      </x:c>
      <x:c r="L13" s="40" t="n">
        <x:f>IF(K13=0,0,E13/K13)</x:f>
        <x:v>7.39644970414201</x:v>
      </x:c>
      <x:c r="M13" s="28" t="str">
        <x:v>Pay Coins OR Pearls, never both. Same level/prerequisite gate; no friend requirement.</x:v>
      </x:c>
    </x:row>
    <x:row r="14" ht="50" customHeight="1">
      <x:c r="A14" s="28" t="str">
        <x:v>TK-03-20</x:v>
      </x:c>
      <x:c r="B14" s="28" t="n">
        <x:v>3</x:v>
      </x:c>
      <x:c r="C14" s="28" t="n">
        <x:v>28</x:v>
      </x:c>
      <x:c r="D14" s="28" t="n">
        <x:v>5</x:v>
      </x:c>
      <x:c r="E14" s="36" t="n">
        <x:v>350000</x:v>
      </x:c>
      <x:c r="F14" s="32" t="n">
        <x:v>50</x:v>
      </x:c>
      <x:c r="G14" s="28" t="str">
        <x:v>TK-03-15</x:v>
      </x:c>
      <x:c r="H14" s="28" t="str">
        <x:v>Upgrade</x:v>
      </x:c>
      <x:c r="I14" s="28" t="n">
        <x:f>SUMIFS($D$5:$D$19,$B$5:$B$19,B14,$C$5:$C$19,"&lt;="&amp;C14)</x:f>
        <x:v>20</x:v>
      </x:c>
      <x:c r="J14" s="28" t="n">
        <x:f>SUMIF($C$5:$C$19,"&lt;="&amp;C14,$D$5:$D$19)</x:f>
        <x:v>70</x:v>
      </x:c>
      <x:c r="K14" s="38" t="n">
        <x:f>'Inputs'!$B$14*(1+'Inputs'!$B$15*(C14-1))*J14*'Inputs'!$B$32</x:f>
        <x:v>46515</x:v>
      </x:c>
      <x:c r="L14" s="40" t="n">
        <x:f>IF(K14=0,0,E14/K14)</x:f>
        <x:v>7.524454477050414</x:v>
      </x:c>
      <x:c r="M14" s="28" t="str">
        <x:v>Pay Coins OR Pearls, never both. Same level/prerequisite gate; no friend requirement.</x:v>
      </x:c>
    </x:row>
    <x:row r="15" ht="50" customHeight="1">
      <x:c r="A15" s="28" t="str">
        <x:v>TK-04-15</x:v>
      </x:c>
      <x:c r="B15" s="28" t="n">
        <x:v>4</x:v>
      </x:c>
      <x:c r="C15" s="28" t="n">
        <x:v>30</x:v>
      </x:c>
      <x:c r="D15" s="28" t="n">
        <x:v>5</x:v>
      </x:c>
      <x:c r="E15" s="36" t="n">
        <x:v>300000</x:v>
      </x:c>
      <x:c r="F15" s="32" t="n">
        <x:v>60</x:v>
      </x:c>
      <x:c r="G15" s="28" t="str">
        <x:v>TK-04-10</x:v>
      </x:c>
      <x:c r="H15" s="28" t="str">
        <x:v>Upgrade</x:v>
      </x:c>
      <x:c r="I15" s="28" t="n">
        <x:f>SUMIFS($D$5:$D$19,$B$5:$B$19,B15,$C$5:$C$19,"&lt;="&amp;C15)</x:f>
        <x:v>15</x:v>
      </x:c>
      <x:c r="J15" s="28" t="n">
        <x:f>SUMIF($C$5:$C$19,"&lt;="&amp;C15,$D$5:$D$19)</x:f>
        <x:v>75</x:v>
      </x:c>
      <x:c r="K15" s="38" t="n">
        <x:f>'Inputs'!$B$14*(1+'Inputs'!$B$15*(C15-1))*J15*'Inputs'!$B$32</x:f>
        <x:v>51862.5</x:v>
      </x:c>
      <x:c r="L15" s="40" t="n">
        <x:f>IF(K15=0,0,E15/K15)</x:f>
        <x:v>5.784526391901663</x:v>
      </x:c>
      <x:c r="M15" s="28" t="str">
        <x:v>Pay Coins OR Pearls, never both. Same level/prerequisite gate; no friend requirement.</x:v>
      </x:c>
    </x:row>
    <x:row r="16" ht="50" customHeight="1">
      <x:c r="A16" s="28" t="str">
        <x:v>TK-05-10</x:v>
      </x:c>
      <x:c r="B16" s="28" t="n">
        <x:v>5</x:v>
      </x:c>
      <x:c r="C16" s="28" t="n">
        <x:v>34</x:v>
      </x:c>
      <x:c r="D16" s="28" t="n">
        <x:v>10</x:v>
      </x:c>
      <x:c r="E16" s="36" t="n">
        <x:v>600000</x:v>
      </x:c>
      <x:c r="F16" s="32" t="n">
        <x:v>75</x:v>
      </x:c>
      <x:c r="G16" s="28" t="str">
        <x:v>TK-04-10</x:v>
      </x:c>
      <x:c r="H16" s="28" t="str">
        <x:v>New tank</x:v>
      </x:c>
      <x:c r="I16" s="28" t="n">
        <x:f>SUMIFS($D$5:$D$19,$B$5:$B$19,B16,$C$5:$C$19,"&lt;="&amp;C16)</x:f>
        <x:v>10</x:v>
      </x:c>
      <x:c r="J16" s="28" t="n">
        <x:f>SUMIF($C$5:$C$19,"&lt;="&amp;C16,$D$5:$D$19)</x:f>
        <x:v>85</x:v>
      </x:c>
      <x:c r="K16" s="38" t="n">
        <x:f>'Inputs'!$B$14*(1+'Inputs'!$B$15*(C16-1))*J16*'Inputs'!$B$32</x:f>
        <x:v>63367.49999999999</x:v>
      </x:c>
      <x:c r="L16" s="40" t="n">
        <x:f>IF(K16=0,0,E16/K16)</x:f>
        <x:v>9.468576162859511</x:v>
      </x:c>
      <x:c r="M16" s="28" t="str">
        <x:v>Pay Coins OR Pearls, never both. Same level/prerequisite gate; no friend requirement.</x:v>
      </x:c>
    </x:row>
    <x:row r="17" ht="50" customHeight="1">
      <x:c r="A17" s="28" t="str">
        <x:v>TK-04-20</x:v>
      </x:c>
      <x:c r="B17" s="28" t="n">
        <x:v>4</x:v>
      </x:c>
      <x:c r="C17" s="28" t="n">
        <x:v>36</x:v>
      </x:c>
      <x:c r="D17" s="28" t="n">
        <x:v>5</x:v>
      </x:c>
      <x:c r="E17" s="36" t="n">
        <x:v>425000</x:v>
      </x:c>
      <x:c r="F17" s="32" t="n">
        <x:v>65</x:v>
      </x:c>
      <x:c r="G17" s="28" t="str">
        <x:v>TK-04-15</x:v>
      </x:c>
      <x:c r="H17" s="28" t="str">
        <x:v>Upgrade</x:v>
      </x:c>
      <x:c r="I17" s="28" t="n">
        <x:f>SUMIFS($D$5:$D$19,$B$5:$B$19,B17,$C$5:$C$19,"&lt;="&amp;C17)</x:f>
        <x:v>20</x:v>
      </x:c>
      <x:c r="J17" s="28" t="n">
        <x:f>SUMIF($C$5:$C$19,"&lt;="&amp;C17,$D$5:$D$19)</x:f>
        <x:v>90</x:v>
      </x:c>
      <x:c r="K17" s="38" t="n">
        <x:f>'Inputs'!$B$14*(1+'Inputs'!$B$15*(C17-1))*J17*'Inputs'!$B$32</x:f>
        <x:v>69525.00000000001</x:v>
      </x:c>
      <x:c r="L17" s="40" t="n">
        <x:f>IF(K17=0,0,E17/K17)</x:f>
        <x:v>6.112909025530383</x:v>
      </x:c>
      <x:c r="M17" s="28" t="str">
        <x:v>Pay Coins OR Pearls, never both. Same level/prerequisite gate; no friend requirement.</x:v>
      </x:c>
    </x:row>
    <x:row r="18" ht="50" customHeight="1">
      <x:c r="A18" s="28" t="str">
        <x:v>TK-05-15</x:v>
      </x:c>
      <x:c r="B18" s="28" t="n">
        <x:v>5</x:v>
      </x:c>
      <x:c r="C18" s="28" t="n">
        <x:v>38</x:v>
      </x:c>
      <x:c r="D18" s="28" t="n">
        <x:v>5</x:v>
      </x:c>
      <x:c r="E18" s="36" t="n">
        <x:v>600000</x:v>
      </x:c>
      <x:c r="F18" s="32" t="n">
        <x:v>80</x:v>
      </x:c>
      <x:c r="G18" s="28" t="str">
        <x:v>TK-05-10</x:v>
      </x:c>
      <x:c r="H18" s="28" t="str">
        <x:v>Upgrade</x:v>
      </x:c>
      <x:c r="I18" s="28" t="n">
        <x:f>SUMIFS($D$5:$D$19,$B$5:$B$19,B18,$C$5:$C$19,"&lt;="&amp;C18)</x:f>
        <x:v>15</x:v>
      </x:c>
      <x:c r="J18" s="28" t="n">
        <x:f>SUMIF($C$5:$C$19,"&lt;="&amp;C18,$D$5:$D$19)</x:f>
        <x:v>95</x:v>
      </x:c>
      <x:c r="K18" s="38" t="n">
        <x:f>'Inputs'!$B$14*(1+'Inputs'!$B$15*(C18-1))*J18*'Inputs'!$B$32</x:f>
        <x:v>75952.5</x:v>
      </x:c>
      <x:c r="L18" s="40" t="n">
        <x:f>IF(K18=0,0,E18/K18)</x:f>
        <x:v>7.89967413844179</x:v>
      </x:c>
      <x:c r="M18" s="28" t="str">
        <x:v>Pay Coins OR Pearls, never both. Same level/prerequisite gate; no friend requirement.</x:v>
      </x:c>
    </x:row>
    <x:row r="19" ht="50" customHeight="1">
      <x:c r="A19" s="28" t="str">
        <x:v>TK-05-20</x:v>
      </x:c>
      <x:c r="B19" s="28" t="n">
        <x:v>5</x:v>
      </x:c>
      <x:c r="C19" s="28" t="n">
        <x:v>40</x:v>
      </x:c>
      <x:c r="D19" s="28" t="n">
        <x:v>5</x:v>
      </x:c>
      <x:c r="E19" s="36" t="n">
        <x:v>700000</x:v>
      </x:c>
      <x:c r="F19" s="32" t="n">
        <x:v>85</x:v>
      </x:c>
      <x:c r="G19" s="28" t="str">
        <x:v>TK-05-15</x:v>
      </x:c>
      <x:c r="H19" s="28" t="str">
        <x:v>Upgrade</x:v>
      </x:c>
      <x:c r="I19" s="28" t="n">
        <x:f>SUMIFS($D$5:$D$19,$B$5:$B$19,B19,$C$5:$C$19,"&lt;="&amp;C19)</x:f>
        <x:v>20</x:v>
      </x:c>
      <x:c r="J19" s="28" t="n">
        <x:f>SUMIF($C$5:$C$19,"&lt;="&amp;C19,$D$5:$D$19)</x:f>
        <x:v>100</x:v>
      </x:c>
      <x:c r="K19" s="38" t="n">
        <x:f>'Inputs'!$B$14*(1+'Inputs'!$B$15*(C19-1))*J19*'Inputs'!$B$32</x:f>
        <x:v>82650</x:v>
      </x:c>
      <x:c r="L19" s="40" t="n">
        <x:f>IF(K19=0,0,E19/K19)</x:f>
        <x:v>8.469449485783423</x:v>
      </x:c>
      <x:c r="M19" s="28" t="str">
        <x:v>Pay Coins OR Pearls, never both. Same level/prerequisite gate; no friend requirement.</x:v>
      </x:c>
    </x:row>
  </x:sheetData>
  <x:mergeCells>
    <x:mergeCell ref="A1:M1"/>
    <x:mergeCell ref="A2:M2"/>
  </x:mergeCells>
  <x:pageMargins left="0.7" right="0.7" top="0.75" bottom="0.75" header="0.3" footer="0.3"/>
  <x:tableParts count="1">
    <x:tablePart xmlns:r="http://schemas.openxmlformats.org/officeDocument/2006/relationships" r:id="R3358da10b0ce4e87"/>
  </x:tableParts>
</x:worksheet>
</file>

<file path=xl/worksheets/sheet12.xml><?xml version="1.0" encoding="utf-8"?>
<x:worksheet xmlns:x="http://schemas.openxmlformats.org/spreadsheetml/2006/main">
  <x:sheetFormatPr defaultRowHeight="15"/>
  <x:cols>
    <x:col min="1" max="1" width="9" hidden="0" customWidth="1"/>
    <x:col min="2" max="2" width="15" hidden="0" customWidth="1"/>
    <x:col min="3" max="3" width="32" hidden="0" customWidth="1"/>
    <x:col min="4" max="4" width="53" hidden="0" customWidth="1"/>
    <x:col min="5" max="5" width="14" hidden="0" customWidth="1"/>
    <x:col min="6" max="6" width="12" hidden="0" customWidth="1"/>
    <x:col min="7" max="7" width="14" hidden="0" customWidth="1"/>
    <x:col min="8" max="8" width="16" hidden="0" customWidth="1"/>
    <x:col min="9" max="9" width="16" hidden="0" customWidth="1"/>
    <x:col min="10" max="10" width="14" hidden="0" customWidth="1"/>
    <x:col min="11" max="11" width="12" hidden="0" customWidth="1"/>
    <x:col min="12" max="12" width="16" hidden="0" customWidth="1"/>
    <x:col min="13" max="13" width="65" hidden="0" customWidth="1"/>
  </x:cols>
  <x:sheetData>
    <x:row r="1" ht="34" customHeight="1">
      <x:c r="A1" s="6" t="str">
        <x:v>FIRST SESSION | delight, clarity and an auditable ledger</x:v>
      </x:c>
      <x:c r="B1" s="6"/>
      <x:c r="C1" s="6"/>
      <x:c r="D1" s="6"/>
      <x:c r="E1" s="6"/>
      <x:c r="F1" s="6"/>
      <x:c r="G1" s="6"/>
      <x:c r="H1" s="6"/>
      <x:c r="I1" s="6"/>
      <x:c r="J1" s="6"/>
      <x:c r="K1" s="6"/>
      <x:c r="L1" s="6"/>
      <x:c r="M1" s="6"/>
    </x:row>
    <x:row r="2" ht="32" customHeight="1">
      <x:c r="A2" s="13" t="str">
        <x:v>Guaranteed path only. Optional extra purchases are excluded. Four gifted fish use zero cost basis; the kept tutorial fish occupies no growth slot.</x:v>
      </x:c>
      <x:c r="B2" s="13"/>
      <x:c r="C2" s="13"/>
      <x:c r="D2" s="13"/>
      <x:c r="E2" s="13"/>
      <x:c r="F2" s="13"/>
      <x:c r="G2" s="13"/>
      <x:c r="H2" s="13"/>
      <x:c r="I2" s="13"/>
      <x:c r="J2" s="13"/>
      <x:c r="K2" s="13"/>
      <x:c r="L2" s="13"/>
      <x:c r="M2" s="13"/>
    </x:row>
    <x:row r="3">
      <x:c r="A3" s="2"/>
      <x:c r="B3" s="2"/>
      <x:c r="C3" s="2"/>
      <x:c r="D3" s="2"/>
      <x:c r="E3" s="2"/>
      <x:c r="F3" s="2"/>
      <x:c r="G3" s="2"/>
      <x:c r="H3" s="2"/>
      <x:c r="I3" s="2"/>
      <x:c r="J3" s="2"/>
      <x:c r="K3" s="2"/>
      <x:c r="L3" s="2"/>
      <x:c r="M3" s="2"/>
    </x:row>
    <x:row r="4" ht="32" customHeight="1">
      <x:c r="A4" s="21" t="str">
        <x:v>Step</x:v>
      </x:c>
      <x:c r="B4" s="21" t="str">
        <x:v>Approx. time</x:v>
      </x:c>
      <x:c r="C4" s="21" t="str">
        <x:v>Action</x:v>
      </x:c>
      <x:c r="D4" s="21" t="str">
        <x:v>Experience / copy</x:v>
      </x:c>
      <x:c r="E4" s="21" t="str">
        <x:v>Coin delta</x:v>
      </x:c>
      <x:c r="F4" s="21" t="str">
        <x:v>XP delta</x:v>
      </x:c>
      <x:c r="G4" s="21" t="str">
        <x:v>Pearl delta</x:v>
      </x:c>
      <x:c r="H4" s="21" t="str">
        <x:v>Growing delta</x:v>
      </x:c>
      <x:c r="I4" s="21" t="str">
        <x:v>Coin balance</x:v>
      </x:c>
      <x:c r="J4" s="21" t="str">
        <x:v>Total XP</x:v>
      </x:c>
      <x:c r="K4" s="21" t="str">
        <x:v>Pearls</x:v>
      </x:c>
      <x:c r="L4" s="21" t="str">
        <x:v>Growing fish</x:v>
      </x:c>
      <x:c r="M4" s="21" t="str">
        <x:v>Implementation detail</x:v>
      </x:c>
    </x:row>
    <x:row r="5" ht="67" customHeight="1">
      <x:c r="A5" s="28" t="str">
        <x:v>01</x:v>
      </x:c>
      <x:c r="B5" s="28" t="str">
        <x:v>0:00</x:v>
      </x:c>
      <x:c r="C5" s="28" t="str">
        <x:v>Welcome; pan aquarium</x:v>
      </x:c>
      <x:c r="D5" s="28" t="str">
        <x:v>No account prompt or shop pop-up.</x:v>
      </x:c>
      <x:c r="E5" s="28" t="n">
        <x:v>250</x:v>
      </x:c>
      <x:c r="F5" s="28" t="n">
        <x:v>0</x:v>
      </x:c>
      <x:c r="G5" s="28" t="n">
        <x:v>0</x:v>
      </x:c>
      <x:c r="H5" s="28" t="n">
        <x:v>0</x:v>
      </x:c>
      <x:c r="I5" s="28" t="n">
        <x:f>SUM(E$5:E5)</x:f>
        <x:v>250</x:v>
      </x:c>
      <x:c r="J5" s="28" t="n">
        <x:f>SUM(F$5:F5)</x:f>
        <x:v>0</x:v>
      </x:c>
      <x:c r="K5" s="28" t="n">
        <x:f>SUM(G$5:G5)</x:f>
        <x:v>0</x:v>
      </x:c>
      <x:c r="L5" s="28" t="n">
        <x:f>SUM(H$5:H5)</x:f>
        <x:v>0</x:v>
      </x:c>
      <x:c r="M5" s="28" t="str">
        <x:v>Start balance; no purchase.</x:v>
      </x:c>
    </x:row>
    <x:row r="6" ht="67" customHeight="1">
      <x:c r="A6" s="28" t="str">
        <x:v>02</x:v>
      </x:c>
      <x:c r="B6" s="28" t="str">
        <x:v>0:20</x:v>
      </x:c>
      <x:c r="C6" s="28" t="str">
        <x:v>Buy Neon Tetra egg</x:v>
      </x:c>
      <x:c r="D6" s="28" t="str">
        <x:v>Show egg cost 5; one obvious tap.</x:v>
      </x:c>
      <x:c r="E6" s="28" t="n">
        <x:v>-5</x:v>
      </x:c>
      <x:c r="F6" s="28" t="n">
        <x:v>10</x:v>
      </x:c>
      <x:c r="G6" s="28" t="n">
        <x:v>0</x:v>
      </x:c>
      <x:c r="H6" s="28" t="n">
        <x:v>1</x:v>
      </x:c>
      <x:c r="I6" s="28" t="n">
        <x:f>SUM(E$5:E6)</x:f>
        <x:v>245</x:v>
      </x:c>
      <x:c r="J6" s="28" t="n">
        <x:f>SUM(F$5:F6)</x:f>
        <x:v>10</x:v>
      </x:c>
      <x:c r="K6" s="28" t="n">
        <x:f>SUM(G$5:G6)</x:f>
        <x:v>0</x:v>
      </x:c>
      <x:c r="L6" s="28" t="n">
        <x:f>SUM(H$5:H6)</x:f>
        <x:v>1</x:v>
      </x:c>
      <x:c r="M6" s="28" t="str">
        <x:v>Snapshot L1; explain this is a demonstration.</x:v>
      </x:c>
    </x:row>
    <x:row r="7" ht="67" customHeight="1">
      <x:c r="A7" s="28" t="str">
        <x:v>03</x:v>
      </x:c>
      <x:c r="B7" s="28" t="str">
        <x:v>0:40</x:v>
      </x:c>
      <x:c r="C7" s="28" t="str">
        <x:v>Feed / touch</x:v>
      </x:c>
      <x:c r="D7" s="28" t="str">
        <x:v>Fish reacts; show free care.</x:v>
      </x:c>
      <x:c r="E7" s="28" t="n">
        <x:v>0</x:v>
      </x:c>
      <x:c r="F7" s="28" t="n">
        <x:v>10</x:v>
      </x:c>
      <x:c r="G7" s="28" t="n">
        <x:v>0</x:v>
      </x:c>
      <x:c r="H7" s="28" t="n">
        <x:v>0</x:v>
      </x:c>
      <x:c r="I7" s="28" t="n">
        <x:f>SUM(E$5:E7)</x:f>
        <x:v>245</x:v>
      </x:c>
      <x:c r="J7" s="28" t="n">
        <x:f>SUM(F$5:F7)</x:f>
        <x:v>20</x:v>
      </x:c>
      <x:c r="K7" s="28" t="n">
        <x:f>SUM(G$5:G7)</x:f>
        <x:v>0</x:v>
      </x:c>
      <x:c r="L7" s="28" t="n">
        <x:f>SUM(H$5:H7)</x:f>
        <x:v>1</x:v>
      </x:c>
      <x:c r="M7" s="28" t="str">
        <x:v>No paid food or hunger state.</x:v>
      </x:c>
    </x:row>
    <x:row r="8" ht="67" customHeight="1">
      <x:c r="A8" s="28" t="str">
        <x:v>04</x:v>
      </x:c>
      <x:c r="B8" s="28" t="str">
        <x:v>1:00</x:v>
      </x:c>
      <x:c r="C8" s="28" t="str">
        <x:v>Grow first fish</x:v>
      </x:c>
      <x:c r="D8" s="28" t="str">
        <x:v>Explicit one-time tutorial acceleration.</x:v>
      </x:c>
      <x:c r="E8" s="28" t="n">
        <x:v>0</x:v>
      </x:c>
      <x:c r="F8" s="28" t="n">
        <x:v>10</x:v>
      </x:c>
      <x:c r="G8" s="28" t="n">
        <x:v>0</x:v>
      </x:c>
      <x:c r="H8" s="28" t="n">
        <x:v>0</x:v>
      </x:c>
      <x:c r="I8" s="28" t="n">
        <x:f>SUM(E$5:E8)</x:f>
        <x:v>245</x:v>
      </x:c>
      <x:c r="J8" s="28" t="n">
        <x:f>SUM(F$5:F8)</x:f>
        <x:v>30</x:v>
      </x:c>
      <x:c r="K8" s="28" t="n">
        <x:f>SUM(G$5:G8)</x:f>
        <x:v>0</x:v>
      </x:c>
      <x:c r="L8" s="28" t="n">
        <x:f>SUM(H$5:H8)</x:f>
        <x:v>1</x:v>
      </x:c>
      <x:c r="M8" s="28" t="str">
        <x:v>Tutorial-only grant; never enters normal production farming.</x:v>
      </x:c>
    </x:row>
    <x:row r="9" ht="67" customHeight="1">
      <x:c r="A9" s="28" t="str">
        <x:v>05</x:v>
      </x:c>
      <x:c r="B9" s="28" t="str">
        <x:v>1:20</x:v>
      </x:c>
      <x:c r="C9" s="28" t="str">
        <x:v>Settle and choose Keep</x:v>
      </x:c>
      <x:c r="D9" s="28" t="str">
        <x:v>Return 5 principal + 6 profit; keep display copy.</x:v>
      </x:c>
      <x:c r="E9" s="28" t="n">
        <x:v>11</x:v>
      </x:c>
      <x:c r="F9" s="28" t="n">
        <x:v>10</x:v>
      </x:c>
      <x:c r="G9" s="28" t="n">
        <x:v>0</x:v>
      </x:c>
      <x:c r="H9" s="28" t="n">
        <x:v>-1</x:v>
      </x:c>
      <x:c r="I9" s="28" t="n">
        <x:f>SUM(E$5:E9)</x:f>
        <x:v>256</x:v>
      </x:c>
      <x:c r="J9" s="28" t="n">
        <x:f>SUM(F$5:F9)</x:f>
        <x:v>40</x:v>
      </x:c>
      <x:c r="K9" s="28" t="n">
        <x:f>SUM(G$5:G9)</x:f>
        <x:v>0</x:v>
      </x:c>
      <x:c r="L9" s="28" t="n">
        <x:f>SUM(H$5:H9)</x:f>
        <x:v>0</x:v>
      </x:c>
      <x:c r="M9" s="28" t="str">
        <x:v>Normal fish XP disabled for scripted instance; only tutorial XP.</x:v>
      </x:c>
    </x:row>
    <x:row r="10" ht="67" customHeight="1">
      <x:c r="A10" s="28" t="str">
        <x:v>06</x:v>
      </x:c>
      <x:c r="B10" s="28" t="str">
        <x:v>1:50</x:v>
      </x:c>
      <x:c r="C10" s="28" t="str">
        <x:v>Place first plant</x:v>
      </x:c>
      <x:c r="D10" s="28" t="str">
        <x:v>Buy CP-01 for 25; demonstrate move + undo.</x:v>
      </x:c>
      <x:c r="E10" s="28" t="n">
        <x:v>-25</x:v>
      </x:c>
      <x:c r="F10" s="28" t="n">
        <x:v>10</x:v>
      </x:c>
      <x:c r="G10" s="28" t="n">
        <x:v>0</x:v>
      </x:c>
      <x:c r="H10" s="28" t="n">
        <x:v>0</x:v>
      </x:c>
      <x:c r="I10" s="28" t="n">
        <x:f>SUM(E$5:E10)</x:f>
        <x:v>231</x:v>
      </x:c>
      <x:c r="J10" s="28" t="n">
        <x:f>SUM(F$5:F10)</x:f>
        <x:v>50</x:v>
      </x:c>
      <x:c r="K10" s="28" t="n">
        <x:f>SUM(G$5:G10)</x:f>
        <x:v>0</x:v>
      </x:c>
      <x:c r="L10" s="28" t="n">
        <x:f>SUM(H$5:H10)</x:f>
        <x:v>0</x:v>
      </x:c>
      <x:c r="M10" s="28" t="str">
        <x:v>Decoration grants zero purchase XP.</x:v>
      </x:c>
    </x:row>
    <x:row r="11" ht="67" customHeight="1">
      <x:c r="A11" s="28" t="str">
        <x:v>07</x:v>
      </x:c>
      <x:c r="B11" s="28" t="str">
        <x:v>2:30</x:v>
      </x:c>
      <x:c r="C11" s="28" t="str">
        <x:v>Choose a scene name</x:v>
      </x:c>
      <x:c r="D11" s="28" t="str">
        <x:v>Confirm first self-authored aquarium.</x:v>
      </x:c>
      <x:c r="E11" s="28" t="n">
        <x:v>0</x:v>
      </x:c>
      <x:c r="F11" s="28" t="n">
        <x:v>30</x:v>
      </x:c>
      <x:c r="G11" s="28" t="n">
        <x:v>0</x:v>
      </x:c>
      <x:c r="H11" s="28" t="n">
        <x:v>0</x:v>
      </x:c>
      <x:c r="I11" s="28" t="n">
        <x:f>SUM(E$5:E11)</x:f>
        <x:v>231</x:v>
      </x:c>
      <x:c r="J11" s="28" t="n">
        <x:f>SUM(F$5:F11)</x:f>
        <x:v>80</x:v>
      </x:c>
      <x:c r="K11" s="28" t="n">
        <x:f>SUM(G$5:G11)</x:f>
        <x:v>0</x:v>
      </x:c>
      <x:c r="L11" s="28" t="n">
        <x:f>SUM(H$5:H11)</x:f>
        <x:v>0</x:v>
      </x:c>
      <x:c r="M11" s="28" t="str">
        <x:v>Tutorial XP reaches exactly 80.</x:v>
      </x:c>
    </x:row>
    <x:row r="12" ht="67" customHeight="1">
      <x:c r="A12" s="28" t="str">
        <x:v>08</x:v>
      </x:c>
      <x:c r="B12" s="28" t="str">
        <x:v>2:40</x:v>
      </x:c>
      <x:c r="C12" s="28" t="str">
        <x:v>Level 2 celebration</x:v>
      </x:c>
      <x:c r="D12" s="28" t="str">
        <x:v>Grant 500 coins and 1 pearl once.</x:v>
      </x:c>
      <x:c r="E12" s="28" t="n">
        <x:v>500</x:v>
      </x:c>
      <x:c r="F12" s="28" t="n">
        <x:v>0</x:v>
      </x:c>
      <x:c r="G12" s="28" t="n">
        <x:v>1</x:v>
      </x:c>
      <x:c r="H12" s="28" t="n">
        <x:v>0</x:v>
      </x:c>
      <x:c r="I12" s="28" t="n">
        <x:f>SUM(E$5:E12)</x:f>
        <x:v>731</x:v>
      </x:c>
      <x:c r="J12" s="28" t="n">
        <x:f>SUM(F$5:F12)</x:f>
        <x:v>80</x:v>
      </x:c>
      <x:c r="K12" s="28" t="n">
        <x:f>SUM(G$5:G12)</x:f>
        <x:v>1</x:v>
      </x:c>
      <x:c r="L12" s="28" t="n">
        <x:f>SUM(H$5:H12)</x:f>
        <x:v>0</x:v>
      </x:c>
      <x:c r="M12" s="28" t="str">
        <x:v>80 XP is level-2 entry; unlock stays at level 2.</x:v>
      </x:c>
    </x:row>
    <x:row r="13" ht="67" customHeight="1">
      <x:c r="A13" s="28" t="str">
        <x:v>09</x:v>
      </x:c>
      <x:c r="B13" s="28" t="str">
        <x:v>3:00</x:v>
      </x:c>
      <x:c r="C13" s="28" t="str">
        <x:v>Seed next returns</x:v>
      </x:c>
      <x:c r="D13" s="28" t="str">
        <x:v>Gift 2 Neon Tetras, 1 Guppy, 1 Platy.</x:v>
      </x:c>
      <x:c r="E13" s="28" t="n">
        <x:v>0</x:v>
      </x:c>
      <x:c r="F13" s="28" t="n">
        <x:v>0</x:v>
      </x:c>
      <x:c r="G13" s="28" t="n">
        <x:v>0</x:v>
      </x:c>
      <x:c r="H13" s="28" t="n">
        <x:v>4</x:v>
      </x:c>
      <x:c r="I13" s="28" t="n">
        <x:f>SUM(E$5:E13)</x:f>
        <x:v>731</x:v>
      </x:c>
      <x:c r="J13" s="28" t="n">
        <x:f>SUM(F$5:F13)</x:f>
        <x:v>80</x:v>
      </x:c>
      <x:c r="K13" s="28" t="n">
        <x:f>SUM(G$5:G13)</x:f>
        <x:v>1</x:v>
      </x:c>
      <x:c r="L13" s="28" t="n">
        <x:f>SUM(H$5:H13)</x:f>
        <x:v>4</x:v>
      </x:c>
      <x:c r="M13" s="28" t="str">
        <x:v>All have actual principal 0; preview ready times and gift status.</x:v>
      </x:c>
    </x:row>
    <x:row r="14" ht="67" customHeight="1">
      <x:c r="A14" s="28" t="str">
        <x:v>10</x:v>
      </x:c>
      <x:c r="B14" s="28" t="str">
        <x:v>3:30</x:v>
      </x:c>
      <x:c r="C14" s="28" t="str">
        <x:v>Choose next egg</x:v>
      </x:c>
      <x:c r="D14" s="28" t="str">
        <x:v>Explain 2-hour versus daily scheduling; optional purchase not in guaranteed ledger.</x:v>
      </x:c>
      <x:c r="E14" s="28" t="n">
        <x:v>0</x:v>
      </x:c>
      <x:c r="F14" s="28" t="n">
        <x:v>0</x:v>
      </x:c>
      <x:c r="G14" s="28" t="n">
        <x:v>0</x:v>
      </x:c>
      <x:c r="H14" s="28" t="n">
        <x:v>0</x:v>
      </x:c>
      <x:c r="I14" s="28" t="n">
        <x:f>SUM(E$5:E14)</x:f>
        <x:v>731</x:v>
      </x:c>
      <x:c r="J14" s="28" t="n">
        <x:f>SUM(F$5:F14)</x:f>
        <x:v>80</x:v>
      </x:c>
      <x:c r="K14" s="28" t="n">
        <x:f>SUM(G$5:G14)</x:f>
        <x:v>1</x:v>
      </x:c>
      <x:c r="L14" s="28" t="n">
        <x:f>SUM(H$5:H14)</x:f>
        <x:v>4</x:v>
      </x:c>
      <x:c r="M14" s="28" t="str">
        <x:v>Player may spend remaining 731 coins; avoid forced purchasing.</x:v>
      </x:c>
    </x:row>
    <x:row r="15" ht="67" customHeight="1">
      <x:c r="A15" s="28" t="str">
        <x:v>11</x:v>
      </x:c>
      <x:c r="B15" s="28" t="str">
        <x:v>4:00</x:v>
      </x:c>
      <x:c r="C15" s="28" t="str">
        <x:v>Preview a goal</x:v>
      </x:c>
      <x:c r="D15" s="28" t="str">
        <x:v>Wishlist a fish or tank upgrade; preview future mastery.</x:v>
      </x:c>
      <x:c r="E15" s="28" t="n">
        <x:v>0</x:v>
      </x:c>
      <x:c r="F15" s="28" t="n">
        <x:v>0</x:v>
      </x:c>
      <x:c r="G15" s="28" t="n">
        <x:v>0</x:v>
      </x:c>
      <x:c r="H15" s="28" t="n">
        <x:v>0</x:v>
      </x:c>
      <x:c r="I15" s="28" t="n">
        <x:f>SUM(E$5:E15)</x:f>
        <x:v>731</x:v>
      </x:c>
      <x:c r="J15" s="28" t="n">
        <x:f>SUM(F$5:F15)</x:f>
        <x:v>80</x:v>
      </x:c>
      <x:c r="K15" s="28" t="n">
        <x:f>SUM(G$5:G15)</x:f>
        <x:v>1</x:v>
      </x:c>
      <x:c r="L15" s="28" t="n">
        <x:f>SUM(H$5:H15)</x:f>
        <x:v>4</x:v>
      </x:c>
      <x:c r="M15" s="28" t="str">
        <x:v>Do not unlock the entire UI at once.</x:v>
      </x:c>
    </x:row>
    <x:row r="16" ht="67" customHeight="1">
      <x:c r="A16" s="28" t="str">
        <x:v>12</x:v>
      </x:c>
      <x:c r="B16" s="28" t="str">
        <x:v>5:00</x:v>
      </x:c>
      <x:c r="C16" s="28" t="str">
        <x:v>End on a clear choice</x:v>
      </x:c>
      <x:c r="D16" s="28" t="str">
        <x:v>Continue decorating or leave safely; account backup offered nonblockingly.</x:v>
      </x:c>
      <x:c r="E16" s="28" t="n">
        <x:v>0</x:v>
      </x:c>
      <x:c r="F16" s="28" t="n">
        <x:v>0</x:v>
      </x:c>
      <x:c r="G16" s="28" t="n">
        <x:v>0</x:v>
      </x:c>
      <x:c r="H16" s="28" t="n">
        <x:v>0</x:v>
      </x:c>
      <x:c r="I16" s="28" t="n">
        <x:f>SUM(E$5:E16)</x:f>
        <x:v>731</x:v>
      </x:c>
      <x:c r="J16" s="28" t="n">
        <x:f>SUM(F$5:F16)</x:f>
        <x:v>80</x:v>
      </x:c>
      <x:c r="K16" s="28" t="n">
        <x:f>SUM(G$5:G16)</x:f>
        <x:v>1</x:v>
      </x:c>
      <x:c r="L16" s="28" t="n">
        <x:f>SUM(H$5:H16)</x:f>
        <x:v>4</x:v>
      </x:c>
      <x:c r="M16" s="28" t="str">
        <x:v>No ad, premium purchase, notification permission or friend invite required.</x:v>
      </x:c>
    </x:row>
  </x:sheetData>
  <x:mergeCells>
    <x:mergeCell ref="A1:M1"/>
    <x:mergeCell ref="A2:M2"/>
  </x:mergeCells>
  <x:pageMargins left="0.7" right="0.7" top="0.75" bottom="0.75" header="0.3" footer="0.3"/>
  <x:tableParts count="1">
    <x:tablePart xmlns:r="http://schemas.openxmlformats.org/officeDocument/2006/relationships" r:id="R2524c8070be048ca"/>
  </x:tableParts>
</x:worksheet>
</file>

<file path=xl/worksheets/sheet13.xml><?xml version="1.0" encoding="utf-8"?>
<x:worksheet xmlns:x="http://schemas.openxmlformats.org/spreadsheetml/2006/main">
  <x:sheetFormatPr defaultRowHeight="15"/>
  <x:cols>
    <x:col min="1" max="1" width="11" hidden="0" customWidth="1"/>
    <x:col min="2" max="2" width="22" hidden="0" customWidth="1"/>
    <x:col min="3" max="3" width="22"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9" hidden="0" customWidth="1"/>
    <x:col min="11" max="11" width="18" hidden="0" customWidth="1"/>
    <x:col min="12" max="12" width="64" hidden="0" customWidth="1"/>
  </x:cols>
  <x:sheetData>
    <x:row r="1" ht="34" customHeight="1">
      <x:c r="A1" s="6" t="str">
        <x:v>QUEST REWARD BUDGETS</x:v>
      </x:c>
      <x:c r="B1" s="6"/>
      <x:c r="C1" s="6"/>
      <x:c r="D1" s="6"/>
      <x:c r="E1" s="6"/>
      <x:c r="F1" s="6"/>
      <x:c r="G1" s="6"/>
      <x:c r="H1" s="6"/>
      <x:c r="I1" s="6"/>
      <x:c r="J1" s="6"/>
      <x:c r="K1" s="6"/>
      <x:c r="L1" s="6"/>
    </x:row>
    <x:row r="2" ht="32" customHeight="1">
      <x:c r="A2" s="13" t="str">
        <x:v>Rewards use a reference production day—not a percentage of the next level. One daily pool / one weekly pool, shared across all task choices; no premium tasks.</x:v>
      </x:c>
      <x:c r="B2" s="13"/>
      <x:c r="C2" s="13"/>
      <x:c r="D2" s="13"/>
      <x:c r="E2" s="13"/>
      <x:c r="F2" s="13"/>
      <x:c r="G2" s="13"/>
      <x:c r="H2" s="13"/>
      <x:c r="I2" s="13"/>
      <x:c r="J2" s="13"/>
      <x:c r="K2" s="13"/>
      <x:c r="L2" s="13"/>
    </x:row>
    <x:row r="3">
      <x:c r="A3" s="2"/>
      <x:c r="B3" s="2"/>
      <x:c r="C3" s="2"/>
      <x:c r="D3" s="2"/>
      <x:c r="E3" s="2"/>
      <x:c r="F3" s="2"/>
      <x:c r="G3" s="2"/>
      <x:c r="H3" s="2"/>
      <x:c r="I3" s="2"/>
      <x:c r="J3" s="2"/>
      <x:c r="K3" s="2"/>
      <x:c r="L3" s="2"/>
    </x:row>
    <x:row r="4" ht="32" customHeight="1">
      <x:c r="A4" s="21" t="str">
        <x:v>Level</x:v>
      </x:c>
      <x:c r="B4" s="21" t="str">
        <x:v>Reference Coins/day</x:v>
      </x:c>
      <x:c r="C4" s="21" t="str">
        <x:v>Reference XP/day</x:v>
      </x:c>
      <x:c r="D4" s="21" t="str">
        <x:v>Daily XP pool</x:v>
      </x:c>
      <x:c r="E4" s="21" t="str">
        <x:v>Daily Coin pool</x:v>
      </x:c>
      <x:c r="F4" s="21" t="str">
        <x:v>Choice 1 XP</x:v>
      </x:c>
      <x:c r="G4" s="21" t="str">
        <x:v>Choice 2 XP</x:v>
      </x:c>
      <x:c r="H4" s="21" t="str">
        <x:v>Choice 3 XP</x:v>
      </x:c>
      <x:c r="I4" s="21" t="str">
        <x:v>Weekly XP pool</x:v>
      </x:c>
      <x:c r="J4" s="21" t="str">
        <x:v>Weekly Coins</x:v>
      </x:c>
      <x:c r="K4" s="21" t="str">
        <x:v>Weekly Pearls</x:v>
      </x:c>
      <x:c r="L4" s="21" t="str">
        <x:v>Grant rule</x:v>
      </x:c>
    </x:row>
    <x:row r="5" ht="48" customHeight="1">
      <x:c r="A5" s="28" t="n">
        <x:v>1</x:v>
      </x:c>
      <x:c r="B5" s="38" t="n">
        <x:f>'XP &amp; Unlocks'!D5</x:f>
        <x:v>3000</x:v>
      </x:c>
      <x:c r="C5" s="38" t="n">
        <x:f>'XP &amp; Unlocks'!E5</x:f>
        <x:v>800</x:v>
      </x:c>
      <x:c r="D5" s="38" t="n">
        <x:f>IF(A5&lt;3,0,ROUND(C5*'Inputs'!$B$27,0))</x:f>
        <x:v>0</x:v>
      </x:c>
      <x:c r="E5" s="38" t="n">
        <x:f>IF(A5&lt;3,0,ROUND(B5*'Inputs'!$B$28,0))</x:f>
        <x:v>0</x:v>
      </x:c>
      <x:c r="F5" s="38" t="n">
        <x:f>ROUNDDOWN(D5/3,0)</x:f>
        <x:v>0</x:v>
      </x:c>
      <x:c r="G5" s="38" t="n">
        <x:f>ROUNDDOWN(D5/3,0)</x:f>
        <x:v>0</x:v>
      </x:c>
      <x:c r="H5" s="38" t="n">
        <x:f>D5-F5-G5</x:f>
        <x:v>0</x:v>
      </x:c>
      <x:c r="I5" s="38" t="n">
        <x:f>IF(A5&lt;5,0,ROUND(C5*'Inputs'!$B$29,0))</x:f>
        <x:v>0</x:v>
      </x:c>
      <x:c r="J5" s="38" t="n">
        <x:f>IF(A5&lt;5,0,ROUND(B5*'Inputs'!$B$30,0))</x:f>
        <x:v>0</x:v>
      </x:c>
      <x:c r="K5" s="38" t="n">
        <x:f>IF(A5&lt;5,0,'Inputs'!$B$31)</x:f>
        <x:v>0</x:v>
      </x:c>
      <x:c r="L5" s="28" t="str">
        <x:v>Snapshot at offer issue. Sum of 3 daily claims equals pool. L40 account XP is suppressed, not banked.</x:v>
      </x:c>
    </x:row>
    <x:row r="6" ht="48" customHeight="1">
      <x:c r="A6" s="28" t="n">
        <x:v>2</x:v>
      </x:c>
      <x:c r="B6" s="38" t="n">
        <x:f>'XP &amp; Unlocks'!D6</x:f>
        <x:v>3135</x:v>
      </x:c>
      <x:c r="C6" s="38" t="n">
        <x:f>'XP &amp; Unlocks'!E6</x:f>
        <x:v>808.0000000000001</x:v>
      </x:c>
      <x:c r="D6" s="38" t="n">
        <x:f>IF(A6&lt;3,0,ROUND(C6*'Inputs'!$B$27,0))</x:f>
        <x:v>0</x:v>
      </x:c>
      <x:c r="E6" s="38" t="n">
        <x:f>IF(A6&lt;3,0,ROUND(B6*'Inputs'!$B$28,0))</x:f>
        <x:v>0</x:v>
      </x:c>
      <x:c r="F6" s="38" t="n">
        <x:f>ROUNDDOWN(D6/3,0)</x:f>
        <x:v>0</x:v>
      </x:c>
      <x:c r="G6" s="38" t="n">
        <x:f>ROUNDDOWN(D6/3,0)</x:f>
        <x:v>0</x:v>
      </x:c>
      <x:c r="H6" s="38" t="n">
        <x:f>D6-F6-G6</x:f>
        <x:v>0</x:v>
      </x:c>
      <x:c r="I6" s="38" t="n">
        <x:f>IF(A6&lt;5,0,ROUND(C6*'Inputs'!$B$29,0))</x:f>
        <x:v>0</x:v>
      </x:c>
      <x:c r="J6" s="38" t="n">
        <x:f>IF(A6&lt;5,0,ROUND(B6*'Inputs'!$B$30,0))</x:f>
        <x:v>0</x:v>
      </x:c>
      <x:c r="K6" s="38" t="n">
        <x:f>IF(A6&lt;5,0,'Inputs'!$B$31)</x:f>
        <x:v>0</x:v>
      </x:c>
      <x:c r="L6" s="28" t="str">
        <x:v>Snapshot at offer issue. Sum of 3 daily claims equals pool. L40 account XP is suppressed, not banked.</x:v>
      </x:c>
    </x:row>
    <x:row r="7" ht="48" customHeight="1">
      <x:c r="A7" s="28" t="n">
        <x:v>3</x:v>
      </x:c>
      <x:c r="B7" s="38" t="n">
        <x:f>'XP &amp; Unlocks'!D7</x:f>
        <x:v>4905.000000000001</x:v>
      </x:c>
      <x:c r="C7" s="38" t="n">
        <x:f>'XP &amp; Unlocks'!E7</x:f>
        <x:v>1224</x:v>
      </x:c>
      <x:c r="D7" s="38" t="n">
        <x:f>IF(A7&lt;3,0,ROUND(C7*'Inputs'!$B$27,0))</x:f>
        <x:v>147</x:v>
      </x:c>
      <x:c r="E7" s="38" t="n">
        <x:f>IF(A7&lt;3,0,ROUND(B7*'Inputs'!$B$28,0))</x:f>
        <x:v>294</x:v>
      </x:c>
      <x:c r="F7" s="38" t="n">
        <x:f>ROUNDDOWN(D7/3,0)</x:f>
        <x:v>49</x:v>
      </x:c>
      <x:c r="G7" s="38" t="n">
        <x:f>ROUNDDOWN(D7/3,0)</x:f>
        <x:v>49</x:v>
      </x:c>
      <x:c r="H7" s="38" t="n">
        <x:f>D7-F7-G7</x:f>
        <x:v>49</x:v>
      </x:c>
      <x:c r="I7" s="38" t="n">
        <x:f>IF(A7&lt;5,0,ROUND(C7*'Inputs'!$B$29,0))</x:f>
        <x:v>0</x:v>
      </x:c>
      <x:c r="J7" s="38" t="n">
        <x:f>IF(A7&lt;5,0,ROUND(B7*'Inputs'!$B$30,0))</x:f>
        <x:v>0</x:v>
      </x:c>
      <x:c r="K7" s="38" t="n">
        <x:f>IF(A7&lt;5,0,'Inputs'!$B$31)</x:f>
        <x:v>0</x:v>
      </x:c>
      <x:c r="L7" s="28" t="str">
        <x:v>Snapshot at offer issue. Sum of 3 daily claims equals pool. L40 account XP is suppressed, not banked.</x:v>
      </x:c>
    </x:row>
    <x:row r="8" ht="48" customHeight="1">
      <x:c r="A8" s="28" t="n">
        <x:v>4</x:v>
      </x:c>
      <x:c r="B8" s="38" t="n">
        <x:f>'XP &amp; Unlocks'!D8</x:f>
        <x:v>5107.5</x:v>
      </x:c>
      <x:c r="C8" s="38" t="n">
        <x:f>'XP &amp; Unlocks'!E8</x:f>
        <x:v>1236</x:v>
      </x:c>
      <x:c r="D8" s="38" t="n">
        <x:f>IF(A8&lt;3,0,ROUND(C8*'Inputs'!$B$27,0))</x:f>
        <x:v>148</x:v>
      </x:c>
      <x:c r="E8" s="38" t="n">
        <x:f>IF(A8&lt;3,0,ROUND(B8*'Inputs'!$B$28,0))</x:f>
        <x:v>306</x:v>
      </x:c>
      <x:c r="F8" s="38" t="n">
        <x:f>ROUNDDOWN(D8/3,0)</x:f>
        <x:v>49</x:v>
      </x:c>
      <x:c r="G8" s="38" t="n">
        <x:f>ROUNDDOWN(D8/3,0)</x:f>
        <x:v>49</x:v>
      </x:c>
      <x:c r="H8" s="38" t="n">
        <x:f>D8-F8-G8</x:f>
        <x:v>50</x:v>
      </x:c>
      <x:c r="I8" s="38" t="n">
        <x:f>IF(A8&lt;5,0,ROUND(C8*'Inputs'!$B$29,0))</x:f>
        <x:v>0</x:v>
      </x:c>
      <x:c r="J8" s="38" t="n">
        <x:f>IF(A8&lt;5,0,ROUND(B8*'Inputs'!$B$30,0))</x:f>
        <x:v>0</x:v>
      </x:c>
      <x:c r="K8" s="38" t="n">
        <x:f>IF(A8&lt;5,0,'Inputs'!$B$31)</x:f>
        <x:v>0</x:v>
      </x:c>
      <x:c r="L8" s="28" t="str">
        <x:v>Snapshot at offer issue. Sum of 3 daily claims equals pool. L40 account XP is suppressed, not banked.</x:v>
      </x:c>
    </x:row>
    <x:row r="9" ht="48" customHeight="1">
      <x:c r="A9" s="28" t="n">
        <x:v>5</x:v>
      </x:c>
      <x:c r="B9" s="38" t="n">
        <x:f>'XP &amp; Unlocks'!D9</x:f>
        <x:v>5309.999999999999</x:v>
      </x:c>
      <x:c r="C9" s="38" t="n">
        <x:f>'XP &amp; Unlocks'!E9</x:f>
        <x:v>1248.0000000000002</x:v>
      </x:c>
      <x:c r="D9" s="38" t="n">
        <x:f>IF(A9&lt;3,0,ROUND(C9*'Inputs'!$B$27,0))</x:f>
        <x:v>150</x:v>
      </x:c>
      <x:c r="E9" s="38" t="n">
        <x:f>IF(A9&lt;3,0,ROUND(B9*'Inputs'!$B$28,0))</x:f>
        <x:v>319</x:v>
      </x:c>
      <x:c r="F9" s="38" t="n">
        <x:f>ROUNDDOWN(D9/3,0)</x:f>
        <x:v>50</x:v>
      </x:c>
      <x:c r="G9" s="38" t="n">
        <x:f>ROUNDDOWN(D9/3,0)</x:f>
        <x:v>50</x:v>
      </x:c>
      <x:c r="H9" s="38" t="n">
        <x:f>D9-F9-G9</x:f>
        <x:v>50</x:v>
      </x:c>
      <x:c r="I9" s="38" t="n">
        <x:f>IF(A9&lt;5,0,ROUND(C9*'Inputs'!$B$29,0))</x:f>
        <x:v>749</x:v>
      </x:c>
      <x:c r="J9" s="38" t="n">
        <x:f>IF(A9&lt;5,0,ROUND(B9*'Inputs'!$B$30,0))</x:f>
        <x:v>1593</x:v>
      </x:c>
      <x:c r="K9" s="38" t="n">
        <x:f>IF(A9&lt;5,0,'Inputs'!$B$31)</x:f>
        <x:v>2</x:v>
      </x:c>
      <x:c r="L9" s="28" t="str">
        <x:v>Snapshot at offer issue. Sum of 3 daily claims equals pool. L40 account XP is suppressed, not banked.</x:v>
      </x:c>
    </x:row>
    <x:row r="10" ht="48" customHeight="1">
      <x:c r="A10" s="28" t="n">
        <x:v>6</x:v>
      </x:c>
      <x:c r="B10" s="38" t="n">
        <x:f>'XP &amp; Unlocks'!D10</x:f>
        <x:v>5512.500000000001</x:v>
      </x:c>
      <x:c r="C10" s="38" t="n">
        <x:f>'XP &amp; Unlocks'!E10</x:f>
        <x:v>1260.0000000000002</x:v>
      </x:c>
      <x:c r="D10" s="38" t="n">
        <x:f>IF(A10&lt;3,0,ROUND(C10*'Inputs'!$B$27,0))</x:f>
        <x:v>151</x:v>
      </x:c>
      <x:c r="E10" s="38" t="n">
        <x:f>IF(A10&lt;3,0,ROUND(B10*'Inputs'!$B$28,0))</x:f>
        <x:v>331</x:v>
      </x:c>
      <x:c r="F10" s="38" t="n">
        <x:f>ROUNDDOWN(D10/3,0)</x:f>
        <x:v>50</x:v>
      </x:c>
      <x:c r="G10" s="38" t="n">
        <x:f>ROUNDDOWN(D10/3,0)</x:f>
        <x:v>50</x:v>
      </x:c>
      <x:c r="H10" s="38" t="n">
        <x:f>D10-F10-G10</x:f>
        <x:v>51</x:v>
      </x:c>
      <x:c r="I10" s="38" t="n">
        <x:f>IF(A10&lt;5,0,ROUND(C10*'Inputs'!$B$29,0))</x:f>
        <x:v>756</x:v>
      </x:c>
      <x:c r="J10" s="38" t="n">
        <x:f>IF(A10&lt;5,0,ROUND(B10*'Inputs'!$B$30,0))</x:f>
        <x:v>1654</x:v>
      </x:c>
      <x:c r="K10" s="38" t="n">
        <x:f>IF(A10&lt;5,0,'Inputs'!$B$31)</x:f>
        <x:v>2</x:v>
      </x:c>
      <x:c r="L10" s="28" t="str">
        <x:v>Snapshot at offer issue. Sum of 3 daily claims equals pool. L40 account XP is suppressed, not banked.</x:v>
      </x:c>
    </x:row>
    <x:row r="11" ht="48" customHeight="1">
      <x:c r="A11" s="28" t="n">
        <x:v>7</x:v>
      </x:c>
      <x:c r="B11" s="38" t="n">
        <x:f>'XP &amp; Unlocks'!D11</x:f>
        <x:v>9525</x:v>
      </x:c>
      <x:c r="C11" s="38" t="n">
        <x:f>'XP &amp; Unlocks'!E11</x:f>
        <x:v>2120</x:v>
      </x:c>
      <x:c r="D11" s="38" t="n">
        <x:f>IF(A11&lt;3,0,ROUND(C11*'Inputs'!$B$27,0))</x:f>
        <x:v>254</x:v>
      </x:c>
      <x:c r="E11" s="38" t="n">
        <x:f>IF(A11&lt;3,0,ROUND(B11*'Inputs'!$B$28,0))</x:f>
        <x:v>572</x:v>
      </x:c>
      <x:c r="F11" s="38" t="n">
        <x:f>ROUNDDOWN(D11/3,0)</x:f>
        <x:v>84</x:v>
      </x:c>
      <x:c r="G11" s="38" t="n">
        <x:f>ROUNDDOWN(D11/3,0)</x:f>
        <x:v>84</x:v>
      </x:c>
      <x:c r="H11" s="38" t="n">
        <x:f>D11-F11-G11</x:f>
        <x:v>86</x:v>
      </x:c>
      <x:c r="I11" s="38" t="n">
        <x:f>IF(A11&lt;5,0,ROUND(C11*'Inputs'!$B$29,0))</x:f>
        <x:v>1272</x:v>
      </x:c>
      <x:c r="J11" s="38" t="n">
        <x:f>IF(A11&lt;5,0,ROUND(B11*'Inputs'!$B$30,0))</x:f>
        <x:v>2858</x:v>
      </x:c>
      <x:c r="K11" s="38" t="n">
        <x:f>IF(A11&lt;5,0,'Inputs'!$B$31)</x:f>
        <x:v>2</x:v>
      </x:c>
      <x:c r="L11" s="28" t="str">
        <x:v>Snapshot at offer issue. Sum of 3 daily claims equals pool. L40 account XP is suppressed, not banked.</x:v>
      </x:c>
    </x:row>
    <x:row r="12" ht="48" customHeight="1">
      <x:c r="A12" s="28" t="n">
        <x:v>8</x:v>
      </x:c>
      <x:c r="B12" s="38" t="n">
        <x:f>'XP &amp; Unlocks'!D12</x:f>
        <x:v>9862.5</x:v>
      </x:c>
      <x:c r="C12" s="38" t="n">
        <x:f>'XP &amp; Unlocks'!E12</x:f>
        <x:v>2140</x:v>
      </x:c>
      <x:c r="D12" s="38" t="n">
        <x:f>IF(A12&lt;3,0,ROUND(C12*'Inputs'!$B$27,0))</x:f>
        <x:v>257</x:v>
      </x:c>
      <x:c r="E12" s="38" t="n">
        <x:f>IF(A12&lt;3,0,ROUND(B12*'Inputs'!$B$28,0))</x:f>
        <x:v>592</x:v>
      </x:c>
      <x:c r="F12" s="38" t="n">
        <x:f>ROUNDDOWN(D12/3,0)</x:f>
        <x:v>85</x:v>
      </x:c>
      <x:c r="G12" s="38" t="n">
        <x:f>ROUNDDOWN(D12/3,0)</x:f>
        <x:v>85</x:v>
      </x:c>
      <x:c r="H12" s="38" t="n">
        <x:f>D12-F12-G12</x:f>
        <x:v>87</x:v>
      </x:c>
      <x:c r="I12" s="38" t="n">
        <x:f>IF(A12&lt;5,0,ROUND(C12*'Inputs'!$B$29,0))</x:f>
        <x:v>1284</x:v>
      </x:c>
      <x:c r="J12" s="38" t="n">
        <x:f>IF(A12&lt;5,0,ROUND(B12*'Inputs'!$B$30,0))</x:f>
        <x:v>2959</x:v>
      </x:c>
      <x:c r="K12" s="38" t="n">
        <x:f>IF(A12&lt;5,0,'Inputs'!$B$31)</x:f>
        <x:v>2</x:v>
      </x:c>
      <x:c r="L12" s="28" t="str">
        <x:v>Snapshot at offer issue. Sum of 3 daily claims equals pool. L40 account XP is suppressed, not banked.</x:v>
      </x:c>
    </x:row>
    <x:row r="13" ht="48" customHeight="1">
      <x:c r="A13" s="28" t="n">
        <x:v>9</x:v>
      </x:c>
      <x:c r="B13" s="38" t="n">
        <x:f>'XP &amp; Unlocks'!D13</x:f>
        <x:v>12239.999999999998</x:v>
      </x:c>
      <x:c r="C13" s="38" t="n">
        <x:f>'XP &amp; Unlocks'!E13</x:f>
        <x:v>2592</x:v>
      </x:c>
      <x:c r="D13" s="38" t="n">
        <x:f>IF(A13&lt;3,0,ROUND(C13*'Inputs'!$B$27,0))</x:f>
        <x:v>311</x:v>
      </x:c>
      <x:c r="E13" s="38" t="n">
        <x:f>IF(A13&lt;3,0,ROUND(B13*'Inputs'!$B$28,0))</x:f>
        <x:v>734</x:v>
      </x:c>
      <x:c r="F13" s="38" t="n">
        <x:f>ROUNDDOWN(D13/3,0)</x:f>
        <x:v>103</x:v>
      </x:c>
      <x:c r="G13" s="38" t="n">
        <x:f>ROUNDDOWN(D13/3,0)</x:f>
        <x:v>103</x:v>
      </x:c>
      <x:c r="H13" s="38" t="n">
        <x:f>D13-F13-G13</x:f>
        <x:v>105</x:v>
      </x:c>
      <x:c r="I13" s="38" t="n">
        <x:f>IF(A13&lt;5,0,ROUND(C13*'Inputs'!$B$29,0))</x:f>
        <x:v>1555</x:v>
      </x:c>
      <x:c r="J13" s="38" t="n">
        <x:f>IF(A13&lt;5,0,ROUND(B13*'Inputs'!$B$30,0))</x:f>
        <x:v>3672</x:v>
      </x:c>
      <x:c r="K13" s="38" t="n">
        <x:f>IF(A13&lt;5,0,'Inputs'!$B$31)</x:f>
        <x:v>2</x:v>
      </x:c>
      <x:c r="L13" s="28" t="str">
        <x:v>Snapshot at offer issue. Sum of 3 daily claims equals pool. L40 account XP is suppressed, not banked.</x:v>
      </x:c>
    </x:row>
    <x:row r="14" ht="48" customHeight="1">
      <x:c r="A14" s="28" t="n">
        <x:v>10</x:v>
      </x:c>
      <x:c r="B14" s="38" t="n">
        <x:f>'XP &amp; Unlocks'!D14</x:f>
        <x:v>12645</x:v>
      </x:c>
      <x:c r="C14" s="38" t="n">
        <x:f>'XP &amp; Unlocks'!E14</x:f>
        <x:v>2616.0000000000005</x:v>
      </x:c>
      <x:c r="D14" s="38" t="n">
        <x:f>IF(A14&lt;3,0,ROUND(C14*'Inputs'!$B$27,0))</x:f>
        <x:v>314</x:v>
      </x:c>
      <x:c r="E14" s="38" t="n">
        <x:f>IF(A14&lt;3,0,ROUND(B14*'Inputs'!$B$28,0))</x:f>
        <x:v>759</x:v>
      </x:c>
      <x:c r="F14" s="38" t="n">
        <x:f>ROUNDDOWN(D14/3,0)</x:f>
        <x:v>104</x:v>
      </x:c>
      <x:c r="G14" s="38" t="n">
        <x:f>ROUNDDOWN(D14/3,0)</x:f>
        <x:v>104</x:v>
      </x:c>
      <x:c r="H14" s="38" t="n">
        <x:f>D14-F14-G14</x:f>
        <x:v>106</x:v>
      </x:c>
      <x:c r="I14" s="38" t="n">
        <x:f>IF(A14&lt;5,0,ROUND(C14*'Inputs'!$B$29,0))</x:f>
        <x:v>1570</x:v>
      </x:c>
      <x:c r="J14" s="38" t="n">
        <x:f>IF(A14&lt;5,0,ROUND(B14*'Inputs'!$B$30,0))</x:f>
        <x:v>3794</x:v>
      </x:c>
      <x:c r="K14" s="38" t="n">
        <x:f>IF(A14&lt;5,0,'Inputs'!$B$31)</x:f>
        <x:v>2</x:v>
      </x:c>
      <x:c r="L14" s="28" t="str">
        <x:v>Snapshot at offer issue. Sum of 3 daily claims equals pool. L40 account XP is suppressed, not banked.</x:v>
      </x:c>
    </x:row>
    <x:row r="15" ht="48" customHeight="1">
      <x:c r="A15" s="28" t="n">
        <x:v>11</x:v>
      </x:c>
      <x:c r="B15" s="38" t="n">
        <x:f>'XP &amp; Unlocks'!D15</x:f>
        <x:v>13050</x:v>
      </x:c>
      <x:c r="C15" s="38" t="n">
        <x:f>'XP &amp; Unlocks'!E15</x:f>
        <x:v>2640.0000000000005</x:v>
      </x:c>
      <x:c r="D15" s="38" t="n">
        <x:f>IF(A15&lt;3,0,ROUND(C15*'Inputs'!$B$27,0))</x:f>
        <x:v>317</x:v>
      </x:c>
      <x:c r="E15" s="38" t="n">
        <x:f>IF(A15&lt;3,0,ROUND(B15*'Inputs'!$B$28,0))</x:f>
        <x:v>783</x:v>
      </x:c>
      <x:c r="F15" s="38" t="n">
        <x:f>ROUNDDOWN(D15/3,0)</x:f>
        <x:v>105</x:v>
      </x:c>
      <x:c r="G15" s="38" t="n">
        <x:f>ROUNDDOWN(D15/3,0)</x:f>
        <x:v>105</x:v>
      </x:c>
      <x:c r="H15" s="38" t="n">
        <x:f>D15-F15-G15</x:f>
        <x:v>107</x:v>
      </x:c>
      <x:c r="I15" s="38" t="n">
        <x:f>IF(A15&lt;5,0,ROUND(C15*'Inputs'!$B$29,0))</x:f>
        <x:v>1584</x:v>
      </x:c>
      <x:c r="J15" s="38" t="n">
        <x:f>IF(A15&lt;5,0,ROUND(B15*'Inputs'!$B$30,0))</x:f>
        <x:v>3915</x:v>
      </x:c>
      <x:c r="K15" s="38" t="n">
        <x:f>IF(A15&lt;5,0,'Inputs'!$B$31)</x:f>
        <x:v>2</x:v>
      </x:c>
      <x:c r="L15" s="28" t="str">
        <x:v>Snapshot at offer issue. Sum of 3 daily claims equals pool. L40 account XP is suppressed, not banked.</x:v>
      </x:c>
    </x:row>
    <x:row r="16" ht="48" customHeight="1">
      <x:c r="A16" s="28" t="n">
        <x:v>12</x:v>
      </x:c>
      <x:c r="B16" s="38" t="n">
        <x:f>'XP &amp; Unlocks'!D16</x:f>
        <x:v>15697.5</x:v>
      </x:c>
      <x:c r="C16" s="38" t="n">
        <x:f>'XP &amp; Unlocks'!E16</x:f>
        <x:v>3108</x:v>
      </x:c>
      <x:c r="D16" s="38" t="n">
        <x:f>IF(A16&lt;3,0,ROUND(C16*'Inputs'!$B$27,0))</x:f>
        <x:v>373</x:v>
      </x:c>
      <x:c r="E16" s="38" t="n">
        <x:f>IF(A16&lt;3,0,ROUND(B16*'Inputs'!$B$28,0))</x:f>
        <x:v>942</x:v>
      </x:c>
      <x:c r="F16" s="38" t="n">
        <x:f>ROUNDDOWN(D16/3,0)</x:f>
        <x:v>124</x:v>
      </x:c>
      <x:c r="G16" s="38" t="n">
        <x:f>ROUNDDOWN(D16/3,0)</x:f>
        <x:v>124</x:v>
      </x:c>
      <x:c r="H16" s="38" t="n">
        <x:f>D16-F16-G16</x:f>
        <x:v>125</x:v>
      </x:c>
      <x:c r="I16" s="38" t="n">
        <x:f>IF(A16&lt;5,0,ROUND(C16*'Inputs'!$B$29,0))</x:f>
        <x:v>1865</x:v>
      </x:c>
      <x:c r="J16" s="38" t="n">
        <x:f>IF(A16&lt;5,0,ROUND(B16*'Inputs'!$B$30,0))</x:f>
        <x:v>4709</x:v>
      </x:c>
      <x:c r="K16" s="38" t="n">
        <x:f>IF(A16&lt;5,0,'Inputs'!$B$31)</x:f>
        <x:v>2</x:v>
      </x:c>
      <x:c r="L16" s="28" t="str">
        <x:v>Snapshot at offer issue. Sum of 3 daily claims equals pool. L40 account XP is suppressed, not banked.</x:v>
      </x:c>
    </x:row>
    <x:row r="17" ht="48" customHeight="1">
      <x:c r="A17" s="28" t="n">
        <x:v>13</x:v>
      </x:c>
      <x:c r="B17" s="38" t="n">
        <x:f>'XP &amp; Unlocks'!D17</x:f>
        <x:v>16170</x:v>
      </x:c>
      <x:c r="C17" s="38" t="n">
        <x:f>'XP &amp; Unlocks'!E17</x:f>
        <x:v>3136.0000000000005</x:v>
      </x:c>
      <x:c r="D17" s="38" t="n">
        <x:f>IF(A17&lt;3,0,ROUND(C17*'Inputs'!$B$27,0))</x:f>
        <x:v>376</x:v>
      </x:c>
      <x:c r="E17" s="38" t="n">
        <x:f>IF(A17&lt;3,0,ROUND(B17*'Inputs'!$B$28,0))</x:f>
        <x:v>970</x:v>
      </x:c>
      <x:c r="F17" s="38" t="n">
        <x:f>ROUNDDOWN(D17/3,0)</x:f>
        <x:v>125</x:v>
      </x:c>
      <x:c r="G17" s="38" t="n">
        <x:f>ROUNDDOWN(D17/3,0)</x:f>
        <x:v>125</x:v>
      </x:c>
      <x:c r="H17" s="38" t="n">
        <x:f>D17-F17-G17</x:f>
        <x:v>126</x:v>
      </x:c>
      <x:c r="I17" s="38" t="n">
        <x:f>IF(A17&lt;5,0,ROUND(C17*'Inputs'!$B$29,0))</x:f>
        <x:v>1882</x:v>
      </x:c>
      <x:c r="J17" s="38" t="n">
        <x:f>IF(A17&lt;5,0,ROUND(B17*'Inputs'!$B$30,0))</x:f>
        <x:v>4851</x:v>
      </x:c>
      <x:c r="K17" s="38" t="n">
        <x:f>IF(A17&lt;5,0,'Inputs'!$B$31)</x:f>
        <x:v>2</x:v>
      </x:c>
      <x:c r="L17" s="28" t="str">
        <x:v>Snapshot at offer issue. Sum of 3 daily claims equals pool. L40 account XP is suppressed, not banked.</x:v>
      </x:c>
    </x:row>
    <x:row r="18" ht="48" customHeight="1">
      <x:c r="A18" s="28" t="n">
        <x:v>14</x:v>
      </x:c>
      <x:c r="B18" s="38" t="n">
        <x:f>'XP &amp; Unlocks'!D18</x:f>
        <x:v>16642.5</x:v>
      </x:c>
      <x:c r="C18" s="38" t="n">
        <x:f>'XP &amp; Unlocks'!E18</x:f>
        <x:v>3164</x:v>
      </x:c>
      <x:c r="D18" s="38" t="n">
        <x:f>IF(A18&lt;3,0,ROUND(C18*'Inputs'!$B$27,0))</x:f>
        <x:v>380</x:v>
      </x:c>
      <x:c r="E18" s="38" t="n">
        <x:f>IF(A18&lt;3,0,ROUND(B18*'Inputs'!$B$28,0))</x:f>
        <x:v>999</x:v>
      </x:c>
      <x:c r="F18" s="38" t="n">
        <x:f>ROUNDDOWN(D18/3,0)</x:f>
        <x:v>126</x:v>
      </x:c>
      <x:c r="G18" s="38" t="n">
        <x:f>ROUNDDOWN(D18/3,0)</x:f>
        <x:v>126</x:v>
      </x:c>
      <x:c r="H18" s="38" t="n">
        <x:f>D18-F18-G18</x:f>
        <x:v>128</x:v>
      </x:c>
      <x:c r="I18" s="38" t="n">
        <x:f>IF(A18&lt;5,0,ROUND(C18*'Inputs'!$B$29,0))</x:f>
        <x:v>1898</x:v>
      </x:c>
      <x:c r="J18" s="38" t="n">
        <x:f>IF(A18&lt;5,0,ROUND(B18*'Inputs'!$B$30,0))</x:f>
        <x:v>4993</x:v>
      </x:c>
      <x:c r="K18" s="38" t="n">
        <x:f>IF(A18&lt;5,0,'Inputs'!$B$31)</x:f>
        <x:v>2</x:v>
      </x:c>
      <x:c r="L18" s="28" t="str">
        <x:v>Snapshot at offer issue. Sum of 3 daily claims equals pool. L40 account XP is suppressed, not banked.</x:v>
      </x:c>
    </x:row>
    <x:row r="19" ht="48" customHeight="1">
      <x:c r="A19" s="28" t="n">
        <x:v>15</x:v>
      </x:c>
      <x:c r="B19" s="38" t="n">
        <x:f>'XP &amp; Unlocks'!D19</x:f>
        <x:v>17115</x:v>
      </x:c>
      <x:c r="C19" s="38" t="n">
        <x:f>'XP &amp; Unlocks'!E19</x:f>
        <x:v>3192.0000000000005</x:v>
      </x:c>
      <x:c r="D19" s="38" t="n">
        <x:f>IF(A19&lt;3,0,ROUND(C19*'Inputs'!$B$27,0))</x:f>
        <x:v>383</x:v>
      </x:c>
      <x:c r="E19" s="38" t="n">
        <x:f>IF(A19&lt;3,0,ROUND(B19*'Inputs'!$B$28,0))</x:f>
        <x:v>1027</x:v>
      </x:c>
      <x:c r="F19" s="38" t="n">
        <x:f>ROUNDDOWN(D19/3,0)</x:f>
        <x:v>127</x:v>
      </x:c>
      <x:c r="G19" s="38" t="n">
        <x:f>ROUNDDOWN(D19/3,0)</x:f>
        <x:v>127</x:v>
      </x:c>
      <x:c r="H19" s="38" t="n">
        <x:f>D19-F19-G19</x:f>
        <x:v>129</x:v>
      </x:c>
      <x:c r="I19" s="38" t="n">
        <x:f>IF(A19&lt;5,0,ROUND(C19*'Inputs'!$B$29,0))</x:f>
        <x:v>1915</x:v>
      </x:c>
      <x:c r="J19" s="38" t="n">
        <x:f>IF(A19&lt;5,0,ROUND(B19*'Inputs'!$B$30,0))</x:f>
        <x:v>5135</x:v>
      </x:c>
      <x:c r="K19" s="38" t="n">
        <x:f>IF(A19&lt;5,0,'Inputs'!$B$31)</x:f>
        <x:v>2</x:v>
      </x:c>
      <x:c r="L19" s="28" t="str">
        <x:v>Snapshot at offer issue. Sum of 3 daily claims equals pool. L40 account XP is suppressed, not banked.</x:v>
      </x:c>
    </x:row>
    <x:row r="20" ht="48" customHeight="1">
      <x:c r="A20" s="28" t="n">
        <x:v>16</x:v>
      </x:c>
      <x:c r="B20" s="38" t="n">
        <x:f>'XP &amp; Unlocks'!D20</x:f>
        <x:v>22612.499999999996</x:v>
      </x:c>
      <x:c r="C20" s="38" t="n">
        <x:f>'XP &amp; Unlocks'!E20</x:f>
        <x:v>4140</x:v>
      </x:c>
      <x:c r="D20" s="38" t="n">
        <x:f>IF(A20&lt;3,0,ROUND(C20*'Inputs'!$B$27,0))</x:f>
        <x:v>497</x:v>
      </x:c>
      <x:c r="E20" s="38" t="n">
        <x:f>IF(A20&lt;3,0,ROUND(B20*'Inputs'!$B$28,0))</x:f>
        <x:v>1357</x:v>
      </x:c>
      <x:c r="F20" s="38" t="n">
        <x:f>ROUNDDOWN(D20/3,0)</x:f>
        <x:v>165</x:v>
      </x:c>
      <x:c r="G20" s="38" t="n">
        <x:f>ROUNDDOWN(D20/3,0)</x:f>
        <x:v>165</x:v>
      </x:c>
      <x:c r="H20" s="38" t="n">
        <x:f>D20-F20-G20</x:f>
        <x:v>167</x:v>
      </x:c>
      <x:c r="I20" s="38" t="n">
        <x:f>IF(A20&lt;5,0,ROUND(C20*'Inputs'!$B$29,0))</x:f>
        <x:v>2484</x:v>
      </x:c>
      <x:c r="J20" s="38" t="n">
        <x:f>IF(A20&lt;5,0,ROUND(B20*'Inputs'!$B$30,0))</x:f>
        <x:v>6784</x:v>
      </x:c>
      <x:c r="K20" s="38" t="n">
        <x:f>IF(A20&lt;5,0,'Inputs'!$B$31)</x:f>
        <x:v>2</x:v>
      </x:c>
      <x:c r="L20" s="28" t="str">
        <x:v>Snapshot at offer issue. Sum of 3 daily claims equals pool. L40 account XP is suppressed, not banked.</x:v>
      </x:c>
    </x:row>
    <x:row r="21" ht="48" customHeight="1">
      <x:c r="A21" s="28" t="n">
        <x:v>17</x:v>
      </x:c>
      <x:c r="B21" s="38" t="n">
        <x:f>'XP &amp; Unlocks'!D21</x:f>
        <x:v>23220.000000000004</x:v>
      </x:c>
      <x:c r="C21" s="38" t="n">
        <x:f>'XP &amp; Unlocks'!E21</x:f>
        <x:v>4175.999999999999</x:v>
      </x:c>
      <x:c r="D21" s="38" t="n">
        <x:f>IF(A21&lt;3,0,ROUND(C21*'Inputs'!$B$27,0))</x:f>
        <x:v>501</x:v>
      </x:c>
      <x:c r="E21" s="38" t="n">
        <x:f>IF(A21&lt;3,0,ROUND(B21*'Inputs'!$B$28,0))</x:f>
        <x:v>1393</x:v>
      </x:c>
      <x:c r="F21" s="38" t="n">
        <x:f>ROUNDDOWN(D21/3,0)</x:f>
        <x:v>167</x:v>
      </x:c>
      <x:c r="G21" s="38" t="n">
        <x:f>ROUNDDOWN(D21/3,0)</x:f>
        <x:v>167</x:v>
      </x:c>
      <x:c r="H21" s="38" t="n">
        <x:f>D21-F21-G21</x:f>
        <x:v>167</x:v>
      </x:c>
      <x:c r="I21" s="38" t="n">
        <x:f>IF(A21&lt;5,0,ROUND(C21*'Inputs'!$B$29,0))</x:f>
        <x:v>2506</x:v>
      </x:c>
      <x:c r="J21" s="38" t="n">
        <x:f>IF(A21&lt;5,0,ROUND(B21*'Inputs'!$B$30,0))</x:f>
        <x:v>6966</x:v>
      </x:c>
      <x:c r="K21" s="38" t="n">
        <x:f>IF(A21&lt;5,0,'Inputs'!$B$31)</x:f>
        <x:v>2</x:v>
      </x:c>
      <x:c r="L21" s="28" t="str">
        <x:v>Snapshot at offer issue. Sum of 3 daily claims equals pool. L40 account XP is suppressed, not banked.</x:v>
      </x:c>
    </x:row>
    <x:row r="22" ht="48" customHeight="1">
      <x:c r="A22" s="28" t="n">
        <x:v>18</x:v>
      </x:c>
      <x:c r="B22" s="38" t="n">
        <x:f>'XP &amp; Unlocks'!D22</x:f>
        <x:v>26475.000000000004</x:v>
      </x:c>
      <x:c r="C22" s="38" t="n">
        <x:f>'XP &amp; Unlocks'!E22</x:f>
        <x:v>4680</x:v>
      </x:c>
      <x:c r="D22" s="38" t="n">
        <x:f>IF(A22&lt;3,0,ROUND(C22*'Inputs'!$B$27,0))</x:f>
        <x:v>562</x:v>
      </x:c>
      <x:c r="E22" s="38" t="n">
        <x:f>IF(A22&lt;3,0,ROUND(B22*'Inputs'!$B$28,0))</x:f>
        <x:v>1589</x:v>
      </x:c>
      <x:c r="F22" s="38" t="n">
        <x:f>ROUNDDOWN(D22/3,0)</x:f>
        <x:v>187</x:v>
      </x:c>
      <x:c r="G22" s="38" t="n">
        <x:f>ROUNDDOWN(D22/3,0)</x:f>
        <x:v>187</x:v>
      </x:c>
      <x:c r="H22" s="38" t="n">
        <x:f>D22-F22-G22</x:f>
        <x:v>188</x:v>
      </x:c>
      <x:c r="I22" s="38" t="n">
        <x:f>IF(A22&lt;5,0,ROUND(C22*'Inputs'!$B$29,0))</x:f>
        <x:v>2808</x:v>
      </x:c>
      <x:c r="J22" s="38" t="n">
        <x:f>IF(A22&lt;5,0,ROUND(B22*'Inputs'!$B$30,0))</x:f>
        <x:v>7943</x:v>
      </x:c>
      <x:c r="K22" s="38" t="n">
        <x:f>IF(A22&lt;5,0,'Inputs'!$B$31)</x:f>
        <x:v>2</x:v>
      </x:c>
      <x:c r="L22" s="28" t="str">
        <x:v>Snapshot at offer issue. Sum of 3 daily claims equals pool. L40 account XP is suppressed, not banked.</x:v>
      </x:c>
    </x:row>
    <x:row r="23" ht="48" customHeight="1">
      <x:c r="A23" s="28" t="n">
        <x:v>19</x:v>
      </x:c>
      <x:c r="B23" s="38" t="n">
        <x:f>'XP &amp; Unlocks'!D23</x:f>
        <x:v>27150</x:v>
      </x:c>
      <x:c r="C23" s="38" t="n">
        <x:f>'XP &amp; Unlocks'!E23</x:f>
        <x:v>4720</x:v>
      </x:c>
      <x:c r="D23" s="38" t="n">
        <x:f>IF(A23&lt;3,0,ROUND(C23*'Inputs'!$B$27,0))</x:f>
        <x:v>566</x:v>
      </x:c>
      <x:c r="E23" s="38" t="n">
        <x:f>IF(A23&lt;3,0,ROUND(B23*'Inputs'!$B$28,0))</x:f>
        <x:v>1629</x:v>
      </x:c>
      <x:c r="F23" s="38" t="n">
        <x:f>ROUNDDOWN(D23/3,0)</x:f>
        <x:v>188</x:v>
      </x:c>
      <x:c r="G23" s="38" t="n">
        <x:f>ROUNDDOWN(D23/3,0)</x:f>
        <x:v>188</x:v>
      </x:c>
      <x:c r="H23" s="38" t="n">
        <x:f>D23-F23-G23</x:f>
        <x:v>190</x:v>
      </x:c>
      <x:c r="I23" s="38" t="n">
        <x:f>IF(A23&lt;5,0,ROUND(C23*'Inputs'!$B$29,0))</x:f>
        <x:v>2832</x:v>
      </x:c>
      <x:c r="J23" s="38" t="n">
        <x:f>IF(A23&lt;5,0,ROUND(B23*'Inputs'!$B$30,0))</x:f>
        <x:v>8145</x:v>
      </x:c>
      <x:c r="K23" s="38" t="n">
        <x:f>IF(A23&lt;5,0,'Inputs'!$B$31)</x:f>
        <x:v>2</x:v>
      </x:c>
      <x:c r="L23" s="28" t="str">
        <x:v>Snapshot at offer issue. Sum of 3 daily claims equals pool. L40 account XP is suppressed, not banked.</x:v>
      </x:c>
    </x:row>
    <x:row r="24" ht="48" customHeight="1">
      <x:c r="A24" s="28" t="n">
        <x:v>20</x:v>
      </x:c>
      <x:c r="B24" s="38" t="n">
        <x:f>'XP &amp; Unlocks'!D24</x:f>
        <x:v>27825</x:v>
      </x:c>
      <x:c r="C24" s="38" t="n">
        <x:f>'XP &amp; Unlocks'!E24</x:f>
        <x:v>4760</x:v>
      </x:c>
      <x:c r="D24" s="38" t="n">
        <x:f>IF(A24&lt;3,0,ROUND(C24*'Inputs'!$B$27,0))</x:f>
        <x:v>571</x:v>
      </x:c>
      <x:c r="E24" s="38" t="n">
        <x:f>IF(A24&lt;3,0,ROUND(B24*'Inputs'!$B$28,0))</x:f>
        <x:v>1670</x:v>
      </x:c>
      <x:c r="F24" s="38" t="n">
        <x:f>ROUNDDOWN(D24/3,0)</x:f>
        <x:v>190</x:v>
      </x:c>
      <x:c r="G24" s="38" t="n">
        <x:f>ROUNDDOWN(D24/3,0)</x:f>
        <x:v>190</x:v>
      </x:c>
      <x:c r="H24" s="38" t="n">
        <x:f>D24-F24-G24</x:f>
        <x:v>191</x:v>
      </x:c>
      <x:c r="I24" s="38" t="n">
        <x:f>IF(A24&lt;5,0,ROUND(C24*'Inputs'!$B$29,0))</x:f>
        <x:v>2856</x:v>
      </x:c>
      <x:c r="J24" s="38" t="n">
        <x:f>IF(A24&lt;5,0,ROUND(B24*'Inputs'!$B$30,0))</x:f>
        <x:v>8348</x:v>
      </x:c>
      <x:c r="K24" s="38" t="n">
        <x:f>IF(A24&lt;5,0,'Inputs'!$B$31)</x:f>
        <x:v>2</x:v>
      </x:c>
      <x:c r="L24" s="28" t="str">
        <x:v>Snapshot at offer issue. Sum of 3 daily claims equals pool. L40 account XP is suppressed, not banked.</x:v>
      </x:c>
    </x:row>
    <x:row r="25" ht="48" customHeight="1">
      <x:c r="A25" s="28" t="n">
        <x:v>21</x:v>
      </x:c>
      <x:c r="B25" s="38" t="n">
        <x:f>'XP &amp; Unlocks'!D25</x:f>
        <x:v>31350</x:v>
      </x:c>
      <x:c r="C25" s="38" t="n">
        <x:f>'XP &amp; Unlocks'!E25</x:f>
        <x:v>5279.999999999999</x:v>
      </x:c>
      <x:c r="D25" s="38" t="n">
        <x:f>IF(A25&lt;3,0,ROUND(C25*'Inputs'!$B$27,0))</x:f>
        <x:v>634</x:v>
      </x:c>
      <x:c r="E25" s="38" t="n">
        <x:f>IF(A25&lt;3,0,ROUND(B25*'Inputs'!$B$28,0))</x:f>
        <x:v>1881</x:v>
      </x:c>
      <x:c r="F25" s="38" t="n">
        <x:f>ROUNDDOWN(D25/3,0)</x:f>
        <x:v>211</x:v>
      </x:c>
      <x:c r="G25" s="38" t="n">
        <x:f>ROUNDDOWN(D25/3,0)</x:f>
        <x:v>211</x:v>
      </x:c>
      <x:c r="H25" s="38" t="n">
        <x:f>D25-F25-G25</x:f>
        <x:v>212</x:v>
      </x:c>
      <x:c r="I25" s="38" t="n">
        <x:f>IF(A25&lt;5,0,ROUND(C25*'Inputs'!$B$29,0))</x:f>
        <x:v>3168</x:v>
      </x:c>
      <x:c r="J25" s="38" t="n">
        <x:f>IF(A25&lt;5,0,ROUND(B25*'Inputs'!$B$30,0))</x:f>
        <x:v>9405</x:v>
      </x:c>
      <x:c r="K25" s="38" t="n">
        <x:f>IF(A25&lt;5,0,'Inputs'!$B$31)</x:f>
        <x:v>2</x:v>
      </x:c>
      <x:c r="L25" s="28" t="str">
        <x:v>Snapshot at offer issue. Sum of 3 daily claims equals pool. L40 account XP is suppressed, not banked.</x:v>
      </x:c>
    </x:row>
    <x:row r="26" ht="48" customHeight="1">
      <x:c r="A26" s="28" t="n">
        <x:v>22</x:v>
      </x:c>
      <x:c r="B26" s="38" t="n">
        <x:f>'XP &amp; Unlocks'!D26</x:f>
        <x:v>32092.499999999996</x:v>
      </x:c>
      <x:c r="C26" s="38" t="n">
        <x:f>'XP &amp; Unlocks'!E26</x:f>
        <x:v>5324</x:v>
      </x:c>
      <x:c r="D26" s="38" t="n">
        <x:f>IF(A26&lt;3,0,ROUND(C26*'Inputs'!$B$27,0))</x:f>
        <x:v>639</x:v>
      </x:c>
      <x:c r="E26" s="38" t="n">
        <x:f>IF(A26&lt;3,0,ROUND(B26*'Inputs'!$B$28,0))</x:f>
        <x:v>1926</x:v>
      </x:c>
      <x:c r="F26" s="38" t="n">
        <x:f>ROUNDDOWN(D26/3,0)</x:f>
        <x:v>213</x:v>
      </x:c>
      <x:c r="G26" s="38" t="n">
        <x:f>ROUNDDOWN(D26/3,0)</x:f>
        <x:v>213</x:v>
      </x:c>
      <x:c r="H26" s="38" t="n">
        <x:f>D26-F26-G26</x:f>
        <x:v>213</x:v>
      </x:c>
      <x:c r="I26" s="38" t="n">
        <x:f>IF(A26&lt;5,0,ROUND(C26*'Inputs'!$B$29,0))</x:f>
        <x:v>3194</x:v>
      </x:c>
      <x:c r="J26" s="38" t="n">
        <x:f>IF(A26&lt;5,0,ROUND(B26*'Inputs'!$B$30,0))</x:f>
        <x:v>9628</x:v>
      </x:c>
      <x:c r="K26" s="38" t="n">
        <x:f>IF(A26&lt;5,0,'Inputs'!$B$31)</x:f>
        <x:v>2</x:v>
      </x:c>
      <x:c r="L26" s="28" t="str">
        <x:v>Snapshot at offer issue. Sum of 3 daily claims equals pool. L40 account XP is suppressed, not banked.</x:v>
      </x:c>
    </x:row>
    <x:row r="27" ht="48" customHeight="1">
      <x:c r="A27" s="28" t="n">
        <x:v>23</x:v>
      </x:c>
      <x:c r="B27" s="38" t="n">
        <x:f>'XP &amp; Unlocks'!D27</x:f>
        <x:v>32835</x:v>
      </x:c>
      <x:c r="C27" s="38" t="n">
        <x:f>'XP &amp; Unlocks'!E27</x:f>
        <x:v>5368.000000000001</x:v>
      </x:c>
      <x:c r="D27" s="38" t="n">
        <x:f>IF(A27&lt;3,0,ROUND(C27*'Inputs'!$B$27,0))</x:f>
        <x:v>644</x:v>
      </x:c>
      <x:c r="E27" s="38" t="n">
        <x:f>IF(A27&lt;3,0,ROUND(B27*'Inputs'!$B$28,0))</x:f>
        <x:v>1970</x:v>
      </x:c>
      <x:c r="F27" s="38" t="n">
        <x:f>ROUNDDOWN(D27/3,0)</x:f>
        <x:v>214</x:v>
      </x:c>
      <x:c r="G27" s="38" t="n">
        <x:f>ROUNDDOWN(D27/3,0)</x:f>
        <x:v>214</x:v>
      </x:c>
      <x:c r="H27" s="38" t="n">
        <x:f>D27-F27-G27</x:f>
        <x:v>216</x:v>
      </x:c>
      <x:c r="I27" s="38" t="n">
        <x:f>IF(A27&lt;5,0,ROUND(C27*'Inputs'!$B$29,0))</x:f>
        <x:v>3221</x:v>
      </x:c>
      <x:c r="J27" s="38" t="n">
        <x:f>IF(A27&lt;5,0,ROUND(B27*'Inputs'!$B$30,0))</x:f>
        <x:v>9851</x:v>
      </x:c>
      <x:c r="K27" s="38" t="n">
        <x:f>IF(A27&lt;5,0,'Inputs'!$B$31)</x:f>
        <x:v>2</x:v>
      </x:c>
      <x:c r="L27" s="28" t="str">
        <x:v>Snapshot at offer issue. Sum of 3 daily claims equals pool. L40 account XP is suppressed, not banked.</x:v>
      </x:c>
    </x:row>
    <x:row r="28" ht="48" customHeight="1">
      <x:c r="A28" s="28" t="n">
        <x:v>24</x:v>
      </x:c>
      <x:c r="B28" s="38" t="n">
        <x:f>'XP &amp; Unlocks'!D28</x:f>
        <x:v>33577.5</x:v>
      </x:c>
      <x:c r="C28" s="38" t="n">
        <x:f>'XP &amp; Unlocks'!E28</x:f>
        <x:v>5412</x:v>
      </x:c>
      <x:c r="D28" s="38" t="n">
        <x:f>IF(A28&lt;3,0,ROUND(C28*'Inputs'!$B$27,0))</x:f>
        <x:v>649</x:v>
      </x:c>
      <x:c r="E28" s="38" t="n">
        <x:f>IF(A28&lt;3,0,ROUND(B28*'Inputs'!$B$28,0))</x:f>
        <x:v>2015</x:v>
      </x:c>
      <x:c r="F28" s="38" t="n">
        <x:f>ROUNDDOWN(D28/3,0)</x:f>
        <x:v>216</x:v>
      </x:c>
      <x:c r="G28" s="38" t="n">
        <x:f>ROUNDDOWN(D28/3,0)</x:f>
        <x:v>216</x:v>
      </x:c>
      <x:c r="H28" s="38" t="n">
        <x:f>D28-F28-G28</x:f>
        <x:v>217</x:v>
      </x:c>
      <x:c r="I28" s="38" t="n">
        <x:f>IF(A28&lt;5,0,ROUND(C28*'Inputs'!$B$29,0))</x:f>
        <x:v>3247</x:v>
      </x:c>
      <x:c r="J28" s="38" t="n">
        <x:f>IF(A28&lt;5,0,ROUND(B28*'Inputs'!$B$30,0))</x:f>
        <x:v>10073</x:v>
      </x:c>
      <x:c r="K28" s="38" t="n">
        <x:f>IF(A28&lt;5,0,'Inputs'!$B$31)</x:f>
        <x:v>2</x:v>
      </x:c>
      <x:c r="L28" s="28" t="str">
        <x:v>Snapshot at offer issue. Sum of 3 daily claims equals pool. L40 account XP is suppressed, not banked.</x:v>
      </x:c>
    </x:row>
    <x:row r="29" ht="48" customHeight="1">
      <x:c r="A29" s="28" t="n">
        <x:v>25</x:v>
      </x:c>
      <x:c r="B29" s="38" t="n">
        <x:f>'XP &amp; Unlocks'!D29</x:f>
        <x:v>40560.00000000001</x:v>
      </x:c>
      <x:c r="C29" s="38" t="n">
        <x:f>'XP &amp; Unlocks'!E29</x:f>
        <x:v>6448</x:v>
      </x:c>
      <x:c r="D29" s="38" t="n">
        <x:f>IF(A29&lt;3,0,ROUND(C29*'Inputs'!$B$27,0))</x:f>
        <x:v>774</x:v>
      </x:c>
      <x:c r="E29" s="38" t="n">
        <x:f>IF(A29&lt;3,0,ROUND(B29*'Inputs'!$B$28,0))</x:f>
        <x:v>2434</x:v>
      </x:c>
      <x:c r="F29" s="38" t="n">
        <x:f>ROUNDDOWN(D29/3,0)</x:f>
        <x:v>258</x:v>
      </x:c>
      <x:c r="G29" s="38" t="n">
        <x:f>ROUNDDOWN(D29/3,0)</x:f>
        <x:v>258</x:v>
      </x:c>
      <x:c r="H29" s="38" t="n">
        <x:f>D29-F29-G29</x:f>
        <x:v>258</x:v>
      </x:c>
      <x:c r="I29" s="38" t="n">
        <x:f>IF(A29&lt;5,0,ROUND(C29*'Inputs'!$B$29,0))</x:f>
        <x:v>3869</x:v>
      </x:c>
      <x:c r="J29" s="38" t="n">
        <x:f>IF(A29&lt;5,0,ROUND(B29*'Inputs'!$B$30,0))</x:f>
        <x:v>12168</x:v>
      </x:c>
      <x:c r="K29" s="38" t="n">
        <x:f>IF(A29&lt;5,0,'Inputs'!$B$31)</x:f>
        <x:v>2</x:v>
      </x:c>
      <x:c r="L29" s="28" t="str">
        <x:v>Snapshot at offer issue. Sum of 3 daily claims equals pool. L40 account XP is suppressed, not banked.</x:v>
      </x:c>
    </x:row>
    <x:row r="30" ht="48" customHeight="1">
      <x:c r="A30" s="28" t="n">
        <x:v>26</x:v>
      </x:c>
      <x:c r="B30" s="38" t="n">
        <x:f>'XP &amp; Unlocks'!D30</x:f>
        <x:v>41437.5</x:v>
      </x:c>
      <x:c r="C30" s="38" t="n">
        <x:f>'XP &amp; Unlocks'!E30</x:f>
        <x:v>6500</x:v>
      </x:c>
      <x:c r="D30" s="38" t="n">
        <x:f>IF(A30&lt;3,0,ROUND(C30*'Inputs'!$B$27,0))</x:f>
        <x:v>780</x:v>
      </x:c>
      <x:c r="E30" s="38" t="n">
        <x:f>IF(A30&lt;3,0,ROUND(B30*'Inputs'!$B$28,0))</x:f>
        <x:v>2486</x:v>
      </x:c>
      <x:c r="F30" s="38" t="n">
        <x:f>ROUNDDOWN(D30/3,0)</x:f>
        <x:v>260</x:v>
      </x:c>
      <x:c r="G30" s="38" t="n">
        <x:f>ROUNDDOWN(D30/3,0)</x:f>
        <x:v>260</x:v>
      </x:c>
      <x:c r="H30" s="38" t="n">
        <x:f>D30-F30-G30</x:f>
        <x:v>260</x:v>
      </x:c>
      <x:c r="I30" s="38" t="n">
        <x:f>IF(A30&lt;5,0,ROUND(C30*'Inputs'!$B$29,0))</x:f>
        <x:v>3900</x:v>
      </x:c>
      <x:c r="J30" s="38" t="n">
        <x:f>IF(A30&lt;5,0,ROUND(B30*'Inputs'!$B$30,0))</x:f>
        <x:v>12431</x:v>
      </x:c>
      <x:c r="K30" s="38" t="n">
        <x:f>IF(A30&lt;5,0,'Inputs'!$B$31)</x:f>
        <x:v>2</x:v>
      </x:c>
      <x:c r="L30" s="28" t="str">
        <x:v>Snapshot at offer issue. Sum of 3 daily claims equals pool. L40 account XP is suppressed, not banked.</x:v>
      </x:c>
    </x:row>
    <x:row r="31" ht="48" customHeight="1">
      <x:c r="A31" s="28" t="n">
        <x:v>27</x:v>
      </x:c>
      <x:c r="B31" s="38" t="n">
        <x:f>'XP &amp; Unlocks'!D31</x:f>
        <x:v>42314.99999999999</x:v>
      </x:c>
      <x:c r="C31" s="38" t="n">
        <x:f>'XP &amp; Unlocks'!E31</x:f>
        <x:v>6552.000000000001</x:v>
      </x:c>
      <x:c r="D31" s="38" t="n">
        <x:f>IF(A31&lt;3,0,ROUND(C31*'Inputs'!$B$27,0))</x:f>
        <x:v>786</x:v>
      </x:c>
      <x:c r="E31" s="38" t="n">
        <x:f>IF(A31&lt;3,0,ROUND(B31*'Inputs'!$B$28,0))</x:f>
        <x:v>2539</x:v>
      </x:c>
      <x:c r="F31" s="38" t="n">
        <x:f>ROUNDDOWN(D31/3,0)</x:f>
        <x:v>262</x:v>
      </x:c>
      <x:c r="G31" s="38" t="n">
        <x:f>ROUNDDOWN(D31/3,0)</x:f>
        <x:v>262</x:v>
      </x:c>
      <x:c r="H31" s="38" t="n">
        <x:f>D31-F31-G31</x:f>
        <x:v>262</x:v>
      </x:c>
      <x:c r="I31" s="38" t="n">
        <x:f>IF(A31&lt;5,0,ROUND(C31*'Inputs'!$B$29,0))</x:f>
        <x:v>3931</x:v>
      </x:c>
      <x:c r="J31" s="38" t="n">
        <x:f>IF(A31&lt;5,0,ROUND(B31*'Inputs'!$B$30,0))</x:f>
        <x:v>12694</x:v>
      </x:c>
      <x:c r="K31" s="38" t="n">
        <x:f>IF(A31&lt;5,0,'Inputs'!$B$31)</x:f>
        <x:v>2</x:v>
      </x:c>
      <x:c r="L31" s="28" t="str">
        <x:v>Snapshot at offer issue. Sum of 3 daily claims equals pool. L40 account XP is suppressed, not banked.</x:v>
      </x:c>
    </x:row>
    <x:row r="32" ht="48" customHeight="1">
      <x:c r="A32" s="28" t="n">
        <x:v>28</x:v>
      </x:c>
      <x:c r="B32" s="38" t="n">
        <x:f>'XP &amp; Unlocks'!D32</x:f>
        <x:v>46515</x:v>
      </x:c>
      <x:c r="C32" s="38" t="n">
        <x:f>'XP &amp; Unlocks'!E32</x:f>
        <x:v>7112</x:v>
      </x:c>
      <x:c r="D32" s="38" t="n">
        <x:f>IF(A32&lt;3,0,ROUND(C32*'Inputs'!$B$27,0))</x:f>
        <x:v>853</x:v>
      </x:c>
      <x:c r="E32" s="38" t="n">
        <x:f>IF(A32&lt;3,0,ROUND(B32*'Inputs'!$B$28,0))</x:f>
        <x:v>2791</x:v>
      </x:c>
      <x:c r="F32" s="38" t="n">
        <x:f>ROUNDDOWN(D32/3,0)</x:f>
        <x:v>284</x:v>
      </x:c>
      <x:c r="G32" s="38" t="n">
        <x:f>ROUNDDOWN(D32/3,0)</x:f>
        <x:v>284</x:v>
      </x:c>
      <x:c r="H32" s="38" t="n">
        <x:f>D32-F32-G32</x:f>
        <x:v>285</x:v>
      </x:c>
      <x:c r="I32" s="38" t="n">
        <x:f>IF(A32&lt;5,0,ROUND(C32*'Inputs'!$B$29,0))</x:f>
        <x:v>4267</x:v>
      </x:c>
      <x:c r="J32" s="38" t="n">
        <x:f>IF(A32&lt;5,0,ROUND(B32*'Inputs'!$B$30,0))</x:f>
        <x:v>13955</x:v>
      </x:c>
      <x:c r="K32" s="38" t="n">
        <x:f>IF(A32&lt;5,0,'Inputs'!$B$31)</x:f>
        <x:v>2</x:v>
      </x:c>
      <x:c r="L32" s="28" t="str">
        <x:v>Snapshot at offer issue. Sum of 3 daily claims equals pool. L40 account XP is suppressed, not banked.</x:v>
      </x:c>
    </x:row>
    <x:row r="33" ht="48" customHeight="1">
      <x:c r="A33" s="28" t="n">
        <x:v>29</x:v>
      </x:c>
      <x:c r="B33" s="38" t="n">
        <x:f>'XP &amp; Unlocks'!D33</x:f>
        <x:v>47459.99999999999</x:v>
      </x:c>
      <x:c r="C33" s="38" t="n">
        <x:f>'XP &amp; Unlocks'!E33</x:f>
        <x:v>7168.000000000001</x:v>
      </x:c>
      <x:c r="D33" s="38" t="n">
        <x:f>IF(A33&lt;3,0,ROUND(C33*'Inputs'!$B$27,0))</x:f>
        <x:v>860</x:v>
      </x:c>
      <x:c r="E33" s="38" t="n">
        <x:f>IF(A33&lt;3,0,ROUND(B33*'Inputs'!$B$28,0))</x:f>
        <x:v>2848</x:v>
      </x:c>
      <x:c r="F33" s="38" t="n">
        <x:f>ROUNDDOWN(D33/3,0)</x:f>
        <x:v>286</x:v>
      </x:c>
      <x:c r="G33" s="38" t="n">
        <x:f>ROUNDDOWN(D33/3,0)</x:f>
        <x:v>286</x:v>
      </x:c>
      <x:c r="H33" s="38" t="n">
        <x:f>D33-F33-G33</x:f>
        <x:v>288</x:v>
      </x:c>
      <x:c r="I33" s="38" t="n">
        <x:f>IF(A33&lt;5,0,ROUND(C33*'Inputs'!$B$29,0))</x:f>
        <x:v>4301</x:v>
      </x:c>
      <x:c r="J33" s="38" t="n">
        <x:f>IF(A33&lt;5,0,ROUND(B33*'Inputs'!$B$30,0))</x:f>
        <x:v>14238</x:v>
      </x:c>
      <x:c r="K33" s="38" t="n">
        <x:f>IF(A33&lt;5,0,'Inputs'!$B$31)</x:f>
        <x:v>2</x:v>
      </x:c>
      <x:c r="L33" s="28" t="str">
        <x:v>Snapshot at offer issue. Sum of 3 daily claims equals pool. L40 account XP is suppressed, not banked.</x:v>
      </x:c>
    </x:row>
    <x:row r="34" ht="48" customHeight="1">
      <x:c r="A34" s="28" t="n">
        <x:v>30</x:v>
      </x:c>
      <x:c r="B34" s="38" t="n">
        <x:f>'XP &amp; Unlocks'!D34</x:f>
        <x:v>51862.5</x:v>
      </x:c>
      <x:c r="C34" s="38" t="n">
        <x:f>'XP &amp; Unlocks'!E34</x:f>
        <x:v>7740</x:v>
      </x:c>
      <x:c r="D34" s="38" t="n">
        <x:f>IF(A34&lt;3,0,ROUND(C34*'Inputs'!$B$27,0))</x:f>
        <x:v>929</x:v>
      </x:c>
      <x:c r="E34" s="38" t="n">
        <x:f>IF(A34&lt;3,0,ROUND(B34*'Inputs'!$B$28,0))</x:f>
        <x:v>3112</x:v>
      </x:c>
      <x:c r="F34" s="38" t="n">
        <x:f>ROUNDDOWN(D34/3,0)</x:f>
        <x:v>309</x:v>
      </x:c>
      <x:c r="G34" s="38" t="n">
        <x:f>ROUNDDOWN(D34/3,0)</x:f>
        <x:v>309</x:v>
      </x:c>
      <x:c r="H34" s="38" t="n">
        <x:f>D34-F34-G34</x:f>
        <x:v>311</x:v>
      </x:c>
      <x:c r="I34" s="38" t="n">
        <x:f>IF(A34&lt;5,0,ROUND(C34*'Inputs'!$B$29,0))</x:f>
        <x:v>4644</x:v>
      </x:c>
      <x:c r="J34" s="38" t="n">
        <x:f>IF(A34&lt;5,0,ROUND(B34*'Inputs'!$B$30,0))</x:f>
        <x:v>15559</x:v>
      </x:c>
      <x:c r="K34" s="38" t="n">
        <x:f>IF(A34&lt;5,0,'Inputs'!$B$31)</x:f>
        <x:v>2</x:v>
      </x:c>
      <x:c r="L34" s="28" t="str">
        <x:v>Snapshot at offer issue. Sum of 3 daily claims equals pool. L40 account XP is suppressed, not banked.</x:v>
      </x:c>
    </x:row>
    <x:row r="35" ht="48" customHeight="1">
      <x:c r="A35" s="28" t="n">
        <x:v>31</x:v>
      </x:c>
      <x:c r="B35" s="38" t="n">
        <x:f>'XP &amp; Unlocks'!D35</x:f>
        <x:v>52874.99999999999</x:v>
      </x:c>
      <x:c r="C35" s="38" t="n">
        <x:f>'XP &amp; Unlocks'!E35</x:f>
        <x:v>7800</x:v>
      </x:c>
      <x:c r="D35" s="38" t="n">
        <x:f>IF(A35&lt;3,0,ROUND(C35*'Inputs'!$B$27,0))</x:f>
        <x:v>936</x:v>
      </x:c>
      <x:c r="E35" s="38" t="n">
        <x:f>IF(A35&lt;3,0,ROUND(B35*'Inputs'!$B$28,0))</x:f>
        <x:v>3172</x:v>
      </x:c>
      <x:c r="F35" s="38" t="n">
        <x:f>ROUNDDOWN(D35/3,0)</x:f>
        <x:v>312</x:v>
      </x:c>
      <x:c r="G35" s="38" t="n">
        <x:f>ROUNDDOWN(D35/3,0)</x:f>
        <x:v>312</x:v>
      </x:c>
      <x:c r="H35" s="38" t="n">
        <x:f>D35-F35-G35</x:f>
        <x:v>312</x:v>
      </x:c>
      <x:c r="I35" s="38" t="n">
        <x:f>IF(A35&lt;5,0,ROUND(C35*'Inputs'!$B$29,0))</x:f>
        <x:v>4680</x:v>
      </x:c>
      <x:c r="J35" s="38" t="n">
        <x:f>IF(A35&lt;5,0,ROUND(B35*'Inputs'!$B$30,0))</x:f>
        <x:v>15862</x:v>
      </x:c>
      <x:c r="K35" s="38" t="n">
        <x:f>IF(A35&lt;5,0,'Inputs'!$B$31)</x:f>
        <x:v>2</x:v>
      </x:c>
      <x:c r="L35" s="28" t="str">
        <x:v>Snapshot at offer issue. Sum of 3 daily claims equals pool. L40 account XP is suppressed, not banked.</x:v>
      </x:c>
    </x:row>
    <x:row r="36" ht="48" customHeight="1">
      <x:c r="A36" s="28" t="n">
        <x:v>32</x:v>
      </x:c>
      <x:c r="B36" s="38" t="n">
        <x:f>'XP &amp; Unlocks'!D36</x:f>
        <x:v>53887.5</x:v>
      </x:c>
      <x:c r="C36" s="38" t="n">
        <x:f>'XP &amp; Unlocks'!E36</x:f>
        <x:v>7860</x:v>
      </x:c>
      <x:c r="D36" s="38" t="n">
        <x:f>IF(A36&lt;3,0,ROUND(C36*'Inputs'!$B$27,0))</x:f>
        <x:v>943</x:v>
      </x:c>
      <x:c r="E36" s="38" t="n">
        <x:f>IF(A36&lt;3,0,ROUND(B36*'Inputs'!$B$28,0))</x:f>
        <x:v>3233</x:v>
      </x:c>
      <x:c r="F36" s="38" t="n">
        <x:f>ROUNDDOWN(D36/3,0)</x:f>
        <x:v>314</x:v>
      </x:c>
      <x:c r="G36" s="38" t="n">
        <x:f>ROUNDDOWN(D36/3,0)</x:f>
        <x:v>314</x:v>
      </x:c>
      <x:c r="H36" s="38" t="n">
        <x:f>D36-F36-G36</x:f>
        <x:v>315</x:v>
      </x:c>
      <x:c r="I36" s="38" t="n">
        <x:f>IF(A36&lt;5,0,ROUND(C36*'Inputs'!$B$29,0))</x:f>
        <x:v>4716</x:v>
      </x:c>
      <x:c r="J36" s="38" t="n">
        <x:f>IF(A36&lt;5,0,ROUND(B36*'Inputs'!$B$30,0))</x:f>
        <x:v>16166</x:v>
      </x:c>
      <x:c r="K36" s="38" t="n">
        <x:f>IF(A36&lt;5,0,'Inputs'!$B$31)</x:f>
        <x:v>2</x:v>
      </x:c>
      <x:c r="L36" s="28" t="str">
        <x:v>Snapshot at offer issue. Sum of 3 daily claims equals pool. L40 account XP is suppressed, not banked.</x:v>
      </x:c>
    </x:row>
    <x:row r="37" ht="48" customHeight="1">
      <x:c r="A37" s="28" t="n">
        <x:v>33</x:v>
      </x:c>
      <x:c r="B37" s="38" t="n">
        <x:f>'XP &amp; Unlocks'!D37</x:f>
        <x:v>54900</x:v>
      </x:c>
      <x:c r="C37" s="38" t="n">
        <x:f>'XP &amp; Unlocks'!E37</x:f>
        <x:v>7920</x:v>
      </x:c>
      <x:c r="D37" s="38" t="n">
        <x:f>IF(A37&lt;3,0,ROUND(C37*'Inputs'!$B$27,0))</x:f>
        <x:v>950</x:v>
      </x:c>
      <x:c r="E37" s="38" t="n">
        <x:f>IF(A37&lt;3,0,ROUND(B37*'Inputs'!$B$28,0))</x:f>
        <x:v>3294</x:v>
      </x:c>
      <x:c r="F37" s="38" t="n">
        <x:f>ROUNDDOWN(D37/3,0)</x:f>
        <x:v>316</x:v>
      </x:c>
      <x:c r="G37" s="38" t="n">
        <x:f>ROUNDDOWN(D37/3,0)</x:f>
        <x:v>316</x:v>
      </x:c>
      <x:c r="H37" s="38" t="n">
        <x:f>D37-F37-G37</x:f>
        <x:v>318</x:v>
      </x:c>
      <x:c r="I37" s="38" t="n">
        <x:f>IF(A37&lt;5,0,ROUND(C37*'Inputs'!$B$29,0))</x:f>
        <x:v>4752</x:v>
      </x:c>
      <x:c r="J37" s="38" t="n">
        <x:f>IF(A37&lt;5,0,ROUND(B37*'Inputs'!$B$30,0))</x:f>
        <x:v>16470</x:v>
      </x:c>
      <x:c r="K37" s="38" t="n">
        <x:f>IF(A37&lt;5,0,'Inputs'!$B$31)</x:f>
        <x:v>2</x:v>
      </x:c>
      <x:c r="L37" s="28" t="str">
        <x:v>Snapshot at offer issue. Sum of 3 daily claims equals pool. L40 account XP is suppressed, not banked.</x:v>
      </x:c>
    </x:row>
    <x:row r="38" ht="48" customHeight="1">
      <x:c r="A38" s="28" t="n">
        <x:v>34</x:v>
      </x:c>
      <x:c r="B38" s="38" t="n">
        <x:f>'XP &amp; Unlocks'!D38</x:f>
        <x:v>63367.49999999999</x:v>
      </x:c>
      <x:c r="C38" s="38" t="n">
        <x:f>'XP &amp; Unlocks'!E38</x:f>
        <x:v>9044.000000000002</x:v>
      </x:c>
      <x:c r="D38" s="38" t="n">
        <x:f>IF(A38&lt;3,0,ROUND(C38*'Inputs'!$B$27,0))</x:f>
        <x:v>1085</x:v>
      </x:c>
      <x:c r="E38" s="38" t="n">
        <x:f>IF(A38&lt;3,0,ROUND(B38*'Inputs'!$B$28,0))</x:f>
        <x:v>3802</x:v>
      </x:c>
      <x:c r="F38" s="38" t="n">
        <x:f>ROUNDDOWN(D38/3,0)</x:f>
        <x:v>361</x:v>
      </x:c>
      <x:c r="G38" s="38" t="n">
        <x:f>ROUNDDOWN(D38/3,0)</x:f>
        <x:v>361</x:v>
      </x:c>
      <x:c r="H38" s="38" t="n">
        <x:f>D38-F38-G38</x:f>
        <x:v>363</x:v>
      </x:c>
      <x:c r="I38" s="38" t="n">
        <x:f>IF(A38&lt;5,0,ROUND(C38*'Inputs'!$B$29,0))</x:f>
        <x:v>5426</x:v>
      </x:c>
      <x:c r="J38" s="38" t="n">
        <x:f>IF(A38&lt;5,0,ROUND(B38*'Inputs'!$B$30,0))</x:f>
        <x:v>19010</x:v>
      </x:c>
      <x:c r="K38" s="38" t="n">
        <x:f>IF(A38&lt;5,0,'Inputs'!$B$31)</x:f>
        <x:v>2</x:v>
      </x:c>
      <x:c r="L38" s="28" t="str">
        <x:v>Snapshot at offer issue. Sum of 3 daily claims equals pool. L40 account XP is suppressed, not banked.</x:v>
      </x:c>
    </x:row>
    <x:row r="39" ht="48" customHeight="1">
      <x:c r="A39" s="28" t="n">
        <x:v>35</x:v>
      </x:c>
      <x:c r="B39" s="38" t="n">
        <x:f>'XP &amp; Unlocks'!D39</x:f>
        <x:v>64515</x:v>
      </x:c>
      <x:c r="C39" s="38" t="n">
        <x:f>'XP &amp; Unlocks'!E39</x:f>
        <x:v>9112.000000000002</x:v>
      </x:c>
      <x:c r="D39" s="38" t="n">
        <x:f>IF(A39&lt;3,0,ROUND(C39*'Inputs'!$B$27,0))</x:f>
        <x:v>1093</x:v>
      </x:c>
      <x:c r="E39" s="38" t="n">
        <x:f>IF(A39&lt;3,0,ROUND(B39*'Inputs'!$B$28,0))</x:f>
        <x:v>3871</x:v>
      </x:c>
      <x:c r="F39" s="38" t="n">
        <x:f>ROUNDDOWN(D39/3,0)</x:f>
        <x:v>364</x:v>
      </x:c>
      <x:c r="G39" s="38" t="n">
        <x:f>ROUNDDOWN(D39/3,0)</x:f>
        <x:v>364</x:v>
      </x:c>
      <x:c r="H39" s="38" t="n">
        <x:f>D39-F39-G39</x:f>
        <x:v>365</x:v>
      </x:c>
      <x:c r="I39" s="38" t="n">
        <x:f>IF(A39&lt;5,0,ROUND(C39*'Inputs'!$B$29,0))</x:f>
        <x:v>5467</x:v>
      </x:c>
      <x:c r="J39" s="38" t="n">
        <x:f>IF(A39&lt;5,0,ROUND(B39*'Inputs'!$B$30,0))</x:f>
        <x:v>19355</x:v>
      </x:c>
      <x:c r="K39" s="38" t="n">
        <x:f>IF(A39&lt;5,0,'Inputs'!$B$31)</x:f>
        <x:v>2</x:v>
      </x:c>
      <x:c r="L39" s="28" t="str">
        <x:v>Snapshot at offer issue. Sum of 3 daily claims equals pool. L40 account XP is suppressed, not banked.</x:v>
      </x:c>
    </x:row>
    <x:row r="40" ht="48" customHeight="1">
      <x:c r="A40" s="28" t="n">
        <x:v>36</x:v>
      </x:c>
      <x:c r="B40" s="38" t="n">
        <x:f>'XP &amp; Unlocks'!D40</x:f>
        <x:v>69525.00000000001</x:v>
      </x:c>
      <x:c r="C40" s="38" t="n">
        <x:f>'XP &amp; Unlocks'!E40</x:f>
        <x:v>9720.000000000002</x:v>
      </x:c>
      <x:c r="D40" s="38" t="n">
        <x:f>IF(A40&lt;3,0,ROUND(C40*'Inputs'!$B$27,0))</x:f>
        <x:v>1166</x:v>
      </x:c>
      <x:c r="E40" s="38" t="n">
        <x:f>IF(A40&lt;3,0,ROUND(B40*'Inputs'!$B$28,0))</x:f>
        <x:v>4172</x:v>
      </x:c>
      <x:c r="F40" s="38" t="n">
        <x:f>ROUNDDOWN(D40/3,0)</x:f>
        <x:v>388</x:v>
      </x:c>
      <x:c r="G40" s="38" t="n">
        <x:f>ROUNDDOWN(D40/3,0)</x:f>
        <x:v>388</x:v>
      </x:c>
      <x:c r="H40" s="38" t="n">
        <x:f>D40-F40-G40</x:f>
        <x:v>390</x:v>
      </x:c>
      <x:c r="I40" s="38" t="n">
        <x:f>IF(A40&lt;5,0,ROUND(C40*'Inputs'!$B$29,0))</x:f>
        <x:v>5832</x:v>
      </x:c>
      <x:c r="J40" s="38" t="n">
        <x:f>IF(A40&lt;5,0,ROUND(B40*'Inputs'!$B$30,0))</x:f>
        <x:v>20858</x:v>
      </x:c>
      <x:c r="K40" s="38" t="n">
        <x:f>IF(A40&lt;5,0,'Inputs'!$B$31)</x:f>
        <x:v>2</x:v>
      </x:c>
      <x:c r="L40" s="28" t="str">
        <x:v>Snapshot at offer issue. Sum of 3 daily claims equals pool. L40 account XP is suppressed, not banked.</x:v>
      </x:c>
    </x:row>
    <x:row r="41" ht="48" customHeight="1">
      <x:c r="A41" s="28" t="n">
        <x:v>37</x:v>
      </x:c>
      <x:c r="B41" s="38" t="n">
        <x:f>'XP &amp; Unlocks'!D41</x:f>
        <x:v>70740</x:v>
      </x:c>
      <x:c r="C41" s="38" t="n">
        <x:f>'XP &amp; Unlocks'!E41</x:f>
        <x:v>9792</x:v>
      </x:c>
      <x:c r="D41" s="38" t="n">
        <x:f>IF(A41&lt;3,0,ROUND(C41*'Inputs'!$B$27,0))</x:f>
        <x:v>1175</x:v>
      </x:c>
      <x:c r="E41" s="38" t="n">
        <x:f>IF(A41&lt;3,0,ROUND(B41*'Inputs'!$B$28,0))</x:f>
        <x:v>4244</x:v>
      </x:c>
      <x:c r="F41" s="38" t="n">
        <x:f>ROUNDDOWN(D41/3,0)</x:f>
        <x:v>391</x:v>
      </x:c>
      <x:c r="G41" s="38" t="n">
        <x:f>ROUNDDOWN(D41/3,0)</x:f>
        <x:v>391</x:v>
      </x:c>
      <x:c r="H41" s="38" t="n">
        <x:f>D41-F41-G41</x:f>
        <x:v>393</x:v>
      </x:c>
      <x:c r="I41" s="38" t="n">
        <x:f>IF(A41&lt;5,0,ROUND(C41*'Inputs'!$B$29,0))</x:f>
        <x:v>5875</x:v>
      </x:c>
      <x:c r="J41" s="38" t="n">
        <x:f>IF(A41&lt;5,0,ROUND(B41*'Inputs'!$B$30,0))</x:f>
        <x:v>21222</x:v>
      </x:c>
      <x:c r="K41" s="38" t="n">
        <x:f>IF(A41&lt;5,0,'Inputs'!$B$31)</x:f>
        <x:v>2</x:v>
      </x:c>
      <x:c r="L41" s="28" t="str">
        <x:v>Snapshot at offer issue. Sum of 3 daily claims equals pool. L40 account XP is suppressed, not banked.</x:v>
      </x:c>
    </x:row>
    <x:row r="42" ht="48" customHeight="1">
      <x:c r="A42" s="28" t="n">
        <x:v>38</x:v>
      </x:c>
      <x:c r="B42" s="38" t="n">
        <x:f>'XP &amp; Unlocks'!D42</x:f>
        <x:v>75952.5</x:v>
      </x:c>
      <x:c r="C42" s="38" t="n">
        <x:f>'XP &amp; Unlocks'!E42</x:f>
        <x:v>10412.000000000002</x:v>
      </x:c>
      <x:c r="D42" s="38" t="n">
        <x:f>IF(A42&lt;3,0,ROUND(C42*'Inputs'!$B$27,0))</x:f>
        <x:v>1249</x:v>
      </x:c>
      <x:c r="E42" s="38" t="n">
        <x:f>IF(A42&lt;3,0,ROUND(B42*'Inputs'!$B$28,0))</x:f>
        <x:v>4557</x:v>
      </x:c>
      <x:c r="F42" s="38" t="n">
        <x:f>ROUNDDOWN(D42/3,0)</x:f>
        <x:v>416</x:v>
      </x:c>
      <x:c r="G42" s="38" t="n">
        <x:f>ROUNDDOWN(D42/3,0)</x:f>
        <x:v>416</x:v>
      </x:c>
      <x:c r="H42" s="38" t="n">
        <x:f>D42-F42-G42</x:f>
        <x:v>417</x:v>
      </x:c>
      <x:c r="I42" s="38" t="n">
        <x:f>IF(A42&lt;5,0,ROUND(C42*'Inputs'!$B$29,0))</x:f>
        <x:v>6247</x:v>
      </x:c>
      <x:c r="J42" s="38" t="n">
        <x:f>IF(A42&lt;5,0,ROUND(B42*'Inputs'!$B$30,0))</x:f>
        <x:v>22786</x:v>
      </x:c>
      <x:c r="K42" s="38" t="n">
        <x:f>IF(A42&lt;5,0,'Inputs'!$B$31)</x:f>
        <x:v>2</x:v>
      </x:c>
      <x:c r="L42" s="28" t="str">
        <x:v>Snapshot at offer issue. Sum of 3 daily claims equals pool. L40 account XP is suppressed, not banked.</x:v>
      </x:c>
    </x:row>
    <x:row r="43" ht="48" customHeight="1">
      <x:c r="A43" s="28" t="n">
        <x:v>39</x:v>
      </x:c>
      <x:c r="B43" s="38" t="n">
        <x:f>'XP &amp; Unlocks'!D43</x:f>
        <x:v>77235</x:v>
      </x:c>
      <x:c r="C43" s="38" t="n">
        <x:f>'XP &amp; Unlocks'!E43</x:f>
        <x:v>10488</x:v>
      </x:c>
      <x:c r="D43" s="38" t="n">
        <x:f>IF(A43&lt;3,0,ROUND(C43*'Inputs'!$B$27,0))</x:f>
        <x:v>1259</x:v>
      </x:c>
      <x:c r="E43" s="38" t="n">
        <x:f>IF(A43&lt;3,0,ROUND(B43*'Inputs'!$B$28,0))</x:f>
        <x:v>4634</x:v>
      </x:c>
      <x:c r="F43" s="38" t="n">
        <x:f>ROUNDDOWN(D43/3,0)</x:f>
        <x:v>419</x:v>
      </x:c>
      <x:c r="G43" s="38" t="n">
        <x:f>ROUNDDOWN(D43/3,0)</x:f>
        <x:v>419</x:v>
      </x:c>
      <x:c r="H43" s="38" t="n">
        <x:f>D43-F43-G43</x:f>
        <x:v>421</x:v>
      </x:c>
      <x:c r="I43" s="38" t="n">
        <x:f>IF(A43&lt;5,0,ROUND(C43*'Inputs'!$B$29,0))</x:f>
        <x:v>6293</x:v>
      </x:c>
      <x:c r="J43" s="38" t="n">
        <x:f>IF(A43&lt;5,0,ROUND(B43*'Inputs'!$B$30,0))</x:f>
        <x:v>23171</x:v>
      </x:c>
      <x:c r="K43" s="38" t="n">
        <x:f>IF(A43&lt;5,0,'Inputs'!$B$31)</x:f>
        <x:v>2</x:v>
      </x:c>
      <x:c r="L43" s="28" t="str">
        <x:v>Snapshot at offer issue. Sum of 3 daily claims equals pool. L40 account XP is suppressed, not banked.</x:v>
      </x:c>
    </x:row>
    <x:row r="44" ht="48" customHeight="1">
      <x:c r="A44" s="28" t="n">
        <x:v>40</x:v>
      </x:c>
      <x:c r="B44" s="38" t="n">
        <x:f>'XP &amp; Unlocks'!D44</x:f>
        <x:v>82650</x:v>
      </x:c>
      <x:c r="C44" s="38" t="n">
        <x:f>'XP &amp; Unlocks'!E44</x:f>
        <x:v>11120</x:v>
      </x:c>
      <x:c r="D44" s="38" t="n">
        <x:f>IF(A44&lt;3,0,ROUND(C44*'Inputs'!$B$27,0))</x:f>
        <x:v>1334</x:v>
      </x:c>
      <x:c r="E44" s="38" t="n">
        <x:f>IF(A44&lt;3,0,ROUND(B44*'Inputs'!$B$28,0))</x:f>
        <x:v>4959</x:v>
      </x:c>
      <x:c r="F44" s="38" t="n">
        <x:f>ROUNDDOWN(D44/3,0)</x:f>
        <x:v>444</x:v>
      </x:c>
      <x:c r="G44" s="38" t="n">
        <x:f>ROUNDDOWN(D44/3,0)</x:f>
        <x:v>444</x:v>
      </x:c>
      <x:c r="H44" s="38" t="n">
        <x:f>D44-F44-G44</x:f>
        <x:v>446</x:v>
      </x:c>
      <x:c r="I44" s="38" t="n">
        <x:f>IF(A44&lt;5,0,ROUND(C44*'Inputs'!$B$29,0))</x:f>
        <x:v>6672</x:v>
      </x:c>
      <x:c r="J44" s="38" t="n">
        <x:f>IF(A44&lt;5,0,ROUND(B44*'Inputs'!$B$30,0))</x:f>
        <x:v>24795</x:v>
      </x:c>
      <x:c r="K44" s="38" t="n">
        <x:f>IF(A44&lt;5,0,'Inputs'!$B$31)</x:f>
        <x:v>2</x:v>
      </x:c>
      <x:c r="L44" s="28" t="str">
        <x:v>Snapshot at offer issue. Sum of 3 daily claims equals pool. L40 account XP is suppressed, not banked.</x:v>
      </x:c>
    </x:row>
  </x:sheetData>
  <x:mergeCells>
    <x:mergeCell ref="A1:L1"/>
    <x:mergeCell ref="A2:L2"/>
  </x:mergeCells>
  <x:pageMargins left="0.7" right="0.7" top="0.75" bottom="0.75" header="0.3" footer="0.3"/>
  <x:tableParts count="1">
    <x:tablePart xmlns:r="http://schemas.openxmlformats.org/officeDocument/2006/relationships" r:id="R35c764c7f2314019"/>
  </x:tableParts>
</x:worksheet>
</file>

<file path=xl/worksheets/sheet14.xml><?xml version="1.0" encoding="utf-8"?>
<x:worksheet xmlns:x="http://schemas.openxmlformats.org/spreadsheetml/2006/main">
  <x:sheetFormatPr defaultRowHeight="15"/>
  <x:cols>
    <x:col min="1" max="1" width="11" hidden="0" customWidth="1"/>
    <x:col min="2" max="2" width="22" hidden="0" customWidth="1"/>
    <x:col min="3" max="3" width="32" hidden="0" customWidth="1"/>
    <x:col min="4" max="4" width="75" hidden="0" customWidth="1"/>
    <x:col min="5" max="5" width="33" hidden="0" customWidth="1"/>
    <x:col min="6" max="6" width="38" hidden="0" customWidth="1"/>
    <x:col min="7" max="7" width="70" hidden="0" customWidth="1"/>
  </x:cols>
  <x:sheetData>
    <x:row r="1" ht="34" customHeight="1">
      <x:c r="A1" s="6" t="str">
        <x:v>QUESTS | choices without chores</x:v>
      </x:c>
      <x:c r="B1" s="6"/>
      <x:c r="C1" s="6"/>
      <x:c r="D1" s="6"/>
      <x:c r="E1" s="6"/>
      <x:c r="F1" s="6"/>
      <x:c r="G1" s="6"/>
    </x:row>
    <x:row r="2" ht="32" customHeight="1">
      <x:c r="A2" s="13" t="str">
        <x:v>Quest Rewards is the sole economic budget. Rewards are for accessible play, never purchases, invitations, ads or unhealthy attendance.</x:v>
      </x:c>
      <x:c r="B2" s="13"/>
      <x:c r="C2" s="13"/>
      <x:c r="D2" s="13"/>
      <x:c r="E2" s="13"/>
      <x:c r="F2" s="13"/>
      <x:c r="G2" s="13"/>
    </x:row>
    <x:row r="3">
      <x:c r="A3" s="2"/>
      <x:c r="B3" s="2"/>
      <x:c r="C3" s="2"/>
      <x:c r="D3" s="2"/>
      <x:c r="E3" s="2"/>
      <x:c r="F3" s="2"/>
      <x:c r="G3" s="2"/>
    </x:row>
    <x:row r="4" ht="32" customHeight="1">
      <x:c r="A4" s="21" t="str">
        <x:v>ID</x:v>
      </x:c>
      <x:c r="B4" s="21" t="str">
        <x:v>Type</x:v>
      </x:c>
      <x:c r="C4" s="21" t="str">
        <x:v>Goal</x:v>
      </x:c>
      <x:c r="D4" s="21" t="str">
        <x:v>Eligibility / implementation</x:v>
      </x:c>
      <x:c r="E4" s="21" t="str">
        <x:v>Completion rule</x:v>
      </x:c>
      <x:c r="F4" s="21" t="str">
        <x:v>Reward authority</x:v>
      </x:c>
      <x:c r="G4" s="21" t="str">
        <x:v>Guardrail</x:v>
      </x:c>
    </x:row>
    <x:row r="5" ht="83" customHeight="1">
      <x:c r="A5" s="28" t="str">
        <x:v>Q-D01</x:v>
      </x:c>
      <x:c r="B5" s="28" t="str">
        <x:v>Daily choice</x:v>
      </x:c>
      <x:c r="C5" s="28" t="str">
        <x:v>Care for three distinct fish</x:v>
      </x:c>
      <x:c r="D5" s="28" t="str">
        <x:v>Free food / tap interaction; NPC demonstration fish can count when no owned fish.</x:v>
      </x:c>
      <x:c r="E5" s="28" t="str">
        <x:v>3 distinct fish interactions</x:v>
      </x:c>
      <x:c r="F5" s="28" t="str">
        <x:v>1 of 3 claim slots</x:v>
      </x:c>
      <x:c r="G5" s="28" t="str">
        <x:v>No spending, timing precision or mature fish required.</x:v>
      </x:c>
    </x:row>
    <x:row r="6" ht="83" customHeight="1">
      <x:c r="A6" s="28" t="str">
        <x:v>Q-D02</x:v>
      </x:c>
      <x:c r="B6" s="28" t="str">
        <x:v>Daily choice</x:v>
      </x:c>
      <x:c r="C6" s="28" t="str">
        <x:v>Make one scene edit</x:v>
      </x:c>
      <x:c r="D6" s="28" t="str">
        <x:v>Place, move or store one item; starter plant always available.</x:v>
      </x:c>
      <x:c r="E6" s="28" t="str">
        <x:v>1 saved edit</x:v>
      </x:c>
      <x:c r="F6" s="28" t="str">
        <x:v>1 of 3 claim slots</x:v>
      </x:c>
      <x:c r="G6" s="28" t="str">
        <x:v>Free undo; do not require a new purchase.</x:v>
      </x:c>
    </x:row>
    <x:row r="7" ht="83" customHeight="1">
      <x:c r="A7" s="28" t="str">
        <x:v>Q-D03</x:v>
      </x:c>
      <x:c r="B7" s="28" t="str">
        <x:v>Daily choice</x:v>
      </x:c>
      <x:c r="C7" s="28" t="str">
        <x:v>Take an aquarium photo</x:v>
      </x:c>
      <x:c r="D7" s="28" t="str">
        <x:v>In-app capture only; no social share or permission beyond local preview required.</x:v>
      </x:c>
      <x:c r="E7" s="28" t="str">
        <x:v>1 preview capture</x:v>
      </x:c>
      <x:c r="F7" s="28" t="str">
        <x:v>1 of 3 claim slots</x:v>
      </x:c>
      <x:c r="G7" s="28" t="str">
        <x:v>No image upload or public-post obligation.</x:v>
      </x:c>
    </x:row>
    <x:row r="8" ht="83" customHeight="1">
      <x:c r="A8" s="28" t="str">
        <x:v>Q-D04</x:v>
      </x:c>
      <x:c r="B8" s="28" t="str">
        <x:v>Daily choice</x:v>
      </x:c>
      <x:c r="C8" s="28" t="str">
        <x:v>Visit a helpful visitor</x:v>
      </x:c>
      <x:c r="D8" s="28" t="str">
        <x:v>NPC visitor and friend visitor are equally valid.</x:v>
      </x:c>
      <x:c r="E8" s="28" t="str">
        <x:v>1 visit / thank-you</x:v>
      </x:c>
      <x:c r="F8" s="28" t="str">
        <x:v>1 of 3 claim slots</x:v>
      </x:c>
      <x:c r="G8" s="28" t="str">
        <x:v>Solo account can finish; no contact access.</x:v>
      </x:c>
    </x:row>
    <x:row r="9" ht="83" customHeight="1">
      <x:c r="A9" s="28" t="str">
        <x:v>Q-D05</x:v>
      </x:c>
      <x:c r="B9" s="28" t="str">
        <x:v>Daily choice</x:v>
      </x:c>
      <x:c r="C9" s="28" t="str">
        <x:v>Review a journal goal</x:v>
      </x:c>
      <x:c r="D9" s="28" t="str">
        <x:v>Open a species page and choose / retain a goal.</x:v>
      </x:c>
      <x:c r="E9" s="28" t="str">
        <x:v>1 explicit goal confirmation</x:v>
      </x:c>
      <x:c r="F9" s="28" t="str">
        <x:v>1 of 3 claim slots</x:v>
      </x:c>
      <x:c r="G9" s="28" t="str">
        <x:v>Do not require missing premium content.</x:v>
      </x:c>
    </x:row>
    <x:row r="10" ht="83" customHeight="1">
      <x:c r="A10" s="28" t="str">
        <x:v>Q-D06</x:v>
      </x:c>
      <x:c r="B10" s="28" t="str">
        <x:v>Alternate, opt-in</x:v>
      </x:c>
      <x:c r="C10" s="28" t="str">
        <x:v>Settle a ready fish</x:v>
      </x:c>
      <x:c r="D10" s="28" t="str">
        <x:v>Only offer if a fish is ready or predictably ready within the player's chosen routine.</x:v>
      </x:c>
      <x:c r="E10" s="28" t="str">
        <x:v>1 settlement</x:v>
      </x:c>
      <x:c r="F10" s="28" t="str">
        <x:v>Replaces a daily choice, not extra pool</x:v>
      </x:c>
      <x:c r="G10" s="28" t="str">
        <x:v>Auto-replace free if inaccessible; no 20-minute attendance requirement.</x:v>
      </x:c>
    </x:row>
    <x:row r="11" ht="83" customHeight="1">
      <x:c r="A11" s="28" t="str">
        <x:v>Q-D07</x:v>
      </x:c>
      <x:c r="B11" s="28" t="str">
        <x:v>Budget</x:v>
      </x:c>
      <x:c r="C11" s="28" t="str">
        <x:v>Three rewards, one pool</x:v>
      </x:c>
      <x:c r="D11" s="28" t="str">
        <x:v>Daily XP / coins come from Quest Rewards at offered level; claim shares are floor, floor, remainder.</x:v>
      </x:c>
      <x:c r="E11" s="28" t="str">
        <x:v>3 distinct selected actions</x:v>
      </x:c>
      <x:c r="F11" s="28" t="str">
        <x:v>No additional all-complete reward</x:v>
      </x:c>
      <x:c r="G11" s="28" t="str">
        <x:v>Ignore extra actions after three claims; no refreshing the pool.</x:v>
      </x:c>
    </x:row>
    <x:row r="12" ht="83" customHeight="1">
      <x:c r="A12" s="28" t="str">
        <x:v>Q-D08</x:v>
      </x:c>
      <x:c r="B12" s="28" t="str">
        <x:v>Resets</x:v>
      </x:c>
      <x:c r="C12" s="28" t="str">
        <x:v>Server-day boundaries</x:v>
      </x:c>
      <x:c r="D12" s="28" t="str">
        <x:v>A fixed UTC boundary is shown in local time; reward key includes account + server day + claim slot.</x:v>
      </x:c>
      <x:c r="E12" s="28" t="str">
        <x:v>One offer set / day</x:v>
      </x:c>
      <x:c r="F12" s="28" t="str">
        <x:v>No punitive consecutive streak</x:v>
      </x:c>
      <x:c r="G12" s="28" t="str">
        <x:v>In-flight offer may be claimed within 24-hour grace, once; does not create a second slot.</x:v>
      </x:c>
    </x:row>
    <x:row r="13" ht="83" customHeight="1">
      <x:c r="A13" s="28" t="str">
        <x:v>Q-W01</x:v>
      </x:c>
      <x:c r="B13" s="28" t="str">
        <x:v>Weekly</x:v>
      </x:c>
      <x:c r="C13" s="28" t="str">
        <x:v>Care on 5 eligible days</x:v>
      </x:c>
      <x:c r="D13" s="28" t="str">
        <x:v>Unlock L5; count eligible days in this 7-day server week; never require consecutive days.</x:v>
      </x:c>
      <x:c r="E13" s="28" t="str">
        <x:v>5 active days</x:v>
      </x:c>
      <x:c r="F13" s="28" t="str">
        <x:v>1 weekly pool from Quest Rewards</x:v>
      </x:c>
      <x:c r="G13" s="28" t="str">
        <x:v>Optional aspiration goals (photos, scenes, species) give cosmetic stamp only.</x:v>
      </x:c>
    </x:row>
    <x:row r="14" ht="83" customHeight="1">
      <x:c r="A14" s="28" t="str">
        <x:v>Q-W02</x:v>
      </x:c>
      <x:c r="B14" s="28" t="str">
        <x:v>First partial week</x:v>
      </x:c>
      <x:c r="C14" s="28" t="str">
        <x:v>No impossible target</x:v>
      </x:c>
      <x:c r="D14" s="28" t="str">
        <x:v>If fewer than five calendar days remain when L5 unlocks, start the first weekly reward offer next week; show a welcome goal without economic reward meanwhile.</x:v>
      </x:c>
      <x:c r="E14" s="28" t="str">
        <x:v>First full eligible week</x:v>
      </x:c>
      <x:c r="F14" s="28" t="str">
        <x:v>No retroactive payout for pre-unlock days</x:v>
      </x:c>
      <x:c r="G14" s="28" t="str">
        <x:v>Simulation's initial actors all have at least five eligible days in first claim week.</x:v>
      </x:c>
    </x:row>
    <x:row r="15" ht="83" customHeight="1">
      <x:c r="A15" s="28" t="str">
        <x:v>Q-W03</x:v>
      </x:c>
      <x:c r="B15" s="28" t="str">
        <x:v>Snapshot / cap</x:v>
      </x:c>
      <x:c r="C15" s="28" t="str">
        <x:v>Fix rewards on offer creation</x:v>
      </x:c>
      <x:c r="D15" s="28" t="str">
        <x:v>Snapshot on first eligible day; later leveling does not inflate the offer. Account XP is suppressed at L40; cosmetic stamps continue.</x:v>
      </x:c>
      <x:c r="E15" s="28" t="str">
        <x:v>Unique offer_id</x:v>
      </x:c>
      <x:c r="F15" s="28" t="str">
        <x:v>Coins/pearls continue within budget</x:v>
      </x:c>
      <x:c r="G15" s="28" t="str">
        <x:v>Offline, retries, grace windows and replacement share the same idempotency ledger.</x:v>
      </x:c>
    </x:row>
    <x:row r="16" ht="83" customHeight="1">
      <x:c r="A16" s="28" t="str">
        <x:v>Q-W04</x:v>
      </x:c>
      <x:c r="B16" s="28" t="str">
        <x:v>Recovery</x:v>
      </x:c>
      <x:c r="C16" s="28" t="str">
        <x:v>Missed days do not delete progress</x:v>
      </x:c>
      <x:c r="D16" s="28" t="str">
        <x:v>Unfinished daily/weekly goals expire only as disclosed; owned fish, decor, mastery and currency never expire.</x:v>
      </x:c>
      <x:c r="E16" s="28" t="str">
        <x:v>No streak multiplier</x:v>
      </x:c>
      <x:c r="F16" s="28" t="str">
        <x:v>No paid streak repair</x:v>
      </x:c>
      <x:c r="G16" s="28" t="str">
        <x:v>Weekly calendar supports two missed days; events use a separate banked-opportunity system.</x:v>
      </x:c>
    </x:row>
  </x:sheetData>
  <x:mergeCells>
    <x:mergeCell ref="A1:G1"/>
    <x:mergeCell ref="A2:G2"/>
  </x:mergeCells>
  <x:pageMargins left="0.7" right="0.7" top="0.75" bottom="0.75" header="0.3" footer="0.3"/>
  <x:tableParts count="1">
    <x:tablePart xmlns:r="http://schemas.openxmlformats.org/officeDocument/2006/relationships" r:id="R0c160612047546d6"/>
  </x:tableParts>
</x:worksheet>
</file>

<file path=xl/worksheets/sheet15.xml><?xml version="1.0" encoding="utf-8"?>
<x:worksheet xmlns:x="http://schemas.openxmlformats.org/spreadsheetml/2006/main">
  <x:sheetFormatPr defaultRowHeight="15"/>
  <x:cols>
    <x:col min="1" max="1" width="12" hidden="0" customWidth="1"/>
    <x:col min="2" max="2" width="22" hidden="0" customWidth="1"/>
    <x:col min="3" max="3" width="100" hidden="0" customWidth="1"/>
    <x:col min="4" max="4" width="49" hidden="0" customWidth="1"/>
    <x:col min="5" max="5" width="54" hidden="0" customWidth="1"/>
    <x:col min="6" max="6" width="18" hidden="0" customWidth="1"/>
    <x:col min="7" max="7" width="86" hidden="0" customWidth="1"/>
  </x:cols>
  <x:sheetData>
    <x:row r="1" ht="34" customHeight="1">
      <x:c r="A1" s="6" t="str">
        <x:v>MASTERY &amp; COLLECTIONS | favorites have lasting value</x:v>
      </x:c>
      <x:c r="B1" s="6"/>
      <x:c r="C1" s="6"/>
      <x:c r="D1" s="6"/>
      <x:c r="E1" s="6"/>
      <x:c r="F1" s="6"/>
      <x:c r="G1" s="6"/>
    </x:row>
    <x:row r="2" ht="32" customHeight="1">
      <x:c r="A2" s="13" t="str">
        <x:v>40 launch coin species form eight deterministic lifetime chapters. Cosmetic mastery has no account-XP or income multiplier.</x:v>
      </x:c>
      <x:c r="B2" s="13"/>
      <x:c r="C2" s="13"/>
      <x:c r="D2" s="13"/>
      <x:c r="E2" s="13"/>
      <x:c r="F2" s="13"/>
      <x:c r="G2" s="13"/>
    </x:row>
    <x:row r="3">
      <x:c r="A3" s="2"/>
      <x:c r="B3" s="2"/>
      <x:c r="C3" s="2"/>
      <x:c r="D3" s="2"/>
      <x:c r="E3" s="2"/>
      <x:c r="F3" s="2"/>
      <x:c r="G3" s="2"/>
    </x:row>
    <x:row r="4" ht="32" customHeight="1">
      <x:c r="A4" s="21" t="str">
        <x:v>ID</x:v>
      </x:c>
      <x:c r="B4" s="21" t="str">
        <x:v>Scope</x:v>
      </x:c>
      <x:c r="C4" s="21" t="str">
        <x:v>Eligible species / population</x:v>
      </x:c>
      <x:c r="D4" s="21" t="str">
        <x:v>Requirement</x:v>
      </x:c>
      <x:c r="E4" s="21" t="str">
        <x:v>Reward</x:v>
      </x:c>
      <x:c r="F4" s="21" t="str">
        <x:v>Pearls (once)</x:v>
      </x:c>
      <x:c r="G4" s="21" t="str">
        <x:v>Implementation / fairness</x:v>
      </x:c>
    </x:row>
    <x:row r="5" ht="78" customHeight="1">
      <x:c r="A5" s="28" t="str">
        <x:v>MS-01</x:v>
      </x:c>
      <x:c r="B5" s="28" t="str">
        <x:v>Species</x:v>
      </x:c>
      <x:c r="C5" s="28" t="str">
        <x:v>All 40 launch coin fish</x:v>
      </x:c>
      <x:c r="D5" s="28" t="str">
        <x:v>1 adult settlement</x:v>
      </x:c>
      <x:c r="E5" s="28" t="str">
        <x:v>Journal entry and free base portrait</x:v>
      </x:c>
      <x:c r="F5" s="28" t="str">
        <x:v>0</x:v>
      </x:c>
      <x:c r="G5" s="28" t="str">
        <x:v>Actual adult instance only; no early rehome, premium fish or scripted tutorial instance.</x:v>
      </x:c>
    </x:row>
    <x:row r="6" ht="78" customHeight="1">
      <x:c r="A6" s="28" t="str">
        <x:v>MS-02</x:v>
      </x:c>
      <x:c r="B6" s="28" t="str">
        <x:v>Species</x:v>
      </x:c>
      <x:c r="C6" s="28" t="str">
        <x:v>All 40 launch coin fish</x:v>
      </x:c>
      <x:c r="D6" s="28" t="str">
        <x:v>3 adult settlements</x:v>
      </x:c>
      <x:c r="E6" s="28" t="str">
        <x:v>Species-specific photo sticker</x:v>
      </x:c>
      <x:c r="F6" s="28" t="str">
        <x:v>0</x:v>
      </x:c>
      <x:c r="G6" s="28" t="str">
        <x:v>One-time milestone, not a resettable reward.</x:v>
      </x:c>
    </x:row>
    <x:row r="7" ht="78" customHeight="1">
      <x:c r="A7" s="28" t="str">
        <x:v>MS-03</x:v>
      </x:c>
      <x:c r="B7" s="28" t="str">
        <x:v>Species</x:v>
      </x:c>
      <x:c r="C7" s="28" t="str">
        <x:v>All 40 launch coin fish</x:v>
      </x:c>
      <x:c r="D7" s="28" t="str">
        <x:v>10 adult settlements</x:v>
      </x:c>
      <x:c r="E7" s="28" t="str">
        <x:v>Alternate display pose / cosmetic palette option</x:v>
      </x:c>
      <x:c r="F7" s="28" t="str">
        <x:v>0</x:v>
      </x:c>
      <x:c r="G7" s="28" t="str">
        <x:v>Variant is Showcase-only; not another productive species.</x:v>
      </x:c>
    </x:row>
    <x:row r="8" ht="78" customHeight="1">
      <x:c r="A8" s="28" t="str">
        <x:v>MS-04</x:v>
      </x:c>
      <x:c r="B8" s="28" t="str">
        <x:v>Species</x:v>
      </x:c>
      <x:c r="C8" s="28" t="str">
        <x:v>All 40 launch coin fish</x:v>
      </x:c>
      <x:c r="D8" s="28" t="str">
        <x:v>25 adult settlements + 5 distinct care days</x:v>
      </x:c>
      <x:c r="E8" s="28" t="str">
        <x:v>Mastery badge and journal frame</x:v>
      </x:c>
      <x:c r="F8" s="28" t="str">
        <x:v>0</x:v>
      </x:c>
      <x:c r="G8" s="28" t="str">
        <x:v>No extra income; five days need not be consecutive; account timezone policy fixed.</x:v>
      </x:c>
    </x:row>
    <x:row r="9" ht="78" customHeight="1">
      <x:c r="A9" s="28" t="str">
        <x:v>CH-01</x:v>
      </x:c>
      <x:c r="B9" s="28" t="str">
        <x:v>Lifetime chapter</x:v>
      </x:c>
      <x:c r="C9" s="28" t="str">
        <x:v>CF-01 Neon Tetra, CF-02 Guppy, CF-03 Platy, CF-04 Molly, CF-05 Zebra Danio</x:v>
      </x:c>
      <x:c r="D9" s="28" t="str">
        <x:v>First adult settlement of all 5 species</x:v>
      </x:c>
      <x:c r="E9" s="28" t="str">
        <x:v>2 pearls + chapter scene sticker</x:v>
      </x:c>
      <x:c r="F9" s="28" t="n">
        <x:v>2</x:v>
      </x:c>
      <x:c r="G9" s="28" t="str">
        <x:v>Lifetime account + CH-01 claim key; never weekly-reset; all are launch coin fish.</x:v>
      </x:c>
    </x:row>
    <x:row r="10" ht="78" customHeight="1">
      <x:c r="A10" s="28" t="str">
        <x:v>CH-02</x:v>
      </x:c>
      <x:c r="B10" s="28" t="str">
        <x:v>Lifetime chapter</x:v>
      </x:c>
      <x:c r="C10" s="28" t="str">
        <x:v>RF-01 Cherry Barb, CF-06 Ember Tetra, RF-02 White Cloud Minnow, CF-07 Harlequin Rasbora, CF-08 Green Chromis</x:v>
      </x:c>
      <x:c r="D10" s="28" t="str">
        <x:v>First adult settlement of all 5 species</x:v>
      </x:c>
      <x:c r="E10" s="28" t="str">
        <x:v>2 pearls + chapter scene sticker</x:v>
      </x:c>
      <x:c r="F10" s="28" t="n">
        <x:v>2</x:v>
      </x:c>
      <x:c r="G10" s="28" t="str">
        <x:v>Lifetime account + CH-02 claim key; never weekly-reset; all are launch coin fish.</x:v>
      </x:c>
    </x:row>
    <x:row r="11" ht="78" customHeight="1">
      <x:c r="A11" s="28" t="str">
        <x:v>CH-03</x:v>
      </x:c>
      <x:c r="B11" s="28" t="str">
        <x:v>Lifetime chapter</x:v>
      </x:c>
      <x:c r="C11" s="28" t="str">
        <x:v>RF-04 Royal Gramma, RF-05 Dwarf Gourami, CF-09 Pajama Cardinalfish, CF-10 Pearl Gourami, RF-06 Corydoras Catfish</x:v>
      </x:c>
      <x:c r="D11" s="28" t="str">
        <x:v>First adult settlement of all 5 species</x:v>
      </x:c>
      <x:c r="E11" s="28" t="str">
        <x:v>2 pearls + chapter scene sticker</x:v>
      </x:c>
      <x:c r="F11" s="28" t="n">
        <x:v>2</x:v>
      </x:c>
      <x:c r="G11" s="28" t="str">
        <x:v>Lifetime account + CH-03 claim key; never weekly-reset; all are launch coin fish.</x:v>
      </x:c>
    </x:row>
    <x:row r="12" ht="78" customHeight="1">
      <x:c r="A12" s="28" t="str">
        <x:v>CH-04</x:v>
      </x:c>
      <x:c r="B12" s="28" t="str">
        <x:v>Lifetime chapter</x:v>
      </x:c>
      <x:c r="C12" s="28" t="str">
        <x:v>CF-11 Sixline Wrasse, CF-12 Shy Hamlet, CF-13 Hawaiian Hogfish, CF-14 Scooter Blenny, RF-07 Siamese Fighting Fish</x:v>
      </x:c>
      <x:c r="D12" s="28" t="str">
        <x:v>First adult settlement of all 5 species</x:v>
      </x:c>
      <x:c r="E12" s="28" t="str">
        <x:v>2 pearls + chapter scene sticker</x:v>
      </x:c>
      <x:c r="F12" s="28" t="n">
        <x:v>2</x:v>
      </x:c>
      <x:c r="G12" s="28" t="str">
        <x:v>Lifetime account + CH-04 claim key; never weekly-reset; all are launch coin fish.</x:v>
      </x:c>
    </x:row>
    <x:row r="13" ht="78" customHeight="1">
      <x:c r="A13" s="28" t="str">
        <x:v>CH-05</x:v>
      </x:c>
      <x:c r="B13" s="28" t="str">
        <x:v>Lifetime chapter</x:v>
      </x:c>
      <x:c r="C13" s="28" t="str">
        <x:v>RF-08 Firefish Goby, CF-15 Ocellaris Clownfish, CF-16 Yellow Tang, RF-10 Freshwater Angelfish, CF-17 Banggai Cardinalfish</x:v>
      </x:c>
      <x:c r="D13" s="28" t="str">
        <x:v>First adult settlement of all 5 species</x:v>
      </x:c>
      <x:c r="E13" s="28" t="str">
        <x:v>2 pearls + chapter scene sticker</x:v>
      </x:c>
      <x:c r="F13" s="28" t="n">
        <x:v>2</x:v>
      </x:c>
      <x:c r="G13" s="28" t="str">
        <x:v>Lifetime account + CH-05 claim key; never weekly-reset; all are launch coin fish.</x:v>
      </x:c>
    </x:row>
    <x:row r="14" ht="78" customHeight="1">
      <x:c r="A14" s="28" t="str">
        <x:v>CH-06</x:v>
      </x:c>
      <x:c r="B14" s="28" t="str">
        <x:v>Lifetime chapter</x:v>
      </x:c>
      <x:c r="C14" s="28" t="str">
        <x:v>RF-11 Bicolor Blenny, CF-18 Coral Beauty, RF-12 Royal Dottyback, RF-13 Golden Puffer, CF-19 Flame Angelfish</x:v>
      </x:c>
      <x:c r="D14" s="28" t="str">
        <x:v>First adult settlement of all 5 species</x:v>
      </x:c>
      <x:c r="E14" s="28" t="str">
        <x:v>2 pearls + chapter scene sticker</x:v>
      </x:c>
      <x:c r="F14" s="28" t="n">
        <x:v>2</x:v>
      </x:c>
      <x:c r="G14" s="28" t="str">
        <x:v>Lifetime account + CH-06 claim key; never weekly-reset; all are launch coin fish.</x:v>
      </x:c>
    </x:row>
    <x:row r="15" ht="78" customHeight="1">
      <x:c r="A15" s="28" t="str">
        <x:v>CH-07</x:v>
      </x:c>
      <x:c r="B15" s="28" t="str">
        <x:v>Lifetime chapter</x:v>
      </x:c>
      <x:c r="C15" s="28" t="str">
        <x:v>CF-20 Longhorn Cowfish, CF-21 Foxface Rabbitfish, CF-22 Picasso Triggerfish, RF-16 Sunburst Anthias, CF-23 Discus</x:v>
      </x:c>
      <x:c r="D15" s="28" t="str">
        <x:v>First adult settlement of all 5 species</x:v>
      </x:c>
      <x:c r="E15" s="28" t="str">
        <x:v>2 pearls + chapter scene sticker</x:v>
      </x:c>
      <x:c r="F15" s="28" t="n">
        <x:v>2</x:v>
      </x:c>
      <x:c r="G15" s="28" t="str">
        <x:v>Lifetime account + CH-07 claim key; never weekly-reset; all are launch coin fish.</x:v>
      </x:c>
    </x:row>
    <x:row r="16" ht="78" customHeight="1">
      <x:c r="A16" s="28" t="str">
        <x:v>CH-08</x:v>
      </x:c>
      <x:c r="B16" s="28" t="str">
        <x:v>Lifetime chapter</x:v>
      </x:c>
      <x:c r="C16" s="28" t="str">
        <x:v>CF-24 Moorish Idol, RF-18 Bluedot Jawfish, CF-25 Blueline Triggerfish, RF-20 Harlequin Tuskfish, CF-26 Queen Angelfish</x:v>
      </x:c>
      <x:c r="D16" s="28" t="str">
        <x:v>First adult settlement of all 5 species</x:v>
      </x:c>
      <x:c r="E16" s="28" t="str">
        <x:v>2 pearls + chapter scene sticker</x:v>
      </x:c>
      <x:c r="F16" s="28" t="n">
        <x:v>2</x:v>
      </x:c>
      <x:c r="G16" s="28" t="str">
        <x:v>Lifetime account + CH-08 claim key; never weekly-reset; all are launch coin fish.</x:v>
      </x:c>
    </x:row>
    <x:row r="17" ht="78" customHeight="1">
      <x:c r="A17" s="28" t="str">
        <x:v>MS-05</x:v>
      </x:c>
      <x:c r="B17" s="28" t="str">
        <x:v>Collection overview</x:v>
      </x:c>
      <x:c r="C17" s="28" t="str">
        <x:v>Coin, premium and seasonal displayed separately</x:v>
      </x:c>
      <x:c r="D17" s="28" t="str">
        <x:v>Completion tabs show attainable scopes</x:v>
      </x:c>
      <x:c r="E17" s="28" t="str">
        <x:v>Owned legacy items remain visible</x:v>
      </x:c>
      <x:c r="F17" s="28" t="n">
        <x:v>0</x:v>
      </x:c>
      <x:c r="G17" s="28" t="str">
        <x:v>Never show a paid-only requirement inside a free-completion chapter.</x:v>
      </x:c>
    </x:row>
    <x:row r="18" ht="78" customHeight="1">
      <x:c r="A18" s="28" t="str">
        <x:v>MS-06</x:v>
      </x:c>
      <x:c r="B18" s="28" t="str">
        <x:v>Duplicate safety</x:v>
      </x:c>
      <x:c r="C18" s="28" t="str">
        <x:v>Kept Showcase copies</x:v>
      </x:c>
      <x:c r="D18" s="28" t="str">
        <x:v>Same species can have favorites, not economic stacks</x:v>
      </x:c>
      <x:c r="E18" s="28" t="str">
        <x:v>Free rename, favorite and hide</x:v>
      </x:c>
      <x:c r="F18" s="28" t="n">
        <x:v>0</x:v>
      </x:c>
      <x:c r="G18" s="28" t="str">
        <x:v>Display capacity affects visibility only; no duplicate rewards from collection-screen actions.</x:v>
      </x:c>
    </x:row>
    <x:row r="19" ht="78" customHeight="1">
      <x:c r="A19" s="28" t="str">
        <x:v>MS-07</x:v>
      </x:c>
      <x:c r="B19" s="28" t="str">
        <x:v>Cap play</x:v>
      </x:c>
      <x:c r="C19" s="28" t="str">
        <x:v>Level-40 accounts</x:v>
      </x:c>
      <x:c r="D19" s="28" t="str">
        <x:v>Continue mastery, projects and photography</x:v>
      </x:c>
      <x:c r="E19" s="28" t="str">
        <x:v>Cosmetic recognition</x:v>
      </x:c>
      <x:c r="F19" s="28" t="n">
        <x:v>0</x:v>
      </x:c>
      <x:c r="G19" s="28" t="str">
        <x:v>Do not bank XP for unbuilt future levels or demand endless repeat claims.</x:v>
      </x:c>
    </x:row>
  </x:sheetData>
  <x:mergeCells>
    <x:mergeCell ref="A1:G1"/>
    <x:mergeCell ref="A2:G2"/>
  </x:mergeCells>
  <x:pageMargins left="0.7" right="0.7" top="0.75" bottom="0.75" header="0.3" footer="0.3"/>
  <x:tableParts count="1">
    <x:tablePart xmlns:r="http://schemas.openxmlformats.org/officeDocument/2006/relationships" r:id="Rf5717027c56348c6"/>
  </x:tableParts>
</x:worksheet>
</file>

<file path=xl/worksheets/sheet16.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80" hidden="0" customWidth="1"/>
    <x:col min="5" max="5" width="50" hidden="0" customWidth="1"/>
    <x:col min="6" max="6" width="79" hidden="0" customWidth="1"/>
  </x:cols>
  <x:sheetData>
    <x:row r="1" ht="34" customHeight="1">
      <x:c r="A1" s="6" t="str">
        <x:v>SOCIAL | optional connection, equal solo progression</x:v>
      </x:c>
      <x:c r="B1" s="6"/>
      <x:c r="C1" s="6"/>
      <x:c r="D1" s="6"/>
      <x:c r="E1" s="6"/>
      <x:c r="F1" s="6"/>
    </x:row>
    <x:row r="2" ht="32" customHeight="1">
      <x:c r="A2" s="13" t="str">
        <x:v>Gift tokens buy a small, separate cosmetic collection. No friends are required for fish, levels, tanks or events.</x:v>
      </x:c>
      <x:c r="B2" s="13"/>
      <x:c r="C2" s="13"/>
      <x:c r="D2" s="13"/>
      <x:c r="E2" s="13"/>
      <x:c r="F2" s="13"/>
    </x:row>
    <x:row r="3">
      <x:c r="A3" s="2"/>
      <x:c r="B3" s="2"/>
      <x:c r="C3" s="2"/>
      <x:c r="D3" s="2"/>
      <x:c r="E3" s="2"/>
      <x:c r="F3" s="2"/>
    </x:row>
    <x:row r="4" ht="32" customHeight="1">
      <x:c r="A4" s="21" t="str">
        <x:v>ID</x:v>
      </x:c>
      <x:c r="B4" s="21" t="str">
        <x:v>System</x:v>
      </x:c>
      <x:c r="C4" s="21" t="str">
        <x:v>Design</x:v>
      </x:c>
      <x:c r="D4" s="21" t="str">
        <x:v>Behavior</x:v>
      </x:c>
      <x:c r="E4" s="21" t="str">
        <x:v>Limit / economy</x:v>
      </x:c>
      <x:c r="F4" s="21" t="str">
        <x:v>Guardrail</x:v>
      </x:c>
    </x:row>
    <x:row r="5" ht="70" customHeight="1">
      <x:c r="A5" s="28" t="str">
        <x:v>SO-01</x:v>
      </x:c>
      <x:c r="B5" s="28" t="str">
        <x:v>Visitors</x:v>
      </x:c>
      <x:c r="C5" s="28" t="str">
        <x:v>NPC and real friends are equivalent</x:v>
      </x:c>
      <x:c r="D5" s="28" t="str">
        <x:v>Complete one helpful visit / thank-you; server grants one gift token.</x:v>
      </x:c>
      <x:c r="E5" s="28" t="str">
        <x:v>Shared cap 3 tokens/account/server day</x:v>
      </x:c>
      <x:c r="F5" s="28" t="str">
        <x:v>No more rewards for importing contacts or having more friends.</x:v>
      </x:c>
    </x:row>
    <x:row r="6" ht="70" customHeight="1">
      <x:c r="A6" s="28" t="str">
        <x:v>SO-02</x:v>
      </x:c>
      <x:c r="B6" s="28" t="str">
        <x:v>Solo parity</x:v>
      </x:c>
      <x:c r="C6" s="28" t="str">
        <x:v>Rotating NPC visitors</x:v>
      </x:c>
      <x:c r="D6" s="28" t="str">
        <x:v>Three NPC interactions always available; cannot block any capacity or level.</x:v>
      </x:c>
      <x:c r="E6" s="28" t="str">
        <x:v>Same token rate as real visits</x:v>
      </x:c>
      <x:c r="F6" s="28" t="str">
        <x:v>An isolated player can earn all token cosmetics.</x:v>
      </x:c>
    </x:row>
    <x:row r="7" ht="70" customHeight="1">
      <x:c r="A7" s="28" t="str">
        <x:v>SO-03</x:v>
      </x:c>
      <x:c r="B7" s="28" t="str">
        <x:v>Tokens</x:v>
      </x:c>
      <x:c r="C7" s="28" t="str">
        <x:v>Separate cosmetic currency</x:v>
      </x:c>
      <x:c r="D7" s="28" t="str">
        <x:v>Nontransferable; no coin/pearl/XP exchange or resale.</x:v>
      </x:c>
      <x:c r="E7" s="28" t="str">
        <x:v>No expiration; integer balance</x:v>
      </x:c>
      <x:c r="F7" s="28" t="str">
        <x:v>No friend-to-friend trading, sybil farms or economic gifts at launch.</x:v>
      </x:c>
    </x:row>
    <x:row r="8" ht="70" customHeight="1">
      <x:c r="A8" s="28" t="str">
        <x:v>SO-04</x:v>
      </x:c>
      <x:c r="B8" s="28" t="str">
        <x:v>Token shop: 10</x:v>
      </x:c>
      <x:c r="C8" s="28" t="str">
        <x:v>Friendship photo sticker</x:v>
      </x:c>
      <x:c r="D8" s="28" t="str">
        <x:v>A small permanent sticker pack; original art; preview exact contents.</x:v>
      </x:c>
      <x:c r="E8" s="28" t="str">
        <x:v>10 tokens; one-time ownership</x:v>
      </x:c>
      <x:c r="F8" s="28" t="str">
        <x:v>At full optional cap this takes 4 active days; not required.</x:v>
      </x:c>
    </x:row>
    <x:row r="9" ht="70" customHeight="1">
      <x:c r="A9" s="28" t="str">
        <x:v>SO-05</x:v>
      </x:c>
      <x:c r="B9" s="28" t="str">
        <x:v>Token shop: 25</x:v>
      </x:c>
      <x:c r="C9" s="28" t="str">
        <x:v>Visitor frame</x:v>
      </x:c>
      <x:c r="D9" s="28" t="str">
        <x:v>Permanent frame with a selectable greeting motif.</x:v>
      </x:c>
      <x:c r="E9" s="28" t="str">
        <x:v>25 tokens; one-time ownership</x:v>
      </x:c>
      <x:c r="F9" s="28" t="str">
        <x:v>No stats, leaderboard boost or scarce resale.</x:v>
      </x:c>
    </x:row>
    <x:row r="10" ht="70" customHeight="1">
      <x:c r="A10" s="28" t="str">
        <x:v>SO-06</x:v>
      </x:c>
      <x:c r="B10" s="28" t="str">
        <x:v>Token shop: 45</x:v>
      </x:c>
      <x:c r="C10" s="28" t="str">
        <x:v>Companion accessory</x:v>
      </x:c>
      <x:c r="D10" s="28" t="str">
        <x:v>Decorative bow / tiny hat for Showcase fish only.</x:v>
      </x:c>
      <x:c r="E10" s="28" t="str">
        <x:v>45 tokens; one-time ownership</x:v>
      </x:c>
      <x:c r="F10" s="28" t="str">
        <x:v>Preview the accessory on owned fish before purchase.</x:v>
      </x:c>
    </x:row>
    <x:row r="11" ht="70" customHeight="1">
      <x:c r="A11" s="28" t="str">
        <x:v>SO-07</x:v>
      </x:c>
      <x:c r="B11" s="28" t="str">
        <x:v>Safety</x:v>
      </x:c>
      <x:c r="C11" s="28" t="str">
        <x:v>No open chat at launch</x:v>
      </x:c>
      <x:c r="D11" s="28" t="str">
        <x:v>Use prewritten friendly reactions; block/report visits; friend code not contact scraping.</x:v>
      </x:c>
      <x:c r="E11" s="28" t="str">
        <x:v>Rate limits; moderation tools</x:v>
      </x:c>
      <x:c r="F11" s="28" t="str">
        <x:v>Any later UGC/chat expansion requires a separate safety and store-policy review.</x:v>
      </x:c>
    </x:row>
    <x:row r="12" ht="70" customHeight="1">
      <x:c r="A12" s="28" t="str">
        <x:v>SO-08</x:v>
      </x:c>
      <x:c r="B12" s="28" t="str">
        <x:v>Privacy</x:v>
      </x:c>
      <x:c r="C12" s="28" t="str">
        <x:v>Private aquarium by default</x:v>
      </x:c>
      <x:c r="D12" s="28" t="str">
        <x:v>Explicit consent before sharing a view link; no real name or location required.</x:v>
      </x:c>
      <x:c r="E12" s="28" t="str">
        <x:v>Revoke links; disable visitors</x:v>
      </x:c>
      <x:c r="F12" s="28" t="str">
        <x:v>Photographs are local by default; no facial analysis or identity features.</x:v>
      </x:c>
    </x:row>
    <x:row r="13" ht="70" customHeight="1">
      <x:c r="A13" s="28" t="str">
        <x:v>SO-09</x:v>
      </x:c>
      <x:c r="B13" s="28" t="str">
        <x:v>Gallery, later</x:v>
      </x:c>
      <x:c r="C13" s="28" t="str">
        <x:v>Curated inspiration, not popularity contest</x:v>
      </x:c>
      <x:c r="D13" s="28" t="str">
        <x:v>Human-curated or rotating local showcases; no money tied to votes.</x:v>
      </x:c>
      <x:c r="E13" s="28" t="str">
        <x:v>Deferred until core loop is proven</x:v>
      </x:c>
      <x:c r="F13" s="28" t="str">
        <x:v>No paid decor score prizes or incentivized fake likes.</x:v>
      </x:c>
    </x:row>
    <x:row r="14" ht="70" customHeight="1">
      <x:c r="A14" s="28" t="str">
        <x:v>SO-10</x:v>
      </x:c>
      <x:c r="B14" s="28" t="str">
        <x:v>Abuse controls</x:v>
      </x:c>
      <x:c r="C14" s="28" t="str">
        <x:v>Reward ledger</x:v>
      </x:c>
      <x:c r="D14" s="28" t="str">
        <x:v>account_id + server_day + token_slot unique key; NPC/real same bucket.</x:v>
      </x:c>
      <x:c r="E14" s="28" t="str">
        <x:v>Replay-safe; server-authoritative</x:v>
      </x:c>
      <x:c r="F14" s="28" t="str">
        <x:v>Block/report, invitation spam and multi-device race tests required.</x:v>
      </x:c>
    </x:row>
  </x:sheetData>
  <x:mergeCells>
    <x:mergeCell ref="A1:F1"/>
    <x:mergeCell ref="A2:F2"/>
  </x:mergeCells>
  <x:pageMargins left="0.7" right="0.7" top="0.75" bottom="0.75" header="0.3" footer="0.3"/>
  <x:tableParts count="1">
    <x:tablePart xmlns:r="http://schemas.openxmlformats.org/officeDocument/2006/relationships" r:id="R8e21d66045f84645"/>
  </x:tableParts>
</x:worksheet>
</file>

<file path=xl/worksheets/sheet17.xml><?xml version="1.0" encoding="utf-8"?>
<x:worksheet xmlns:x="http://schemas.openxmlformats.org/spreadsheetml/2006/main">
  <x:sheetFormatPr defaultRowHeight="15"/>
  <x:cols>
    <x:col min="1" max="1" width="12" hidden="0" customWidth="1"/>
    <x:col min="2" max="2" width="25" hidden="0" customWidth="1"/>
    <x:col min="3" max="3" width="53" hidden="0" customWidth="1"/>
    <x:col min="4" max="4" width="21" hidden="0" customWidth="1"/>
    <x:col min="5" max="5" width="22" hidden="0" customWidth="1"/>
    <x:col min="6" max="6" width="57" hidden="0" customWidth="1"/>
    <x:col min="7" max="7" width="55" hidden="0" customWidth="1"/>
    <x:col min="8" max="8" width="24" hidden="0" customWidth="1"/>
    <x:col min="9" max="9" width="24" hidden="0" customWidth="1"/>
    <x:col min="10" max="10" width="23" hidden="0" customWidth="1"/>
    <x:col min="11" max="11" width="24" hidden="0" customWidth="1"/>
    <x:col min="12" max="12" width="23" hidden="0" customWidth="1"/>
    <x:col min="13" max="13" width="94" hidden="0" customWidth="1"/>
    <x:col min="14" max="14" width="96" hidden="0" customWidth="1"/>
    <x:col min="15" max="15" width="91" hidden="0" customWidth="1"/>
    <x:col min="16" max="16" width="96" hidden="0" customWidth="1"/>
  </x:cols>
  <x:sheetData>
    <x:row r="1" ht="34" customHeight="1">
      <x:c r="A1" s="6" t="str">
        <x:v>EVENTS | finite goals, generous catch-up</x:v>
      </x:c>
      <x:c r="B1" s="6"/>
      <x:c r="C1" s="6"/>
      <x:c r="D1" s="6"/>
      <x:c r="E1" s="6"/>
      <x:c r="F1" s="6"/>
      <x:c r="G1" s="6"/>
      <x:c r="H1" s="6"/>
      <x:c r="I1" s="6"/>
      <x:c r="J1" s="6"/>
      <x:c r="K1" s="6"/>
      <x:c r="L1" s="6"/>
      <x:c r="M1" s="6"/>
      <x:c r="N1" s="6"/>
      <x:c r="O1" s="6"/>
      <x:c r="P1" s="6"/>
    </x:row>
    <x:row r="2" ht="32" customHeight="1">
      <x:c r="A2" s="13" t="str">
        <x:v>Twelve theme concepts, not twelve simultaneous launch commitments. Limit to one live 14-day event per 28-day cycle; ship only with finished rewards.</x:v>
      </x:c>
      <x:c r="B2" s="13"/>
      <x:c r="C2" s="13"/>
      <x:c r="D2" s="13"/>
      <x:c r="E2" s="13"/>
      <x:c r="F2" s="13"/>
      <x:c r="G2" s="13"/>
      <x:c r="H2" s="13"/>
      <x:c r="I2" s="13"/>
      <x:c r="J2" s="13"/>
      <x:c r="K2" s="13"/>
      <x:c r="L2" s="13"/>
      <x:c r="M2" s="13"/>
      <x:c r="N2" s="13"/>
      <x:c r="O2" s="13"/>
      <x:c r="P2" s="13"/>
    </x:row>
    <x:row r="3">
      <x:c r="A3" s="2"/>
      <x:c r="B3" s="2"/>
      <x:c r="C3" s="2"/>
      <x:c r="D3" s="2"/>
      <x:c r="E3" s="2"/>
      <x:c r="F3" s="2"/>
      <x:c r="G3" s="2"/>
      <x:c r="H3" s="2"/>
      <x:c r="I3" s="2"/>
      <x:c r="J3" s="2"/>
      <x:c r="K3" s="2"/>
      <x:c r="L3" s="2"/>
      <x:c r="M3" s="2"/>
      <x:c r="N3" s="2"/>
      <x:c r="O3" s="2"/>
      <x:c r="P3" s="2"/>
    </x:row>
    <x:row r="4" ht="32" customHeight="1">
      <x:c r="A4" s="21" t="str">
        <x:v>ID</x:v>
      </x:c>
      <x:c r="B4" s="21" t="str">
        <x:v>Theme</x:v>
      </x:c>
      <x:c r="C4" s="21" t="str">
        <x:v>Proposed cadence</x:v>
      </x:c>
      <x:c r="D4" s="21" t="str">
        <x:v>Coin decor ID</x:v>
      </x:c>
      <x:c r="E4" s="21" t="str">
        <x:v>Pearl decor ID</x:v>
      </x:c>
      <x:c r="F4" s="21" t="str">
        <x:v>Main free reward</x:v>
      </x:c>
      <x:c r="G4" s="21" t="str">
        <x:v>Extended reward</x:v>
      </x:c>
      <x:c r="H4" s="21" t="str">
        <x:v>Points opportunity/day</x:v>
      </x:c>
      <x:c r="I4" s="21" t="str">
        <x:v>Catch-up cap/day</x:v>
      </x:c>
      <x:c r="J4" s="21" t="str">
        <x:v>Main threshold</x:v>
      </x:c>
      <x:c r="K4" s="21" t="str">
        <x:v>Extended threshold</x:v>
      </x:c>
      <x:c r="L4" s="21" t="str">
        <x:v>Pearls/main claim</x:v>
      </x:c>
      <x:c r="M4" s="21" t="str">
        <x:v>Points contract</x:v>
      </x:c>
      <x:c r="N4" s="21" t="str">
        <x:v>Reward contract</x:v>
      </x:c>
      <x:c r="O4" s="21" t="str">
        <x:v>Shop separation</x:v>
      </x:c>
      <x:c r="P4" s="21" t="str">
        <x:v>Calendar / production gate</x:v>
      </x:c>
    </x:row>
    <x:row r="5" ht="84" customHeight="1">
      <x:c r="A5" s="28" t="str">
        <x:v>EV-01</x:v>
      </x:c>
      <x:c r="B5" s="28" t="str">
        <x:v>Lunar New Year</x:v>
      </x:c>
      <x:c r="C5" s="28" t="str">
        <x:v>14 days; suggested one event per 28-day cycle; server dates TBD</x:v>
      </x:c>
      <x:c r="D5" s="28" t="str">
        <x:v>CL-01</x:v>
      </x:c>
      <x:c r="E5" s="28" t="str">
        <x:v>PL-01</x:v>
      </x:c>
      <x:c r="F5" s="28" t="str">
        <x:v>LE-09 Golden Koi</x:v>
      </x:c>
      <x:c r="G5" s="28" t="str">
        <x:v>Optional cosmetic palette / photo badge (art required)</x:v>
      </x:c>
      <x:c r="H5" s="28" t="n">
        <x:v>20</x:v>
      </x:c>
      <x:c r="I5" s="28" t="n">
        <x:v>40</x:v>
      </x:c>
      <x:c r="J5" s="28" t="n">
        <x:v>160</x:v>
      </x:c>
      <x:c r="K5" s="28" t="n">
        <x:v>240</x:v>
      </x:c>
      <x:c r="L5" s="28" t="n">
        <x:v>4</x:v>
      </x:c>
      <x:c r="M5" s="28" t="str">
        <x:v>20 points of opportunity unlock daily. Earn 20 from two easy actions; bank missed opportunities; max 40/day catch-up.</x:v>
      </x:c>
      <x:c r="N5" s="28" t="str">
        <x:v>160 points: main reward + 4 pearls; 240: extended cosmetic. Max 280. Own forever; may return in later event.</x:v>
      </x:c>
      <x:c r="O5" s="28" t="str">
        <x:v>Coin and pearl decor are optional shop offerings; never required for event points. Exact prices from Decor Catalog.</x:v>
      </x:c>
      <x:c r="P5" s="28" t="str">
        <x:v>Verify year-specific calendar and cultural copy; do not copy the old fixed date string. Anniversary follows the game's actual release date.</x:v>
      </x:c>
    </x:row>
    <x:row r="6" ht="84" customHeight="1">
      <x:c r="A6" s="28" t="str">
        <x:v>EV-02</x:v>
      </x:c>
      <x:c r="B6" s="28" t="str">
        <x:v>Valentine's</x:v>
      </x:c>
      <x:c r="C6" s="28" t="str">
        <x:v>14 days; suggested one event per 28-day cycle; server dates TBD</x:v>
      </x:c>
      <x:c r="D6" s="28" t="str">
        <x:v>CL-02</x:v>
      </x:c>
      <x:c r="E6" s="28" t="str">
        <x:v>PL-02</x:v>
      </x:c>
      <x:c r="F6" s="28" t="str">
        <x:v>LE-01 Heartfin Tetra</x:v>
      </x:c>
      <x:c r="G6" s="28" t="str">
        <x:v>Optional cosmetic palette / photo badge (art required)</x:v>
      </x:c>
      <x:c r="H6" s="28" t="n">
        <x:v>20</x:v>
      </x:c>
      <x:c r="I6" s="28" t="n">
        <x:v>40</x:v>
      </x:c>
      <x:c r="J6" s="28" t="n">
        <x:v>160</x:v>
      </x:c>
      <x:c r="K6" s="28" t="n">
        <x:v>240</x:v>
      </x:c>
      <x:c r="L6" s="28" t="n">
        <x:v>4</x:v>
      </x:c>
      <x:c r="M6" s="28" t="str">
        <x:v>20 points of opportunity unlock daily. Earn 20 from two easy actions; bank missed opportunities; max 40/day catch-up.</x:v>
      </x:c>
      <x:c r="N6" s="28" t="str">
        <x:v>160 points: main reward + 4 pearls; 240: extended cosmetic. Max 280. Own forever; may return in later event.</x:v>
      </x:c>
      <x:c r="O6" s="28" t="str">
        <x:v>Coin and pearl decor are optional shop offerings; never required for event points. Exact prices from Decor Catalog.</x:v>
      </x:c>
      <x:c r="P6" s="28" t="str">
        <x:v>Verify year-specific calendar and cultural copy; do not copy the old fixed date string. Anniversary follows the game's actual release date.</x:v>
      </x:c>
    </x:row>
    <x:row r="7" ht="84" customHeight="1">
      <x:c r="A7" s="28" t="str">
        <x:v>EV-03</x:v>
      </x:c>
      <x:c r="B7" s="28" t="str">
        <x:v>St. Patrick's</x:v>
      </x:c>
      <x:c r="C7" s="28" t="str">
        <x:v>14 days; suggested one event per 28-day cycle; server dates TBD</x:v>
      </x:c>
      <x:c r="D7" s="28" t="str">
        <x:v>CL-03</x:v>
      </x:c>
      <x:c r="E7" s="28" t="str">
        <x:v>PL-03</x:v>
      </x:c>
      <x:c r="F7" s="28" t="str">
        <x:v>LE-02 Emerald Cod</x:v>
      </x:c>
      <x:c r="G7" s="28" t="str">
        <x:v>Optional cosmetic palette / photo badge (art required)</x:v>
      </x:c>
      <x:c r="H7" s="28" t="n">
        <x:v>20</x:v>
      </x:c>
      <x:c r="I7" s="28" t="n">
        <x:v>40</x:v>
      </x:c>
      <x:c r="J7" s="28" t="n">
        <x:v>160</x:v>
      </x:c>
      <x:c r="K7" s="28" t="n">
        <x:v>240</x:v>
      </x:c>
      <x:c r="L7" s="28" t="n">
        <x:v>4</x:v>
      </x:c>
      <x:c r="M7" s="28" t="str">
        <x:v>20 points of opportunity unlock daily. Earn 20 from two easy actions; bank missed opportunities; max 40/day catch-up.</x:v>
      </x:c>
      <x:c r="N7" s="28" t="str">
        <x:v>160 points: main reward + 4 pearls; 240: extended cosmetic. Max 280. Own forever; may return in later event.</x:v>
      </x:c>
      <x:c r="O7" s="28" t="str">
        <x:v>Coin and pearl decor are optional shop offerings; never required for event points. Exact prices from Decor Catalog.</x:v>
      </x:c>
      <x:c r="P7" s="28" t="str">
        <x:v>Verify year-specific calendar and cultural copy; do not copy the old fixed date string. Anniversary follows the game's actual release date.</x:v>
      </x:c>
    </x:row>
    <x:row r="8" ht="84" customHeight="1">
      <x:c r="A8" s="28" t="str">
        <x:v>EV-04</x:v>
      </x:c>
      <x:c r="B8" s="28" t="str">
        <x:v>Spring Blossom</x:v>
      </x:c>
      <x:c r="C8" s="28" t="str">
        <x:v>14 days; suggested one event per 28-day cycle; server dates TBD</x:v>
      </x:c>
      <x:c r="D8" s="28" t="str">
        <x:v>CL-04</x:v>
      </x:c>
      <x:c r="E8" s="28" t="str">
        <x:v>PL-04</x:v>
      </x:c>
      <x:c r="F8" s="28" t="str">
        <x:v>LE-03 Sakura Goldfish</x:v>
      </x:c>
      <x:c r="G8" s="28" t="str">
        <x:v>Optional cosmetic palette / photo badge (art required)</x:v>
      </x:c>
      <x:c r="H8" s="28" t="n">
        <x:v>20</x:v>
      </x:c>
      <x:c r="I8" s="28" t="n">
        <x:v>40</x:v>
      </x:c>
      <x:c r="J8" s="28" t="n">
        <x:v>160</x:v>
      </x:c>
      <x:c r="K8" s="28" t="n">
        <x:v>240</x:v>
      </x:c>
      <x:c r="L8" s="28" t="n">
        <x:v>4</x:v>
      </x:c>
      <x:c r="M8" s="28" t="str">
        <x:v>20 points of opportunity unlock daily. Earn 20 from two easy actions; bank missed opportunities; max 40/day catch-up.</x:v>
      </x:c>
      <x:c r="N8" s="28" t="str">
        <x:v>160 points: main reward + 4 pearls; 240: extended cosmetic. Max 280. Own forever; may return in later event.</x:v>
      </x:c>
      <x:c r="O8" s="28" t="str">
        <x:v>Coin and pearl decor are optional shop offerings; never required for event points. Exact prices from Decor Catalog.</x:v>
      </x:c>
      <x:c r="P8" s="28" t="str">
        <x:v>Verify year-specific calendar and cultural copy; do not copy the old fixed date string. Anniversary follows the game's actual release date.</x:v>
      </x:c>
    </x:row>
    <x:row r="9" ht="84" customHeight="1">
      <x:c r="A9" s="28" t="str">
        <x:v>EV-05</x:v>
      </x:c>
      <x:c r="B9" s="28" t="str">
        <x:v>River Revival</x:v>
      </x:c>
      <x:c r="C9" s="28" t="str">
        <x:v>14 days; suggested one event per 28-day cycle; server dates TBD</x:v>
      </x:c>
      <x:c r="D9" s="28" t="str">
        <x:v>CL-05</x:v>
      </x:c>
      <x:c r="E9" s="28" t="str">
        <x:v>PL-05</x:v>
      </x:c>
      <x:c r="F9" s="28" t="str">
        <x:v>New themed frame + scene variant (art required; no invented fish entitlement)</x:v>
      </x:c>
      <x:c r="G9" s="28" t="str">
        <x:v>Optional cosmetic palette / photo badge (art required)</x:v>
      </x:c>
      <x:c r="H9" s="28" t="n">
        <x:v>20</x:v>
      </x:c>
      <x:c r="I9" s="28" t="n">
        <x:v>40</x:v>
      </x:c>
      <x:c r="J9" s="28" t="n">
        <x:v>160</x:v>
      </x:c>
      <x:c r="K9" s="28" t="n">
        <x:v>240</x:v>
      </x:c>
      <x:c r="L9" s="28" t="n">
        <x:v>4</x:v>
      </x:c>
      <x:c r="M9" s="28" t="str">
        <x:v>20 points of opportunity unlock daily. Earn 20 from two easy actions; bank missed opportunities; max 40/day catch-up.</x:v>
      </x:c>
      <x:c r="N9" s="28" t="str">
        <x:v>160 points: main reward + 4 pearls; 240: extended cosmetic. Max 280. Own forever; may return in later event.</x:v>
      </x:c>
      <x:c r="O9" s="28" t="str">
        <x:v>Coin and pearl decor are optional shop offerings; never required for event points. Exact prices from Decor Catalog.</x:v>
      </x:c>
      <x:c r="P9" s="28" t="str">
        <x:v>Verify year-specific calendar and cultural copy; do not copy the old fixed date string. Anniversary follows the game's actual release date.</x:v>
      </x:c>
    </x:row>
    <x:row r="10" ht="84" customHeight="1">
      <x:c r="A10" s="28" t="str">
        <x:v>EV-06</x:v>
      </x:c>
      <x:c r="B10" s="28" t="str">
        <x:v>Ocean Week</x:v>
      </x:c>
      <x:c r="C10" s="28" t="str">
        <x:v>14 days; suggested one event per 28-day cycle; server dates TBD</x:v>
      </x:c>
      <x:c r="D10" s="28" t="str">
        <x:v>CL-06</x:v>
      </x:c>
      <x:c r="E10" s="28" t="str">
        <x:v>PL-06</x:v>
      </x:c>
      <x:c r="F10" s="28" t="str">
        <x:v>New themed frame + scene variant (art required; no invented fish entitlement)</x:v>
      </x:c>
      <x:c r="G10" s="28" t="str">
        <x:v>Optional cosmetic palette / photo badge (art required)</x:v>
      </x:c>
      <x:c r="H10" s="28" t="n">
        <x:v>20</x:v>
      </x:c>
      <x:c r="I10" s="28" t="n">
        <x:v>40</x:v>
      </x:c>
      <x:c r="J10" s="28" t="n">
        <x:v>160</x:v>
      </x:c>
      <x:c r="K10" s="28" t="n">
        <x:v>240</x:v>
      </x:c>
      <x:c r="L10" s="28" t="n">
        <x:v>4</x:v>
      </x:c>
      <x:c r="M10" s="28" t="str">
        <x:v>20 points of opportunity unlock daily. Earn 20 from two easy actions; bank missed opportunities; max 40/day catch-up.</x:v>
      </x:c>
      <x:c r="N10" s="28" t="str">
        <x:v>160 points: main reward + 4 pearls; 240: extended cosmetic. Max 280. Own forever; may return in later event.</x:v>
      </x:c>
      <x:c r="O10" s="28" t="str">
        <x:v>Coin and pearl decor are optional shop offerings; never required for event points. Exact prices from Decor Catalog.</x:v>
      </x:c>
      <x:c r="P10" s="28" t="str">
        <x:v>Verify year-specific calendar and cultural copy; do not copy the old fixed date string. Anniversary follows the game's actual release date.</x:v>
      </x:c>
    </x:row>
    <x:row r="11" ht="84" customHeight="1">
      <x:c r="A11" s="28" t="str">
        <x:v>EV-07</x:v>
      </x:c>
      <x:c r="B11" s="28" t="str">
        <x:v>Summer Festival</x:v>
      </x:c>
      <x:c r="C11" s="28" t="str">
        <x:v>14 days; suggested one event per 28-day cycle; server dates TBD</x:v>
      </x:c>
      <x:c r="D11" s="28" t="str">
        <x:v>CL-07</x:v>
      </x:c>
      <x:c r="E11" s="28" t="str">
        <x:v>PL-07</x:v>
      </x:c>
      <x:c r="F11" s="28" t="str">
        <x:v>LE-04 Firework Fish</x:v>
      </x:c>
      <x:c r="G11" s="28" t="str">
        <x:v>Optional cosmetic palette / photo badge (art required)</x:v>
      </x:c>
      <x:c r="H11" s="28" t="n">
        <x:v>20</x:v>
      </x:c>
      <x:c r="I11" s="28" t="n">
        <x:v>40</x:v>
      </x:c>
      <x:c r="J11" s="28" t="n">
        <x:v>160</x:v>
      </x:c>
      <x:c r="K11" s="28" t="n">
        <x:v>240</x:v>
      </x:c>
      <x:c r="L11" s="28" t="n">
        <x:v>4</x:v>
      </x:c>
      <x:c r="M11" s="28" t="str">
        <x:v>20 points of opportunity unlock daily. Earn 20 from two easy actions; bank missed opportunities; max 40/day catch-up.</x:v>
      </x:c>
      <x:c r="N11" s="28" t="str">
        <x:v>160 points: main reward + 4 pearls; 240: extended cosmetic. Max 280. Own forever; may return in later event.</x:v>
      </x:c>
      <x:c r="O11" s="28" t="str">
        <x:v>Coin and pearl decor are optional shop offerings; never required for event points. Exact prices from Decor Catalog.</x:v>
      </x:c>
      <x:c r="P11" s="28" t="str">
        <x:v>Verify year-specific calendar and cultural copy; do not copy the old fixed date string. Anniversary follows the game's actual release date.</x:v>
      </x:c>
    </x:row>
    <x:row r="12" ht="84" customHeight="1">
      <x:c r="A12" s="28" t="str">
        <x:v>EV-08</x:v>
      </x:c>
      <x:c r="B12" s="28" t="str">
        <x:v>Monsoon Garden</x:v>
      </x:c>
      <x:c r="C12" s="28" t="str">
        <x:v>14 days; suggested one event per 28-day cycle; server dates TBD</x:v>
      </x:c>
      <x:c r="D12" s="28" t="str">
        <x:v>CL-08</x:v>
      </x:c>
      <x:c r="E12" s="28" t="str">
        <x:v>PL-08</x:v>
      </x:c>
      <x:c r="F12" s="28" t="str">
        <x:v>New themed frame + scene variant (art required; no invented fish entitlement)</x:v>
      </x:c>
      <x:c r="G12" s="28" t="str">
        <x:v>Optional cosmetic palette / photo badge (art required)</x:v>
      </x:c>
      <x:c r="H12" s="28" t="n">
        <x:v>20</x:v>
      </x:c>
      <x:c r="I12" s="28" t="n">
        <x:v>40</x:v>
      </x:c>
      <x:c r="J12" s="28" t="n">
        <x:v>160</x:v>
      </x:c>
      <x:c r="K12" s="28" t="n">
        <x:v>240</x:v>
      </x:c>
      <x:c r="L12" s="28" t="n">
        <x:v>4</x:v>
      </x:c>
      <x:c r="M12" s="28" t="str">
        <x:v>20 points of opportunity unlock daily. Earn 20 from two easy actions; bank missed opportunities; max 40/day catch-up.</x:v>
      </x:c>
      <x:c r="N12" s="28" t="str">
        <x:v>160 points: main reward + 4 pearls; 240: extended cosmetic. Max 280. Own forever; may return in later event.</x:v>
      </x:c>
      <x:c r="O12" s="28" t="str">
        <x:v>Coin and pearl decor are optional shop offerings; never required for event points. Exact prices from Decor Catalog.</x:v>
      </x:c>
      <x:c r="P12" s="28" t="str">
        <x:v>Verify year-specific calendar and cultural copy; do not copy the old fixed date string. Anniversary follows the game's actual release date.</x:v>
      </x:c>
    </x:row>
    <x:row r="13" ht="84" customHeight="1">
      <x:c r="A13" s="28" t="str">
        <x:v>EV-09</x:v>
      </x:c>
      <x:c r="B13" s="28" t="str">
        <x:v>Harvest Moon</x:v>
      </x:c>
      <x:c r="C13" s="28" t="str">
        <x:v>14 days; suggested one event per 28-day cycle; server dates TBD</x:v>
      </x:c>
      <x:c r="D13" s="28" t="str">
        <x:v>CL-09</x:v>
      </x:c>
      <x:c r="E13" s="28" t="str">
        <x:v>PL-09</x:v>
      </x:c>
      <x:c r="F13" s="28" t="str">
        <x:v>New themed frame + scene variant (art required; no invented fish entitlement)</x:v>
      </x:c>
      <x:c r="G13" s="28" t="str">
        <x:v>Optional cosmetic palette / photo badge (art required)</x:v>
      </x:c>
      <x:c r="H13" s="28" t="n">
        <x:v>20</x:v>
      </x:c>
      <x:c r="I13" s="28" t="n">
        <x:v>40</x:v>
      </x:c>
      <x:c r="J13" s="28" t="n">
        <x:v>160</x:v>
      </x:c>
      <x:c r="K13" s="28" t="n">
        <x:v>240</x:v>
      </x:c>
      <x:c r="L13" s="28" t="n">
        <x:v>4</x:v>
      </x:c>
      <x:c r="M13" s="28" t="str">
        <x:v>20 points of opportunity unlock daily. Earn 20 from two easy actions; bank missed opportunities; max 40/day catch-up.</x:v>
      </x:c>
      <x:c r="N13" s="28" t="str">
        <x:v>160 points: main reward + 4 pearls; 240: extended cosmetic. Max 280. Own forever; may return in later event.</x:v>
      </x:c>
      <x:c r="O13" s="28" t="str">
        <x:v>Coin and pearl decor are optional shop offerings; never required for event points. Exact prices from Decor Catalog.</x:v>
      </x:c>
      <x:c r="P13" s="28" t="str">
        <x:v>Verify year-specific calendar and cultural copy; do not copy the old fixed date string. Anniversary follows the game's actual release date.</x:v>
      </x:c>
    </x:row>
    <x:row r="14" ht="84" customHeight="1">
      <x:c r="A14" s="28" t="str">
        <x:v>EV-10</x:v>
      </x:c>
      <x:c r="B14" s="28" t="str">
        <x:v>Halloween</x:v>
      </x:c>
      <x:c r="C14" s="28" t="str">
        <x:v>14 days; suggested one event per 28-day cycle; server dates TBD</x:v>
      </x:c>
      <x:c r="D14" s="28" t="str">
        <x:v>CL-10</x:v>
      </x:c>
      <x:c r="E14" s="28" t="str">
        <x:v>PL-10</x:v>
      </x:c>
      <x:c r="F14" s="28" t="str">
        <x:v>LE-05 Jack-o'-Lantern Puffer</x:v>
      </x:c>
      <x:c r="G14" s="28" t="str">
        <x:v>LE-06 Midnight Vampire Squid</x:v>
      </x:c>
      <x:c r="H14" s="28" t="n">
        <x:v>20</x:v>
      </x:c>
      <x:c r="I14" s="28" t="n">
        <x:v>40</x:v>
      </x:c>
      <x:c r="J14" s="28" t="n">
        <x:v>160</x:v>
      </x:c>
      <x:c r="K14" s="28" t="n">
        <x:v>240</x:v>
      </x:c>
      <x:c r="L14" s="28" t="n">
        <x:v>4</x:v>
      </x:c>
      <x:c r="M14" s="28" t="str">
        <x:v>20 points of opportunity unlock daily. Earn 20 from two easy actions; bank missed opportunities; max 40/day catch-up.</x:v>
      </x:c>
      <x:c r="N14" s="28" t="str">
        <x:v>160 points: main reward + 4 pearls; 240: extended cosmetic. Max 280. Own forever; may return in later event.</x:v>
      </x:c>
      <x:c r="O14" s="28" t="str">
        <x:v>Coin and pearl decor are optional shop offerings; never required for event points. Exact prices from Decor Catalog.</x:v>
      </x:c>
      <x:c r="P14" s="28" t="str">
        <x:v>Verify year-specific calendar and cultural copy; do not copy the old fixed date string. Anniversary follows the game's actual release date.</x:v>
      </x:c>
    </x:row>
    <x:row r="15" ht="84" customHeight="1">
      <x:c r="A15" s="28" t="str">
        <x:v>EV-11</x:v>
      </x:c>
      <x:c r="B15" s="28" t="str">
        <x:v>Winterfest</x:v>
      </x:c>
      <x:c r="C15" s="28" t="str">
        <x:v>14 days; suggested one event per 28-day cycle; server dates TBD</x:v>
      </x:c>
      <x:c r="D15" s="28" t="str">
        <x:v>CL-11</x:v>
      </x:c>
      <x:c r="E15" s="28" t="str">
        <x:v>PL-11</x:v>
      </x:c>
      <x:c r="F15" s="28" t="str">
        <x:v>LE-07 Santa Clownfish</x:v>
      </x:c>
      <x:c r="G15" s="28" t="str">
        <x:v>LE-08 Frost Angelfish</x:v>
      </x:c>
      <x:c r="H15" s="28" t="n">
        <x:v>20</x:v>
      </x:c>
      <x:c r="I15" s="28" t="n">
        <x:v>40</x:v>
      </x:c>
      <x:c r="J15" s="28" t="n">
        <x:v>160</x:v>
      </x:c>
      <x:c r="K15" s="28" t="n">
        <x:v>240</x:v>
      </x:c>
      <x:c r="L15" s="28" t="n">
        <x:v>4</x:v>
      </x:c>
      <x:c r="M15" s="28" t="str">
        <x:v>20 points of opportunity unlock daily. Earn 20 from two easy actions; bank missed opportunities; max 40/day catch-up.</x:v>
      </x:c>
      <x:c r="N15" s="28" t="str">
        <x:v>160 points: main reward + 4 pearls; 240: extended cosmetic. Max 280. Own forever; may return in later event.</x:v>
      </x:c>
      <x:c r="O15" s="28" t="str">
        <x:v>Coin and pearl decor are optional shop offerings; never required for event points. Exact prices from Decor Catalog.</x:v>
      </x:c>
      <x:c r="P15" s="28" t="str">
        <x:v>Verify year-specific calendar and cultural copy; do not copy the old fixed date string. Anniversary follows the game's actual release date.</x:v>
      </x:c>
    </x:row>
    <x:row r="16" ht="84" customHeight="1">
      <x:c r="A16" s="28" t="str">
        <x:v>EV-12</x:v>
      </x:c>
      <x:c r="B16" s="28" t="str">
        <x:v>Game Anniversary</x:v>
      </x:c>
      <x:c r="C16" s="28" t="str">
        <x:v>14 days; suggested one event per 28-day cycle; server dates TBD</x:v>
      </x:c>
      <x:c r="D16" s="28" t="str">
        <x:v>CL-12</x:v>
      </x:c>
      <x:c r="E16" s="28" t="str">
        <x:v>PL-12</x:v>
      </x:c>
      <x:c r="F16" s="28" t="str">
        <x:v>LE-10 Anniversary Rainbowfish</x:v>
      </x:c>
      <x:c r="G16" s="28" t="str">
        <x:v>Optional cosmetic palette / photo badge (art required)</x:v>
      </x:c>
      <x:c r="H16" s="28" t="n">
        <x:v>20</x:v>
      </x:c>
      <x:c r="I16" s="28" t="n">
        <x:v>40</x:v>
      </x:c>
      <x:c r="J16" s="28" t="n">
        <x:v>160</x:v>
      </x:c>
      <x:c r="K16" s="28" t="n">
        <x:v>240</x:v>
      </x:c>
      <x:c r="L16" s="28" t="n">
        <x:v>4</x:v>
      </x:c>
      <x:c r="M16" s="28" t="str">
        <x:v>20 points of opportunity unlock daily. Earn 20 from two easy actions; bank missed opportunities; max 40/day catch-up.</x:v>
      </x:c>
      <x:c r="N16" s="28" t="str">
        <x:v>160 points: main reward + 4 pearls; 240: extended cosmetic. Max 280. Own forever; may return in later event.</x:v>
      </x:c>
      <x:c r="O16" s="28" t="str">
        <x:v>Coin and pearl decor are optional shop offerings; never required for event points. Exact prices from Decor Catalog.</x:v>
      </x:c>
      <x:c r="P16" s="28" t="str">
        <x:v>Verify year-specific calendar and cultural copy; do not copy the old fixed date string. Anniversary follows the game's actual release date.</x:v>
      </x:c>
    </x:row>
  </x:sheetData>
  <x:mergeCells>
    <x:mergeCell ref="A1:P1"/>
    <x:mergeCell ref="A2:P2"/>
  </x:mergeCells>
  <x:pageMargins left="0.7" right="0.7" top="0.75" bottom="0.75" header="0.3" footer="0.3"/>
  <x:tableParts count="1">
    <x:tablePart xmlns:r="http://schemas.openxmlformats.org/officeDocument/2006/relationships" r:id="R0bee477ace144e63"/>
  </x:tableParts>
</x:worksheet>
</file>

<file path=xl/worksheets/sheet18.xml><?xml version="1.0" encoding="utf-8"?>
<x:worksheet xmlns:x="http://schemas.openxmlformats.org/spreadsheetml/2006/main">
  <x:sheetFormatPr defaultRowHeight="15"/>
  <x:cols>
    <x:col min="1" max="1" width="19" hidden="0" customWidth="1"/>
    <x:col min="2" max="2" width="21" hidden="0" customWidth="1"/>
    <x:col min="3" max="3" width="37" hidden="0" customWidth="1"/>
    <x:col min="4" max="4" width="20" hidden="0" customWidth="1"/>
    <x:col min="5" max="5" width="15" hidden="0" customWidth="1"/>
    <x:col min="6" max="6" width="25" hidden="0" customWidth="1"/>
    <x:col min="7" max="7" width="24" hidden="0" customWidth="1"/>
    <x:col min="8" max="8" width="56" hidden="0" customWidth="1"/>
    <x:col min="9" max="9" width="35" hidden="0" customWidth="1"/>
    <x:col min="10" max="10" width="24" hidden="0" customWidth="1"/>
    <x:col min="11" max="11" width="102" hidden="0" customWidth="1"/>
    <x:col min="12" max="12" width="103" hidden="0" customWidth="1"/>
  </x:cols>
  <x:sheetData>
    <x:row r="1" ht="34" customHeight="1">
      <x:c r="A1" s="6" t="str">
        <x:v>SHOP | transparent value, no paid randomness</x:v>
      </x:c>
      <x:c r="B1" s="6"/>
      <x:c r="C1" s="6"/>
      <x:c r="D1" s="6"/>
      <x:c r="E1" s="6"/>
      <x:c r="F1" s="6"/>
      <x:c r="G1" s="6"/>
      <x:c r="H1" s="6"/>
      <x:c r="I1" s="6"/>
      <x:c r="J1" s="6"/>
      <x:c r="K1" s="6"/>
      <x:c r="L1" s="6"/>
    </x:row>
    <x:row r="2" ht="32" customHeight="1">
      <x:c r="A2" s="13" t="str">
        <x:v>USD amounts are proposed test prices, not live store quotes. Use platform-localized prices and review applicable store/territory rules before release.</x:v>
      </x:c>
      <x:c r="B2" s="13"/>
      <x:c r="C2" s="13"/>
      <x:c r="D2" s="13"/>
      <x:c r="E2" s="13"/>
      <x:c r="F2" s="13"/>
      <x:c r="G2" s="13"/>
      <x:c r="H2" s="13"/>
      <x:c r="I2" s="13"/>
      <x:c r="J2" s="13"/>
      <x:c r="K2" s="13"/>
      <x:c r="L2" s="13"/>
    </x:row>
    <x:row r="3">
      <x:c r="A3" s="2"/>
      <x:c r="B3" s="2"/>
      <x:c r="C3" s="2"/>
      <x:c r="D3" s="2"/>
      <x:c r="E3" s="2"/>
      <x:c r="F3" s="2"/>
      <x:c r="G3" s="2"/>
      <x:c r="H3" s="2"/>
      <x:c r="I3" s="2"/>
      <x:c r="J3" s="2"/>
      <x:c r="K3" s="2"/>
      <x:c r="L3" s="2"/>
    </x:row>
    <x:row r="4" ht="32" customHeight="1">
      <x:c r="A4" s="21" t="str">
        <x:v>SKU</x:v>
      </x:c>
      <x:c r="B4" s="21" t="str">
        <x:v>Type</x:v>
      </x:c>
      <x:c r="C4" s="21" t="str">
        <x:v>Offer</x:v>
      </x:c>
      <x:c r="D4" s="21" t="str">
        <x:v>Proposed USD</x:v>
      </x:c>
      <x:c r="E4" s="21" t="str">
        <x:v>Pearls</x:v>
      </x:c>
      <x:c r="F4" s="21" t="str">
        <x:v>Reference coin-days</x:v>
      </x:c>
      <x:c r="G4" s="21" t="str">
        <x:v>Pearls per USD</x:v>
      </x:c>
      <x:c r="H4" s="21" t="str">
        <x:v>Eligibility</x:v>
      </x:c>
      <x:c r="I4" s="21" t="str">
        <x:v>Purchase cap</x:v>
      </x:c>
      <x:c r="J4" s="21" t="str">
        <x:v>Permanent frame</x:v>
      </x:c>
      <x:c r="K4" s="21" t="str">
        <x:v>Value / fairness</x:v>
      </x:c>
      <x:c r="L4" s="21" t="str">
        <x:v>Fulfillment</x:v>
      </x:c>
    </x:row>
    <x:row r="5" ht="88" customHeight="1">
      <x:c r="A5" s="28" t="str">
        <x:v>PEARL-S</x:v>
      </x:c>
      <x:c r="B5" s="28" t="str">
        <x:v>Pearls</x:v>
      </x:c>
      <x:c r="C5" s="28" t="str">
        <x:v>Small pearl pack</x:v>
      </x:c>
      <x:c r="D5" s="48" t="n">
        <x:v>1.99</x:v>
      </x:c>
      <x:c r="E5" s="28" t="n">
        <x:v>20</x:v>
      </x:c>
      <x:c r="F5" s="40" t="n">
        <x:v>0</x:v>
      </x:c>
      <x:c r="G5" s="40" t="n">
        <x:f>IF(B5="Pearls",E5/D5,0)</x:f>
        <x:v>10.050251256281408</x:v>
      </x:c>
      <x:c r="H5" s="28" t="str">
        <x:v>Always after tutorial</x:v>
      </x:c>
      <x:c r="I5" s="28" t="str">
        <x:v>Repeatable</x:v>
      </x:c>
      <x:c r="J5" s="28" t="n">
        <x:v>0</x:v>
      </x:c>
      <x:c r="K5" s="28" t="str">
        <x:v>Covers a useful entry premium purchase; show exact pearls and local store price.</x:v>
      </x:c>
      <x:c r="L5" s="28" t="str">
        <x:v>Server offer snapshot + verified store receipt / ad completion + atomic grant. Restore permanent entitlements; consumables reconciled against ledger.</x:v>
      </x:c>
    </x:row>
    <x:row r="6" ht="88" customHeight="1">
      <x:c r="A6" s="28" t="str">
        <x:v>PEARL-M</x:v>
      </x:c>
      <x:c r="B6" s="28" t="str">
        <x:v>Pearls</x:v>
      </x:c>
      <x:c r="C6" s="28" t="str">
        <x:v>Medium pearl pack</x:v>
      </x:c>
      <x:c r="D6" s="48" t="n">
        <x:v>4.99</x:v>
      </x:c>
      <x:c r="E6" s="28" t="n">
        <x:v>55</x:v>
      </x:c>
      <x:c r="F6" s="40" t="n">
        <x:v>0</x:v>
      </x:c>
      <x:c r="G6" s="40" t="n">
        <x:f>IF(B6="Pearls",E6/D6,0)</x:f>
        <x:v>11.022044088176353</x:v>
      </x:c>
      <x:c r="H6" s="28" t="str">
        <x:v>Always after tutorial</x:v>
      </x:c>
      <x:c r="I6" s="28" t="str">
        <x:v>Repeatable</x:v>
      </x:c>
      <x:c r="J6" s="28" t="n">
        <x:v>0</x:v>
      </x:c>
      <x:c r="K6" s="28" t="str">
        <x:v>More pearls per USD than small; no misleading crossed-out price.</x:v>
      </x:c>
      <x:c r="L6" s="28" t="str">
        <x:v>Server offer snapshot + verified store receipt / ad completion + atomic grant. Restore permanent entitlements; consumables reconciled against ledger.</x:v>
      </x:c>
    </x:row>
    <x:row r="7" ht="88" customHeight="1">
      <x:c r="A7" s="28" t="str">
        <x:v>PEARL-L</x:v>
      </x:c>
      <x:c r="B7" s="28" t="str">
        <x:v>Pearls</x:v>
      </x:c>
      <x:c r="C7" s="28" t="str">
        <x:v>Large pearl pack</x:v>
      </x:c>
      <x:c r="D7" s="48" t="n">
        <x:v>9.99</x:v>
      </x:c>
      <x:c r="E7" s="28" t="n">
        <x:v>120</x:v>
      </x:c>
      <x:c r="F7" s="40" t="n">
        <x:v>0</x:v>
      </x:c>
      <x:c r="G7" s="40" t="n">
        <x:f>IF(B7="Pearls",E7/D7,0)</x:f>
        <x:v>12.012012012012011</x:v>
      </x:c>
      <x:c r="H7" s="28" t="str">
        <x:v>Always after tutorial</x:v>
      </x:c>
      <x:c r="I7" s="28" t="str">
        <x:v>Repeatable</x:v>
      </x:c>
      <x:c r="J7" s="28" t="n">
        <x:v>0</x:v>
      </x:c>
      <x:c r="K7" s="28" t="str">
        <x:v>Best of these three per-pearl rates; spending is optional.</x:v>
      </x:c>
      <x:c r="L7" s="28" t="str">
        <x:v>Server offer snapshot + verified store receipt / ad completion + atomic grant. Restore permanent entitlements; consumables reconciled against ledger.</x:v>
      </x:c>
    </x:row>
    <x:row r="8" ht="88" customHeight="1">
      <x:c r="A8" s="28" t="str">
        <x:v>COIN-S</x:v>
      </x:c>
      <x:c r="B8" s="28" t="str">
        <x:v>Coins</x:v>
      </x:c>
      <x:c r="C8" s="28" t="str">
        <x:v>Small coin pack</x:v>
      </x:c>
      <x:c r="D8" s="48" t="n">
        <x:v>0.99</x:v>
      </x:c>
      <x:c r="E8" s="28" t="n">
        <x:v>0</x:v>
      </x:c>
      <x:c r="F8" s="40" t="n">
        <x:v>0.25</x:v>
      </x:c>
      <x:c r="G8" s="40" t="n">
        <x:f>IF(B8="Pearls",E8/D8,0)</x:f>
        <x:v>0</x:v>
      </x:c>
      <x:c r="H8" s="28" t="str">
        <x:v>L5; player explicitly opens shop</x:v>
      </x:c>
      <x:c r="I8" s="28" t="str">
        <x:v>Repeatable</x:v>
      </x:c>
      <x:c r="J8" s="28" t="n">
        <x:v>0</x:v>
      </x:c>
      <x:c r="K8" s="28" t="str">
        <x:v>Coins snapshot current account reference income; disclose amount before store confirmation.</x:v>
      </x:c>
      <x:c r="L8" s="28" t="str">
        <x:v>Server offer snapshot + verified store receipt / ad completion + atomic grant. Restore permanent entitlements; consumables reconciled against ledger.</x:v>
      </x:c>
    </x:row>
    <x:row r="9" ht="88" customHeight="1">
      <x:c r="A9" s="28" t="str">
        <x:v>COIN-M</x:v>
      </x:c>
      <x:c r="B9" s="28" t="str">
        <x:v>Coins</x:v>
      </x:c>
      <x:c r="C9" s="28" t="str">
        <x:v>Medium coin pack</x:v>
      </x:c>
      <x:c r="D9" s="48" t="n">
        <x:v>2.99</x:v>
      </x:c>
      <x:c r="E9" s="28" t="n">
        <x:v>0</x:v>
      </x:c>
      <x:c r="F9" s="40" t="n">
        <x:v>0.85</x:v>
      </x:c>
      <x:c r="G9" s="40" t="n">
        <x:f>IF(B9="Pearls",E9/D9,0)</x:f>
        <x:v>0</x:v>
      </x:c>
      <x:c r="H9" s="28" t="str">
        <x:v>L5; player explicitly opens shop</x:v>
      </x:c>
      <x:c r="I9" s="28" t="str">
        <x:v>Repeatable</x:v>
      </x:c>
      <x:c r="J9" s="28" t="n">
        <x:v>0</x:v>
      </x:c>
      <x:c r="K9" s="28" t="str">
        <x:v>Coin amount uses reference income, not highest payer income; price cannot change after authorization.</x:v>
      </x:c>
      <x:c r="L9" s="28" t="str">
        <x:v>Server offer snapshot + verified store receipt / ad completion + atomic grant. Restore permanent entitlements; consumables reconciled against ledger.</x:v>
      </x:c>
    </x:row>
    <x:row r="10" ht="88" customHeight="1">
      <x:c r="A10" s="28" t="str">
        <x:v>COIN-L</x:v>
      </x:c>
      <x:c r="B10" s="28" t="str">
        <x:v>Coins</x:v>
      </x:c>
      <x:c r="C10" s="28" t="str">
        <x:v>Large coin pack</x:v>
      </x:c>
      <x:c r="D10" s="48" t="n">
        <x:v>4.99</x:v>
      </x:c>
      <x:c r="E10" s="28" t="n">
        <x:v>0</x:v>
      </x:c>
      <x:c r="F10" s="40" t="n">
        <x:v>1.5</x:v>
      </x:c>
      <x:c r="G10" s="40" t="n">
        <x:f>IF(B10="Pearls",E10/D10,0)</x:f>
        <x:v>0</x:v>
      </x:c>
      <x:c r="H10" s="28" t="str">
        <x:v>L5; player explicitly opens shop</x:v>
      </x:c>
      <x:c r="I10" s="28" t="str">
        <x:v>Repeatable</x:v>
      </x:c>
      <x:c r="J10" s="28" t="n">
        <x:v>0</x:v>
      </x:c>
      <x:c r="K10" s="28" t="str">
        <x:v>No forced low-balance upsell; cancel returns to play.</x:v>
      </x:c>
      <x:c r="L10" s="28" t="str">
        <x:v>Server offer snapshot + verified store receipt / ad completion + atomic grant. Restore permanent entitlements; consumables reconciled against ledger.</x:v>
      </x:c>
    </x:row>
    <x:row r="11" ht="88" customHeight="1">
      <x:c r="A11" s="28" t="str">
        <x:v>STARTER</x:v>
      </x:c>
      <x:c r="B11" s="28" t="str">
        <x:v>Bundle</x:v>
      </x:c>
      <x:c r="C11" s="28" t="str">
        <x:v>Starter keepsake bundle</x:v>
      </x:c>
      <x:c r="D11" s="48" t="n">
        <x:v>3.99</x:v>
      </x:c>
      <x:c r="E11" s="28" t="n">
        <x:v>35</x:v>
      </x:c>
      <x:c r="F11" s="40" t="n">
        <x:v>0.25</x:v>
      </x:c>
      <x:c r="G11" s="40" t="n">
        <x:f>IF(B11="Pearls",E11/D11,0)</x:f>
        <x:v>0</x:v>
      </x:c>
      <x:c r="H11" s="28" t="str">
        <x:v>After first return; model purchases Day 3</x:v>
      </x:c>
      <x:c r="I11" s="28" t="str">
        <x:v>Lifetime once/account</x:v>
      </x:c>
      <x:c r="J11" s="28" t="n">
        <x:v>1</x:v>
      </x:c>
      <x:c r="K11" s="28" t="str">
        <x:v>35 pearls + quarter reference coin-day + exclusive-to-bundle permanent frame. No purchase deadline; no percentage discount claim.</x:v>
      </x:c>
      <x:c r="L11" s="28" t="str">
        <x:v>Server offer snapshot + verified store receipt / ad completion + atomic grant. Restore permanent entitlements; consumables reconciled against ledger.</x:v>
      </x:c>
    </x:row>
    <x:row r="12" ht="88" customHeight="1">
      <x:c r="A12" s="28" t="str">
        <x:v>AD-COIN</x:v>
      </x:c>
      <x:c r="B12" s="28" t="str">
        <x:v>Rewarded ad</x:v>
      </x:c>
      <x:c r="C12" s="28" t="str">
        <x:v>Optional coin bonus</x:v>
      </x:c>
      <x:c r="D12" s="48" t="n">
        <x:v>0</x:v>
      </x:c>
      <x:c r="E12" s="28" t="n">
        <x:v>0</x:v>
      </x:c>
      <x:c r="F12" s="40" t="n">
        <x:v>0.02</x:v>
      </x:c>
      <x:c r="G12" s="40" t="n">
        <x:f>IF(B12="Pearls",E12/D12,0)</x:f>
        <x:v>0</x:v>
      </x:c>
      <x:c r="H12" s="28" t="str">
        <x:v>L5; not tutorial</x:v>
      </x:c>
      <x:c r="I12" s="28" t="str">
        <x:v>3 grants/server day</x:v>
      </x:c>
      <x:c r="J12" s="28" t="n">
        <x:v>0</x:v>
      </x:c>
      <x:c r="K12" s="28" t="str">
        <x:v>Guaranteed displayed coin reward on verified completion; 2-minute cooldown; no XP/pearls or forced interstitials.</x:v>
      </x:c>
      <x:c r="L12" s="28" t="str">
        <x:v>Server offer snapshot + verified store receipt / ad completion + atomic grant. Restore permanent entitlements; consumables reconciled against ledger.</x:v>
      </x:c>
    </x:row>
    <x:row r="13" ht="88" customHeight="1">
      <x:c r="A13" s="28" t="str">
        <x:v>COMPANION</x:v>
      </x:c>
      <x:c r="B13" s="28" t="str">
        <x:v>Direct pearl spend</x:v>
      </x:c>
      <x:c r="C13" s="28" t="str">
        <x:v>Permanent companion</x:v>
      </x:c>
      <x:c r="D13" s="48" t="n">
        <x:v>0</x:v>
      </x:c>
      <x:c r="E13" s="28" t="n">
        <x:v>0</x:v>
      </x:c>
      <x:c r="F13" s="40" t="n">
        <x:v>0</x:v>
      </x:c>
      <x:c r="G13" s="40" t="n">
        <x:f>IF(B13="Pearls",E13/D13,0)</x:f>
        <x:v>0</x:v>
      </x:c>
      <x:c r="H13" s="28" t="str">
        <x:v>Catalog level gate</x:v>
      </x:c>
      <x:c r="I13" s="28" t="str">
        <x:v>Ownership once/item</x:v>
      </x:c>
      <x:c r="J13" s="28" t="n">
        <x:v>0</x:v>
      </x:c>
      <x:c r="K13" s="28" t="str">
        <x:v>Exact pearl price in Fish Collectibles. Cosmetic-only; no coins, XP, productive capacity or randomized outcome.</x:v>
      </x:c>
      <x:c r="L13" s="28" t="str">
        <x:v>Server offer snapshot + verified store receipt / ad completion + atomic grant. Restore permanent entitlements; consumables reconciled against ledger.</x:v>
      </x:c>
    </x:row>
    <x:row r="14" ht="88" customHeight="1">
      <x:c r="A14" s="28" t="str">
        <x:v>CAPACITY</x:v>
      </x:c>
      <x:c r="B14" s="28" t="str">
        <x:v>Capacity alternative</x:v>
      </x:c>
      <x:c r="C14" s="28" t="str">
        <x:v>Tank entitlement via pearls</x:v>
      </x:c>
      <x:c r="D14" s="48" t="n">
        <x:v>0</x:v>
      </x:c>
      <x:c r="E14" s="28" t="n">
        <x:v>0</x:v>
      </x:c>
      <x:c r="F14" s="40" t="n">
        <x:v>0</x:v>
      </x:c>
      <x:c r="G14" s="40" t="n">
        <x:f>IF(B14="Pearls",E14/D14,0)</x:f>
        <x:v>0</x:v>
      </x:c>
      <x:c r="H14" s="28" t="str">
        <x:v>Same level and prerequisites as coin path</x:v>
      </x:c>
      <x:c r="I14" s="28" t="str">
        <x:v>Once/entitlement</x:v>
      </x:c>
      <x:c r="J14" s="28" t="n">
        <x:v>0</x:v>
      </x:c>
      <x:c r="K14" s="28" t="str">
        <x:v>This IS paid convenience that substitutes for coin spending, not a purely cosmetic product. It does not bypass level gates.</x:v>
      </x:c>
      <x:c r="L14" s="28" t="str">
        <x:v>Server offer snapshot + verified store receipt / ad completion + atomic grant. Restore permanent entitlements; consumables reconciled against ledger.</x:v>
      </x:c>
    </x:row>
  </x:sheetData>
  <x:mergeCells>
    <x:mergeCell ref="A1:L1"/>
    <x:mergeCell ref="A2:L2"/>
  </x:mergeCells>
  <x:pageMargins left="0.7" right="0.7" top="0.75" bottom="0.75" header="0.3" footer="0.3"/>
  <x:tableParts count="1">
    <x:tablePart xmlns:r="http://schemas.openxmlformats.org/officeDocument/2006/relationships" r:id="Rdcbc7d8aad3c44cc"/>
  </x:tableParts>
</x:worksheet>
</file>

<file path=xl/worksheets/sheet19.xml><?xml version="1.0" encoding="utf-8"?>
<x:worksheet xmlns:x="http://schemas.openxmlformats.org/spreadsheetml/2006/main">
  <x:sheetFormatPr defaultRowHeight="15"/>
  <x:cols>
    <x:col min="1" max="1" width="28" hidden="0" customWidth="1"/>
    <x:col min="2" max="2" width="11" hidden="0" customWidth="1"/>
    <x:col min="3" max="3" width="25" hidden="0" customWidth="1"/>
    <x:col min="4" max="4" width="24" hidden="0" customWidth="1"/>
    <x:col min="5" max="5" width="24" hidden="0" customWidth="1"/>
    <x:col min="6" max="6" width="23" hidden="0" customWidth="1"/>
    <x:col min="7" max="7" width="27" hidden="0" customWidth="1"/>
    <x:col min="8" max="8" width="24" hidden="0" customWidth="1"/>
    <x:col min="9" max="9" width="18" hidden="0" customWidth="1"/>
    <x:col min="10" max="10" width="111" hidden="0" customWidth="1"/>
  </x:cols>
  <x:sheetData>
    <x:row r="1" ht="34" customHeight="1">
      <x:c r="A1" s="6" t="str">
        <x:v>PEARL BUDGET | earned access versus purchased currency</x:v>
      </x:c>
      <x:c r="B1" s="6"/>
      <x:c r="C1" s="6"/>
      <x:c r="D1" s="6"/>
      <x:c r="E1" s="6"/>
      <x:c r="F1" s="6"/>
      <x:c r="G1" s="6"/>
      <x:c r="H1" s="6"/>
      <x:c r="I1" s="6"/>
      <x:c r="J1" s="6"/>
    </x:row>
    <x:row r="2" ht="32" customHeight="1">
      <x:c r="A2" s="13" t="str">
        <x:v>Includes the tutorial pearl. Earned and paid sources are separated; grants require their respective actions. No pearls are awarded for ads or repeatable fish production.</x:v>
      </x:c>
      <x:c r="B2" s="13"/>
      <x:c r="C2" s="13"/>
      <x:c r="D2" s="13"/>
      <x:c r="E2" s="13"/>
      <x:c r="F2" s="13"/>
      <x:c r="G2" s="13"/>
      <x:c r="H2" s="13"/>
      <x:c r="I2" s="13"/>
      <x:c r="J2" s="13"/>
    </x:row>
    <x:row r="3">
      <x:c r="A3" s="2"/>
      <x:c r="B3" s="2"/>
      <x:c r="C3" s="2"/>
      <x:c r="D3" s="2"/>
      <x:c r="E3" s="2"/>
      <x:c r="F3" s="2"/>
      <x:c r="G3" s="2"/>
      <x:c r="H3" s="2"/>
      <x:c r="I3" s="2"/>
      <x:c r="J3" s="2"/>
    </x:row>
    <x:row r="4" ht="32" customHeight="1">
      <x:c r="A4" s="21" t="str">
        <x:v>Actor</x:v>
      </x:c>
      <x:c r="B4" s="21" t="str">
        <x:v>Day</x:v>
      </x:c>
      <x:c r="C4" s="21" t="str">
        <x:v>All grants to date</x:v>
      </x:c>
      <x:c r="D4" s="21" t="str">
        <x:v>Purchased grants</x:v>
      </x:c>
      <x:c r="E4" s="21" t="str">
        <x:v>Earned grants</x:v>
      </x:c>
      <x:c r="F4" s="21" t="str">
        <x:v>Spent to date</x:v>
      </x:c>
      <x:c r="G4" s="21" t="str">
        <x:v>Recomputed balance</x:v>
      </x:c>
      <x:c r="H4" s="21" t="str">
        <x:v>Snapshot balance</x:v>
      </x:c>
      <x:c r="I4" s="21" t="str">
        <x:v>Residual</x:v>
      </x:c>
      <x:c r="J4" s="21" t="str">
        <x:v>Assumption</x:v>
      </x:c>
    </x:row>
    <x:row r="5" ht="54" customHeight="1">
      <x:c r="A5" s="28" t="str">
        <x:v>Casual F2P</x:v>
      </x:c>
      <x:c r="B5" s="28" t="n">
        <x:v>7</x:v>
      </x:c>
      <x:c r="C5" s="28" t="n">
        <x:f>'Inputs'!$B$13+SUM('Daily Ledger'!V5:V11)</x:f>
        <x:v>11</x:v>
      </x:c>
      <x:c r="D5" s="28" t="n">
        <x:v>0</x:v>
      </x:c>
      <x:c r="E5" s="28" t="n">
        <x:f>C5-D5</x:f>
        <x:v>11</x:v>
      </x:c>
      <x:c r="F5" s="28" t="n">
        <x:f>SUM('Daily Ledger'!W5:W11)</x:f>
        <x:v>0</x:v>
      </x:c>
      <x:c r="G5" s="28" t="n">
        <x:f>C5-F5</x:f>
        <x:v>11</x:v>
      </x:c>
      <x:c r="H5" s="28" t="n">
        <x:f>'Daily Ledger'!U11</x:f>
        <x:v>11</x:v>
      </x:c>
      <x:c r="I5" s="28" t="n">
        <x:f>G5-H5</x:f>
        <x:v>0</x:v>
      </x:c>
      <x:c r="J5" s="28" t="str">
        <x:v>Free sources: level grants, 2/week, one-time chapters, 4/event. Assumes actor completes these; not a guaranteed login allowance.</x:v>
      </x:c>
    </x:row>
    <x:row r="6" ht="54" customHeight="1">
      <x:c r="A6" s="28" t="str">
        <x:v>Casual F2P</x:v>
      </x:c>
      <x:c r="B6" s="28" t="n">
        <x:v>30</x:v>
      </x:c>
      <x:c r="C6" s="28" t="n">
        <x:f>'Inputs'!$B$13+SUM('Daily Ledger'!V5:V34)</x:f>
        <x:v>40</x:v>
      </x:c>
      <x:c r="D6" s="28" t="n">
        <x:v>0</x:v>
      </x:c>
      <x:c r="E6" s="28" t="n">
        <x:f>C6-D6</x:f>
        <x:v>40</x:v>
      </x:c>
      <x:c r="F6" s="28" t="n">
        <x:f>SUM('Daily Ledger'!W5:W34)</x:f>
        <x:v>0</x:v>
      </x:c>
      <x:c r="G6" s="28" t="n">
        <x:f>C6-F6</x:f>
        <x:v>40</x:v>
      </x:c>
      <x:c r="H6" s="28" t="n">
        <x:f>'Daily Ledger'!U34</x:f>
        <x:v>40</x:v>
      </x:c>
      <x:c r="I6" s="28" t="n">
        <x:f>G6-H6</x:f>
        <x:v>0</x:v>
      </x:c>
      <x:c r="J6" s="28" t="str">
        <x:v>Free sources: level grants, 2/week, one-time chapters, 4/event. Assumes actor completes these; not a guaranteed login allowance.</x:v>
      </x:c>
    </x:row>
    <x:row r="7" ht="54" customHeight="1">
      <x:c r="A7" s="28" t="str">
        <x:v>Casual F2P</x:v>
      </x:c>
      <x:c r="B7" s="28" t="n">
        <x:v>90</x:v>
      </x:c>
      <x:c r="C7" s="28" t="n">
        <x:f>'Inputs'!$B$13+SUM('Daily Ledger'!V5:V94)</x:f>
        <x:v>86</x:v>
      </x:c>
      <x:c r="D7" s="28" t="n">
        <x:v>0</x:v>
      </x:c>
      <x:c r="E7" s="28" t="n">
        <x:f>C7-D7</x:f>
        <x:v>86</x:v>
      </x:c>
      <x:c r="F7" s="28" t="n">
        <x:f>SUM('Daily Ledger'!W5:W94)</x:f>
        <x:v>0</x:v>
      </x:c>
      <x:c r="G7" s="28" t="n">
        <x:f>C7-F7</x:f>
        <x:v>86</x:v>
      </x:c>
      <x:c r="H7" s="28" t="n">
        <x:f>'Daily Ledger'!U94</x:f>
        <x:v>86</x:v>
      </x:c>
      <x:c r="I7" s="28" t="n">
        <x:f>G7-H7</x:f>
        <x:v>0</x:v>
      </x:c>
      <x:c r="J7" s="28" t="str">
        <x:v>Free sources: level grants, 2/week, one-time chapters, 4/event. Assumes actor completes these; not a guaranteed login allowance.</x:v>
      </x:c>
    </x:row>
    <x:row r="8" ht="54" customHeight="1">
      <x:c r="A8" s="28" t="str">
        <x:v>Casual F2P</x:v>
      </x:c>
      <x:c r="B8" s="28" t="n">
        <x:v>120</x:v>
      </x:c>
      <x:c r="C8" s="28" t="n">
        <x:f>'Inputs'!$B$13+SUM('Daily Ledger'!V5:V124)</x:f>
        <x:v>106</x:v>
      </x:c>
      <x:c r="D8" s="28" t="n">
        <x:v>0</x:v>
      </x:c>
      <x:c r="E8" s="28" t="n">
        <x:f>C8-D8</x:f>
        <x:v>106</x:v>
      </x:c>
      <x:c r="F8" s="28" t="n">
        <x:f>SUM('Daily Ledger'!W5:W124)</x:f>
        <x:v>0</x:v>
      </x:c>
      <x:c r="G8" s="28" t="n">
        <x:f>C8-F8</x:f>
        <x:v>106</x:v>
      </x:c>
      <x:c r="H8" s="28" t="n">
        <x:f>'Daily Ledger'!U124</x:f>
        <x:v>106</x:v>
      </x:c>
      <x:c r="I8" s="28" t="n">
        <x:f>G8-H8</x:f>
        <x:v>0</x:v>
      </x:c>
      <x:c r="J8" s="28" t="str">
        <x:v>Free sources: level grants, 2/week, one-time chapters, 4/event. Assumes actor completes these; not a guaranteed login allowance.</x:v>
      </x:c>
    </x:row>
    <x:row r="9" ht="54" customHeight="1">
      <x:c r="A9" s="28" t="str">
        <x:v>Core F2P</x:v>
      </x:c>
      <x:c r="B9" s="28" t="n">
        <x:v>7</x:v>
      </x:c>
      <x:c r="C9" s="28" t="n">
        <x:f>'Inputs'!$B$13+SUM('Daily Ledger'!V125:V131)</x:f>
        <x:v>16</x:v>
      </x:c>
      <x:c r="D9" s="28" t="n">
        <x:v>0</x:v>
      </x:c>
      <x:c r="E9" s="28" t="n">
        <x:f>C9-D9</x:f>
        <x:v>16</x:v>
      </x:c>
      <x:c r="F9" s="28" t="n">
        <x:f>SUM('Daily Ledger'!W125:W131)</x:f>
        <x:v>0</x:v>
      </x:c>
      <x:c r="G9" s="28" t="n">
        <x:f>C9-F9</x:f>
        <x:v>16</x:v>
      </x:c>
      <x:c r="H9" s="28" t="n">
        <x:f>'Daily Ledger'!U131</x:f>
        <x:v>16</x:v>
      </x:c>
      <x:c r="I9" s="28" t="n">
        <x:f>G9-H9</x:f>
        <x:v>0</x:v>
      </x:c>
      <x:c r="J9" s="28" t="str">
        <x:v>Free sources: level grants, 2/week, one-time chapters, 4/event. Assumes actor completes these; not a guaranteed login allowance.</x:v>
      </x:c>
    </x:row>
    <x:row r="10" ht="54" customHeight="1">
      <x:c r="A10" s="28" t="str">
        <x:v>Core F2P</x:v>
      </x:c>
      <x:c r="B10" s="28" t="n">
        <x:v>30</x:v>
      </x:c>
      <x:c r="C10" s="28" t="n">
        <x:f>'Inputs'!$B$13+SUM('Daily Ledger'!V125:V154)</x:f>
        <x:v>41</x:v>
      </x:c>
      <x:c r="D10" s="28" t="n">
        <x:v>0</x:v>
      </x:c>
      <x:c r="E10" s="28" t="n">
        <x:f>C10-D10</x:f>
        <x:v>41</x:v>
      </x:c>
      <x:c r="F10" s="28" t="n">
        <x:f>SUM('Daily Ledger'!W125:W154)</x:f>
        <x:v>0</x:v>
      </x:c>
      <x:c r="G10" s="28" t="n">
        <x:f>C10-F10</x:f>
        <x:v>41</x:v>
      </x:c>
      <x:c r="H10" s="28" t="n">
        <x:f>'Daily Ledger'!U154</x:f>
        <x:v>41</x:v>
      </x:c>
      <x:c r="I10" s="28" t="n">
        <x:f>G10-H10</x:f>
        <x:v>0</x:v>
      </x:c>
      <x:c r="J10" s="28" t="str">
        <x:v>Free sources: level grants, 2/week, one-time chapters, 4/event. Assumes actor completes these; not a guaranteed login allowance.</x:v>
      </x:c>
    </x:row>
    <x:row r="11" ht="54" customHeight="1">
      <x:c r="A11" s="28" t="str">
        <x:v>Core F2P</x:v>
      </x:c>
      <x:c r="B11" s="28" t="n">
        <x:v>90</x:v>
      </x:c>
      <x:c r="C11" s="28" t="n">
        <x:f>'Inputs'!$B$13+SUM('Daily Ledger'!V125:V214)</x:f>
        <x:v>87</x:v>
      </x:c>
      <x:c r="D11" s="28" t="n">
        <x:v>0</x:v>
      </x:c>
      <x:c r="E11" s="28" t="n">
        <x:f>C11-D11</x:f>
        <x:v>87</x:v>
      </x:c>
      <x:c r="F11" s="28" t="n">
        <x:f>SUM('Daily Ledger'!W125:W214)</x:f>
        <x:v>0</x:v>
      </x:c>
      <x:c r="G11" s="28" t="n">
        <x:f>C11-F11</x:f>
        <x:v>87</x:v>
      </x:c>
      <x:c r="H11" s="28" t="n">
        <x:f>'Daily Ledger'!U214</x:f>
        <x:v>87</x:v>
      </x:c>
      <x:c r="I11" s="28" t="n">
        <x:f>G11-H11</x:f>
        <x:v>0</x:v>
      </x:c>
      <x:c r="J11" s="28" t="str">
        <x:v>Free sources: level grants, 2/week, one-time chapters, 4/event. Assumes actor completes these; not a guaranteed login allowance.</x:v>
      </x:c>
    </x:row>
    <x:row r="12" ht="54" customHeight="1">
      <x:c r="A12" s="28" t="str">
        <x:v>Core F2P</x:v>
      </x:c>
      <x:c r="B12" s="28" t="n">
        <x:v>120</x:v>
      </x:c>
      <x:c r="C12" s="28" t="n">
        <x:f>'Inputs'!$B$13+SUM('Daily Ledger'!V125:V244)</x:f>
        <x:v>106</x:v>
      </x:c>
      <x:c r="D12" s="28" t="n">
        <x:v>0</x:v>
      </x:c>
      <x:c r="E12" s="28" t="n">
        <x:f>C12-D12</x:f>
        <x:v>106</x:v>
      </x:c>
      <x:c r="F12" s="28" t="n">
        <x:f>SUM('Daily Ledger'!W125:W244)</x:f>
        <x:v>0</x:v>
      </x:c>
      <x:c r="G12" s="28" t="n">
        <x:f>C12-F12</x:f>
        <x:v>106</x:v>
      </x:c>
      <x:c r="H12" s="28" t="n">
        <x:f>'Daily Ledger'!U244</x:f>
        <x:v>106</x:v>
      </x:c>
      <x:c r="I12" s="28" t="n">
        <x:f>G12-H12</x:f>
        <x:v>0</x:v>
      </x:c>
      <x:c r="J12" s="28" t="str">
        <x:v>Free sources: level grants, 2/week, one-time chapters, 4/event. Assumes actor completes these; not a guaranteed login allowance.</x:v>
      </x:c>
    </x:row>
    <x:row r="13" ht="54" customHeight="1">
      <x:c r="A13" s="28" t="str">
        <x:v>Enthusiast F2P</x:v>
      </x:c>
      <x:c r="B13" s="28" t="n">
        <x:v>7</x:v>
      </x:c>
      <x:c r="C13" s="28" t="n">
        <x:f>'Inputs'!$B$13+SUM('Daily Ledger'!V245:V251)</x:f>
        <x:v>13</x:v>
      </x:c>
      <x:c r="D13" s="28" t="n">
        <x:v>0</x:v>
      </x:c>
      <x:c r="E13" s="28" t="n">
        <x:f>C13-D13</x:f>
        <x:v>13</x:v>
      </x:c>
      <x:c r="F13" s="28" t="n">
        <x:f>SUM('Daily Ledger'!W245:W251)</x:f>
        <x:v>0</x:v>
      </x:c>
      <x:c r="G13" s="28" t="n">
        <x:f>C13-F13</x:f>
        <x:v>13</x:v>
      </x:c>
      <x:c r="H13" s="28" t="n">
        <x:f>'Daily Ledger'!U251</x:f>
        <x:v>13</x:v>
      </x:c>
      <x:c r="I13" s="28" t="n">
        <x:f>G13-H13</x:f>
        <x:v>0</x:v>
      </x:c>
      <x:c r="J13" s="28" t="str">
        <x:v>Free sources: level grants, 2/week, one-time chapters, 4/event. Assumes actor completes these; not a guaranteed login allowance.</x:v>
      </x:c>
    </x:row>
    <x:row r="14" ht="54" customHeight="1">
      <x:c r="A14" s="28" t="str">
        <x:v>Enthusiast F2P</x:v>
      </x:c>
      <x:c r="B14" s="28" t="n">
        <x:v>30</x:v>
      </x:c>
      <x:c r="C14" s="28" t="n">
        <x:f>'Inputs'!$B$13+SUM('Daily Ledger'!V245:V274)</x:f>
        <x:v>38</x:v>
      </x:c>
      <x:c r="D14" s="28" t="n">
        <x:v>0</x:v>
      </x:c>
      <x:c r="E14" s="28" t="n">
        <x:f>C14-D14</x:f>
        <x:v>38</x:v>
      </x:c>
      <x:c r="F14" s="28" t="n">
        <x:f>SUM('Daily Ledger'!W245:W274)</x:f>
        <x:v>0</x:v>
      </x:c>
      <x:c r="G14" s="28" t="n">
        <x:f>C14-F14</x:f>
        <x:v>38</x:v>
      </x:c>
      <x:c r="H14" s="28" t="n">
        <x:f>'Daily Ledger'!U274</x:f>
        <x:v>38</x:v>
      </x:c>
      <x:c r="I14" s="28" t="n">
        <x:f>G14-H14</x:f>
        <x:v>0</x:v>
      </x:c>
      <x:c r="J14" s="28" t="str">
        <x:v>Free sources: level grants, 2/week, one-time chapters, 4/event. Assumes actor completes these; not a guaranteed login allowance.</x:v>
      </x:c>
    </x:row>
    <x:row r="15" ht="54" customHeight="1">
      <x:c r="A15" s="28" t="str">
        <x:v>Enthusiast F2P</x:v>
      </x:c>
      <x:c r="B15" s="28" t="n">
        <x:v>90</x:v>
      </x:c>
      <x:c r="C15" s="28" t="n">
        <x:f>'Inputs'!$B$13+SUM('Daily Ledger'!V245:V334)</x:f>
        <x:v>76</x:v>
      </x:c>
      <x:c r="D15" s="28" t="n">
        <x:v>0</x:v>
      </x:c>
      <x:c r="E15" s="28" t="n">
        <x:f>C15-D15</x:f>
        <x:v>76</x:v>
      </x:c>
      <x:c r="F15" s="28" t="n">
        <x:f>SUM('Daily Ledger'!W245:W334)</x:f>
        <x:v>0</x:v>
      </x:c>
      <x:c r="G15" s="28" t="n">
        <x:f>C15-F15</x:f>
        <x:v>76</x:v>
      </x:c>
      <x:c r="H15" s="28" t="n">
        <x:f>'Daily Ledger'!U334</x:f>
        <x:v>76</x:v>
      </x:c>
      <x:c r="I15" s="28" t="n">
        <x:f>G15-H15</x:f>
        <x:v>0</x:v>
      </x:c>
      <x:c r="J15" s="28" t="str">
        <x:v>Free sources: level grants, 2/week, one-time chapters, 4/event. Assumes actor completes these; not a guaranteed login allowance.</x:v>
      </x:c>
    </x:row>
    <x:row r="16" ht="54" customHeight="1">
      <x:c r="A16" s="28" t="str">
        <x:v>Enthusiast F2P</x:v>
      </x:c>
      <x:c r="B16" s="28" t="n">
        <x:v>120</x:v>
      </x:c>
      <x:c r="C16" s="28" t="n">
        <x:f>'Inputs'!$B$13+SUM('Daily Ledger'!V245:V364)</x:f>
        <x:v>90</x:v>
      </x:c>
      <x:c r="D16" s="28" t="n">
        <x:v>0</x:v>
      </x:c>
      <x:c r="E16" s="28" t="n">
        <x:f>C16-D16</x:f>
        <x:v>90</x:v>
      </x:c>
      <x:c r="F16" s="28" t="n">
        <x:f>SUM('Daily Ledger'!W245:W364)</x:f>
        <x:v>0</x:v>
      </x:c>
      <x:c r="G16" s="28" t="n">
        <x:f>C16-F16</x:f>
        <x:v>90</x:v>
      </x:c>
      <x:c r="H16" s="28" t="n">
        <x:f>'Daily Ledger'!U364</x:f>
        <x:v>90</x:v>
      </x:c>
      <x:c r="I16" s="28" t="n">
        <x:f>G16-H16</x:f>
        <x:v>0</x:v>
      </x:c>
      <x:c r="J16" s="28" t="str">
        <x:v>Free sources: level grants, 2/week, one-time chapters, 4/event. Assumes actor completes these; not a guaranteed login allowance.</x:v>
      </x:c>
    </x:row>
    <x:row r="17" ht="54" customHeight="1">
      <x:c r="A17" s="28" t="str">
        <x:v>Decorator F2P</x:v>
      </x:c>
      <x:c r="B17" s="28" t="n">
        <x:v>7</x:v>
      </x:c>
      <x:c r="C17" s="28" t="n">
        <x:f>'Inputs'!$B$13+SUM('Daily Ledger'!V365:V371)</x:f>
        <x:v>16</x:v>
      </x:c>
      <x:c r="D17" s="28" t="n">
        <x:v>0</x:v>
      </x:c>
      <x:c r="E17" s="28" t="n">
        <x:f>C17-D17</x:f>
        <x:v>16</x:v>
      </x:c>
      <x:c r="F17" s="28" t="n">
        <x:f>SUM('Daily Ledger'!W365:W371)</x:f>
        <x:v>0</x:v>
      </x:c>
      <x:c r="G17" s="28" t="n">
        <x:f>C17-F17</x:f>
        <x:v>16</x:v>
      </x:c>
      <x:c r="H17" s="28" t="n">
        <x:f>'Daily Ledger'!U371</x:f>
        <x:v>16</x:v>
      </x:c>
      <x:c r="I17" s="28" t="n">
        <x:f>G17-H17</x:f>
        <x:v>0</x:v>
      </x:c>
      <x:c r="J17" s="28" t="str">
        <x:v>Free sources: level grants, 2/week, one-time chapters, 4/event. Assumes actor completes these; not a guaranteed login allowance.</x:v>
      </x:c>
    </x:row>
    <x:row r="18" ht="54" customHeight="1">
      <x:c r="A18" s="28" t="str">
        <x:v>Decorator F2P</x:v>
      </x:c>
      <x:c r="B18" s="28" t="n">
        <x:v>30</x:v>
      </x:c>
      <x:c r="C18" s="28" t="n">
        <x:f>'Inputs'!$B$13+SUM('Daily Ledger'!V365:V394)</x:f>
        <x:v>41</x:v>
      </x:c>
      <x:c r="D18" s="28" t="n">
        <x:v>0</x:v>
      </x:c>
      <x:c r="E18" s="28" t="n">
        <x:f>C18-D18</x:f>
        <x:v>41</x:v>
      </x:c>
      <x:c r="F18" s="28" t="n">
        <x:f>SUM('Daily Ledger'!W365:W394)</x:f>
        <x:v>0</x:v>
      </x:c>
      <x:c r="G18" s="28" t="n">
        <x:f>C18-F18</x:f>
        <x:v>41</x:v>
      </x:c>
      <x:c r="H18" s="28" t="n">
        <x:f>'Daily Ledger'!U394</x:f>
        <x:v>41</x:v>
      </x:c>
      <x:c r="I18" s="28" t="n">
        <x:f>G18-H18</x:f>
        <x:v>0</x:v>
      </x:c>
      <x:c r="J18" s="28" t="str">
        <x:v>Free sources: level grants, 2/week, one-time chapters, 4/event. Assumes actor completes these; not a guaranteed login allowance.</x:v>
      </x:c>
    </x:row>
    <x:row r="19" ht="54" customHeight="1">
      <x:c r="A19" s="28" t="str">
        <x:v>Decorator F2P</x:v>
      </x:c>
      <x:c r="B19" s="28" t="n">
        <x:v>90</x:v>
      </x:c>
      <x:c r="C19" s="28" t="n">
        <x:f>'Inputs'!$B$13+SUM('Daily Ledger'!V365:V454)</x:f>
        <x:v>87</x:v>
      </x:c>
      <x:c r="D19" s="28" t="n">
        <x:v>0</x:v>
      </x:c>
      <x:c r="E19" s="28" t="n">
        <x:f>C19-D19</x:f>
        <x:v>87</x:v>
      </x:c>
      <x:c r="F19" s="28" t="n">
        <x:f>SUM('Daily Ledger'!W365:W454)</x:f>
        <x:v>0</x:v>
      </x:c>
      <x:c r="G19" s="28" t="n">
        <x:f>C19-F19</x:f>
        <x:v>87</x:v>
      </x:c>
      <x:c r="H19" s="28" t="n">
        <x:f>'Daily Ledger'!U454</x:f>
        <x:v>87</x:v>
      </x:c>
      <x:c r="I19" s="28" t="n">
        <x:f>G19-H19</x:f>
        <x:v>0</x:v>
      </x:c>
      <x:c r="J19" s="28" t="str">
        <x:v>Free sources: level grants, 2/week, one-time chapters, 4/event. Assumes actor completes these; not a guaranteed login allowance.</x:v>
      </x:c>
    </x:row>
    <x:row r="20" ht="54" customHeight="1">
      <x:c r="A20" s="28" t="str">
        <x:v>Decorator F2P</x:v>
      </x:c>
      <x:c r="B20" s="28" t="n">
        <x:v>120</x:v>
      </x:c>
      <x:c r="C20" s="28" t="n">
        <x:f>'Inputs'!$B$13+SUM('Daily Ledger'!V365:V484)</x:f>
        <x:v>106</x:v>
      </x:c>
      <x:c r="D20" s="28" t="n">
        <x:v>0</x:v>
      </x:c>
      <x:c r="E20" s="28" t="n">
        <x:f>C20-D20</x:f>
        <x:v>106</x:v>
      </x:c>
      <x:c r="F20" s="28" t="n">
        <x:f>SUM('Daily Ledger'!W365:W484)</x:f>
        <x:v>0</x:v>
      </x:c>
      <x:c r="G20" s="28" t="n">
        <x:f>C20-F20</x:f>
        <x:v>106</x:v>
      </x:c>
      <x:c r="H20" s="28" t="n">
        <x:f>'Daily Ledger'!U484</x:f>
        <x:v>106</x:v>
      </x:c>
      <x:c r="I20" s="28" t="n">
        <x:f>G20-H20</x:f>
        <x:v>0</x:v>
      </x:c>
      <x:c r="J20" s="28" t="str">
        <x:v>Free sources: level grants, 2/week, one-time chapters, 4/event. Assumes actor completes these; not a guaranteed login allowance.</x:v>
      </x:c>
    </x:row>
    <x:row r="21" ht="54" customHeight="1">
      <x:c r="A21" s="28" t="str">
        <x:v>Light payer</x:v>
      </x:c>
      <x:c r="B21" s="28" t="n">
        <x:v>7</x:v>
      </x:c>
      <x:c r="C21" s="28" t="n">
        <x:f>'Inputs'!$B$13+SUM('Daily Ledger'!V485:V491)</x:f>
        <x:v>51</x:v>
      </x:c>
      <x:c r="D21" s="28" t="n">
        <x:v>35</x:v>
      </x:c>
      <x:c r="E21" s="28" t="n">
        <x:f>C21-D21</x:f>
        <x:v>16</x:v>
      </x:c>
      <x:c r="F21" s="28" t="n">
        <x:f>SUM('Daily Ledger'!W485:W491)</x:f>
        <x:v>18</x:v>
      </x:c>
      <x:c r="G21" s="28" t="n">
        <x:f>C21-F21</x:f>
        <x:v>33</x:v>
      </x:c>
      <x:c r="H21" s="28" t="n">
        <x:f>'Daily Ledger'!U491</x:f>
        <x:v>33</x:v>
      </x:c>
      <x:c r="I21" s="28" t="n">
        <x:f>G21-H21</x:f>
        <x:v>0</x:v>
      </x:c>
      <x:c r="J21" s="28" t="str">
        <x:v>Free sources: level grants, 2/week, one-time chapters, 4/event. Assumes actor completes these; not a guaranteed login allowance.</x:v>
      </x:c>
    </x:row>
    <x:row r="22" ht="54" customHeight="1">
      <x:c r="A22" s="28" t="str">
        <x:v>Light payer</x:v>
      </x:c>
      <x:c r="B22" s="28" t="n">
        <x:v>30</x:v>
      </x:c>
      <x:c r="C22" s="28" t="n">
        <x:f>'Inputs'!$B$13+SUM('Daily Ledger'!V485:V514)</x:f>
        <x:v>76</x:v>
      </x:c>
      <x:c r="D22" s="28" t="n">
        <x:v>35</x:v>
      </x:c>
      <x:c r="E22" s="28" t="n">
        <x:f>C22-D22</x:f>
        <x:v>41</x:v>
      </x:c>
      <x:c r="F22" s="28" t="n">
        <x:f>SUM('Daily Ledger'!W485:W514)</x:f>
        <x:v>18</x:v>
      </x:c>
      <x:c r="G22" s="28" t="n">
        <x:f>C22-F22</x:f>
        <x:v>58</x:v>
      </x:c>
      <x:c r="H22" s="28" t="n">
        <x:f>'Daily Ledger'!U514</x:f>
        <x:v>58</x:v>
      </x:c>
      <x:c r="I22" s="28" t="n">
        <x:f>G22-H22</x:f>
        <x:v>0</x:v>
      </x:c>
      <x:c r="J22" s="28" t="str">
        <x:v>Free sources: level grants, 2/week, one-time chapters, 4/event. Assumes actor completes these; not a guaranteed login allowance.</x:v>
      </x:c>
    </x:row>
    <x:row r="23" ht="54" customHeight="1">
      <x:c r="A23" s="28" t="str">
        <x:v>Light payer</x:v>
      </x:c>
      <x:c r="B23" s="28" t="n">
        <x:v>90</x:v>
      </x:c>
      <x:c r="C23" s="28" t="n">
        <x:f>'Inputs'!$B$13+SUM('Daily Ledger'!V485:V574)</x:f>
        <x:v>122</x:v>
      </x:c>
      <x:c r="D23" s="28" t="n">
        <x:v>35</x:v>
      </x:c>
      <x:c r="E23" s="28" t="n">
        <x:f>C23-D23</x:f>
        <x:v>87</x:v>
      </x:c>
      <x:c r="F23" s="28" t="n">
        <x:f>SUM('Daily Ledger'!W485:W574)</x:f>
        <x:v>18</x:v>
      </x:c>
      <x:c r="G23" s="28" t="n">
        <x:f>C23-F23</x:f>
        <x:v>104</x:v>
      </x:c>
      <x:c r="H23" s="28" t="n">
        <x:f>'Daily Ledger'!U574</x:f>
        <x:v>104</x:v>
      </x:c>
      <x:c r="I23" s="28" t="n">
        <x:f>G23-H23</x:f>
        <x:v>0</x:v>
      </x:c>
      <x:c r="J23" s="28" t="str">
        <x:v>Free sources: level grants, 2/week, one-time chapters, 4/event. Assumes actor completes these; not a guaranteed login allowance.</x:v>
      </x:c>
    </x:row>
    <x:row r="24" ht="54" customHeight="1">
      <x:c r="A24" s="28" t="str">
        <x:v>Light payer</x:v>
      </x:c>
      <x:c r="B24" s="28" t="n">
        <x:v>120</x:v>
      </x:c>
      <x:c r="C24" s="28" t="n">
        <x:f>'Inputs'!$B$13+SUM('Daily Ledger'!V485:V604)</x:f>
        <x:v>141</x:v>
      </x:c>
      <x:c r="D24" s="28" t="n">
        <x:v>35</x:v>
      </x:c>
      <x:c r="E24" s="28" t="n">
        <x:f>C24-D24</x:f>
        <x:v>106</x:v>
      </x:c>
      <x:c r="F24" s="28" t="n">
        <x:f>SUM('Daily Ledger'!W485:W604)</x:f>
        <x:v>18</x:v>
      </x:c>
      <x:c r="G24" s="28" t="n">
        <x:f>C24-F24</x:f>
        <x:v>123</x:v>
      </x:c>
      <x:c r="H24" s="28" t="n">
        <x:f>'Daily Ledger'!U604</x:f>
        <x:v>123</x:v>
      </x:c>
      <x:c r="I24" s="28" t="n">
        <x:f>G24-H24</x:f>
        <x:v>0</x:v>
      </x:c>
      <x:c r="J24" s="28" t="str">
        <x:v>Free sources: level grants, 2/week, one-time chapters, 4/event. Assumes actor completes these; not a guaranteed login allowance.</x:v>
      </x:c>
    </x:row>
    <x:row r="25" ht="54" customHeight="1">
      <x:c r="A25" s="28" t="str">
        <x:v>Ad-supported</x:v>
      </x:c>
      <x:c r="B25" s="28" t="n">
        <x:v>7</x:v>
      </x:c>
      <x:c r="C25" s="28" t="n">
        <x:f>'Inputs'!$B$13+SUM('Daily Ledger'!V605:V611)</x:f>
        <x:v>16</x:v>
      </x:c>
      <x:c r="D25" s="28" t="n">
        <x:v>0</x:v>
      </x:c>
      <x:c r="E25" s="28" t="n">
        <x:f>C25-D25</x:f>
        <x:v>16</x:v>
      </x:c>
      <x:c r="F25" s="28" t="n">
        <x:f>SUM('Daily Ledger'!W605:W611)</x:f>
        <x:v>0</x:v>
      </x:c>
      <x:c r="G25" s="28" t="n">
        <x:f>C25-F25</x:f>
        <x:v>16</x:v>
      </x:c>
      <x:c r="H25" s="28" t="n">
        <x:f>'Daily Ledger'!U611</x:f>
        <x:v>16</x:v>
      </x:c>
      <x:c r="I25" s="28" t="n">
        <x:f>G25-H25</x:f>
        <x:v>0</x:v>
      </x:c>
      <x:c r="J25" s="28" t="str">
        <x:v>Free sources: level grants, 2/week, one-time chapters, 4/event. Assumes actor completes these; not a guaranteed login allowance.</x:v>
      </x:c>
    </x:row>
    <x:row r="26" ht="54" customHeight="1">
      <x:c r="A26" s="28" t="str">
        <x:v>Ad-supported</x:v>
      </x:c>
      <x:c r="B26" s="28" t="n">
        <x:v>30</x:v>
      </x:c>
      <x:c r="C26" s="28" t="n">
        <x:f>'Inputs'!$B$13+SUM('Daily Ledger'!V605:V634)</x:f>
        <x:v>41</x:v>
      </x:c>
      <x:c r="D26" s="28" t="n">
        <x:v>0</x:v>
      </x:c>
      <x:c r="E26" s="28" t="n">
        <x:f>C26-D26</x:f>
        <x:v>41</x:v>
      </x:c>
      <x:c r="F26" s="28" t="n">
        <x:f>SUM('Daily Ledger'!W605:W634)</x:f>
        <x:v>0</x:v>
      </x:c>
      <x:c r="G26" s="28" t="n">
        <x:f>C26-F26</x:f>
        <x:v>41</x:v>
      </x:c>
      <x:c r="H26" s="28" t="n">
        <x:f>'Daily Ledger'!U634</x:f>
        <x:v>41</x:v>
      </x:c>
      <x:c r="I26" s="28" t="n">
        <x:f>G26-H26</x:f>
        <x:v>0</x:v>
      </x:c>
      <x:c r="J26" s="28" t="str">
        <x:v>Free sources: level grants, 2/week, one-time chapters, 4/event. Assumes actor completes these; not a guaranteed login allowance.</x:v>
      </x:c>
    </x:row>
    <x:row r="27" ht="54" customHeight="1">
      <x:c r="A27" s="28" t="str">
        <x:v>Ad-supported</x:v>
      </x:c>
      <x:c r="B27" s="28" t="n">
        <x:v>90</x:v>
      </x:c>
      <x:c r="C27" s="28" t="n">
        <x:f>'Inputs'!$B$13+SUM('Daily Ledger'!V605:V694)</x:f>
        <x:v>87</x:v>
      </x:c>
      <x:c r="D27" s="28" t="n">
        <x:v>0</x:v>
      </x:c>
      <x:c r="E27" s="28" t="n">
        <x:f>C27-D27</x:f>
        <x:v>87</x:v>
      </x:c>
      <x:c r="F27" s="28" t="n">
        <x:f>SUM('Daily Ledger'!W605:W694)</x:f>
        <x:v>0</x:v>
      </x:c>
      <x:c r="G27" s="28" t="n">
        <x:f>C27-F27</x:f>
        <x:v>87</x:v>
      </x:c>
      <x:c r="H27" s="28" t="n">
        <x:f>'Daily Ledger'!U694</x:f>
        <x:v>87</x:v>
      </x:c>
      <x:c r="I27" s="28" t="n">
        <x:f>G27-H27</x:f>
        <x:v>0</x:v>
      </x:c>
      <x:c r="J27" s="28" t="str">
        <x:v>Free sources: level grants, 2/week, one-time chapters, 4/event. Assumes actor completes these; not a guaranteed login allowance.</x:v>
      </x:c>
    </x:row>
    <x:row r="28" ht="54" customHeight="1">
      <x:c r="A28" s="28" t="str">
        <x:v>Ad-supported</x:v>
      </x:c>
      <x:c r="B28" s="28" t="n">
        <x:v>120</x:v>
      </x:c>
      <x:c r="C28" s="28" t="n">
        <x:f>'Inputs'!$B$13+SUM('Daily Ledger'!V605:V724)</x:f>
        <x:v>106</x:v>
      </x:c>
      <x:c r="D28" s="28" t="n">
        <x:v>0</x:v>
      </x:c>
      <x:c r="E28" s="28" t="n">
        <x:f>C28-D28</x:f>
        <x:v>106</x:v>
      </x:c>
      <x:c r="F28" s="28" t="n">
        <x:f>SUM('Daily Ledger'!W605:W724)</x:f>
        <x:v>0</x:v>
      </x:c>
      <x:c r="G28" s="28" t="n">
        <x:f>C28-F28</x:f>
        <x:v>106</x:v>
      </x:c>
      <x:c r="H28" s="28" t="n">
        <x:f>'Daily Ledger'!U724</x:f>
        <x:v>106</x:v>
      </x:c>
      <x:c r="I28" s="28" t="n">
        <x:f>G28-H28</x:f>
        <x:v>0</x:v>
      </x:c>
      <x:c r="J28" s="28" t="str">
        <x:v>Free sources: level grants, 2/week, one-time chapters, 4/event. Assumes actor completes these; not a guaranteed login allowance.</x:v>
      </x:c>
    </x:row>
    <x:row r="29" ht="54" customHeight="1">
      <x:c r="A29" s="28" t="str">
        <x:v>Returning F2P</x:v>
      </x:c>
      <x:c r="B29" s="28" t="n">
        <x:v>7</x:v>
      </x:c>
      <x:c r="C29" s="28" t="n">
        <x:f>'Inputs'!$B$13+SUM('Daily Ledger'!V725:V731)</x:f>
        <x:v>16</x:v>
      </x:c>
      <x:c r="D29" s="28" t="n">
        <x:v>0</x:v>
      </x:c>
      <x:c r="E29" s="28" t="n">
        <x:f>C29-D29</x:f>
        <x:v>16</x:v>
      </x:c>
      <x:c r="F29" s="28" t="n">
        <x:f>SUM('Daily Ledger'!W725:W731)</x:f>
        <x:v>0</x:v>
      </x:c>
      <x:c r="G29" s="28" t="n">
        <x:f>C29-F29</x:f>
        <x:v>16</x:v>
      </x:c>
      <x:c r="H29" s="28" t="n">
        <x:f>'Daily Ledger'!U731</x:f>
        <x:v>16</x:v>
      </x:c>
      <x:c r="I29" s="28" t="n">
        <x:f>G29-H29</x:f>
        <x:v>0</x:v>
      </x:c>
      <x:c r="J29" s="28" t="str">
        <x:v>Free sources: level grants, 2/week, one-time chapters, 4/event. Assumes actor completes these; not a guaranteed login allowance.</x:v>
      </x:c>
    </x:row>
    <x:row r="30" ht="54" customHeight="1">
      <x:c r="A30" s="28" t="str">
        <x:v>Returning F2P</x:v>
      </x:c>
      <x:c r="B30" s="28" t="n">
        <x:v>30</x:v>
      </x:c>
      <x:c r="C30" s="28" t="n">
        <x:f>'Inputs'!$B$13+SUM('Daily Ledger'!V725:V754)</x:f>
        <x:v>38</x:v>
      </x:c>
      <x:c r="D30" s="28" t="n">
        <x:v>0</x:v>
      </x:c>
      <x:c r="E30" s="28" t="n">
        <x:f>C30-D30</x:f>
        <x:v>38</x:v>
      </x:c>
      <x:c r="F30" s="28" t="n">
        <x:f>SUM('Daily Ledger'!W725:W754)</x:f>
        <x:v>0</x:v>
      </x:c>
      <x:c r="G30" s="28" t="n">
        <x:f>C30-F30</x:f>
        <x:v>38</x:v>
      </x:c>
      <x:c r="H30" s="28" t="n">
        <x:f>'Daily Ledger'!U754</x:f>
        <x:v>38</x:v>
      </x:c>
      <x:c r="I30" s="28" t="n">
        <x:f>G30-H30</x:f>
        <x:v>0</x:v>
      </x:c>
      <x:c r="J30" s="28" t="str">
        <x:v>Free sources: level grants, 2/week, one-time chapters, 4/event. Assumes actor completes these; not a guaranteed login allowance.</x:v>
      </x:c>
    </x:row>
    <x:row r="31" ht="54" customHeight="1">
      <x:c r="A31" s="28" t="str">
        <x:v>Returning F2P</x:v>
      </x:c>
      <x:c r="B31" s="28" t="n">
        <x:v>90</x:v>
      </x:c>
      <x:c r="C31" s="28" t="n">
        <x:f>'Inputs'!$B$13+SUM('Daily Ledger'!V725:V814)</x:f>
        <x:v>85</x:v>
      </x:c>
      <x:c r="D31" s="28" t="n">
        <x:v>0</x:v>
      </x:c>
      <x:c r="E31" s="28" t="n">
        <x:f>C31-D31</x:f>
        <x:v>85</x:v>
      </x:c>
      <x:c r="F31" s="28" t="n">
        <x:f>SUM('Daily Ledger'!W725:W814)</x:f>
        <x:v>0</x:v>
      </x:c>
      <x:c r="G31" s="28" t="n">
        <x:f>C31-F31</x:f>
        <x:v>85</x:v>
      </x:c>
      <x:c r="H31" s="28" t="n">
        <x:f>'Daily Ledger'!U814</x:f>
        <x:v>85</x:v>
      </x:c>
      <x:c r="I31" s="28" t="n">
        <x:f>G31-H31</x:f>
        <x:v>0</x:v>
      </x:c>
      <x:c r="J31" s="28" t="str">
        <x:v>Free sources: level grants, 2/week, one-time chapters, 4/event. Assumes actor completes these; not a guaranteed login allowance.</x:v>
      </x:c>
    </x:row>
    <x:row r="32" ht="54" customHeight="1">
      <x:c r="A32" s="28" t="str">
        <x:v>Returning F2P</x:v>
      </x:c>
      <x:c r="B32" s="28" t="n">
        <x:v>120</x:v>
      </x:c>
      <x:c r="C32" s="28" t="n">
        <x:f>'Inputs'!$B$13+SUM('Daily Ledger'!V725:V844)</x:f>
        <x:v>104</x:v>
      </x:c>
      <x:c r="D32" s="28" t="n">
        <x:v>0</x:v>
      </x:c>
      <x:c r="E32" s="28" t="n">
        <x:f>C32-D32</x:f>
        <x:v>104</x:v>
      </x:c>
      <x:c r="F32" s="28" t="n">
        <x:f>SUM('Daily Ledger'!W725:W844)</x:f>
        <x:v>0</x:v>
      </x:c>
      <x:c r="G32" s="28" t="n">
        <x:f>C32-F32</x:f>
        <x:v>104</x:v>
      </x:c>
      <x:c r="H32" s="28" t="n">
        <x:f>'Daily Ledger'!U844</x:f>
        <x:v>104</x:v>
      </x:c>
      <x:c r="I32" s="28" t="n">
        <x:f>G32-H32</x:f>
        <x:v>0</x:v>
      </x:c>
      <x:c r="J32" s="28" t="str">
        <x:v>Free sources: level grants, 2/week, one-time chapters, 4/event. Assumes actor completes these; not a guaranteed login allowance.</x:v>
      </x:c>
    </x:row>
    <x:row r="33" ht="54" customHeight="1">
      <x:c r="A33" s="28" t="str">
        <x:v>Paid capacity ceiling</x:v>
      </x:c>
      <x:c r="B33" s="28" t="n">
        <x:v>7</x:v>
      </x:c>
      <x:c r="C33" s="28" t="n">
        <x:f>'Inputs'!$B$13+SUM('Daily Ledger'!V845:V851)</x:f>
        <x:v>136</x:v>
      </x:c>
      <x:c r="D33" s="28" t="n">
        <x:v>120</x:v>
      </x:c>
      <x:c r="E33" s="28" t="n">
        <x:f>C33-D33</x:f>
        <x:v>16</x:v>
      </x:c>
      <x:c r="F33" s="28" t="n">
        <x:f>SUM('Daily Ledger'!W845:W851)</x:f>
        <x:v>33</x:v>
      </x:c>
      <x:c r="G33" s="28" t="n">
        <x:f>C33-F33</x:f>
        <x:v>103</x:v>
      </x:c>
      <x:c r="H33" s="28" t="n">
        <x:f>'Daily Ledger'!U851</x:f>
        <x:v>103</x:v>
      </x:c>
      <x:c r="I33" s="28" t="n">
        <x:f>G33-H33</x:f>
        <x:v>0</x:v>
      </x:c>
      <x:c r="J33" s="28" t="str">
        <x:v>Free sources: level grants, 2/week, one-time chapters, 4/event. Assumes actor completes these; not a guaranteed login allowance.</x:v>
      </x:c>
    </x:row>
    <x:row r="34" ht="54" customHeight="1">
      <x:c r="A34" s="28" t="str">
        <x:v>Paid capacity ceiling</x:v>
      </x:c>
      <x:c r="B34" s="28" t="n">
        <x:v>30</x:v>
      </x:c>
      <x:c r="C34" s="28" t="n">
        <x:f>'Inputs'!$B$13+SUM('Daily Ledger'!V845:V874)</x:f>
        <x:v>281</x:v>
      </x:c>
      <x:c r="D34" s="28" t="n">
        <x:v>240</x:v>
      </x:c>
      <x:c r="E34" s="28" t="n">
        <x:f>C34-D34</x:f>
        <x:v>41</x:v>
      </x:c>
      <x:c r="F34" s="28" t="n">
        <x:f>SUM('Daily Ledger'!W845:W874)</x:f>
        <x:v>168</x:v>
      </x:c>
      <x:c r="G34" s="28" t="n">
        <x:f>C34-F34</x:f>
        <x:v>113</x:v>
      </x:c>
      <x:c r="H34" s="28" t="n">
        <x:f>'Daily Ledger'!U874</x:f>
        <x:v>113</x:v>
      </x:c>
      <x:c r="I34" s="28" t="n">
        <x:f>G34-H34</x:f>
        <x:v>0</x:v>
      </x:c>
      <x:c r="J34" s="28" t="str">
        <x:v>Free sources: level grants, 2/week, one-time chapters, 4/event. Assumes actor completes these; not a guaranteed login allowance.</x:v>
      </x:c>
    </x:row>
    <x:row r="35" ht="54" customHeight="1">
      <x:c r="A35" s="28" t="str">
        <x:v>Paid capacity ceiling</x:v>
      </x:c>
      <x:c r="B35" s="28" t="n">
        <x:v>90</x:v>
      </x:c>
      <x:c r="C35" s="28" t="n">
        <x:f>'Inputs'!$B$13+SUM('Daily Ledger'!V845:V934)</x:f>
        <x:v>567</x:v>
      </x:c>
      <x:c r="D35" s="28" t="n">
        <x:v>480</x:v>
      </x:c>
      <x:c r="E35" s="28" t="n">
        <x:f>C35-D35</x:f>
        <x:v>87</x:v>
      </x:c>
      <x:c r="F35" s="28" t="n">
        <x:f>SUM('Daily Ledger'!W845:W934)</x:f>
        <x:v>553</x:v>
      </x:c>
      <x:c r="G35" s="28" t="n">
        <x:f>C35-F35</x:f>
        <x:v>14</x:v>
      </x:c>
      <x:c r="H35" s="28" t="n">
        <x:f>'Daily Ledger'!U934</x:f>
        <x:v>14</x:v>
      </x:c>
      <x:c r="I35" s="28" t="n">
        <x:f>G35-H35</x:f>
        <x:v>0</x:v>
      </x:c>
      <x:c r="J35" s="28" t="str">
        <x:v>Free sources: level grants, 2/week, one-time chapters, 4/event. Assumes actor completes these; not a guaranteed login allowance.</x:v>
      </x:c>
    </x:row>
    <x:row r="36" ht="54" customHeight="1">
      <x:c r="A36" s="28" t="str">
        <x:v>Paid capacity ceiling</x:v>
      </x:c>
      <x:c r="B36" s="28" t="n">
        <x:v>120</x:v>
      </x:c>
      <x:c r="C36" s="28" t="n">
        <x:f>'Inputs'!$B$13+SUM('Daily Ledger'!V845:V964)</x:f>
        <x:v>706</x:v>
      </x:c>
      <x:c r="D36" s="28" t="n">
        <x:v>600</x:v>
      </x:c>
      <x:c r="E36" s="28" t="n">
        <x:f>C36-D36</x:f>
        <x:v>106</x:v>
      </x:c>
      <x:c r="F36" s="28" t="n">
        <x:f>SUM('Daily Ledger'!W845:W964)</x:f>
        <x:v>638</x:v>
      </x:c>
      <x:c r="G36" s="28" t="n">
        <x:f>C36-F36</x:f>
        <x:v>68</x:v>
      </x:c>
      <x:c r="H36" s="28" t="n">
        <x:f>'Daily Ledger'!U964</x:f>
        <x:v>68</x:v>
      </x:c>
      <x:c r="I36" s="28" t="n">
        <x:f>G36-H36</x:f>
        <x:v>0</x:v>
      </x:c>
      <x:c r="J36" s="28" t="str">
        <x:v>Free sources: level grants, 2/week, one-time chapters, 4/event. Assumes actor completes these; not a guaranteed login allowance.</x:v>
      </x:c>
    </x:row>
  </x:sheetData>
  <x:mergeCells>
    <x:mergeCell ref="A1:J1"/>
    <x:mergeCell ref="A2:J2"/>
  </x:mergeCells>
  <x:pageMargins left="0.7" right="0.7" top="0.75" bottom="0.75" header="0.3" footer="0.3"/>
  <x:tableParts count="1">
    <x:tablePart xmlns:r="http://schemas.openxmlformats.org/officeDocument/2006/relationships" r:id="Rafc16643bc7d460d"/>
  </x:tableParts>
</x:worksheet>
</file>

<file path=xl/worksheets/sheet20.xml><?xml version="1.0" encoding="utf-8"?>
<x:worksheet xmlns:x="http://schemas.openxmlformats.org/spreadsheetml/2006/main">
  <x:sheetFormatPr defaultRowHeight="15"/>
  <x:cols>
    <x:col min="1" max="1" width="14" hidden="0" customWidth="1"/>
    <x:col min="2" max="2" width="29" hidden="0" customWidth="1"/>
    <x:col min="3" max="3" width="16" hidden="0" customWidth="1"/>
    <x:col min="4" max="4" width="25" hidden="0" customWidth="1"/>
    <x:col min="5" max="5" width="20" hidden="0" customWidth="1"/>
    <x:col min="6" max="6" width="16" hidden="0" customWidth="1"/>
    <x:col min="7" max="7" width="14" hidden="0" customWidth="1"/>
    <x:col min="8" max="8" width="15" hidden="0" customWidth="1"/>
    <x:col min="9" max="9" width="22" hidden="0" customWidth="1"/>
    <x:col min="10" max="10" width="21" hidden="0" customWidth="1"/>
    <x:col min="11" max="11" width="20" hidden="0" customWidth="1"/>
    <x:col min="12" max="12" width="18" hidden="0" customWidth="1"/>
    <x:col min="13" max="13" width="18" hidden="0" customWidth="1"/>
    <x:col min="14" max="14" width="17" hidden="0" customWidth="1"/>
    <x:col min="15" max="15" width="13" hidden="0" customWidth="1"/>
    <x:col min="16" max="16" width="13" hidden="0" customWidth="1"/>
    <x:col min="17" max="17" width="15" hidden="0" customWidth="1"/>
    <x:col min="18" max="18" width="18" hidden="0" customWidth="1"/>
    <x:col min="19" max="19" width="25" hidden="0" customWidth="1"/>
    <x:col min="20" max="20" width="22" hidden="0" customWidth="1"/>
    <x:col min="21" max="21" width="18" hidden="0" customWidth="1"/>
    <x:col min="22" max="22" width="25" hidden="0" customWidth="1"/>
    <x:col min="23" max="23" width="20" hidden="0" customWidth="1"/>
    <x:col min="24" max="24" width="31" hidden="0" customWidth="1"/>
  </x:cols>
  <x:sheetData>
    <x:row r="1" ht="34" customHeight="1">
      <x:c r="A1" s="6" t="str">
        <x:v>PLANTS &amp; DECOR • 120 PERMANENT COSMETICS</x:v>
      </x:c>
      <x:c r="B1" s="6"/>
      <x:c r="C1" s="6"/>
      <x:c r="D1" s="6"/>
      <x:c r="E1" s="6"/>
      <x:c r="F1" s="6"/>
      <x:c r="G1" s="6"/>
      <x:c r="H1" s="6"/>
      <x:c r="I1" s="6"/>
      <x:c r="J1" s="6"/>
      <x:c r="K1" s="6"/>
      <x:c r="L1" s="6"/>
      <x:c r="M1" s="6"/>
      <x:c r="N1" s="6"/>
      <x:c r="O1" s="6"/>
      <x:c r="P1" s="6"/>
      <x:c r="Q1" s="6"/>
      <x:c r="R1" s="6"/>
      <x:c r="S1" s="6"/>
      <x:c r="T1" s="6"/>
      <x:c r="U1" s="6"/>
      <x:c r="V1" s="6"/>
      <x:c r="W1" s="6"/>
      <x:c r="X1" s="6"/>
    </x:row>
    <x:row r="2" ht="32" customHeight="1">
      <x:c r="A2" s="13" t="str">
        <x:v>All original IDs and art designs retained. Price is integrated with reference income; purchase XP removed. Copy ownership, per-tank distinct-ID score and render caps are separate concepts.</x:v>
      </x:c>
      <x:c r="B2" s="13"/>
      <x:c r="C2" s="13"/>
      <x:c r="D2" s="13"/>
      <x:c r="E2" s="13"/>
      <x:c r="F2" s="13"/>
      <x:c r="G2" s="13"/>
      <x:c r="H2" s="13"/>
      <x:c r="I2" s="13"/>
      <x:c r="J2" s="13"/>
      <x:c r="K2" s="13"/>
      <x:c r="L2" s="13"/>
      <x:c r="M2" s="13"/>
      <x:c r="N2" s="13"/>
      <x:c r="O2" s="13"/>
      <x:c r="P2" s="13"/>
      <x:c r="Q2" s="13"/>
      <x:c r="R2" s="13"/>
      <x:c r="S2" s="13"/>
      <x:c r="T2" s="13"/>
      <x:c r="U2" s="13"/>
      <x:c r="V2" s="13"/>
      <x:c r="W2" s="13"/>
      <x:c r="X2" s="13"/>
    </x:row>
    <x:row r="3">
      <x:c r="A3" s="2"/>
      <x:c r="B3" s="2"/>
      <x:c r="C3" s="2"/>
      <x:c r="D3" s="2"/>
      <x:c r="E3" s="2"/>
      <x:c r="F3" s="2"/>
      <x:c r="G3" s="2"/>
      <x:c r="H3" s="2"/>
      <x:c r="I3" s="2"/>
      <x:c r="J3" s="2"/>
      <x:c r="K3" s="2"/>
      <x:c r="L3" s="2"/>
      <x:c r="M3" s="2"/>
      <x:c r="N3" s="2"/>
      <x:c r="O3" s="2"/>
      <x:c r="P3" s="2"/>
      <x:c r="Q3" s="2"/>
      <x:c r="R3" s="2"/>
      <x:c r="S3" s="2"/>
      <x:c r="T3" s="2"/>
      <x:c r="U3" s="2"/>
      <x:c r="V3" s="2"/>
      <x:c r="W3" s="2"/>
      <x:c r="X3" s="2"/>
    </x:row>
    <x:row r="4" ht="32" customHeight="1">
      <x:c r="A4" s="21" t="str">
        <x:v>ID</x:v>
      </x:c>
      <x:c r="B4" s="21" t="str">
        <x:v>Item</x:v>
      </x:c>
      <x:c r="C4" s="21" t="str">
        <x:v>Category</x:v>
      </x:c>
      <x:c r="D4" s="21" t="str">
        <x:v>Collection / theme</x:v>
      </x:c>
      <x:c r="E4" s="21" t="str">
        <x:v>Edition</x:v>
      </x:c>
      <x:c r="F4" s="21" t="str">
        <x:v>Rarity</x:v>
      </x:c>
      <x:c r="G4" s="21" t="str">
        <x:v>Unlock level</x:v>
      </x:c>
      <x:c r="H4" s="21" t="str">
        <x:v>Currency</x:v>
      </x:c>
      <x:c r="I4" s="21" t="str">
        <x:v>Price override (0=auto)</x:v>
      </x:c>
      <x:c r="J4" s="21" t="str">
        <x:v>Coin price / ref day</x:v>
      </x:c>
      <x:c r="K4" s="21" t="str">
        <x:v>Pearl price input</x:v>
      </x:c>
      <x:c r="L4" s="21" t="str">
        <x:v>Final price</x:v>
      </x:c>
      <x:c r="M4" s="21" t="str">
        <x:v>Purchase XP</x:v>
      </x:c>
      <x:c r="N4" s="21" t="str">
        <x:v>Decor Score</x:v>
      </x:c>
      <x:c r="O4" s="21" t="str">
        <x:v>Width U</x:v>
      </x:c>
      <x:c r="P4" s="21" t="str">
        <x:v>Height U</x:v>
      </x:c>
      <x:c r="Q4" s="21" t="str">
        <x:v>Size</x:v>
      </x:c>
      <x:c r="R4" s="21" t="str">
        <x:v>Layer</x:v>
      </x:c>
      <x:c r="S4" s="21" t="str">
        <x:v>Event</x:v>
      </x:c>
      <x:c r="T4" s="21" t="str">
        <x:v>Release gate</x:v>
      </x:c>
      <x:c r="U4" s="21" t="str">
        <x:v>Original price</x:v>
      </x:c>
      <x:c r="V4" s="21" t="str">
        <x:v>Subcategory</x:v>
      </x:c>
      <x:c r="W4" s="21" t="str">
        <x:v>Formula check</x:v>
      </x:c>
      <x:c r="X4" s="21" t="str">
        <x:v>Original source</x:v>
      </x:c>
    </x:row>
    <x:row r="5" ht="48" customHeight="1">
      <x:c r="A5" s="28" t="str">
        <x:v>CP-01</x:v>
      </x:c>
      <x:c r="B5" s="28" t="str">
        <x:v>Pebble Moss Tuft</x:v>
      </x:c>
      <x:c r="C5" s="28" t="str">
        <x:v>Plant</x:v>
      </x:c>
      <x:c r="D5" s="28" t="str">
        <x:v>Freshwater Garden</x:v>
      </x:c>
      <x:c r="E5" s="28" t="str">
        <x:v>Coin</x:v>
      </x:c>
      <x:c r="F5" s="28" t="str">
        <x:v>Common</x:v>
      </x:c>
      <x:c r="G5" s="32" t="n">
        <x:v>1</x:v>
      </x:c>
      <x:c r="H5" s="28" t="str">
        <x:v>Coins</x:v>
      </x:c>
      <x:c r="I5" s="32" t="n">
        <x:v>25</x:v>
      </x:c>
      <x:c r="J5" s="42" t="n">
        <x:v>0.0225</x:v>
      </x:c>
      <x:c r="K5" s="32" t="n">
        <x:v>6</x:v>
      </x:c>
      <x:c r="L5" s="38" t="n">
        <x:f>IF(I5&gt;0,I5,IF(H5="Coins",MAX($I$5,ROUND(VLOOKUP(G5,'XP &amp; Unlocks'!$A$5:$N$74,4,FALSE)*J5/5,0)*5),K5))</x:f>
        <x:v>25</x:v>
      </x:c>
      <x:c r="M5" s="28" t="n">
        <x:f>'Inputs'!$B$35</x:f>
        <x:v>0</x:v>
      </x:c>
      <x:c r="N5" s="28" t="n">
        <x:f>IF(Q5="Small",'Inputs'!$B$36,IF(Q5="Medium",'Inputs'!$B$37,IF(Q5="Large",'Inputs'!$B$38,'Inputs'!$B$39)))</x:f>
        <x:v>10</x:v>
      </x:c>
      <x:c r="O5" s="34" t="n">
        <x:v>0.9</x:v>
      </x:c>
      <x:c r="P5" s="34" t="n">
        <x:v>0.65</x:v>
      </x:c>
      <x:c r="Q5" s="28" t="str">
        <x:f>IF(MAX(O5,P5)&lt;=1.2,"Small",IF(MAX(O5,P5)&lt;=2,"Medium",IF(MAX(O5,P5)&lt;=3.2,"Large","XL")))</x:f>
        <x:v>Small</x:v>
      </x:c>
      <x:c r="R5" s="28" t="str">
        <x:v>Foreground</x:v>
      </x:c>
      <x:c r="S5" s="28" t="str">
        <x:v>None</x:v>
      </x:c>
      <x:c r="T5" s="28" t="str">
        <x:f>IF(E5="Limited Edition","Event-gated",IF(G5&lt;='Inputs'!$B$5,"Launch","Post-launch"))</x:f>
        <x:v>Launch</x:v>
      </x:c>
      <x:c r="U5" s="28" t="n">
        <x:v>25</x:v>
      </x:c>
      <x:c r="V5" s="28" t="str">
        <x:v>Moss</x:v>
      </x:c>
      <x:c r="W5" s="28" t="str">
        <x:f>IF(AND(L5&gt;0,M5=0,MAX(O5,P5)&lt;=4.5,MIN(O5,P5)&gt;0,OR(H5="Coins",H5="Pearls")),"MODEL OK","REVIEW")</x:f>
        <x:v>MODEL OK</x:v>
      </x:c>
      <x:c r="X5" s="28" t="str">
        <x:v>Decor Catalog!A5:T5</x:v>
      </x:c>
    </x:row>
    <x:row r="6" ht="48" customHeight="1">
      <x:c r="A6" s="28" t="str">
        <x:v>CP-02</x:v>
      </x:c>
      <x:c r="B6" s="28" t="str">
        <x:v>Dwarf Hairgrass Patch</x:v>
      </x:c>
      <x:c r="C6" s="28" t="str">
        <x:v>Plant</x:v>
      </x:c>
      <x:c r="D6" s="28" t="str">
        <x:v>Freshwater Garden</x:v>
      </x:c>
      <x:c r="E6" s="28" t="str">
        <x:v>Coin</x:v>
      </x:c>
      <x:c r="F6" s="28" t="str">
        <x:v>Common</x:v>
      </x:c>
      <x:c r="G6" s="32" t="n">
        <x:v>2</x:v>
      </x:c>
      <x:c r="H6" s="28" t="str">
        <x:v>Coins</x:v>
      </x:c>
      <x:c r="I6" s="32" t="n">
        <x:v>0</x:v>
      </x:c>
      <x:c r="J6" s="42" t="n">
        <x:v>0.0225</x:v>
      </x:c>
      <x:c r="K6" s="32" t="n">
        <x:v>6</x:v>
      </x:c>
      <x:c r="L6" s="38" t="n">
        <x:f>IF(I6&gt;0,I6,IF(H6="Coins",MAX($I$5,ROUND(VLOOKUP(G6,'XP &amp; Unlocks'!$A$5:$N$74,4,FALSE)*J6/5,0)*5),K6))</x:f>
        <x:v>70</x:v>
      </x:c>
      <x:c r="M6" s="28" t="n">
        <x:f>'Inputs'!$B$35</x:f>
        <x:v>0</x:v>
      </x:c>
      <x:c r="N6" s="28" t="n">
        <x:f>IF(Q6="Small",'Inputs'!$B$36,IF(Q6="Medium",'Inputs'!$B$37,IF(Q6="Large",'Inputs'!$B$38,'Inputs'!$B$39)))</x:f>
        <x:v>10</x:v>
      </x:c>
      <x:c r="O6" s="34" t="n">
        <x:v>1.2</x:v>
      </x:c>
      <x:c r="P6" s="34" t="n">
        <x:v>0.8</x:v>
      </x:c>
      <x:c r="Q6" s="28" t="str">
        <x:f>IF(MAX(O6,P6)&lt;=1.2,"Small",IF(MAX(O6,P6)&lt;=2,"Medium",IF(MAX(O6,P6)&lt;=3.2,"Large","XL")))</x:f>
        <x:v>Small</x:v>
      </x:c>
      <x:c r="R6" s="28" t="str">
        <x:v>Foreground</x:v>
      </x:c>
      <x:c r="S6" s="28" t="str">
        <x:v>None</x:v>
      </x:c>
      <x:c r="T6" s="28" t="str">
        <x:f>IF(E6="Limited Edition","Event-gated",IF(G6&lt;='Inputs'!$B$5,"Launch","Post-launch"))</x:f>
        <x:v>Launch</x:v>
      </x:c>
      <x:c r="U6" s="28" t="n">
        <x:v>40</x:v>
      </x:c>
      <x:c r="V6" s="28" t="str">
        <x:v>Carpet Plant</x:v>
      </x:c>
      <x:c r="W6" s="28" t="str">
        <x:f>IF(AND(L6&gt;0,M6=0,MAX(O6,P6)&lt;=4.5,MIN(O6,P6)&gt;0,OR(H6="Coins",H6="Pearls")),"MODEL OK","REVIEW")</x:f>
        <x:v>MODEL OK</x:v>
      </x:c>
      <x:c r="X6" s="28" t="str">
        <x:v>Decor Catalog!A6:T6</x:v>
      </x:c>
    </x:row>
    <x:row r="7" ht="48" customHeight="1">
      <x:c r="A7" s="28" t="str">
        <x:v>CP-03</x:v>
      </x:c>
      <x:c r="B7" s="28" t="str">
        <x:v>Anubias Petite</x:v>
      </x:c>
      <x:c r="C7" s="28" t="str">
        <x:v>Plant</x:v>
      </x:c>
      <x:c r="D7" s="28" t="str">
        <x:v>Freshwater Garden</x:v>
      </x:c>
      <x:c r="E7" s="28" t="str">
        <x:v>Coin</x:v>
      </x:c>
      <x:c r="F7" s="28" t="str">
        <x:v>Common</x:v>
      </x:c>
      <x:c r="G7" s="32" t="n">
        <x:v>3</x:v>
      </x:c>
      <x:c r="H7" s="28" t="str">
        <x:v>Coins</x:v>
      </x:c>
      <x:c r="I7" s="32" t="n">
        <x:v>0</x:v>
      </x:c>
      <x:c r="J7" s="42" t="n">
        <x:v>0.0225</x:v>
      </x:c>
      <x:c r="K7" s="32" t="n">
        <x:v>6</x:v>
      </x:c>
      <x:c r="L7" s="38" t="n">
        <x:f>IF(I7&gt;0,I7,IF(H7="Coins",MAX($I$5,ROUND(VLOOKUP(G7,'XP &amp; Unlocks'!$A$5:$N$74,4,FALSE)*J7/5,0)*5),K7))</x:f>
        <x:v>110</x:v>
      </x:c>
      <x:c r="M7" s="28" t="n">
        <x:f>'Inputs'!$B$35</x:f>
        <x:v>0</x:v>
      </x:c>
      <x:c r="N7" s="28" t="n">
        <x:f>IF(Q7="Small",'Inputs'!$B$36,IF(Q7="Medium",'Inputs'!$B$37,IF(Q7="Large",'Inputs'!$B$38,'Inputs'!$B$39)))</x:f>
        <x:v>10</x:v>
      </x:c>
      <x:c r="O7" s="34" t="n">
        <x:v>1.1</x:v>
      </x:c>
      <x:c r="P7" s="34" t="n">
        <x:v>1.05</x:v>
      </x:c>
      <x:c r="Q7" s="28" t="str">
        <x:f>IF(MAX(O7,P7)&lt;=1.2,"Small",IF(MAX(O7,P7)&lt;=2,"Medium",IF(MAX(O7,P7)&lt;=3.2,"Large","XL")))</x:f>
        <x:v>Small</x:v>
      </x:c>
      <x:c r="R7" s="28" t="str">
        <x:v>Foreground</x:v>
      </x:c>
      <x:c r="S7" s="28" t="str">
        <x:v>None</x:v>
      </x:c>
      <x:c r="T7" s="28" t="str">
        <x:f>IF(E7="Limited Edition","Event-gated",IF(G7&lt;='Inputs'!$B$5,"Launch","Post-launch"))</x:f>
        <x:v>Launch</x:v>
      </x:c>
      <x:c r="U7" s="28" t="n">
        <x:v>70</x:v>
      </x:c>
      <x:c r="V7" s="28" t="str">
        <x:v>Broadleaf Plant</x:v>
      </x:c>
      <x:c r="W7" s="28" t="str">
        <x:f>IF(AND(L7&gt;0,M7=0,MAX(O7,P7)&lt;=4.5,MIN(O7,P7)&gt;0,OR(H7="Coins",H7="Pearls")),"MODEL OK","REVIEW")</x:f>
        <x:v>MODEL OK</x:v>
      </x:c>
      <x:c r="X7" s="28" t="str">
        <x:v>Decor Catalog!A7:T7</x:v>
      </x:c>
    </x:row>
    <x:row r="8" ht="48" customHeight="1">
      <x:c r="A8" s="28" t="str">
        <x:v>CP-04</x:v>
      </x:c>
      <x:c r="B8" s="28" t="str">
        <x:v>Java Fern Fan</x:v>
      </x:c>
      <x:c r="C8" s="28" t="str">
        <x:v>Plant</x:v>
      </x:c>
      <x:c r="D8" s="28" t="str">
        <x:v>Freshwater Garden</x:v>
      </x:c>
      <x:c r="E8" s="28" t="str">
        <x:v>Coin</x:v>
      </x:c>
      <x:c r="F8" s="28" t="str">
        <x:v>Common</x:v>
      </x:c>
      <x:c r="G8" s="32" t="n">
        <x:v>4</x:v>
      </x:c>
      <x:c r="H8" s="28" t="str">
        <x:v>Coins</x:v>
      </x:c>
      <x:c r="I8" s="32" t="n">
        <x:v>0</x:v>
      </x:c>
      <x:c r="J8" s="42" t="n">
        <x:v>0.06</x:v>
      </x:c>
      <x:c r="K8" s="32" t="n">
        <x:v>10</x:v>
      </x:c>
      <x:c r="L8" s="38" t="n">
        <x:f>IF(I8&gt;0,I8,IF(H8="Coins",MAX($I$5,ROUND(VLOOKUP(G8,'XP &amp; Unlocks'!$A$5:$N$74,4,FALSE)*J8/5,0)*5),K8))</x:f>
        <x:v>305</x:v>
      </x:c>
      <x:c r="M8" s="28" t="n">
        <x:f>'Inputs'!$B$35</x:f>
        <x:v>0</x:v>
      </x:c>
      <x:c r="N8" s="28" t="n">
        <x:f>IF(Q8="Small",'Inputs'!$B$36,IF(Q8="Medium",'Inputs'!$B$37,IF(Q8="Large",'Inputs'!$B$38,'Inputs'!$B$39)))</x:f>
        <x:v>20</x:v>
      </x:c>
      <x:c r="O8" s="34" t="n">
        <x:v>1.5</x:v>
      </x:c>
      <x:c r="P8" s="34" t="n">
        <x:v>1.9</x:v>
      </x:c>
      <x:c r="Q8" s="28" t="str">
        <x:f>IF(MAX(O8,P8)&lt;=1.2,"Small",IF(MAX(O8,P8)&lt;=2,"Medium",IF(MAX(O8,P8)&lt;=3.2,"Large","XL")))</x:f>
        <x:v>Medium</x:v>
      </x:c>
      <x:c r="R8" s="28" t="str">
        <x:v>Midground</x:v>
      </x:c>
      <x:c r="S8" s="28" t="str">
        <x:v>None</x:v>
      </x:c>
      <x:c r="T8" s="28" t="str">
        <x:f>IF(E8="Limited Edition","Event-gated",IF(G8&lt;='Inputs'!$B$5,"Launch","Post-launch"))</x:f>
        <x:v>Launch</x:v>
      </x:c>
      <x:c r="U8" s="28" t="n">
        <x:v>90</x:v>
      </x:c>
      <x:c r="V8" s="28" t="str">
        <x:v>Fern</x:v>
      </x:c>
      <x:c r="W8" s="28" t="str">
        <x:f>IF(AND(L8&gt;0,M8=0,MAX(O8,P8)&lt;=4.5,MIN(O8,P8)&gt;0,OR(H8="Coins",H8="Pearls")),"MODEL OK","REVIEW")</x:f>
        <x:v>MODEL OK</x:v>
      </x:c>
      <x:c r="X8" s="28" t="str">
        <x:v>Decor Catalog!A8:T8</x:v>
      </x:c>
    </x:row>
    <x:row r="9" ht="48" customHeight="1">
      <x:c r="A9" s="28" t="str">
        <x:v>CP-05</x:v>
      </x:c>
      <x:c r="B9" s="28" t="str">
        <x:v>Bacopa Bubbleleaf</x:v>
      </x:c>
      <x:c r="C9" s="28" t="str">
        <x:v>Plant</x:v>
      </x:c>
      <x:c r="D9" s="28" t="str">
        <x:v>Freshwater Garden</x:v>
      </x:c>
      <x:c r="E9" s="28" t="str">
        <x:v>Coin</x:v>
      </x:c>
      <x:c r="F9" s="28" t="str">
        <x:v>Common</x:v>
      </x:c>
      <x:c r="G9" s="32" t="n">
        <x:v>5</x:v>
      </x:c>
      <x:c r="H9" s="28" t="str">
        <x:v>Coins</x:v>
      </x:c>
      <x:c r="I9" s="32" t="n">
        <x:v>0</x:v>
      </x:c>
      <x:c r="J9" s="42" t="n">
        <x:v>0.06</x:v>
      </x:c>
      <x:c r="K9" s="32" t="n">
        <x:v>10</x:v>
      </x:c>
      <x:c r="L9" s="38" t="n">
        <x:f>IF(I9&gt;0,I9,IF(H9="Coins",MAX($I$5,ROUND(VLOOKUP(G9,'XP &amp; Unlocks'!$A$5:$N$74,4,FALSE)*J9/5,0)*5),K9))</x:f>
        <x:v>320</x:v>
      </x:c>
      <x:c r="M9" s="28" t="n">
        <x:f>'Inputs'!$B$35</x:f>
        <x:v>0</x:v>
      </x:c>
      <x:c r="N9" s="28" t="n">
        <x:f>IF(Q9="Small",'Inputs'!$B$36,IF(Q9="Medium",'Inputs'!$B$37,IF(Q9="Large",'Inputs'!$B$38,'Inputs'!$B$39)))</x:f>
        <x:v>20</x:v>
      </x:c>
      <x:c r="O9" s="34" t="n">
        <x:v>1.2</x:v>
      </x:c>
      <x:c r="P9" s="34" t="n">
        <x:v>1.8</x:v>
      </x:c>
      <x:c r="Q9" s="28" t="str">
        <x:f>IF(MAX(O9,P9)&lt;=1.2,"Small",IF(MAX(O9,P9)&lt;=2,"Medium",IF(MAX(O9,P9)&lt;=3.2,"Large","XL")))</x:f>
        <x:v>Medium</x:v>
      </x:c>
      <x:c r="R9" s="28" t="str">
        <x:v>Midground</x:v>
      </x:c>
      <x:c r="S9" s="28" t="str">
        <x:v>None</x:v>
      </x:c>
      <x:c r="T9" s="28" t="str">
        <x:f>IF(E9="Limited Edition","Event-gated",IF(G9&lt;='Inputs'!$B$5,"Launch","Post-launch"))</x:f>
        <x:v>Launch</x:v>
      </x:c>
      <x:c r="U9" s="28" t="n">
        <x:v>125</x:v>
      </x:c>
      <x:c r="V9" s="28" t="str">
        <x:v>Stem Plant</x:v>
      </x:c>
      <x:c r="W9" s="28" t="str">
        <x:f>IF(AND(L9&gt;0,M9=0,MAX(O9,P9)&lt;=4.5,MIN(O9,P9)&gt;0,OR(H9="Coins",H9="Pearls")),"MODEL OK","REVIEW")</x:f>
        <x:v>MODEL OK</x:v>
      </x:c>
      <x:c r="X9" s="28" t="str">
        <x:v>Decor Catalog!A9:T9</x:v>
      </x:c>
    </x:row>
    <x:row r="10" ht="48" customHeight="1">
      <x:c r="A10" s="28" t="str">
        <x:v>CP-06</x:v>
      </x:c>
      <x:c r="B10" s="28" t="str">
        <x:v>Cryptocoryne Bronze</x:v>
      </x:c>
      <x:c r="C10" s="28" t="str">
        <x:v>Plant</x:v>
      </x:c>
      <x:c r="D10" s="28" t="str">
        <x:v>Freshwater Garden</x:v>
      </x:c>
      <x:c r="E10" s="28" t="str">
        <x:v>Coin</x:v>
      </x:c>
      <x:c r="F10" s="28" t="str">
        <x:v>Common</x:v>
      </x:c>
      <x:c r="G10" s="32" t="n">
        <x:v>6</x:v>
      </x:c>
      <x:c r="H10" s="28" t="str">
        <x:v>Coins</x:v>
      </x:c>
      <x:c r="I10" s="32" t="n">
        <x:v>0</x:v>
      </x:c>
      <x:c r="J10" s="42" t="n">
        <x:v>0.06</x:v>
      </x:c>
      <x:c r="K10" s="32" t="n">
        <x:v>10</x:v>
      </x:c>
      <x:c r="L10" s="38" t="n">
        <x:f>IF(I10&gt;0,I10,IF(H10="Coins",MAX($I$5,ROUND(VLOOKUP(G10,'XP &amp; Unlocks'!$A$5:$N$74,4,FALSE)*J10/5,0)*5),K10))</x:f>
        <x:v>330</x:v>
      </x:c>
      <x:c r="M10" s="28" t="n">
        <x:f>'Inputs'!$B$35</x:f>
        <x:v>0</x:v>
      </x:c>
      <x:c r="N10" s="28" t="n">
        <x:f>IF(Q10="Small",'Inputs'!$B$36,IF(Q10="Medium",'Inputs'!$B$37,IF(Q10="Large",'Inputs'!$B$38,'Inputs'!$B$39)))</x:f>
        <x:v>20</x:v>
      </x:c>
      <x:c r="O10" s="34" t="n">
        <x:v>1.55</x:v>
      </x:c>
      <x:c r="P10" s="34" t="n">
        <x:v>1.35</x:v>
      </x:c>
      <x:c r="Q10" s="28" t="str">
        <x:f>IF(MAX(O10,P10)&lt;=1.2,"Small",IF(MAX(O10,P10)&lt;=2,"Medium",IF(MAX(O10,P10)&lt;=3.2,"Large","XL")))</x:f>
        <x:v>Medium</x:v>
      </x:c>
      <x:c r="R10" s="28" t="str">
        <x:v>Midground</x:v>
      </x:c>
      <x:c r="S10" s="28" t="str">
        <x:v>None</x:v>
      </x:c>
      <x:c r="T10" s="28" t="str">
        <x:f>IF(E10="Limited Edition","Event-gated",IF(G10&lt;='Inputs'!$B$5,"Launch","Post-launch"))</x:f>
        <x:v>Launch</x:v>
      </x:c>
      <x:c r="U10" s="28" t="n">
        <x:v>180</x:v>
      </x:c>
      <x:c r="V10" s="28" t="str">
        <x:v>Rosette Plant</x:v>
      </x:c>
      <x:c r="W10" s="28" t="str">
        <x:f>IF(AND(L10&gt;0,M10=0,MAX(O10,P10)&lt;=4.5,MIN(O10,P10)&gt;0,OR(H10="Coins",H10="Pearls")),"MODEL OK","REVIEW")</x:f>
        <x:v>MODEL OK</x:v>
      </x:c>
      <x:c r="X10" s="28" t="str">
        <x:v>Decor Catalog!A10:T10</x:v>
      </x:c>
    </x:row>
    <x:row r="11" ht="48" customHeight="1">
      <x:c r="A11" s="28" t="str">
        <x:v>CP-07</x:v>
      </x:c>
      <x:c r="B11" s="28" t="str">
        <x:v>Marimo Trio</x:v>
      </x:c>
      <x:c r="C11" s="28" t="str">
        <x:v>Plant</x:v>
      </x:c>
      <x:c r="D11" s="28" t="str">
        <x:v>Zen Garden</x:v>
      </x:c>
      <x:c r="E11" s="28" t="str">
        <x:v>Coin</x:v>
      </x:c>
      <x:c r="F11" s="28" t="str">
        <x:v>Common</x:v>
      </x:c>
      <x:c r="G11" s="32" t="n">
        <x:v>7</x:v>
      </x:c>
      <x:c r="H11" s="28" t="str">
        <x:v>Coins</x:v>
      </x:c>
      <x:c r="I11" s="32" t="n">
        <x:v>0</x:v>
      </x:c>
      <x:c r="J11" s="42" t="n">
        <x:v>0.06</x:v>
      </x:c>
      <x:c r="K11" s="32" t="n">
        <x:v>10</x:v>
      </x:c>
      <x:c r="L11" s="38" t="n">
        <x:f>IF(I11&gt;0,I11,IF(H11="Coins",MAX($I$5,ROUND(VLOOKUP(G11,'XP &amp; Unlocks'!$A$5:$N$74,4,FALSE)*J11/5,0)*5),K11))</x:f>
        <x:v>570</x:v>
      </x:c>
      <x:c r="M11" s="28" t="n">
        <x:f>'Inputs'!$B$35</x:f>
        <x:v>0</x:v>
      </x:c>
      <x:c r="N11" s="28" t="n">
        <x:f>IF(Q11="Small",'Inputs'!$B$36,IF(Q11="Medium",'Inputs'!$B$37,IF(Q11="Large",'Inputs'!$B$38,'Inputs'!$B$39)))</x:f>
        <x:v>20</x:v>
      </x:c>
      <x:c r="O11" s="34" t="n">
        <x:v>1.8</x:v>
      </x:c>
      <x:c r="P11" s="34" t="n">
        <x:v>1.1</x:v>
      </x:c>
      <x:c r="Q11" s="28" t="str">
        <x:f>IF(MAX(O11,P11)&lt;=1.2,"Small",IF(MAX(O11,P11)&lt;=2,"Medium",IF(MAX(O11,P11)&lt;=3.2,"Large","XL")))</x:f>
        <x:v>Medium</x:v>
      </x:c>
      <x:c r="R11" s="28" t="str">
        <x:v>Foreground</x:v>
      </x:c>
      <x:c r="S11" s="28" t="str">
        <x:v>None</x:v>
      </x:c>
      <x:c r="T11" s="28" t="str">
        <x:f>IF(E11="Limited Edition","Event-gated",IF(G11&lt;='Inputs'!$B$5,"Launch","Post-launch"))</x:f>
        <x:v>Launch</x:v>
      </x:c>
      <x:c r="U11" s="28" t="n">
        <x:v>230</x:v>
      </x:c>
      <x:c r="V11" s="28" t="str">
        <x:v>Moss</x:v>
      </x:c>
      <x:c r="W11" s="28" t="str">
        <x:f>IF(AND(L11&gt;0,M11=0,MAX(O11,P11)&lt;=4.5,MIN(O11,P11)&gt;0,OR(H11="Coins",H11="Pearls")),"MODEL OK","REVIEW")</x:f>
        <x:v>MODEL OK</x:v>
      </x:c>
      <x:c r="X11" s="28" t="str">
        <x:v>Decor Catalog!A11:T11</x:v>
      </x:c>
    </x:row>
    <x:row r="12" ht="48" customHeight="1">
      <x:c r="A12" s="28" t="str">
        <x:v>CP-08</x:v>
      </x:c>
      <x:c r="B12" s="28" t="str">
        <x:v>Corkscrew Vallisneria</x:v>
      </x:c>
      <x:c r="C12" s="28" t="str">
        <x:v>Plant</x:v>
      </x:c>
      <x:c r="D12" s="28" t="str">
        <x:v>Freshwater Garden</x:v>
      </x:c>
      <x:c r="E12" s="28" t="str">
        <x:v>Coin</x:v>
      </x:c>
      <x:c r="F12" s="28" t="str">
        <x:v>Uncommon</x:v>
      </x:c>
      <x:c r="G12" s="32" t="n">
        <x:v>8</x:v>
      </x:c>
      <x:c r="H12" s="28" t="str">
        <x:v>Coins</x:v>
      </x:c>
      <x:c r="I12" s="32" t="n">
        <x:v>0</x:v>
      </x:c>
      <x:c r="J12" s="42" t="n">
        <x:v>0.1725</x:v>
      </x:c>
      <x:c r="K12" s="32" t="n">
        <x:v>17</x:v>
      </x:c>
      <x:c r="L12" s="38" t="n">
        <x:f>IF(I12&gt;0,I12,IF(H12="Coins",MAX($I$5,ROUND(VLOOKUP(G12,'XP &amp; Unlocks'!$A$5:$N$74,4,FALSE)*J12/5,0)*5),K12))</x:f>
        <x:v>1700</x:v>
      </x:c>
      <x:c r="M12" s="28" t="n">
        <x:f>'Inputs'!$B$35</x:f>
        <x:v>0</x:v>
      </x:c>
      <x:c r="N12" s="28" t="n">
        <x:f>IF(Q12="Small",'Inputs'!$B$36,IF(Q12="Medium",'Inputs'!$B$37,IF(Q12="Large",'Inputs'!$B$38,'Inputs'!$B$39)))</x:f>
        <x:v>35</x:v>
      </x:c>
      <x:c r="O12" s="34" t="n">
        <x:v>1.2</x:v>
      </x:c>
      <x:c r="P12" s="34" t="n">
        <x:v>2.7</x:v>
      </x:c>
      <x:c r="Q12" s="28" t="str">
        <x:f>IF(MAX(O12,P12)&lt;=1.2,"Small",IF(MAX(O12,P12)&lt;=2,"Medium",IF(MAX(O12,P12)&lt;=3.2,"Large","XL")))</x:f>
        <x:v>Large</x:v>
      </x:c>
      <x:c r="R12" s="28" t="str">
        <x:v>Background</x:v>
      </x:c>
      <x:c r="S12" s="28" t="str">
        <x:v>None</x:v>
      </x:c>
      <x:c r="T12" s="28" t="str">
        <x:f>IF(E12="Limited Edition","Event-gated",IF(G12&lt;='Inputs'!$B$5,"Launch","Post-launch"))</x:f>
        <x:v>Launch</x:v>
      </x:c>
      <x:c r="U12" s="28" t="n">
        <x:v>300</x:v>
      </x:c>
      <x:c r="V12" s="28" t="str">
        <x:v>Ribbon Plant</x:v>
      </x:c>
      <x:c r="W12" s="28" t="str">
        <x:f>IF(AND(L12&gt;0,M12=0,MAX(O12,P12)&lt;=4.5,MIN(O12,P12)&gt;0,OR(H12="Coins",H12="Pearls")),"MODEL OK","REVIEW")</x:f>
        <x:v>MODEL OK</x:v>
      </x:c>
      <x:c r="X12" s="28" t="str">
        <x:v>Decor Catalog!A12:T12</x:v>
      </x:c>
    </x:row>
    <x:row r="13" ht="48" customHeight="1">
      <x:c r="A13" s="28" t="str">
        <x:v>CP-09</x:v>
      </x:c>
      <x:c r="B13" s="28" t="str">
        <x:v>Water Wisteria</x:v>
      </x:c>
      <x:c r="C13" s="28" t="str">
        <x:v>Plant</x:v>
      </x:c>
      <x:c r="D13" s="28" t="str">
        <x:v>Freshwater Garden</x:v>
      </x:c>
      <x:c r="E13" s="28" t="str">
        <x:v>Coin</x:v>
      </x:c>
      <x:c r="F13" s="28" t="str">
        <x:v>Uncommon</x:v>
      </x:c>
      <x:c r="G13" s="32" t="n">
        <x:v>9</x:v>
      </x:c>
      <x:c r="H13" s="28" t="str">
        <x:v>Coins</x:v>
      </x:c>
      <x:c r="I13" s="32" t="n">
        <x:v>0</x:v>
      </x:c>
      <x:c r="J13" s="42" t="n">
        <x:v>0.1725</x:v>
      </x:c>
      <x:c r="K13" s="32" t="n">
        <x:v>17</x:v>
      </x:c>
      <x:c r="L13" s="38" t="n">
        <x:f>IF(I13&gt;0,I13,IF(H13="Coins",MAX($I$5,ROUND(VLOOKUP(G13,'XP &amp; Unlocks'!$A$5:$N$74,4,FALSE)*J13/5,0)*5),K13))</x:f>
        <x:v>2110</x:v>
      </x:c>
      <x:c r="M13" s="28" t="n">
        <x:f>'Inputs'!$B$35</x:f>
        <x:v>0</x:v>
      </x:c>
      <x:c r="N13" s="28" t="n">
        <x:f>IF(Q13="Small",'Inputs'!$B$36,IF(Q13="Medium",'Inputs'!$B$37,IF(Q13="Large",'Inputs'!$B$38,'Inputs'!$B$39)))</x:f>
        <x:v>35</x:v>
      </x:c>
      <x:c r="O13" s="34" t="n">
        <x:v>1.8</x:v>
      </x:c>
      <x:c r="P13" s="34" t="n">
        <x:v>2.4</x:v>
      </x:c>
      <x:c r="Q13" s="28" t="str">
        <x:f>IF(MAX(O13,P13)&lt;=1.2,"Small",IF(MAX(O13,P13)&lt;=2,"Medium",IF(MAX(O13,P13)&lt;=3.2,"Large","XL")))</x:f>
        <x:v>Large</x:v>
      </x:c>
      <x:c r="R13" s="28" t="str">
        <x:v>Background</x:v>
      </x:c>
      <x:c r="S13" s="28" t="str">
        <x:v>None</x:v>
      </x:c>
      <x:c r="T13" s="28" t="str">
        <x:f>IF(E13="Limited Edition","Event-gated",IF(G13&lt;='Inputs'!$B$5,"Launch","Post-launch"))</x:f>
        <x:v>Launch</x:v>
      </x:c>
      <x:c r="U13" s="28" t="n">
        <x:v>380</x:v>
      </x:c>
      <x:c r="V13" s="28" t="str">
        <x:v>Stem Plant</x:v>
      </x:c>
      <x:c r="W13" s="28" t="str">
        <x:f>IF(AND(L13&gt;0,M13=0,MAX(O13,P13)&lt;=4.5,MIN(O13,P13)&gt;0,OR(H13="Coins",H13="Pearls")),"MODEL OK","REVIEW")</x:f>
        <x:v>MODEL OK</x:v>
      </x:c>
      <x:c r="X13" s="28" t="str">
        <x:v>Decor Catalog!A13:T13</x:v>
      </x:c>
    </x:row>
    <x:row r="14" ht="48" customHeight="1">
      <x:c r="A14" s="28" t="str">
        <x:v>CP-10</x:v>
      </x:c>
      <x:c r="B14" s="28" t="str">
        <x:v>Ludwigia Ruby</x:v>
      </x:c>
      <x:c r="C14" s="28" t="str">
        <x:v>Plant</x:v>
      </x:c>
      <x:c r="D14" s="28" t="str">
        <x:v>Sunset Wetlands</x:v>
      </x:c>
      <x:c r="E14" s="28" t="str">
        <x:v>Coin</x:v>
      </x:c>
      <x:c r="F14" s="28" t="str">
        <x:v>Uncommon</x:v>
      </x:c>
      <x:c r="G14" s="32" t="n">
        <x:v>10</x:v>
      </x:c>
      <x:c r="H14" s="28" t="str">
        <x:v>Coins</x:v>
      </x:c>
      <x:c r="I14" s="32" t="n">
        <x:v>0</x:v>
      </x:c>
      <x:c r="J14" s="42" t="n">
        <x:v>0.1725</x:v>
      </x:c>
      <x:c r="K14" s="32" t="n">
        <x:v>17</x:v>
      </x:c>
      <x:c r="L14" s="38" t="n">
        <x:f>IF(I14&gt;0,I14,IF(H14="Coins",MAX($I$5,ROUND(VLOOKUP(G14,'XP &amp; Unlocks'!$A$5:$N$74,4,FALSE)*J14/5,0)*5),K14))</x:f>
        <x:v>2180</x:v>
      </x:c>
      <x:c r="M14" s="28" t="n">
        <x:f>'Inputs'!$B$35</x:f>
        <x:v>0</x:v>
      </x:c>
      <x:c r="N14" s="28" t="n">
        <x:f>IF(Q14="Small",'Inputs'!$B$36,IF(Q14="Medium",'Inputs'!$B$37,IF(Q14="Large",'Inputs'!$B$38,'Inputs'!$B$39)))</x:f>
        <x:v>35</x:v>
      </x:c>
      <x:c r="O14" s="34" t="n">
        <x:v>1.5</x:v>
      </x:c>
      <x:c r="P14" s="34" t="n">
        <x:v>2.2</x:v>
      </x:c>
      <x:c r="Q14" s="28" t="str">
        <x:f>IF(MAX(O14,P14)&lt;=1.2,"Small",IF(MAX(O14,P14)&lt;=2,"Medium",IF(MAX(O14,P14)&lt;=3.2,"Large","XL")))</x:f>
        <x:v>Large</x:v>
      </x:c>
      <x:c r="R14" s="28" t="str">
        <x:v>Midground</x:v>
      </x:c>
      <x:c r="S14" s="28" t="str">
        <x:v>None</x:v>
      </x:c>
      <x:c r="T14" s="28" t="str">
        <x:f>IF(E14="Limited Edition","Event-gated",IF(G14&lt;='Inputs'!$B$5,"Launch","Post-launch"))</x:f>
        <x:v>Launch</x:v>
      </x:c>
      <x:c r="U14" s="28" t="n">
        <x:v>450</x:v>
      </x:c>
      <x:c r="V14" s="28" t="str">
        <x:v>Stem Plant</x:v>
      </x:c>
      <x:c r="W14" s="28" t="str">
        <x:f>IF(AND(L14&gt;0,M14=0,MAX(O14,P14)&lt;=4.5,MIN(O14,P14)&gt;0,OR(H14="Coins",H14="Pearls")),"MODEL OK","REVIEW")</x:f>
        <x:v>MODEL OK</x:v>
      </x:c>
      <x:c r="X14" s="28" t="str">
        <x:v>Decor Catalog!A14:T14</x:v>
      </x:c>
    </x:row>
    <x:row r="15" ht="48" customHeight="1">
      <x:c r="A15" s="28" t="str">
        <x:v>CP-11</x:v>
      </x:c>
      <x:c r="B15" s="28" t="str">
        <x:v>Rotala Sunset</x:v>
      </x:c>
      <x:c r="C15" s="28" t="str">
        <x:v>Plant</x:v>
      </x:c>
      <x:c r="D15" s="28" t="str">
        <x:v>Sunset Wetlands</x:v>
      </x:c>
      <x:c r="E15" s="28" t="str">
        <x:v>Coin</x:v>
      </x:c>
      <x:c r="F15" s="28" t="str">
        <x:v>Uncommon</x:v>
      </x:c>
      <x:c r="G15" s="32" t="n">
        <x:v>12</x:v>
      </x:c>
      <x:c r="H15" s="28" t="str">
        <x:v>Coins</x:v>
      </x:c>
      <x:c r="I15" s="32" t="n">
        <x:v>0</x:v>
      </x:c>
      <x:c r="J15" s="42" t="n">
        <x:v>0.1725</x:v>
      </x:c>
      <x:c r="K15" s="32" t="n">
        <x:v>17</x:v>
      </x:c>
      <x:c r="L15" s="38" t="n">
        <x:f>IF(I15&gt;0,I15,IF(H15="Coins",MAX($I$5,ROUND(VLOOKUP(G15,'XP &amp; Unlocks'!$A$5:$N$74,4,FALSE)*J15/5,0)*5),K15))</x:f>
        <x:v>2710</x:v>
      </x:c>
      <x:c r="M15" s="28" t="n">
        <x:f>'Inputs'!$B$35</x:f>
        <x:v>0</x:v>
      </x:c>
      <x:c r="N15" s="28" t="n">
        <x:f>IF(Q15="Small",'Inputs'!$B$36,IF(Q15="Medium",'Inputs'!$B$37,IF(Q15="Large",'Inputs'!$B$38,'Inputs'!$B$39)))</x:f>
        <x:v>35</x:v>
      </x:c>
      <x:c r="O15" s="34" t="n">
        <x:v>1.6</x:v>
      </x:c>
      <x:c r="P15" s="34" t="n">
        <x:v>2.6</x:v>
      </x:c>
      <x:c r="Q15" s="28" t="str">
        <x:f>IF(MAX(O15,P15)&lt;=1.2,"Small",IF(MAX(O15,P15)&lt;=2,"Medium",IF(MAX(O15,P15)&lt;=3.2,"Large","XL")))</x:f>
        <x:v>Large</x:v>
      </x:c>
      <x:c r="R15" s="28" t="str">
        <x:v>Background</x:v>
      </x:c>
      <x:c r="S15" s="28" t="str">
        <x:v>None</x:v>
      </x:c>
      <x:c r="T15" s="28" t="str">
        <x:f>IF(E15="Limited Edition","Event-gated",IF(G15&lt;='Inputs'!$B$5,"Launch","Post-launch"))</x:f>
        <x:v>Launch</x:v>
      </x:c>
      <x:c r="U15" s="28" t="n">
        <x:v>650</x:v>
      </x:c>
      <x:c r="V15" s="28" t="str">
        <x:v>Stem Plant</x:v>
      </x:c>
      <x:c r="W15" s="28" t="str">
        <x:f>IF(AND(L15&gt;0,M15=0,MAX(O15,P15)&lt;=4.5,MIN(O15,P15)&gt;0,OR(H15="Coins",H15="Pearls")),"MODEL OK","REVIEW")</x:f>
        <x:v>MODEL OK</x:v>
      </x:c>
      <x:c r="X15" s="28" t="str">
        <x:v>Decor Catalog!A15:T15</x:v>
      </x:c>
    </x:row>
    <x:row r="16" ht="48" customHeight="1">
      <x:c r="A16" s="28" t="str">
        <x:v>CP-12</x:v>
      </x:c>
      <x:c r="B16" s="28" t="str">
        <x:v>Amazon Sword</x:v>
      </x:c>
      <x:c r="C16" s="28" t="str">
        <x:v>Plant</x:v>
      </x:c>
      <x:c r="D16" s="28" t="str">
        <x:v>Freshwater Garden</x:v>
      </x:c>
      <x:c r="E16" s="28" t="str">
        <x:v>Coin</x:v>
      </x:c>
      <x:c r="F16" s="28" t="str">
        <x:v>Uncommon</x:v>
      </x:c>
      <x:c r="G16" s="32" t="n">
        <x:v>14</x:v>
      </x:c>
      <x:c r="H16" s="28" t="str">
        <x:v>Coins</x:v>
      </x:c>
      <x:c r="I16" s="32" t="n">
        <x:v>0</x:v>
      </x:c>
      <x:c r="J16" s="42" t="n">
        <x:v>0.1725</x:v>
      </x:c>
      <x:c r="K16" s="32" t="n">
        <x:v>17</x:v>
      </x:c>
      <x:c r="L16" s="38" t="n">
        <x:f>IF(I16&gt;0,I16,IF(H16="Coins",MAX($I$5,ROUND(VLOOKUP(G16,'XP &amp; Unlocks'!$A$5:$N$74,4,FALSE)*J16/5,0)*5),K16))</x:f>
        <x:v>2870</x:v>
      </x:c>
      <x:c r="M16" s="28" t="n">
        <x:f>'Inputs'!$B$35</x:f>
        <x:v>0</x:v>
      </x:c>
      <x:c r="N16" s="28" t="n">
        <x:f>IF(Q16="Small",'Inputs'!$B$36,IF(Q16="Medium",'Inputs'!$B$37,IF(Q16="Large",'Inputs'!$B$38,'Inputs'!$B$39)))</x:f>
        <x:v>35</x:v>
      </x:c>
      <x:c r="O16" s="34" t="n">
        <x:v>2.5</x:v>
      </x:c>
      <x:c r="P16" s="34" t="n">
        <x:v>3</x:v>
      </x:c>
      <x:c r="Q16" s="28" t="str">
        <x:f>IF(MAX(O16,P16)&lt;=1.2,"Small",IF(MAX(O16,P16)&lt;=2,"Medium",IF(MAX(O16,P16)&lt;=3.2,"Large","XL")))</x:f>
        <x:v>Large</x:v>
      </x:c>
      <x:c r="R16" s="28" t="str">
        <x:v>Background</x:v>
      </x:c>
      <x:c r="S16" s="28" t="str">
        <x:v>None</x:v>
      </x:c>
      <x:c r="T16" s="28" t="str">
        <x:f>IF(E16="Limited Edition","Event-gated",IF(G16&lt;='Inputs'!$B$5,"Launch","Post-launch"))</x:f>
        <x:v>Launch</x:v>
      </x:c>
      <x:c r="U16" s="28" t="n">
        <x:v>850</x:v>
      </x:c>
      <x:c r="V16" s="28" t="str">
        <x:v>Broadleaf Plant</x:v>
      </x:c>
      <x:c r="W16" s="28" t="str">
        <x:f>IF(AND(L16&gt;0,M16=0,MAX(O16,P16)&lt;=4.5,MIN(O16,P16)&gt;0,OR(H16="Coins",H16="Pearls")),"MODEL OK","REVIEW")</x:f>
        <x:v>MODEL OK</x:v>
      </x:c>
      <x:c r="X16" s="28" t="str">
        <x:v>Decor Catalog!A16:T16</x:v>
      </x:c>
    </x:row>
    <x:row r="17" ht="48" customHeight="1">
      <x:c r="A17" s="28" t="str">
        <x:v>CP-13</x:v>
      </x:c>
      <x:c r="B17" s="28" t="str">
        <x:v>Red Tiger Lotus</x:v>
      </x:c>
      <x:c r="C17" s="28" t="str">
        <x:v>Plant</x:v>
      </x:c>
      <x:c r="D17" s="28" t="str">
        <x:v>Sunset Wetlands</x:v>
      </x:c>
      <x:c r="E17" s="28" t="str">
        <x:v>Coin</x:v>
      </x:c>
      <x:c r="F17" s="28" t="str">
        <x:v>Uncommon</x:v>
      </x:c>
      <x:c r="G17" s="32" t="n">
        <x:v>16</x:v>
      </x:c>
      <x:c r="H17" s="28" t="str">
        <x:v>Coins</x:v>
      </x:c>
      <x:c r="I17" s="32" t="n">
        <x:v>0</x:v>
      </x:c>
      <x:c r="J17" s="42" t="n">
        <x:v>0.1725</x:v>
      </x:c>
      <x:c r="K17" s="32" t="n">
        <x:v>17</x:v>
      </x:c>
      <x:c r="L17" s="38" t="n">
        <x:f>IF(I17&gt;0,I17,IF(H17="Coins",MAX($I$5,ROUND(VLOOKUP(G17,'XP &amp; Unlocks'!$A$5:$N$74,4,FALSE)*J17/5,0)*5),K17))</x:f>
        <x:v>3900</x:v>
      </x:c>
      <x:c r="M17" s="28" t="n">
        <x:f>'Inputs'!$B$35</x:f>
        <x:v>0</x:v>
      </x:c>
      <x:c r="N17" s="28" t="n">
        <x:f>IF(Q17="Small",'Inputs'!$B$36,IF(Q17="Medium",'Inputs'!$B$37,IF(Q17="Large",'Inputs'!$B$38,'Inputs'!$B$39)))</x:f>
        <x:v>35</x:v>
      </x:c>
      <x:c r="O17" s="34" t="n">
        <x:v>2.2</x:v>
      </x:c>
      <x:c r="P17" s="34" t="n">
        <x:v>2</x:v>
      </x:c>
      <x:c r="Q17" s="28" t="str">
        <x:f>IF(MAX(O17,P17)&lt;=1.2,"Small",IF(MAX(O17,P17)&lt;=2,"Medium",IF(MAX(O17,P17)&lt;=3.2,"Large","XL")))</x:f>
        <x:v>Large</x:v>
      </x:c>
      <x:c r="R17" s="28" t="str">
        <x:v>Midground</x:v>
      </x:c>
      <x:c r="S17" s="28" t="str">
        <x:v>None</x:v>
      </x:c>
      <x:c r="T17" s="28" t="str">
        <x:f>IF(E17="Limited Edition","Event-gated",IF(G17&lt;='Inputs'!$B$5,"Launch","Post-launch"))</x:f>
        <x:v>Launch</x:v>
      </x:c>
      <x:c r="U17" s="28" t="n">
        <x:v>1100</x:v>
      </x:c>
      <x:c r="V17" s="28" t="str">
        <x:v>Lotus</x:v>
      </x:c>
      <x:c r="W17" s="28" t="str">
        <x:f>IF(AND(L17&gt;0,M17=0,MAX(O17,P17)&lt;=4.5,MIN(O17,P17)&gt;0,OR(H17="Coins",H17="Pearls")),"MODEL OK","REVIEW")</x:f>
        <x:v>MODEL OK</x:v>
      </x:c>
      <x:c r="X17" s="28" t="str">
        <x:v>Decor Catalog!A17:T17</x:v>
      </x:c>
    </x:row>
    <x:row r="18" ht="48" customHeight="1">
      <x:c r="A18" s="28" t="str">
        <x:v>CP-14</x:v>
      </x:c>
      <x:c r="B18" s="28" t="str">
        <x:v>Water Sprite Canopy</x:v>
      </x:c>
      <x:c r="C18" s="28" t="str">
        <x:v>Plant</x:v>
      </x:c>
      <x:c r="D18" s="28" t="str">
        <x:v>Freshwater Garden</x:v>
      </x:c>
      <x:c r="E18" s="28" t="str">
        <x:v>Coin</x:v>
      </x:c>
      <x:c r="F18" s="28" t="str">
        <x:v>Uncommon</x:v>
      </x:c>
      <x:c r="G18" s="32" t="n">
        <x:v>18</x:v>
      </x:c>
      <x:c r="H18" s="28" t="str">
        <x:v>Coins</x:v>
      </x:c>
      <x:c r="I18" s="32" t="n">
        <x:v>0</x:v>
      </x:c>
      <x:c r="J18" s="42" t="n">
        <x:v>0.1725</x:v>
      </x:c>
      <x:c r="K18" s="32" t="n">
        <x:v>17</x:v>
      </x:c>
      <x:c r="L18" s="38" t="n">
        <x:f>IF(I18&gt;0,I18,IF(H18="Coins",MAX($I$5,ROUND(VLOOKUP(G18,'XP &amp; Unlocks'!$A$5:$N$74,4,FALSE)*J18/5,0)*5),K18))</x:f>
        <x:v>4565</x:v>
      </x:c>
      <x:c r="M18" s="28" t="n">
        <x:f>'Inputs'!$B$35</x:f>
        <x:v>0</x:v>
      </x:c>
      <x:c r="N18" s="28" t="n">
        <x:f>IF(Q18="Small",'Inputs'!$B$36,IF(Q18="Medium",'Inputs'!$B$37,IF(Q18="Large",'Inputs'!$B$38,'Inputs'!$B$39)))</x:f>
        <x:v>35</x:v>
      </x:c>
      <x:c r="O18" s="34" t="n">
        <x:v>2.4</x:v>
      </x:c>
      <x:c r="P18" s="34" t="n">
        <x:v>2.7</x:v>
      </x:c>
      <x:c r="Q18" s="28" t="str">
        <x:f>IF(MAX(O18,P18)&lt;=1.2,"Small",IF(MAX(O18,P18)&lt;=2,"Medium",IF(MAX(O18,P18)&lt;=3.2,"Large","XL")))</x:f>
        <x:v>Large</x:v>
      </x:c>
      <x:c r="R18" s="28" t="str">
        <x:v>Background</x:v>
      </x:c>
      <x:c r="S18" s="28" t="str">
        <x:v>None</x:v>
      </x:c>
      <x:c r="T18" s="28" t="str">
        <x:f>IF(E18="Limited Edition","Event-gated",IF(G18&lt;='Inputs'!$B$5,"Launch","Post-launch"))</x:f>
        <x:v>Launch</x:v>
      </x:c>
      <x:c r="U18" s="28" t="n">
        <x:v>1500</x:v>
      </x:c>
      <x:c r="V18" s="28" t="str">
        <x:v>Fern</x:v>
      </x:c>
      <x:c r="W18" s="28" t="str">
        <x:f>IF(AND(L18&gt;0,M18=0,MAX(O18,P18)&lt;=4.5,MIN(O18,P18)&gt;0,OR(H18="Coins",H18="Pearls")),"MODEL OK","REVIEW")</x:f>
        <x:v>MODEL OK</x:v>
      </x:c>
      <x:c r="X18" s="28" t="str">
        <x:v>Decor Catalog!A18:T18</x:v>
      </x:c>
    </x:row>
    <x:row r="19" ht="48" customHeight="1">
      <x:c r="A19" s="28" t="str">
        <x:v>CP-15</x:v>
      </x:c>
      <x:c r="B19" s="28" t="str">
        <x:v>Pogostemon Star Cluster</x:v>
      </x:c>
      <x:c r="C19" s="28" t="str">
        <x:v>Plant</x:v>
      </x:c>
      <x:c r="D19" s="28" t="str">
        <x:v>Freshwater Garden</x:v>
      </x:c>
      <x:c r="E19" s="28" t="str">
        <x:v>Coin</x:v>
      </x:c>
      <x:c r="F19" s="28" t="str">
        <x:v>Rare</x:v>
      </x:c>
      <x:c r="G19" s="32" t="n">
        <x:v>20</x:v>
      </x:c>
      <x:c r="H19" s="28" t="str">
        <x:v>Coins</x:v>
      </x:c>
      <x:c r="I19" s="32" t="n">
        <x:v>0</x:v>
      </x:c>
      <x:c r="J19" s="42" t="n">
        <x:v>0.15600000000000003</x:v>
      </x:c>
      <x:c r="K19" s="32" t="n">
        <x:v>12</x:v>
      </x:c>
      <x:c r="L19" s="38" t="n">
        <x:f>IF(I19&gt;0,I19,IF(H19="Coins",MAX($I$5,ROUND(VLOOKUP(G19,'XP &amp; Unlocks'!$A$5:$N$74,4,FALSE)*J19/5,0)*5),K19))</x:f>
        <x:v>4340</x:v>
      </x:c>
      <x:c r="M19" s="28" t="n">
        <x:f>'Inputs'!$B$35</x:f>
        <x:v>0</x:v>
      </x:c>
      <x:c r="N19" s="28" t="n">
        <x:f>IF(Q19="Small",'Inputs'!$B$36,IF(Q19="Medium",'Inputs'!$B$37,IF(Q19="Large",'Inputs'!$B$38,'Inputs'!$B$39)))</x:f>
        <x:v>20</x:v>
      </x:c>
      <x:c r="O19" s="34" t="n">
        <x:v>1.8</x:v>
      </x:c>
      <x:c r="P19" s="34" t="n">
        <x:v>1.3</x:v>
      </x:c>
      <x:c r="Q19" s="28" t="str">
        <x:f>IF(MAX(O19,P19)&lt;=1.2,"Small",IF(MAX(O19,P19)&lt;=2,"Medium",IF(MAX(O19,P19)&lt;=3.2,"Large","XL")))</x:f>
        <x:v>Medium</x:v>
      </x:c>
      <x:c r="R19" s="28" t="str">
        <x:v>Foreground</x:v>
      </x:c>
      <x:c r="S19" s="28" t="str">
        <x:v>None</x:v>
      </x:c>
      <x:c r="T19" s="28" t="str">
        <x:f>IF(E19="Limited Edition","Event-gated",IF(G19&lt;='Inputs'!$B$5,"Launch","Post-launch"))</x:f>
        <x:v>Launch</x:v>
      </x:c>
      <x:c r="U19" s="28" t="n">
        <x:v>2000</x:v>
      </x:c>
      <x:c r="V19" s="28" t="str">
        <x:v>Rosette Plant</x:v>
      </x:c>
      <x:c r="W19" s="28" t="str">
        <x:f>IF(AND(L19&gt;0,M19=0,MAX(O19,P19)&lt;=4.5,MIN(O19,P19)&gt;0,OR(H19="Coins",H19="Pearls")),"MODEL OK","REVIEW")</x:f>
        <x:v>MODEL OK</x:v>
      </x:c>
      <x:c r="X19" s="28" t="str">
        <x:v>Decor Catalog!A19:T19</x:v>
      </x:c>
    </x:row>
    <x:row r="20" ht="48" customHeight="1">
      <x:c r="A20" s="28" t="str">
        <x:v>CP-16</x:v>
      </x:c>
      <x:c r="B20" s="28" t="str">
        <x:v>Banana Root Rosette</x:v>
      </x:c>
      <x:c r="C20" s="28" t="str">
        <x:v>Plant</x:v>
      </x:c>
      <x:c r="D20" s="28" t="str">
        <x:v>Tropical Lagoon</x:v>
      </x:c>
      <x:c r="E20" s="28" t="str">
        <x:v>Coin</x:v>
      </x:c>
      <x:c r="F20" s="28" t="str">
        <x:v>Rare</x:v>
      </x:c>
      <x:c r="G20" s="32" t="n">
        <x:v>22</x:v>
      </x:c>
      <x:c r="H20" s="28" t="str">
        <x:v>Coins</x:v>
      </x:c>
      <x:c r="I20" s="32" t="n">
        <x:v>0</x:v>
      </x:c>
      <x:c r="J20" s="42" t="n">
        <x:v>0.15600000000000003</x:v>
      </x:c>
      <x:c r="K20" s="32" t="n">
        <x:v>12</x:v>
      </x:c>
      <x:c r="L20" s="38" t="n">
        <x:f>IF(I20&gt;0,I20,IF(H20="Coins",MAX($I$5,ROUND(VLOOKUP(G20,'XP &amp; Unlocks'!$A$5:$N$74,4,FALSE)*J20/5,0)*5),K20))</x:f>
        <x:v>5005</x:v>
      </x:c>
      <x:c r="M20" s="28" t="n">
        <x:f>'Inputs'!$B$35</x:f>
        <x:v>0</x:v>
      </x:c>
      <x:c r="N20" s="28" t="n">
        <x:f>IF(Q20="Small",'Inputs'!$B$36,IF(Q20="Medium",'Inputs'!$B$37,IF(Q20="Large",'Inputs'!$B$38,'Inputs'!$B$39)))</x:f>
        <x:v>20</x:v>
      </x:c>
      <x:c r="O20" s="34" t="n">
        <x:v>1.8</x:v>
      </x:c>
      <x:c r="P20" s="34" t="n">
        <x:v>1.6</x:v>
      </x:c>
      <x:c r="Q20" s="28" t="str">
        <x:f>IF(MAX(O20,P20)&lt;=1.2,"Small",IF(MAX(O20,P20)&lt;=2,"Medium",IF(MAX(O20,P20)&lt;=3.2,"Large","XL")))</x:f>
        <x:v>Medium</x:v>
      </x:c>
      <x:c r="R20" s="28" t="str">
        <x:v>Midground</x:v>
      </x:c>
      <x:c r="S20" s="28" t="str">
        <x:v>None</x:v>
      </x:c>
      <x:c r="T20" s="28" t="str">
        <x:f>IF(E20="Limited Edition","Event-gated",IF(G20&lt;='Inputs'!$B$5,"Launch","Post-launch"))</x:f>
        <x:v>Launch</x:v>
      </x:c>
      <x:c r="U20" s="28" t="n">
        <x:v>2500</x:v>
      </x:c>
      <x:c r="V20" s="28" t="str">
        <x:v>Broadleaf Plant</x:v>
      </x:c>
      <x:c r="W20" s="28" t="str">
        <x:f>IF(AND(L20&gt;0,M20=0,MAX(O20,P20)&lt;=4.5,MIN(O20,P20)&gt;0,OR(H20="Coins",H20="Pearls")),"MODEL OK","REVIEW")</x:f>
        <x:v>MODEL OK</x:v>
      </x:c>
      <x:c r="X20" s="28" t="str">
        <x:v>Decor Catalog!A20:T20</x:v>
      </x:c>
    </x:row>
    <x:row r="21" ht="48" customHeight="1">
      <x:c r="A21" s="28" t="str">
        <x:v>CP-17</x:v>
      </x:c>
      <x:c r="B21" s="28" t="str">
        <x:v>Christmas Moss Log</x:v>
      </x:c>
      <x:c r="C21" s="28" t="str">
        <x:v>Plant</x:v>
      </x:c>
      <x:c r="D21" s="28" t="str">
        <x:v>Woodland Creek</x:v>
      </x:c>
      <x:c r="E21" s="28" t="str">
        <x:v>Coin</x:v>
      </x:c>
      <x:c r="F21" s="28" t="str">
        <x:v>Rare</x:v>
      </x:c>
      <x:c r="G21" s="32" t="n">
        <x:v>24</x:v>
      </x:c>
      <x:c r="H21" s="28" t="str">
        <x:v>Coins</x:v>
      </x:c>
      <x:c r="I21" s="32" t="n">
        <x:v>0</x:v>
      </x:c>
      <x:c r="J21" s="42" t="n">
        <x:v>0.2925</x:v>
      </x:c>
      <x:c r="K21" s="32" t="n">
        <x:v>18</x:v>
      </x:c>
      <x:c r="L21" s="38" t="n">
        <x:f>IF(I21&gt;0,I21,IF(H21="Coins",MAX($I$5,ROUND(VLOOKUP(G21,'XP &amp; Unlocks'!$A$5:$N$74,4,FALSE)*J21/5,0)*5),K21))</x:f>
        <x:v>9820</x:v>
      </x:c>
      <x:c r="M21" s="28" t="n">
        <x:f>'Inputs'!$B$35</x:f>
        <x:v>0</x:v>
      </x:c>
      <x:c r="N21" s="28" t="n">
        <x:f>IF(Q21="Small",'Inputs'!$B$36,IF(Q21="Medium",'Inputs'!$B$37,IF(Q21="Large",'Inputs'!$B$38,'Inputs'!$B$39)))</x:f>
        <x:v>35</x:v>
      </x:c>
      <x:c r="O21" s="34" t="n">
        <x:v>2.4</x:v>
      </x:c>
      <x:c r="P21" s="34" t="n">
        <x:v>1.4</x:v>
      </x:c>
      <x:c r="Q21" s="28" t="str">
        <x:f>IF(MAX(O21,P21)&lt;=1.2,"Small",IF(MAX(O21,P21)&lt;=2,"Medium",IF(MAX(O21,P21)&lt;=3.2,"Large","XL")))</x:f>
        <x:v>Large</x:v>
      </x:c>
      <x:c r="R21" s="28" t="str">
        <x:v>Midground</x:v>
      </x:c>
      <x:c r="S21" s="28" t="str">
        <x:v>None</x:v>
      </x:c>
      <x:c r="T21" s="28" t="str">
        <x:f>IF(E21="Limited Edition","Event-gated",IF(G21&lt;='Inputs'!$B$5,"Launch","Post-launch"))</x:f>
        <x:v>Launch</x:v>
      </x:c>
      <x:c r="U21" s="28" t="n">
        <x:v>3000</x:v>
      </x:c>
      <x:c r="V21" s="28" t="str">
        <x:v>Moss</x:v>
      </x:c>
      <x:c r="W21" s="28" t="str">
        <x:f>IF(AND(L21&gt;0,M21=0,MAX(O21,P21)&lt;=4.5,MIN(O21,P21)&gt;0,OR(H21="Coins",H21="Pearls")),"MODEL OK","REVIEW")</x:f>
        <x:v>MODEL OK</x:v>
      </x:c>
      <x:c r="X21" s="28" t="str">
        <x:v>Decor Catalog!A21:T21</x:v>
      </x:c>
    </x:row>
    <x:row r="22" ht="48" customHeight="1">
      <x:c r="A22" s="28" t="str">
        <x:v>CP-18</x:v>
      </x:c>
      <x:c r="B22" s="28" t="str">
        <x:v>Pearlweed Pillow</x:v>
      </x:c>
      <x:c r="C22" s="28" t="str">
        <x:v>Plant</x:v>
      </x:c>
      <x:c r="D22" s="28" t="str">
        <x:v>Freshwater Garden</x:v>
      </x:c>
      <x:c r="E22" s="28" t="str">
        <x:v>Coin</x:v>
      </x:c>
      <x:c r="F22" s="28" t="str">
        <x:v>Rare</x:v>
      </x:c>
      <x:c r="G22" s="32" t="n">
        <x:v>26</x:v>
      </x:c>
      <x:c r="H22" s="28" t="str">
        <x:v>Coins</x:v>
      </x:c>
      <x:c r="I22" s="32" t="n">
        <x:v>0</x:v>
      </x:c>
      <x:c r="J22" s="42" t="n">
        <x:v>0.2925</x:v>
      </x:c>
      <x:c r="K22" s="32" t="n">
        <x:v>18</x:v>
      </x:c>
      <x:c r="L22" s="38" t="n">
        <x:f>IF(I22&gt;0,I22,IF(H22="Coins",MAX($I$5,ROUND(VLOOKUP(G22,'XP &amp; Unlocks'!$A$5:$N$74,4,FALSE)*J22/5,0)*5),K22))</x:f>
        <x:v>12120</x:v>
      </x:c>
      <x:c r="M22" s="28" t="n">
        <x:f>'Inputs'!$B$35</x:f>
        <x:v>0</x:v>
      </x:c>
      <x:c r="N22" s="28" t="n">
        <x:f>IF(Q22="Small",'Inputs'!$B$36,IF(Q22="Medium",'Inputs'!$B$37,IF(Q22="Large",'Inputs'!$B$38,'Inputs'!$B$39)))</x:f>
        <x:v>35</x:v>
      </x:c>
      <x:c r="O22" s="34" t="n">
        <x:v>2.8</x:v>
      </x:c>
      <x:c r="P22" s="34" t="n">
        <x:v>1.4</x:v>
      </x:c>
      <x:c r="Q22" s="28" t="str">
        <x:f>IF(MAX(O22,P22)&lt;=1.2,"Small",IF(MAX(O22,P22)&lt;=2,"Medium",IF(MAX(O22,P22)&lt;=3.2,"Large","XL")))</x:f>
        <x:v>Large</x:v>
      </x:c>
      <x:c r="R22" s="28" t="str">
        <x:v>Foreground</x:v>
      </x:c>
      <x:c r="S22" s="28" t="str">
        <x:v>None</x:v>
      </x:c>
      <x:c r="T22" s="28" t="str">
        <x:f>IF(E22="Limited Edition","Event-gated",IF(G22&lt;='Inputs'!$B$5,"Launch","Post-launch"))</x:f>
        <x:v>Launch</x:v>
      </x:c>
      <x:c r="U22" s="28" t="n">
        <x:v>3800</x:v>
      </x:c>
      <x:c r="V22" s="28" t="str">
        <x:v>Carpet Plant</x:v>
      </x:c>
      <x:c r="W22" s="28" t="str">
        <x:f>IF(AND(L22&gt;0,M22=0,MAX(O22,P22)&lt;=4.5,MIN(O22,P22)&gt;0,OR(H22="Coins",H22="Pearls")),"MODEL OK","REVIEW")</x:f>
        <x:v>MODEL OK</x:v>
      </x:c>
      <x:c r="X22" s="28" t="str">
        <x:v>Decor Catalog!A22:T22</x:v>
      </x:c>
    </x:row>
    <x:row r="23" ht="48" customHeight="1">
      <x:c r="A23" s="28" t="str">
        <x:v>CP-19</x:v>
      </x:c>
      <x:c r="B23" s="28" t="str">
        <x:v>Laceleaf Aponogeton</x:v>
      </x:c>
      <x:c r="C23" s="28" t="str">
        <x:v>Plant</x:v>
      </x:c>
      <x:c r="D23" s="28" t="str">
        <x:v>Botanical Rarities</x:v>
      </x:c>
      <x:c r="E23" s="28" t="str">
        <x:v>Coin</x:v>
      </x:c>
      <x:c r="F23" s="28" t="str">
        <x:v>Rare</x:v>
      </x:c>
      <x:c r="G23" s="32" t="n">
        <x:v>28</x:v>
      </x:c>
      <x:c r="H23" s="28" t="str">
        <x:v>Coins</x:v>
      </x:c>
      <x:c r="I23" s="32" t="n">
        <x:v>0</x:v>
      </x:c>
      <x:c r="J23" s="42" t="n">
        <x:v>0.2925</x:v>
      </x:c>
      <x:c r="K23" s="32" t="n">
        <x:v>18</x:v>
      </x:c>
      <x:c r="L23" s="38" t="n">
        <x:f>IF(I23&gt;0,I23,IF(H23="Coins",MAX($I$5,ROUND(VLOOKUP(G23,'XP &amp; Unlocks'!$A$5:$N$74,4,FALSE)*J23/5,0)*5),K23))</x:f>
        <x:v>13605</x:v>
      </x:c>
      <x:c r="M23" s="28" t="n">
        <x:f>'Inputs'!$B$35</x:f>
        <x:v>0</x:v>
      </x:c>
      <x:c r="N23" s="28" t="n">
        <x:f>IF(Q23="Small",'Inputs'!$B$36,IF(Q23="Medium",'Inputs'!$B$37,IF(Q23="Large",'Inputs'!$B$38,'Inputs'!$B$39)))</x:f>
        <x:v>35</x:v>
      </x:c>
      <x:c r="O23" s="34" t="n">
        <x:v>2.2</x:v>
      </x:c>
      <x:c r="P23" s="34" t="n">
        <x:v>3</x:v>
      </x:c>
      <x:c r="Q23" s="28" t="str">
        <x:f>IF(MAX(O23,P23)&lt;=1.2,"Small",IF(MAX(O23,P23)&lt;=2,"Medium",IF(MAX(O23,P23)&lt;=3.2,"Large","XL")))</x:f>
        <x:v>Large</x:v>
      </x:c>
      <x:c r="R23" s="28" t="str">
        <x:v>Background</x:v>
      </x:c>
      <x:c r="S23" s="28" t="str">
        <x:v>None</x:v>
      </x:c>
      <x:c r="T23" s="28" t="str">
        <x:f>IF(E23="Limited Edition","Event-gated",IF(G23&lt;='Inputs'!$B$5,"Launch","Post-launch"))</x:f>
        <x:v>Launch</x:v>
      </x:c>
      <x:c r="U23" s="28" t="n">
        <x:v>4600</x:v>
      </x:c>
      <x:c r="V23" s="28" t="str">
        <x:v>Broadleaf Plant</x:v>
      </x:c>
      <x:c r="W23" s="28" t="str">
        <x:f>IF(AND(L23&gt;0,M23=0,MAX(O23,P23)&lt;=4.5,MIN(O23,P23)&gt;0,OR(H23="Coins",H23="Pearls")),"MODEL OK","REVIEW")</x:f>
        <x:v>MODEL OK</x:v>
      </x:c>
      <x:c r="X23" s="28" t="str">
        <x:v>Decor Catalog!A23:T23</x:v>
      </x:c>
    </x:row>
    <x:row r="24" ht="48" customHeight="1">
      <x:c r="A24" s="28" t="str">
        <x:v>CP-20</x:v>
      </x:c>
      <x:c r="B24" s="28" t="str">
        <x:v>Ruffled Ribbon Plant</x:v>
      </x:c>
      <x:c r="C24" s="28" t="str">
        <x:v>Plant</x:v>
      </x:c>
      <x:c r="D24" s="28" t="str">
        <x:v>Botanical Rarities</x:v>
      </x:c>
      <x:c r="E24" s="28" t="str">
        <x:v>Coin</x:v>
      </x:c>
      <x:c r="F24" s="28" t="str">
        <x:v>Rare</x:v>
      </x:c>
      <x:c r="G24" s="32" t="n">
        <x:v>30</x:v>
      </x:c>
      <x:c r="H24" s="28" t="str">
        <x:v>Coins</x:v>
      </x:c>
      <x:c r="I24" s="32" t="n">
        <x:v>0</x:v>
      </x:c>
      <x:c r="J24" s="42" t="n">
        <x:v>0.2925</x:v>
      </x:c>
      <x:c r="K24" s="32" t="n">
        <x:v>18</x:v>
      </x:c>
      <x:c r="L24" s="38" t="n">
        <x:f>IF(I24&gt;0,I24,IF(H24="Coins",MAX($I$5,ROUND(VLOOKUP(G24,'XP &amp; Unlocks'!$A$5:$N$74,4,FALSE)*J24/5,0)*5),K24))</x:f>
        <x:v>15170</x:v>
      </x:c>
      <x:c r="M24" s="28" t="n">
        <x:f>'Inputs'!$B$35</x:f>
        <x:v>0</x:v>
      </x:c>
      <x:c r="N24" s="28" t="n">
        <x:f>IF(Q24="Small",'Inputs'!$B$36,IF(Q24="Medium",'Inputs'!$B$37,IF(Q24="Large",'Inputs'!$B$38,'Inputs'!$B$39)))</x:f>
        <x:v>35</x:v>
      </x:c>
      <x:c r="O24" s="34" t="n">
        <x:v>1.7</x:v>
      </x:c>
      <x:c r="P24" s="34" t="n">
        <x:v>3.1</x:v>
      </x:c>
      <x:c r="Q24" s="28" t="str">
        <x:f>IF(MAX(O24,P24)&lt;=1.2,"Small",IF(MAX(O24,P24)&lt;=2,"Medium",IF(MAX(O24,P24)&lt;=3.2,"Large","XL")))</x:f>
        <x:v>Large</x:v>
      </x:c>
      <x:c r="R24" s="28" t="str">
        <x:v>Background</x:v>
      </x:c>
      <x:c r="S24" s="28" t="str">
        <x:v>None</x:v>
      </x:c>
      <x:c r="T24" s="28" t="str">
        <x:f>IF(E24="Limited Edition","Event-gated",IF(G24&lt;='Inputs'!$B$5,"Launch","Post-launch"))</x:f>
        <x:v>Launch</x:v>
      </x:c>
      <x:c r="U24" s="28" t="n">
        <x:v>5500</x:v>
      </x:c>
      <x:c r="V24" s="28" t="str">
        <x:v>Ribbon Plant</x:v>
      </x:c>
      <x:c r="W24" s="28" t="str">
        <x:f>IF(AND(L24&gt;0,M24=0,MAX(O24,P24)&lt;=4.5,MIN(O24,P24)&gt;0,OR(H24="Coins",H24="Pearls")),"MODEL OK","REVIEW")</x:f>
        <x:v>MODEL OK</x:v>
      </x:c>
      <x:c r="X24" s="28" t="str">
        <x:v>Decor Catalog!A24:T24</x:v>
      </x:c>
    </x:row>
    <x:row r="25" ht="48" customHeight="1">
      <x:c r="A25" s="28" t="str">
        <x:v>CP-21</x:v>
      </x:c>
      <x:c r="B25" s="28" t="str">
        <x:v>Bolbitis River Fern</x:v>
      </x:c>
      <x:c r="C25" s="28" t="str">
        <x:v>Plant</x:v>
      </x:c>
      <x:c r="D25" s="28" t="str">
        <x:v>Woodland Creek</x:v>
      </x:c>
      <x:c r="E25" s="28" t="str">
        <x:v>Coin</x:v>
      </x:c>
      <x:c r="F25" s="28" t="str">
        <x:v>Rare</x:v>
      </x:c>
      <x:c r="G25" s="32" t="n">
        <x:v>32</x:v>
      </x:c>
      <x:c r="H25" s="28" t="str">
        <x:v>Coins</x:v>
      </x:c>
      <x:c r="I25" s="32" t="n">
        <x:v>0</x:v>
      </x:c>
      <x:c r="J25" s="42" t="n">
        <x:v>0.2925</x:v>
      </x:c>
      <x:c r="K25" s="32" t="n">
        <x:v>18</x:v>
      </x:c>
      <x:c r="L25" s="38" t="n">
        <x:f>IF(I25&gt;0,I25,IF(H25="Coins",MAX($I$5,ROUND(VLOOKUP(G25,'XP &amp; Unlocks'!$A$5:$N$74,4,FALSE)*J25/5,0)*5),K25))</x:f>
        <x:v>15760</x:v>
      </x:c>
      <x:c r="M25" s="28" t="n">
        <x:f>'Inputs'!$B$35</x:f>
        <x:v>0</x:v>
      </x:c>
      <x:c r="N25" s="28" t="n">
        <x:f>IF(Q25="Small",'Inputs'!$B$36,IF(Q25="Medium",'Inputs'!$B$37,IF(Q25="Large",'Inputs'!$B$38,'Inputs'!$B$39)))</x:f>
        <x:v>35</x:v>
      </x:c>
      <x:c r="O25" s="34" t="n">
        <x:v>2.5</x:v>
      </x:c>
      <x:c r="P25" s="34" t="n">
        <x:v>2.6</x:v>
      </x:c>
      <x:c r="Q25" s="28" t="str">
        <x:f>IF(MAX(O25,P25)&lt;=1.2,"Small",IF(MAX(O25,P25)&lt;=2,"Medium",IF(MAX(O25,P25)&lt;=3.2,"Large","XL")))</x:f>
        <x:v>Large</x:v>
      </x:c>
      <x:c r="R25" s="28" t="str">
        <x:v>Background</x:v>
      </x:c>
      <x:c r="S25" s="28" t="str">
        <x:v>None</x:v>
      </x:c>
      <x:c r="T25" s="28" t="str">
        <x:f>IF(E25="Limited Edition","Event-gated",IF(G25&lt;='Inputs'!$B$5,"Launch","Post-launch"))</x:f>
        <x:v>Launch</x:v>
      </x:c>
      <x:c r="U25" s="28" t="n">
        <x:v>6500</x:v>
      </x:c>
      <x:c r="V25" s="28" t="str">
        <x:v>Fern</x:v>
      </x:c>
      <x:c r="W25" s="28" t="str">
        <x:f>IF(AND(L25&gt;0,M25=0,MAX(O25,P25)&lt;=4.5,MIN(O25,P25)&gt;0,OR(H25="Coins",H25="Pearls")),"MODEL OK","REVIEW")</x:f>
        <x:v>MODEL OK</x:v>
      </x:c>
      <x:c r="X25" s="28" t="str">
        <x:v>Decor Catalog!A25:T25</x:v>
      </x:c>
    </x:row>
    <x:row r="26" ht="48" customHeight="1">
      <x:c r="A26" s="28" t="str">
        <x:v>CP-22</x:v>
      </x:c>
      <x:c r="B26" s="28" t="str">
        <x:v>Bucephalandra Velvet</x:v>
      </x:c>
      <x:c r="C26" s="28" t="str">
        <x:v>Plant</x:v>
      </x:c>
      <x:c r="D26" s="28" t="str">
        <x:v>Botanical Rarities</x:v>
      </x:c>
      <x:c r="E26" s="28" t="str">
        <x:v>Coin</x:v>
      </x:c>
      <x:c r="F26" s="28" t="str">
        <x:v>Rare</x:v>
      </x:c>
      <x:c r="G26" s="32" t="n">
        <x:v>34</x:v>
      </x:c>
      <x:c r="H26" s="28" t="str">
        <x:v>Coins</x:v>
      </x:c>
      <x:c r="I26" s="32" t="n">
        <x:v>0</x:v>
      </x:c>
      <x:c r="J26" s="42" t="n">
        <x:v>0.15600000000000003</x:v>
      </x:c>
      <x:c r="K26" s="32" t="n">
        <x:v>12</x:v>
      </x:c>
      <x:c r="L26" s="38" t="n">
        <x:f>IF(I26&gt;0,I26,IF(H26="Coins",MAX($I$5,ROUND(VLOOKUP(G26,'XP &amp; Unlocks'!$A$5:$N$74,4,FALSE)*J26/5,0)*5),K26))</x:f>
        <x:v>9885</x:v>
      </x:c>
      <x:c r="M26" s="28" t="n">
        <x:f>'Inputs'!$B$35</x:f>
        <x:v>0</x:v>
      </x:c>
      <x:c r="N26" s="28" t="n">
        <x:f>IF(Q26="Small",'Inputs'!$B$36,IF(Q26="Medium",'Inputs'!$B$37,IF(Q26="Large",'Inputs'!$B$38,'Inputs'!$B$39)))</x:f>
        <x:v>20</x:v>
      </x:c>
      <x:c r="O26" s="34" t="n">
        <x:v>1.8</x:v>
      </x:c>
      <x:c r="P26" s="34" t="n">
        <x:v>1.4</x:v>
      </x:c>
      <x:c r="Q26" s="28" t="str">
        <x:f>IF(MAX(O26,P26)&lt;=1.2,"Small",IF(MAX(O26,P26)&lt;=2,"Medium",IF(MAX(O26,P26)&lt;=3.2,"Large","XL")))</x:f>
        <x:v>Medium</x:v>
      </x:c>
      <x:c r="R26" s="28" t="str">
        <x:v>Midground</x:v>
      </x:c>
      <x:c r="S26" s="28" t="str">
        <x:v>None</x:v>
      </x:c>
      <x:c r="T26" s="28" t="str">
        <x:f>IF(E26="Limited Edition","Event-gated",IF(G26&lt;='Inputs'!$B$5,"Launch","Post-launch"))</x:f>
        <x:v>Launch</x:v>
      </x:c>
      <x:c r="U26" s="28" t="n">
        <x:v>7600</x:v>
      </x:c>
      <x:c r="V26" s="28" t="str">
        <x:v>Rosette Plant</x:v>
      </x:c>
      <x:c r="W26" s="28" t="str">
        <x:f>IF(AND(L26&gt;0,M26=0,MAX(O26,P26)&lt;=4.5,MIN(O26,P26)&gt;0,OR(H26="Coins",H26="Pearls")),"MODEL OK","REVIEW")</x:f>
        <x:v>MODEL OK</x:v>
      </x:c>
      <x:c r="X26" s="28" t="str">
        <x:v>Decor Catalog!A26:T26</x:v>
      </x:c>
    </x:row>
    <x:row r="27" ht="48" customHeight="1">
      <x:c r="A27" s="28" t="str">
        <x:v>CP-23</x:v>
      </x:c>
      <x:c r="B27" s="28" t="str">
        <x:v>Scarlet Temple Bush</x:v>
      </x:c>
      <x:c r="C27" s="28" t="str">
        <x:v>Plant</x:v>
      </x:c>
      <x:c r="D27" s="28" t="str">
        <x:v>Sunset Wetlands</x:v>
      </x:c>
      <x:c r="E27" s="28" t="str">
        <x:v>Coin</x:v>
      </x:c>
      <x:c r="F27" s="28" t="str">
        <x:v>Epic</x:v>
      </x:c>
      <x:c r="G27" s="32" t="n">
        <x:v>36</x:v>
      </x:c>
      <x:c r="H27" s="28" t="str">
        <x:v>Coins</x:v>
      </x:c>
      <x:c r="I27" s="32" t="n">
        <x:v>0</x:v>
      </x:c>
      <x:c r="J27" s="42" t="n">
        <x:v>0.33749999999999997</x:v>
      </x:c>
      <x:c r="K27" s="32" t="n">
        <x:v>20</x:v>
      </x:c>
      <x:c r="L27" s="38" t="n">
        <x:f>IF(I27&gt;0,I27,IF(H27="Coins",MAX($I$5,ROUND(VLOOKUP(G27,'XP &amp; Unlocks'!$A$5:$N$74,4,FALSE)*J27/5,0)*5),K27))</x:f>
        <x:v>23465</x:v>
      </x:c>
      <x:c r="M27" s="28" t="n">
        <x:f>'Inputs'!$B$35</x:f>
        <x:v>0</x:v>
      </x:c>
      <x:c r="N27" s="28" t="n">
        <x:f>IF(Q27="Small",'Inputs'!$B$36,IF(Q27="Medium",'Inputs'!$B$37,IF(Q27="Large",'Inputs'!$B$38,'Inputs'!$B$39)))</x:f>
        <x:v>35</x:v>
      </x:c>
      <x:c r="O27" s="34" t="n">
        <x:v>2.8</x:v>
      </x:c>
      <x:c r="P27" s="34" t="n">
        <x:v>3</x:v>
      </x:c>
      <x:c r="Q27" s="28" t="str">
        <x:f>IF(MAX(O27,P27)&lt;=1.2,"Small",IF(MAX(O27,P27)&lt;=2,"Medium",IF(MAX(O27,P27)&lt;=3.2,"Large","XL")))</x:f>
        <x:v>Large</x:v>
      </x:c>
      <x:c r="R27" s="28" t="str">
        <x:v>Background</x:v>
      </x:c>
      <x:c r="S27" s="28" t="str">
        <x:v>None</x:v>
      </x:c>
      <x:c r="T27" s="28" t="str">
        <x:f>IF(E27="Limited Edition","Event-gated",IF(G27&lt;='Inputs'!$B$5,"Launch","Post-launch"))</x:f>
        <x:v>Launch</x:v>
      </x:c>
      <x:c r="U27" s="28" t="n">
        <x:v>9000</x:v>
      </x:c>
      <x:c r="V27" s="28" t="str">
        <x:v>Stem Plant</x:v>
      </x:c>
      <x:c r="W27" s="28" t="str">
        <x:f>IF(AND(L27&gt;0,M27=0,MAX(O27,P27)&lt;=4.5,MIN(O27,P27)&gt;0,OR(H27="Coins",H27="Pearls")),"MODEL OK","REVIEW")</x:f>
        <x:v>MODEL OK</x:v>
      </x:c>
      <x:c r="X27" s="28" t="str">
        <x:v>Decor Catalog!A27:T27</x:v>
      </x:c>
    </x:row>
    <x:row r="28" ht="48" customHeight="1">
      <x:c r="A28" s="28" t="str">
        <x:v>CP-24</x:v>
      </x:c>
      <x:c r="B28" s="28" t="str">
        <x:v>Willow Hygrophila</x:v>
      </x:c>
      <x:c r="C28" s="28" t="str">
        <x:v>Plant</x:v>
      </x:c>
      <x:c r="D28" s="28" t="str">
        <x:v>Botanical Rarities</x:v>
      </x:c>
      <x:c r="E28" s="28" t="str">
        <x:v>Coin</x:v>
      </x:c>
      <x:c r="F28" s="28" t="str">
        <x:v>Epic</x:v>
      </x:c>
      <x:c r="G28" s="32" t="n">
        <x:v>38</x:v>
      </x:c>
      <x:c r="H28" s="28" t="str">
        <x:v>Coins</x:v>
      </x:c>
      <x:c r="I28" s="32" t="n">
        <x:v>0</x:v>
      </x:c>
      <x:c r="J28" s="42" t="n">
        <x:v>0.33749999999999997</x:v>
      </x:c>
      <x:c r="K28" s="32" t="n">
        <x:v>20</x:v>
      </x:c>
      <x:c r="L28" s="38" t="n">
        <x:f>IF(I28&gt;0,I28,IF(H28="Coins",MAX($I$5,ROUND(VLOOKUP(G28,'XP &amp; Unlocks'!$A$5:$N$74,4,FALSE)*J28/5,0)*5),K28))</x:f>
        <x:v>25635</x:v>
      </x:c>
      <x:c r="M28" s="28" t="n">
        <x:f>'Inputs'!$B$35</x:f>
        <x:v>0</x:v>
      </x:c>
      <x:c r="N28" s="28" t="n">
        <x:f>IF(Q28="Small",'Inputs'!$B$36,IF(Q28="Medium",'Inputs'!$B$37,IF(Q28="Large",'Inputs'!$B$38,'Inputs'!$B$39)))</x:f>
        <x:v>35</x:v>
      </x:c>
      <x:c r="O28" s="34" t="n">
        <x:v>2.8</x:v>
      </x:c>
      <x:c r="P28" s="34" t="n">
        <x:v>3.2</x:v>
      </x:c>
      <x:c r="Q28" s="28" t="str">
        <x:f>IF(MAX(O28,P28)&lt;=1.2,"Small",IF(MAX(O28,P28)&lt;=2,"Medium",IF(MAX(O28,P28)&lt;=3.2,"Large","XL")))</x:f>
        <x:v>Large</x:v>
      </x:c>
      <x:c r="R28" s="28" t="str">
        <x:v>Background</x:v>
      </x:c>
      <x:c r="S28" s="28" t="str">
        <x:v>None</x:v>
      </x:c>
      <x:c r="T28" s="28" t="str">
        <x:f>IF(E28="Limited Edition","Event-gated",IF(G28&lt;='Inputs'!$B$5,"Launch","Post-launch"))</x:f>
        <x:v>Launch</x:v>
      </x:c>
      <x:c r="U28" s="28" t="n">
        <x:v>10500</x:v>
      </x:c>
      <x:c r="V28" s="28" t="str">
        <x:v>Stem Plant</x:v>
      </x:c>
      <x:c r="W28" s="28" t="str">
        <x:f>IF(AND(L28&gt;0,M28=0,MAX(O28,P28)&lt;=4.5,MIN(O28,P28)&gt;0,OR(H28="Coins",H28="Pearls")),"MODEL OK","REVIEW")</x:f>
        <x:v>MODEL OK</x:v>
      </x:c>
      <x:c r="X28" s="28" t="str">
        <x:v>Decor Catalog!A28:T28</x:v>
      </x:c>
    </x:row>
    <x:row r="29" ht="48" customHeight="1">
      <x:c r="A29" s="28" t="str">
        <x:v>CP-25</x:v>
      </x:c>
      <x:c r="B29" s="28" t="str">
        <x:v>Mangrove Root Sapling</x:v>
      </x:c>
      <x:c r="C29" s="28" t="str">
        <x:v>Plant</x:v>
      </x:c>
      <x:c r="D29" s="28" t="str">
        <x:v>Tropical Lagoon</x:v>
      </x:c>
      <x:c r="E29" s="28" t="str">
        <x:v>Coin</x:v>
      </x:c>
      <x:c r="F29" s="28" t="str">
        <x:v>Epic</x:v>
      </x:c>
      <x:c r="G29" s="32" t="n">
        <x:v>40</x:v>
      </x:c>
      <x:c r="H29" s="28" t="str">
        <x:v>Coins</x:v>
      </x:c>
      <x:c r="I29" s="32" t="n">
        <x:v>0</x:v>
      </x:c>
      <x:c r="J29" s="42" t="n">
        <x:v>0.54</x:v>
      </x:c>
      <x:c r="K29" s="32" t="n">
        <x:v>28</x:v>
      </x:c>
      <x:c r="L29" s="38" t="n">
        <x:f>IF(I29&gt;0,I29,IF(H29="Coins",MAX($I$5,ROUND(VLOOKUP(G29,'XP &amp; Unlocks'!$A$5:$N$74,4,FALSE)*J29/5,0)*5),K29))</x:f>
        <x:v>44630</x:v>
      </x:c>
      <x:c r="M29" s="28" t="n">
        <x:f>'Inputs'!$B$35</x:f>
        <x:v>0</x:v>
      </x:c>
      <x:c r="N29" s="28" t="n">
        <x:f>IF(Q29="Small",'Inputs'!$B$36,IF(Q29="Medium",'Inputs'!$B$37,IF(Q29="Large",'Inputs'!$B$38,'Inputs'!$B$39)))</x:f>
        <x:v>50</x:v>
      </x:c>
      <x:c r="O29" s="34" t="n">
        <x:v>3</x:v>
      </x:c>
      <x:c r="P29" s="34" t="n">
        <x:v>3.5</x:v>
      </x:c>
      <x:c r="Q29" s="28" t="str">
        <x:f>IF(MAX(O29,P29)&lt;=1.2,"Small",IF(MAX(O29,P29)&lt;=2,"Medium",IF(MAX(O29,P29)&lt;=3.2,"Large","XL")))</x:f>
        <x:v>XL</x:v>
      </x:c>
      <x:c r="R29" s="28" t="str">
        <x:v>Background</x:v>
      </x:c>
      <x:c r="S29" s="28" t="str">
        <x:v>None</x:v>
      </x:c>
      <x:c r="T29" s="28" t="str">
        <x:f>IF(E29="Limited Edition","Event-gated",IF(G29&lt;='Inputs'!$B$5,"Launch","Post-launch"))</x:f>
        <x:v>Launch</x:v>
      </x:c>
      <x:c r="U29" s="28" t="n">
        <x:v>12000</x:v>
      </x:c>
      <x:c r="V29" s="28" t="str">
        <x:v>Rooted Plant</x:v>
      </x:c>
      <x:c r="W29" s="28" t="str">
        <x:f>IF(AND(L29&gt;0,M29=0,MAX(O29,P29)&lt;=4.5,MIN(O29,P29)&gt;0,OR(H29="Coins",H29="Pearls")),"MODEL OK","REVIEW")</x:f>
        <x:v>MODEL OK</x:v>
      </x:c>
      <x:c r="X29" s="28" t="str">
        <x:v>Decor Catalog!A29:T29</x:v>
      </x:c>
    </x:row>
    <x:row r="30" ht="48" customHeight="1">
      <x:c r="A30" s="28" t="str">
        <x:v>CP-26</x:v>
      </x:c>
      <x:c r="B30" s="28" t="str">
        <x:v>Crystalgrass Crescent</x:v>
      </x:c>
      <x:c r="C30" s="28" t="str">
        <x:v>Plant</x:v>
      </x:c>
      <x:c r="D30" s="28" t="str">
        <x:v>Crystal Grotto</x:v>
      </x:c>
      <x:c r="E30" s="28" t="str">
        <x:v>Coin</x:v>
      </x:c>
      <x:c r="F30" s="28" t="str">
        <x:v>Epic</x:v>
      </x:c>
      <x:c r="G30" s="32" t="n">
        <x:v>44</x:v>
      </x:c>
      <x:c r="H30" s="28" t="str">
        <x:v>Coins</x:v>
      </x:c>
      <x:c r="I30" s="32" t="n">
        <x:v>0</x:v>
      </x:c>
      <x:c r="J30" s="42" t="n">
        <x:v>0.33749999999999997</x:v>
      </x:c>
      <x:c r="K30" s="32" t="n">
        <x:v>20</x:v>
      </x:c>
      <x:c r="L30" s="38" t="n">
        <x:f>IF(I30&gt;0,I30,IF(H30="Coins",MAX($I$5,ROUND(VLOOKUP(G30,'XP &amp; Unlocks'!$A$5:$N$74,4,FALSE)*J30/5,0)*5),K30))</x:f>
        <x:v>29715</x:v>
      </x:c>
      <x:c r="M30" s="28" t="n">
        <x:f>'Inputs'!$B$35</x:f>
        <x:v>0</x:v>
      </x:c>
      <x:c r="N30" s="28" t="n">
        <x:f>IF(Q30="Small",'Inputs'!$B$36,IF(Q30="Medium",'Inputs'!$B$37,IF(Q30="Large",'Inputs'!$B$38,'Inputs'!$B$39)))</x:f>
        <x:v>35</x:v>
      </x:c>
      <x:c r="O30" s="34" t="n">
        <x:v>2.4</x:v>
      </x:c>
      <x:c r="P30" s="34" t="n">
        <x:v>2.2</x:v>
      </x:c>
      <x:c r="Q30" s="28" t="str">
        <x:f>IF(MAX(O30,P30)&lt;=1.2,"Small",IF(MAX(O30,P30)&lt;=2,"Medium",IF(MAX(O30,P30)&lt;=3.2,"Large","XL")))</x:f>
        <x:v>Large</x:v>
      </x:c>
      <x:c r="R30" s="28" t="str">
        <x:v>Midground</x:v>
      </x:c>
      <x:c r="S30" s="28" t="str">
        <x:v>None</x:v>
      </x:c>
      <x:c r="T30" s="28" t="str">
        <x:f>IF(E30="Limited Edition","Event-gated",IF(G30&lt;='Inputs'!$B$5,"Launch","Post-launch"))</x:f>
        <x:v>Post-launch</x:v>
      </x:c>
      <x:c r="U30" s="28" t="n">
        <x:v>15000</x:v>
      </x:c>
      <x:c r="V30" s="28" t="str">
        <x:v>Fantasy Plant</x:v>
      </x:c>
      <x:c r="W30" s="28" t="str">
        <x:f>IF(AND(L30&gt;0,M30=0,MAX(O30,P30)&lt;=4.5,MIN(O30,P30)&gt;0,OR(H30="Coins",H30="Pearls")),"MODEL OK","REVIEW")</x:f>
        <x:v>MODEL OK</x:v>
      </x:c>
      <x:c r="X30" s="28" t="str">
        <x:v>Decor Catalog!A30:T30</x:v>
      </x:c>
    </x:row>
    <x:row r="31" ht="48" customHeight="1">
      <x:c r="A31" s="28" t="str">
        <x:v>CP-27</x:v>
      </x:c>
      <x:c r="B31" s="28" t="str">
        <x:v>Sapphire Fanleaf</x:v>
      </x:c>
      <x:c r="C31" s="28" t="str">
        <x:v>Plant</x:v>
      </x:c>
      <x:c r="D31" s="28" t="str">
        <x:v>Deep Sea</x:v>
      </x:c>
      <x:c r="E31" s="28" t="str">
        <x:v>Coin</x:v>
      </x:c>
      <x:c r="F31" s="28" t="str">
        <x:v>Epic</x:v>
      </x:c>
      <x:c r="G31" s="32" t="n">
        <x:v>48</x:v>
      </x:c>
      <x:c r="H31" s="28" t="str">
        <x:v>Coins</x:v>
      </x:c>
      <x:c r="I31" s="32" t="n">
        <x:v>0</x:v>
      </x:c>
      <x:c r="J31" s="42" t="n">
        <x:v>0.33749999999999997</x:v>
      </x:c>
      <x:c r="K31" s="32" t="n">
        <x:v>20</x:v>
      </x:c>
      <x:c r="L31" s="38" t="n">
        <x:f>IF(I31&gt;0,I31,IF(H31="Coins",MAX($I$5,ROUND(VLOOKUP(G31,'XP &amp; Unlocks'!$A$5:$N$74,4,FALSE)*J31/5,0)*5),K31))</x:f>
        <x:v>31540</x:v>
      </x:c>
      <x:c r="M31" s="28" t="n">
        <x:f>'Inputs'!$B$35</x:f>
        <x:v>0</x:v>
      </x:c>
      <x:c r="N31" s="28" t="n">
        <x:f>IF(Q31="Small",'Inputs'!$B$36,IF(Q31="Medium",'Inputs'!$B$37,IF(Q31="Large",'Inputs'!$B$38,'Inputs'!$B$39)))</x:f>
        <x:v>35</x:v>
      </x:c>
      <x:c r="O31" s="34" t="n">
        <x:v>2.7</x:v>
      </x:c>
      <x:c r="P31" s="34" t="n">
        <x:v>3</x:v>
      </x:c>
      <x:c r="Q31" s="28" t="str">
        <x:f>IF(MAX(O31,P31)&lt;=1.2,"Small",IF(MAX(O31,P31)&lt;=2,"Medium",IF(MAX(O31,P31)&lt;=3.2,"Large","XL")))</x:f>
        <x:v>Large</x:v>
      </x:c>
      <x:c r="R31" s="28" t="str">
        <x:v>Background</x:v>
      </x:c>
      <x:c r="S31" s="28" t="str">
        <x:v>None</x:v>
      </x:c>
      <x:c r="T31" s="28" t="str">
        <x:f>IF(E31="Limited Edition","Event-gated",IF(G31&lt;='Inputs'!$B$5,"Launch","Post-launch"))</x:f>
        <x:v>Post-launch</x:v>
      </x:c>
      <x:c r="U31" s="28" t="n">
        <x:v>18500</x:v>
      </x:c>
      <x:c r="V31" s="28" t="str">
        <x:v>Fantasy Plant</x:v>
      </x:c>
      <x:c r="W31" s="28" t="str">
        <x:f>IF(AND(L31&gt;0,M31=0,MAX(O31,P31)&lt;=4.5,MIN(O31,P31)&gt;0,OR(H31="Coins",H31="Pearls")),"MODEL OK","REVIEW")</x:f>
        <x:v>MODEL OK</x:v>
      </x:c>
      <x:c r="X31" s="28" t="str">
        <x:v>Decor Catalog!A31:T31</x:v>
      </x:c>
    </x:row>
    <x:row r="32" ht="48" customHeight="1">
      <x:c r="A32" s="28" t="str">
        <x:v>CP-28</x:v>
      </x:c>
      <x:c r="B32" s="28" t="str">
        <x:v>Amber Reed Cluster</x:v>
      </x:c>
      <x:c r="C32" s="28" t="str">
        <x:v>Plant</x:v>
      </x:c>
      <x:c r="D32" s="28" t="str">
        <x:v>Sunset Wetlands</x:v>
      </x:c>
      <x:c r="E32" s="28" t="str">
        <x:v>Coin</x:v>
      </x:c>
      <x:c r="F32" s="28" t="str">
        <x:v>Epic</x:v>
      </x:c>
      <x:c r="G32" s="32" t="n">
        <x:v>52</x:v>
      </x:c>
      <x:c r="H32" s="28" t="str">
        <x:v>Coins</x:v>
      </x:c>
      <x:c r="I32" s="32" t="n">
        <x:v>0</x:v>
      </x:c>
      <x:c r="J32" s="42" t="n">
        <x:v>0.54</x:v>
      </x:c>
      <x:c r="K32" s="32" t="n">
        <x:v>28</x:v>
      </x:c>
      <x:c r="L32" s="38" t="n">
        <x:f>IF(I32&gt;0,I32,IF(H32="Coins",MAX($I$5,ROUND(VLOOKUP(G32,'XP &amp; Unlocks'!$A$5:$N$74,4,FALSE)*J32/5,0)*5),K32))</x:f>
        <x:v>53380</x:v>
      </x:c>
      <x:c r="M32" s="28" t="n">
        <x:f>'Inputs'!$B$35</x:f>
        <x:v>0</x:v>
      </x:c>
      <x:c r="N32" s="28" t="n">
        <x:f>IF(Q32="Small",'Inputs'!$B$36,IF(Q32="Medium",'Inputs'!$B$37,IF(Q32="Large",'Inputs'!$B$38,'Inputs'!$B$39)))</x:f>
        <x:v>50</x:v>
      </x:c>
      <x:c r="O32" s="34" t="n">
        <x:v>2</x:v>
      </x:c>
      <x:c r="P32" s="34" t="n">
        <x:v>3.4</x:v>
      </x:c>
      <x:c r="Q32" s="28" t="str">
        <x:f>IF(MAX(O32,P32)&lt;=1.2,"Small",IF(MAX(O32,P32)&lt;=2,"Medium",IF(MAX(O32,P32)&lt;=3.2,"Large","XL")))</x:f>
        <x:v>XL</x:v>
      </x:c>
      <x:c r="R32" s="28" t="str">
        <x:v>Background</x:v>
      </x:c>
      <x:c r="S32" s="28" t="str">
        <x:v>None</x:v>
      </x:c>
      <x:c r="T32" s="28" t="str">
        <x:f>IF(E32="Limited Edition","Event-gated",IF(G32&lt;='Inputs'!$B$5,"Launch","Post-launch"))</x:f>
        <x:v>Post-launch</x:v>
      </x:c>
      <x:c r="U32" s="28" t="n">
        <x:v>22500</x:v>
      </x:c>
      <x:c r="V32" s="28" t="str">
        <x:v>Fantasy Plant</x:v>
      </x:c>
      <x:c r="W32" s="28" t="str">
        <x:f>IF(AND(L32&gt;0,M32=0,MAX(O32,P32)&lt;=4.5,MIN(O32,P32)&gt;0,OR(H32="Coins",H32="Pearls")),"MODEL OK","REVIEW")</x:f>
        <x:v>MODEL OK</x:v>
      </x:c>
      <x:c r="X32" s="28" t="str">
        <x:v>Decor Catalog!A32:T32</x:v>
      </x:c>
    </x:row>
    <x:row r="33" ht="48" customHeight="1">
      <x:c r="A33" s="28" t="str">
        <x:v>CP-29</x:v>
      </x:c>
      <x:c r="B33" s="28" t="str">
        <x:v>Silver Lace Grove</x:v>
      </x:c>
      <x:c r="C33" s="28" t="str">
        <x:v>Plant</x:v>
      </x:c>
      <x:c r="D33" s="28" t="str">
        <x:v>Moonlit Garden</x:v>
      </x:c>
      <x:c r="E33" s="28" t="str">
        <x:v>Coin</x:v>
      </x:c>
      <x:c r="F33" s="28" t="str">
        <x:v>Epic</x:v>
      </x:c>
      <x:c r="G33" s="32" t="n">
        <x:v>56</x:v>
      </x:c>
      <x:c r="H33" s="28" t="str">
        <x:v>Coins</x:v>
      </x:c>
      <x:c r="I33" s="32" t="n">
        <x:v>0</x:v>
      </x:c>
      <x:c r="J33" s="42" t="n">
        <x:v>0.54</x:v>
      </x:c>
      <x:c r="K33" s="32" t="n">
        <x:v>28</x:v>
      </x:c>
      <x:c r="L33" s="38" t="n">
        <x:f>IF(I33&gt;0,I33,IF(H33="Coins",MAX($I$5,ROUND(VLOOKUP(G33,'XP &amp; Unlocks'!$A$5:$N$74,4,FALSE)*J33/5,0)*5),K33))</x:f>
        <x:v>56295</x:v>
      </x:c>
      <x:c r="M33" s="28" t="n">
        <x:f>'Inputs'!$B$35</x:f>
        <x:v>0</x:v>
      </x:c>
      <x:c r="N33" s="28" t="n">
        <x:f>IF(Q33="Small",'Inputs'!$B$36,IF(Q33="Medium",'Inputs'!$B$37,IF(Q33="Large",'Inputs'!$B$38,'Inputs'!$B$39)))</x:f>
        <x:v>50</x:v>
      </x:c>
      <x:c r="O33" s="34" t="n">
        <x:v>3.1</x:v>
      </x:c>
      <x:c r="P33" s="34" t="n">
        <x:v>3.4</x:v>
      </x:c>
      <x:c r="Q33" s="28" t="str">
        <x:f>IF(MAX(O33,P33)&lt;=1.2,"Small",IF(MAX(O33,P33)&lt;=2,"Medium",IF(MAX(O33,P33)&lt;=3.2,"Large","XL")))</x:f>
        <x:v>XL</x:v>
      </x:c>
      <x:c r="R33" s="28" t="str">
        <x:v>Background</x:v>
      </x:c>
      <x:c r="S33" s="28" t="str">
        <x:v>None</x:v>
      </x:c>
      <x:c r="T33" s="28" t="str">
        <x:f>IF(E33="Limited Edition","Event-gated",IF(G33&lt;='Inputs'!$B$5,"Launch","Post-launch"))</x:f>
        <x:v>Post-launch</x:v>
      </x:c>
      <x:c r="U33" s="28" t="n">
        <x:v>26500</x:v>
      </x:c>
      <x:c r="V33" s="28" t="str">
        <x:v>Fantasy Plant</x:v>
      </x:c>
      <x:c r="W33" s="28" t="str">
        <x:f>IF(AND(L33&gt;0,M33=0,MAX(O33,P33)&lt;=4.5,MIN(O33,P33)&gt;0,OR(H33="Coins",H33="Pearls")),"MODEL OK","REVIEW")</x:f>
        <x:v>MODEL OK</x:v>
      </x:c>
      <x:c r="X33" s="28" t="str">
        <x:v>Decor Catalog!A33:T33</x:v>
      </x:c>
    </x:row>
    <x:row r="34" ht="48" customHeight="1">
      <x:c r="A34" s="28" t="str">
        <x:v>CP-30</x:v>
      </x:c>
      <x:c r="B34" s="28" t="str">
        <x:v>Giant Lotus Canopy</x:v>
      </x:c>
      <x:c r="C34" s="28" t="str">
        <x:v>Plant</x:v>
      </x:c>
      <x:c r="D34" s="28" t="str">
        <x:v>Zen Garden</x:v>
      </x:c>
      <x:c r="E34" s="28" t="str">
        <x:v>Coin</x:v>
      </x:c>
      <x:c r="F34" s="28" t="str">
        <x:v>Epic</x:v>
      </x:c>
      <x:c r="G34" s="32" t="n">
        <x:v>60</x:v>
      </x:c>
      <x:c r="H34" s="28" t="str">
        <x:v>Coins</x:v>
      </x:c>
      <x:c r="I34" s="32" t="n">
        <x:v>0</x:v>
      </x:c>
      <x:c r="J34" s="42" t="n">
        <x:v>0.54</x:v>
      </x:c>
      <x:c r="K34" s="32" t="n">
        <x:v>28</x:v>
      </x:c>
      <x:c r="L34" s="38" t="n">
        <x:f>IF(I34&gt;0,I34,IF(H34="Coins",MAX($I$5,ROUND(VLOOKUP(G34,'XP &amp; Unlocks'!$A$5:$N$74,4,FALSE)*J34/5,0)*5),K34))</x:f>
        <x:v>59210</x:v>
      </x:c>
      <x:c r="M34" s="28" t="n">
        <x:f>'Inputs'!$B$35</x:f>
        <x:v>0</x:v>
      </x:c>
      <x:c r="N34" s="28" t="n">
        <x:f>IF(Q34="Small",'Inputs'!$B$36,IF(Q34="Medium",'Inputs'!$B$37,IF(Q34="Large",'Inputs'!$B$38,'Inputs'!$B$39)))</x:f>
        <x:v>50</x:v>
      </x:c>
      <x:c r="O34" s="34" t="n">
        <x:v>3.8</x:v>
      </x:c>
      <x:c r="P34" s="34" t="n">
        <x:v>3.4</x:v>
      </x:c>
      <x:c r="Q34" s="28" t="str">
        <x:f>IF(MAX(O34,P34)&lt;=1.2,"Small",IF(MAX(O34,P34)&lt;=2,"Medium",IF(MAX(O34,P34)&lt;=3.2,"Large","XL")))</x:f>
        <x:v>XL</x:v>
      </x:c>
      <x:c r="R34" s="28" t="str">
        <x:v>Background</x:v>
      </x:c>
      <x:c r="S34" s="28" t="str">
        <x:v>None</x:v>
      </x:c>
      <x:c r="T34" s="28" t="str">
        <x:f>IF(E34="Limited Edition","Event-gated",IF(G34&lt;='Inputs'!$B$5,"Launch","Post-launch"))</x:f>
        <x:v>Post-launch</x:v>
      </x:c>
      <x:c r="U34" s="28" t="n">
        <x:v>30000</x:v>
      </x:c>
      <x:c r="V34" s="28" t="str">
        <x:v>Lotus</x:v>
      </x:c>
      <x:c r="W34" s="28" t="str">
        <x:f>IF(AND(L34&gt;0,M34=0,MAX(O34,P34)&lt;=4.5,MIN(O34,P34)&gt;0,OR(H34="Coins",H34="Pearls")),"MODEL OK","REVIEW")</x:f>
        <x:v>MODEL OK</x:v>
      </x:c>
      <x:c r="X34" s="28" t="str">
        <x:v>Decor Catalog!A34:T34</x:v>
      </x:c>
    </x:row>
    <x:row r="35" ht="48" customHeight="1">
      <x:c r="A35" s="28" t="str">
        <x:v>CP-31</x:v>
      </x:c>
      <x:c r="B35" s="28" t="str">
        <x:v>Ancient Root Garden</x:v>
      </x:c>
      <x:c r="C35" s="28" t="str">
        <x:v>Plant</x:v>
      </x:c>
      <x:c r="D35" s="28" t="str">
        <x:v>Woodland Creek</x:v>
      </x:c>
      <x:c r="E35" s="28" t="str">
        <x:v>Coin</x:v>
      </x:c>
      <x:c r="F35" s="28" t="str">
        <x:v>Legendary</x:v>
      </x:c>
      <x:c r="G35" s="32" t="n">
        <x:v>65</x:v>
      </x:c>
      <x:c r="H35" s="28" t="str">
        <x:v>Coins</x:v>
      </x:c>
      <x:c r="I35" s="32" t="n">
        <x:v>0</x:v>
      </x:c>
      <x:c r="J35" s="42" t="n">
        <x:v>0.648</x:v>
      </x:c>
      <x:c r="K35" s="32" t="n">
        <x:v>30</x:v>
      </x:c>
      <x:c r="L35" s="38" t="n">
        <x:f>IF(I35&gt;0,I35,IF(H35="Coins",MAX($I$5,ROUND(VLOOKUP(G35,'XP &amp; Unlocks'!$A$5:$N$74,4,FALSE)*J35/5,0)*5),K35))</x:f>
        <x:v>75425</x:v>
      </x:c>
      <x:c r="M35" s="28" t="n">
        <x:f>'Inputs'!$B$35</x:f>
        <x:v>0</x:v>
      </x:c>
      <x:c r="N35" s="28" t="n">
        <x:f>IF(Q35="Small",'Inputs'!$B$36,IF(Q35="Medium",'Inputs'!$B$37,IF(Q35="Large",'Inputs'!$B$38,'Inputs'!$B$39)))</x:f>
        <x:v>50</x:v>
      </x:c>
      <x:c r="O35" s="34" t="n">
        <x:v>3.8</x:v>
      </x:c>
      <x:c r="P35" s="34" t="n">
        <x:v>3.5</x:v>
      </x:c>
      <x:c r="Q35" s="28" t="str">
        <x:f>IF(MAX(O35,P35)&lt;=1.2,"Small",IF(MAX(O35,P35)&lt;=2,"Medium",IF(MAX(O35,P35)&lt;=3.2,"Large","XL")))</x:f>
        <x:v>XL</x:v>
      </x:c>
      <x:c r="R35" s="28" t="str">
        <x:v>Background</x:v>
      </x:c>
      <x:c r="S35" s="28" t="str">
        <x:v>None</x:v>
      </x:c>
      <x:c r="T35" s="28" t="str">
        <x:f>IF(E35="Limited Edition","Event-gated",IF(G35&lt;='Inputs'!$B$5,"Launch","Post-launch"))</x:f>
        <x:v>Post-launch</x:v>
      </x:c>
      <x:c r="U35" s="28" t="n">
        <x:v>35000</x:v>
      </x:c>
      <x:c r="V35" s="28" t="str">
        <x:v>Rooted Plant</x:v>
      </x:c>
      <x:c r="W35" s="28" t="str">
        <x:f>IF(AND(L35&gt;0,M35=0,MAX(O35,P35)&lt;=4.5,MIN(O35,P35)&gt;0,OR(H35="Coins",H35="Pearls")),"MODEL OK","REVIEW")</x:f>
        <x:v>MODEL OK</x:v>
      </x:c>
      <x:c r="X35" s="28" t="str">
        <x:v>Decor Catalog!A35:T35</x:v>
      </x:c>
    </x:row>
    <x:row r="36" ht="48" customHeight="1">
      <x:c r="A36" s="28" t="str">
        <x:v>CP-32</x:v>
      </x:c>
      <x:c r="B36" s="28" t="str">
        <x:v>Rainbow Ribbon Grove</x:v>
      </x:c>
      <x:c r="C36" s="28" t="str">
        <x:v>Plant</x:v>
      </x:c>
      <x:c r="D36" s="28" t="str">
        <x:v>Prism Reef</x:v>
      </x:c>
      <x:c r="E36" s="28" t="str">
        <x:v>Coin</x:v>
      </x:c>
      <x:c r="F36" s="28" t="str">
        <x:v>Legendary</x:v>
      </x:c>
      <x:c r="G36" s="32" t="n">
        <x:v>70</x:v>
      </x:c>
      <x:c r="H36" s="28" t="str">
        <x:v>Coins</x:v>
      </x:c>
      <x:c r="I36" s="32" t="n">
        <x:v>0</x:v>
      </x:c>
      <x:c r="J36" s="42" t="n">
        <x:v>0.648</x:v>
      </x:c>
      <x:c r="K36" s="32" t="n">
        <x:v>30</x:v>
      </x:c>
      <x:c r="L36" s="38" t="n">
        <x:f>IF(I36&gt;0,I36,IF(H36="Coins",MAX($I$5,ROUND(VLOOKUP(G36,'XP &amp; Unlocks'!$A$5:$N$74,4,FALSE)*J36/5,0)*5),K36))</x:f>
        <x:v>79800</x:v>
      </x:c>
      <x:c r="M36" s="28" t="n">
        <x:f>'Inputs'!$B$35</x:f>
        <x:v>0</x:v>
      </x:c>
      <x:c r="N36" s="28" t="n">
        <x:f>IF(Q36="Small",'Inputs'!$B$36,IF(Q36="Medium",'Inputs'!$B$37,IF(Q36="Large",'Inputs'!$B$38,'Inputs'!$B$39)))</x:f>
        <x:v>50</x:v>
      </x:c>
      <x:c r="O36" s="34" t="n">
        <x:v>3.4</x:v>
      </x:c>
      <x:c r="P36" s="34" t="n">
        <x:v>4</x:v>
      </x:c>
      <x:c r="Q36" s="28" t="str">
        <x:f>IF(MAX(O36,P36)&lt;=1.2,"Small",IF(MAX(O36,P36)&lt;=2,"Medium",IF(MAX(O36,P36)&lt;=3.2,"Large","XL")))</x:f>
        <x:v>XL</x:v>
      </x:c>
      <x:c r="R36" s="28" t="str">
        <x:v>Background</x:v>
      </x:c>
      <x:c r="S36" s="28" t="str">
        <x:v>None</x:v>
      </x:c>
      <x:c r="T36" s="28" t="str">
        <x:f>IF(E36="Limited Edition","Event-gated",IF(G36&lt;='Inputs'!$B$5,"Launch","Post-launch"))</x:f>
        <x:v>Post-launch</x:v>
      </x:c>
      <x:c r="U36" s="28" t="n">
        <x:v>42000</x:v>
      </x:c>
      <x:c r="V36" s="28" t="str">
        <x:v>Fantasy Plant</x:v>
      </x:c>
      <x:c r="W36" s="28" t="str">
        <x:f>IF(AND(L36&gt;0,M36=0,MAX(O36,P36)&lt;=4.5,MIN(O36,P36)&gt;0,OR(H36="Coins",H36="Pearls")),"MODEL OK","REVIEW")</x:f>
        <x:v>MODEL OK</x:v>
      </x:c>
      <x:c r="X36" s="28" t="str">
        <x:v>Decor Catalog!A36:T36</x:v>
      </x:c>
    </x:row>
    <x:row r="37" ht="48" customHeight="1">
      <x:c r="A37" s="28" t="str">
        <x:v>CD-01</x:v>
      </x:c>
      <x:c r="B37" s="28" t="str">
        <x:v>River Pebble Pair</x:v>
      </x:c>
      <x:c r="C37" s="28" t="str">
        <x:v>Decoration</x:v>
      </x:c>
      <x:c r="D37" s="28" t="str">
        <x:v>Freshwater Garden</x:v>
      </x:c>
      <x:c r="E37" s="28" t="str">
        <x:v>Coin</x:v>
      </x:c>
      <x:c r="F37" s="28" t="str">
        <x:v>Common</x:v>
      </x:c>
      <x:c r="G37" s="32" t="n">
        <x:v>1</x:v>
      </x:c>
      <x:c r="H37" s="28" t="str">
        <x:v>Coins</x:v>
      </x:c>
      <x:c r="I37" s="32" t="n">
        <x:v>0</x:v>
      </x:c>
      <x:c r="J37" s="42" t="n">
        <x:v>0.0225</x:v>
      </x:c>
      <x:c r="K37" s="32" t="n">
        <x:v>6</x:v>
      </x:c>
      <x:c r="L37" s="38" t="n">
        <x:f>IF(I37&gt;0,I37,IF(H37="Coins",MAX($I$5,ROUND(VLOOKUP(G37,'XP &amp; Unlocks'!$A$5:$N$74,4,FALSE)*J37/5,0)*5),K37))</x:f>
        <x:v>70</x:v>
      </x:c>
      <x:c r="M37" s="28" t="n">
        <x:f>'Inputs'!$B$35</x:f>
        <x:v>0</x:v>
      </x:c>
      <x:c r="N37" s="28" t="n">
        <x:f>IF(Q37="Small",'Inputs'!$B$36,IF(Q37="Medium",'Inputs'!$B$37,IF(Q37="Large",'Inputs'!$B$38,'Inputs'!$B$39)))</x:f>
        <x:v>10</x:v>
      </x:c>
      <x:c r="O37" s="34" t="n">
        <x:v>1.1</x:v>
      </x:c>
      <x:c r="P37" s="34" t="n">
        <x:v>0.65</x:v>
      </x:c>
      <x:c r="Q37" s="28" t="str">
        <x:f>IF(MAX(O37,P37)&lt;=1.2,"Small",IF(MAX(O37,P37)&lt;=2,"Medium",IF(MAX(O37,P37)&lt;=3.2,"Large","XL")))</x:f>
        <x:v>Small</x:v>
      </x:c>
      <x:c r="R37" s="28" t="str">
        <x:v>Foreground</x:v>
      </x:c>
      <x:c r="S37" s="28" t="str">
        <x:v>None</x:v>
      </x:c>
      <x:c r="T37" s="28" t="str">
        <x:f>IF(E37="Limited Edition","Event-gated",IF(G37&lt;='Inputs'!$B$5,"Launch","Post-launch"))</x:f>
        <x:v>Launch</x:v>
      </x:c>
      <x:c r="U37" s="28" t="n">
        <x:v>40</x:v>
      </x:c>
      <x:c r="V37" s="28" t="str">
        <x:v>Rock</x:v>
      </x:c>
      <x:c r="W37" s="28" t="str">
        <x:f>IF(AND(L37&gt;0,M37=0,MAX(O37,P37)&lt;=4.5,MIN(O37,P37)&gt;0,OR(H37="Coins",H37="Pearls")),"MODEL OK","REVIEW")</x:f>
        <x:v>MODEL OK</x:v>
      </x:c>
      <x:c r="X37" s="28" t="str">
        <x:v>Decor Catalog!A37:T37</x:v>
      </x:c>
    </x:row>
    <x:row r="38" ht="48" customHeight="1">
      <x:c r="A38" s="28" t="str">
        <x:v>CD-02</x:v>
      </x:c>
      <x:c r="B38" s="28" t="str">
        <x:v>Spiral Shell</x:v>
      </x:c>
      <x:c r="C38" s="28" t="str">
        <x:v>Decoration</x:v>
      </x:c>
      <x:c r="D38" s="28" t="str">
        <x:v>Tropical Lagoon</x:v>
      </x:c>
      <x:c r="E38" s="28" t="str">
        <x:v>Coin</x:v>
      </x:c>
      <x:c r="F38" s="28" t="str">
        <x:v>Common</x:v>
      </x:c>
      <x:c r="G38" s="32" t="n">
        <x:v>2</x:v>
      </x:c>
      <x:c r="H38" s="28" t="str">
        <x:v>Coins</x:v>
      </x:c>
      <x:c r="I38" s="32" t="n">
        <x:v>0</x:v>
      </x:c>
      <x:c r="J38" s="42" t="n">
        <x:v>0.0225</x:v>
      </x:c>
      <x:c r="K38" s="32" t="n">
        <x:v>6</x:v>
      </x:c>
      <x:c r="L38" s="38" t="n">
        <x:f>IF(I38&gt;0,I38,IF(H38="Coins",MAX($I$5,ROUND(VLOOKUP(G38,'XP &amp; Unlocks'!$A$5:$N$74,4,FALSE)*J38/5,0)*5),K38))</x:f>
        <x:v>70</x:v>
      </x:c>
      <x:c r="M38" s="28" t="n">
        <x:f>'Inputs'!$B$35</x:f>
        <x:v>0</x:v>
      </x:c>
      <x:c r="N38" s="28" t="n">
        <x:f>IF(Q38="Small",'Inputs'!$B$36,IF(Q38="Medium",'Inputs'!$B$37,IF(Q38="Large",'Inputs'!$B$38,'Inputs'!$B$39)))</x:f>
        <x:v>10</x:v>
      </x:c>
      <x:c r="O38" s="34" t="n">
        <x:v>0.95</x:v>
      </x:c>
      <x:c r="P38" s="34" t="n">
        <x:v>0.8</x:v>
      </x:c>
      <x:c r="Q38" s="28" t="str">
        <x:f>IF(MAX(O38,P38)&lt;=1.2,"Small",IF(MAX(O38,P38)&lt;=2,"Medium",IF(MAX(O38,P38)&lt;=3.2,"Large","XL")))</x:f>
        <x:v>Small</x:v>
      </x:c>
      <x:c r="R38" s="28" t="str">
        <x:v>Foreground</x:v>
      </x:c>
      <x:c r="S38" s="28" t="str">
        <x:v>None</x:v>
      </x:c>
      <x:c r="T38" s="28" t="str">
        <x:f>IF(E38="Limited Edition","Event-gated",IF(G38&lt;='Inputs'!$B$5,"Launch","Post-launch"))</x:f>
        <x:v>Launch</x:v>
      </x:c>
      <x:c r="U38" s="28" t="n">
        <x:v>60</x:v>
      </x:c>
      <x:c r="V38" s="28" t="str">
        <x:v>Shell Ornament</x:v>
      </x:c>
      <x:c r="W38" s="28" t="str">
        <x:f>IF(AND(L38&gt;0,M38=0,MAX(O38,P38)&lt;=4.5,MIN(O38,P38)&gt;0,OR(H38="Coins",H38="Pearls")),"MODEL OK","REVIEW")</x:f>
        <x:v>MODEL OK</x:v>
      </x:c>
      <x:c r="X38" s="28" t="str">
        <x:v>Decor Catalog!A38:T38</x:v>
      </x:c>
    </x:row>
    <x:row r="39" ht="48" customHeight="1">
      <x:c r="A39" s="28" t="str">
        <x:v>CD-03</x:v>
      </x:c>
      <x:c r="B39" s="28" t="str">
        <x:v>Terracotta Plant Pot</x:v>
      </x:c>
      <x:c r="C39" s="28" t="str">
        <x:v>Decoration</x:v>
      </x:c>
      <x:c r="D39" s="28" t="str">
        <x:v>Freshwater Garden</x:v>
      </x:c>
      <x:c r="E39" s="28" t="str">
        <x:v>Coin</x:v>
      </x:c>
      <x:c r="F39" s="28" t="str">
        <x:v>Common</x:v>
      </x:c>
      <x:c r="G39" s="32" t="n">
        <x:v>3</x:v>
      </x:c>
      <x:c r="H39" s="28" t="str">
        <x:v>Coins</x:v>
      </x:c>
      <x:c r="I39" s="32" t="n">
        <x:v>0</x:v>
      </x:c>
      <x:c r="J39" s="42" t="n">
        <x:v>0.0225</x:v>
      </x:c>
      <x:c r="K39" s="32" t="n">
        <x:v>6</x:v>
      </x:c>
      <x:c r="L39" s="38" t="n">
        <x:f>IF(I39&gt;0,I39,IF(H39="Coins",MAX($I$5,ROUND(VLOOKUP(G39,'XP &amp; Unlocks'!$A$5:$N$74,4,FALSE)*J39/5,0)*5),K39))</x:f>
        <x:v>110</x:v>
      </x:c>
      <x:c r="M39" s="28" t="n">
        <x:f>'Inputs'!$B$35</x:f>
        <x:v>0</x:v>
      </x:c>
      <x:c r="N39" s="28" t="n">
        <x:f>IF(Q39="Small",'Inputs'!$B$36,IF(Q39="Medium",'Inputs'!$B$37,IF(Q39="Large",'Inputs'!$B$38,'Inputs'!$B$39)))</x:f>
        <x:v>10</x:v>
      </x:c>
      <x:c r="O39" s="34" t="n">
        <x:v>1</x:v>
      </x:c>
      <x:c r="P39" s="34" t="n">
        <x:v>1</x:v>
      </x:c>
      <x:c r="Q39" s="28" t="str">
        <x:f>IF(MAX(O39,P39)&lt;=1.2,"Small",IF(MAX(O39,P39)&lt;=2,"Medium",IF(MAX(O39,P39)&lt;=3.2,"Large","XL")))</x:f>
        <x:v>Small</x:v>
      </x:c>
      <x:c r="R39" s="28" t="str">
        <x:v>Foreground</x:v>
      </x:c>
      <x:c r="S39" s="28" t="str">
        <x:v>None</x:v>
      </x:c>
      <x:c r="T39" s="28" t="str">
        <x:f>IF(E39="Limited Edition","Event-gated",IF(G39&lt;='Inputs'!$B$5,"Launch","Post-launch"))</x:f>
        <x:v>Launch</x:v>
      </x:c>
      <x:c r="U39" s="28" t="n">
        <x:v>100</x:v>
      </x:c>
      <x:c r="V39" s="28" t="str">
        <x:v>Pottery</x:v>
      </x:c>
      <x:c r="W39" s="28" t="str">
        <x:f>IF(AND(L39&gt;0,M39=0,MAX(O39,P39)&lt;=4.5,MIN(O39,P39)&gt;0,OR(H39="Coins",H39="Pearls")),"MODEL OK","REVIEW")</x:f>
        <x:v>MODEL OK</x:v>
      </x:c>
      <x:c r="X39" s="28" t="str">
        <x:v>Decor Catalog!A39:T39</x:v>
      </x:c>
    </x:row>
    <x:row r="40" ht="48" customHeight="1">
      <x:c r="A40" s="28" t="str">
        <x:v>CD-04</x:v>
      </x:c>
      <x:c r="B40" s="28" t="str">
        <x:v>Driftwood Fork</x:v>
      </x:c>
      <x:c r="C40" s="28" t="str">
        <x:v>Decoration</x:v>
      </x:c>
      <x:c r="D40" s="28" t="str">
        <x:v>Woodland Creek</x:v>
      </x:c>
      <x:c r="E40" s="28" t="str">
        <x:v>Coin</x:v>
      </x:c>
      <x:c r="F40" s="28" t="str">
        <x:v>Common</x:v>
      </x:c>
      <x:c r="G40" s="32" t="n">
        <x:v>4</x:v>
      </x:c>
      <x:c r="H40" s="28" t="str">
        <x:v>Coins</x:v>
      </x:c>
      <x:c r="I40" s="32" t="n">
        <x:v>0</x:v>
      </x:c>
      <x:c r="J40" s="42" t="n">
        <x:v>0.06</x:v>
      </x:c>
      <x:c r="K40" s="32" t="n">
        <x:v>10</x:v>
      </x:c>
      <x:c r="L40" s="38" t="n">
        <x:f>IF(I40&gt;0,I40,IF(H40="Coins",MAX($I$5,ROUND(VLOOKUP(G40,'XP &amp; Unlocks'!$A$5:$N$74,4,FALSE)*J40/5,0)*5),K40))</x:f>
        <x:v>305</x:v>
      </x:c>
      <x:c r="M40" s="28" t="n">
        <x:f>'Inputs'!$B$35</x:f>
        <x:v>0</x:v>
      </x:c>
      <x:c r="N40" s="28" t="n">
        <x:f>IF(Q40="Small",'Inputs'!$B$36,IF(Q40="Medium",'Inputs'!$B$37,IF(Q40="Large",'Inputs'!$B$38,'Inputs'!$B$39)))</x:f>
        <x:v>20</x:v>
      </x:c>
      <x:c r="O40" s="34" t="n">
        <x:v>1.8</x:v>
      </x:c>
      <x:c r="P40" s="34" t="n">
        <x:v>1.2</x:v>
      </x:c>
      <x:c r="Q40" s="28" t="str">
        <x:f>IF(MAX(O40,P40)&lt;=1.2,"Small",IF(MAX(O40,P40)&lt;=2,"Medium",IF(MAX(O40,P40)&lt;=3.2,"Large","XL")))</x:f>
        <x:v>Medium</x:v>
      </x:c>
      <x:c r="R40" s="28" t="str">
        <x:v>Midground</x:v>
      </x:c>
      <x:c r="S40" s="28" t="str">
        <x:v>None</x:v>
      </x:c>
      <x:c r="T40" s="28" t="str">
        <x:f>IF(E40="Limited Edition","Event-gated",IF(G40&lt;='Inputs'!$B$5,"Launch","Post-launch"))</x:f>
        <x:v>Launch</x:v>
      </x:c>
      <x:c r="U40" s="28" t="n">
        <x:v>150</x:v>
      </x:c>
      <x:c r="V40" s="28" t="str">
        <x:v>Wood</x:v>
      </x:c>
      <x:c r="W40" s="28" t="str">
        <x:f>IF(AND(L40&gt;0,M40=0,MAX(O40,P40)&lt;=4.5,MIN(O40,P40)&gt;0,OR(H40="Coins",H40="Pearls")),"MODEL OK","REVIEW")</x:f>
        <x:v>MODEL OK</x:v>
      </x:c>
      <x:c r="X40" s="28" t="str">
        <x:v>Decor Catalog!A40:T40</x:v>
      </x:c>
    </x:row>
    <x:row r="41" ht="48" customHeight="1">
      <x:c r="A41" s="28" t="str">
        <x:v>CD-05</x:v>
      </x:c>
      <x:c r="B41" s="28" t="str">
        <x:v>Painted Pebble Cairn</x:v>
      </x:c>
      <x:c r="C41" s="28" t="str">
        <x:v>Decoration</x:v>
      </x:c>
      <x:c r="D41" s="28" t="str">
        <x:v>Zen Garden</x:v>
      </x:c>
      <x:c r="E41" s="28" t="str">
        <x:v>Coin</x:v>
      </x:c>
      <x:c r="F41" s="28" t="str">
        <x:v>Common</x:v>
      </x:c>
      <x:c r="G41" s="32" t="n">
        <x:v>5</x:v>
      </x:c>
      <x:c r="H41" s="28" t="str">
        <x:v>Coins</x:v>
      </x:c>
      <x:c r="I41" s="32" t="n">
        <x:v>0</x:v>
      </x:c>
      <x:c r="J41" s="42" t="n">
        <x:v>0.06</x:v>
      </x:c>
      <x:c r="K41" s="32" t="n">
        <x:v>10</x:v>
      </x:c>
      <x:c r="L41" s="38" t="n">
        <x:f>IF(I41&gt;0,I41,IF(H41="Coins",MAX($I$5,ROUND(VLOOKUP(G41,'XP &amp; Unlocks'!$A$5:$N$74,4,FALSE)*J41/5,0)*5),K41))</x:f>
        <x:v>320</x:v>
      </x:c>
      <x:c r="M41" s="28" t="n">
        <x:f>'Inputs'!$B$35</x:f>
        <x:v>0</x:v>
      </x:c>
      <x:c r="N41" s="28" t="n">
        <x:f>IF(Q41="Small",'Inputs'!$B$36,IF(Q41="Medium",'Inputs'!$B$37,IF(Q41="Large",'Inputs'!$B$38,'Inputs'!$B$39)))</x:f>
        <x:v>20</x:v>
      </x:c>
      <x:c r="O41" s="34" t="n">
        <x:v>1.1</x:v>
      </x:c>
      <x:c r="P41" s="34" t="n">
        <x:v>1.4</x:v>
      </x:c>
      <x:c r="Q41" s="28" t="str">
        <x:f>IF(MAX(O41,P41)&lt;=1.2,"Small",IF(MAX(O41,P41)&lt;=2,"Medium",IF(MAX(O41,P41)&lt;=3.2,"Large","XL")))</x:f>
        <x:v>Medium</x:v>
      </x:c>
      <x:c r="R41" s="28" t="str">
        <x:v>Midground</x:v>
      </x:c>
      <x:c r="S41" s="28" t="str">
        <x:v>None</x:v>
      </x:c>
      <x:c r="T41" s="28" t="str">
        <x:f>IF(E41="Limited Edition","Event-gated",IF(G41&lt;='Inputs'!$B$5,"Launch","Post-launch"))</x:f>
        <x:v>Launch</x:v>
      </x:c>
      <x:c r="U41" s="28" t="n">
        <x:v>200</x:v>
      </x:c>
      <x:c r="V41" s="28" t="str">
        <x:v>Rock</x:v>
      </x:c>
      <x:c r="W41" s="28" t="str">
        <x:f>IF(AND(L41&gt;0,M41=0,MAX(O41,P41)&lt;=4.5,MIN(O41,P41)&gt;0,OR(H41="Coins",H41="Pearls")),"MODEL OK","REVIEW")</x:f>
        <x:v>MODEL OK</x:v>
      </x:c>
      <x:c r="X41" s="28" t="str">
        <x:v>Decor Catalog!A41:T41</x:v>
      </x:c>
    </x:row>
    <x:row r="42" ht="48" customHeight="1">
      <x:c r="A42" s="28" t="str">
        <x:v>CD-06</x:v>
      </x:c>
      <x:c r="B42" s="28" t="str">
        <x:v>Shell Arch</x:v>
      </x:c>
      <x:c r="C42" s="28" t="str">
        <x:v>Decoration</x:v>
      </x:c>
      <x:c r="D42" s="28" t="str">
        <x:v>Tropical Lagoon</x:v>
      </x:c>
      <x:c r="E42" s="28" t="str">
        <x:v>Coin</x:v>
      </x:c>
      <x:c r="F42" s="28" t="str">
        <x:v>Common</x:v>
      </x:c>
      <x:c r="G42" s="32" t="n">
        <x:v>6</x:v>
      </x:c>
      <x:c r="H42" s="28" t="str">
        <x:v>Coins</x:v>
      </x:c>
      <x:c r="I42" s="32" t="n">
        <x:v>0</x:v>
      </x:c>
      <x:c r="J42" s="42" t="n">
        <x:v>0.06</x:v>
      </x:c>
      <x:c r="K42" s="32" t="n">
        <x:v>10</x:v>
      </x:c>
      <x:c r="L42" s="38" t="n">
        <x:f>IF(I42&gt;0,I42,IF(H42="Coins",MAX($I$5,ROUND(VLOOKUP(G42,'XP &amp; Unlocks'!$A$5:$N$74,4,FALSE)*J42/5,0)*5),K42))</x:f>
        <x:v>330</x:v>
      </x:c>
      <x:c r="M42" s="28" t="n">
        <x:f>'Inputs'!$B$35</x:f>
        <x:v>0</x:v>
      </x:c>
      <x:c r="N42" s="28" t="n">
        <x:f>IF(Q42="Small",'Inputs'!$B$36,IF(Q42="Medium",'Inputs'!$B$37,IF(Q42="Large",'Inputs'!$B$38,'Inputs'!$B$39)))</x:f>
        <x:v>20</x:v>
      </x:c>
      <x:c r="O42" s="34" t="n">
        <x:v>1.8</x:v>
      </x:c>
      <x:c r="P42" s="34" t="n">
        <x:v>1.3</x:v>
      </x:c>
      <x:c r="Q42" s="28" t="str">
        <x:f>IF(MAX(O42,P42)&lt;=1.2,"Small",IF(MAX(O42,P42)&lt;=2,"Medium",IF(MAX(O42,P42)&lt;=3.2,"Large","XL")))</x:f>
        <x:v>Medium</x:v>
      </x:c>
      <x:c r="R42" s="28" t="str">
        <x:v>Midground</x:v>
      </x:c>
      <x:c r="S42" s="28" t="str">
        <x:v>None</x:v>
      </x:c>
      <x:c r="T42" s="28" t="str">
        <x:f>IF(E42="Limited Edition","Event-gated",IF(G42&lt;='Inputs'!$B$5,"Launch","Post-launch"))</x:f>
        <x:v>Launch</x:v>
      </x:c>
      <x:c r="U42" s="28" t="n">
        <x:v>260</x:v>
      </x:c>
      <x:c r="V42" s="28" t="str">
        <x:v>Shell Ornament</x:v>
      </x:c>
      <x:c r="W42" s="28" t="str">
        <x:f>IF(AND(L42&gt;0,M42=0,MAX(O42,P42)&lt;=4.5,MIN(O42,P42)&gt;0,OR(H42="Coins",H42="Pearls")),"MODEL OK","REVIEW")</x:f>
        <x:v>MODEL OK</x:v>
      </x:c>
      <x:c r="X42" s="28" t="str">
        <x:v>Decor Catalog!A42:T42</x:v>
      </x:c>
    </x:row>
    <x:row r="43" ht="48" customHeight="1">
      <x:c r="A43" s="28" t="str">
        <x:v>CD-07</x:v>
      </x:c>
      <x:c r="B43" s="28" t="str">
        <x:v>Peach Coral Cluster</x:v>
      </x:c>
      <x:c r="C43" s="28" t="str">
        <x:v>Decoration</x:v>
      </x:c>
      <x:c r="D43" s="28" t="str">
        <x:v>Coral</x:v>
      </x:c>
      <x:c r="E43" s="28" t="str">
        <x:v>Coin</x:v>
      </x:c>
      <x:c r="F43" s="28" t="str">
        <x:v>Common</x:v>
      </x:c>
      <x:c r="G43" s="32" t="n">
        <x:v>7</x:v>
      </x:c>
      <x:c r="H43" s="28" t="str">
        <x:v>Coins</x:v>
      </x:c>
      <x:c r="I43" s="32" t="n">
        <x:v>0</x:v>
      </x:c>
      <x:c r="J43" s="42" t="n">
        <x:v>0.06</x:v>
      </x:c>
      <x:c r="K43" s="32" t="n">
        <x:v>10</x:v>
      </x:c>
      <x:c r="L43" s="38" t="n">
        <x:f>IF(I43&gt;0,I43,IF(H43="Coins",MAX($I$5,ROUND(VLOOKUP(G43,'XP &amp; Unlocks'!$A$5:$N$74,4,FALSE)*J43/5,0)*5),K43))</x:f>
        <x:v>570</x:v>
      </x:c>
      <x:c r="M43" s="28" t="n">
        <x:f>'Inputs'!$B$35</x:f>
        <x:v>0</x:v>
      </x:c>
      <x:c r="N43" s="28" t="n">
        <x:f>IF(Q43="Small",'Inputs'!$B$36,IF(Q43="Medium",'Inputs'!$B$37,IF(Q43="Large",'Inputs'!$B$38,'Inputs'!$B$39)))</x:f>
        <x:v>20</x:v>
      </x:c>
      <x:c r="O43" s="34" t="n">
        <x:v>1.5</x:v>
      </x:c>
      <x:c r="P43" s="34" t="n">
        <x:v>1.4</x:v>
      </x:c>
      <x:c r="Q43" s="28" t="str">
        <x:f>IF(MAX(O43,P43)&lt;=1.2,"Small",IF(MAX(O43,P43)&lt;=2,"Medium",IF(MAX(O43,P43)&lt;=3.2,"Large","XL")))</x:f>
        <x:v>Medium</x:v>
      </x:c>
      <x:c r="R43" s="28" t="str">
        <x:v>Midground</x:v>
      </x:c>
      <x:c r="S43" s="28" t="str">
        <x:v>None</x:v>
      </x:c>
      <x:c r="T43" s="28" t="str">
        <x:f>IF(E43="Limited Edition","Event-gated",IF(G43&lt;='Inputs'!$B$5,"Launch","Post-launch"))</x:f>
        <x:v>Launch</x:v>
      </x:c>
      <x:c r="U43" s="28" t="n">
        <x:v>340</x:v>
      </x:c>
      <x:c r="V43" s="28" t="str">
        <x:v>Coral Sculpture</x:v>
      </x:c>
      <x:c r="W43" s="28" t="str">
        <x:f>IF(AND(L43&gt;0,M43=0,MAX(O43,P43)&lt;=4.5,MIN(O43,P43)&gt;0,OR(H43="Coins",H43="Pearls")),"MODEL OK","REVIEW")</x:f>
        <x:v>MODEL OK</x:v>
      </x:c>
      <x:c r="X43" s="28" t="str">
        <x:v>Decor Catalog!A43:T43</x:v>
      </x:c>
    </x:row>
    <x:row r="44" ht="48" customHeight="1">
      <x:c r="A44" s="28" t="str">
        <x:v>CD-08</x:v>
      </x:c>
      <x:c r="B44" s="28" t="str">
        <x:v>Sunken Clay Amphora</x:v>
      </x:c>
      <x:c r="C44" s="28" t="str">
        <x:v>Decoration</x:v>
      </x:c>
      <x:c r="D44" s="28" t="str">
        <x:v>Ruins</x:v>
      </x:c>
      <x:c r="E44" s="28" t="str">
        <x:v>Coin</x:v>
      </x:c>
      <x:c r="F44" s="28" t="str">
        <x:v>Uncommon</x:v>
      </x:c>
      <x:c r="G44" s="32" t="n">
        <x:v>8</x:v>
      </x:c>
      <x:c r="H44" s="28" t="str">
        <x:v>Coins</x:v>
      </x:c>
      <x:c r="I44" s="32" t="n">
        <x:v>0</x:v>
      </x:c>
      <x:c r="J44" s="42" t="n">
        <x:v>0.092</x:v>
      </x:c>
      <x:c r="K44" s="32" t="n">
        <x:v>11</x:v>
      </x:c>
      <x:c r="L44" s="38" t="n">
        <x:f>IF(I44&gt;0,I44,IF(H44="Coins",MAX($I$5,ROUND(VLOOKUP(G44,'XP &amp; Unlocks'!$A$5:$N$74,4,FALSE)*J44/5,0)*5),K44))</x:f>
        <x:v>905</x:v>
      </x:c>
      <x:c r="M44" s="28" t="n">
        <x:f>'Inputs'!$B$35</x:f>
        <x:v>0</x:v>
      </x:c>
      <x:c r="N44" s="28" t="n">
        <x:f>IF(Q44="Small",'Inputs'!$B$36,IF(Q44="Medium",'Inputs'!$B$37,IF(Q44="Large",'Inputs'!$B$38,'Inputs'!$B$39)))</x:f>
        <x:v>20</x:v>
      </x:c>
      <x:c r="O44" s="34" t="n">
        <x:v>1.4</x:v>
      </x:c>
      <x:c r="P44" s="34" t="n">
        <x:v>1.8</x:v>
      </x:c>
      <x:c r="Q44" s="28" t="str">
        <x:f>IF(MAX(O44,P44)&lt;=1.2,"Small",IF(MAX(O44,P44)&lt;=2,"Medium",IF(MAX(O44,P44)&lt;=3.2,"Large","XL")))</x:f>
        <x:v>Medium</x:v>
      </x:c>
      <x:c r="R44" s="28" t="str">
        <x:v>Midground</x:v>
      </x:c>
      <x:c r="S44" s="28" t="str">
        <x:v>None</x:v>
      </x:c>
      <x:c r="T44" s="28" t="str">
        <x:f>IF(E44="Limited Edition","Event-gated",IF(G44&lt;='Inputs'!$B$5,"Launch","Post-launch"))</x:f>
        <x:v>Launch</x:v>
      </x:c>
      <x:c r="U44" s="28" t="n">
        <x:v>450</x:v>
      </x:c>
      <x:c r="V44" s="28" t="str">
        <x:v>Pottery</x:v>
      </x:c>
      <x:c r="W44" s="28" t="str">
        <x:f>IF(AND(L44&gt;0,M44=0,MAX(O44,P44)&lt;=4.5,MIN(O44,P44)&gt;0,OR(H44="Coins",H44="Pearls")),"MODEL OK","REVIEW")</x:f>
        <x:v>MODEL OK</x:v>
      </x:c>
      <x:c r="X44" s="28" t="str">
        <x:v>Decor Catalog!A44:T44</x:v>
      </x:c>
    </x:row>
    <x:row r="45" ht="48" customHeight="1">
      <x:c r="A45" s="28" t="str">
        <x:v>CD-09</x:v>
      </x:c>
      <x:c r="B45" s="28" t="str">
        <x:v>Smooth Stone Cave</x:v>
      </x:c>
      <x:c r="C45" s="28" t="str">
        <x:v>Decoration</x:v>
      </x:c>
      <x:c r="D45" s="28" t="str">
        <x:v>Freshwater Garden</x:v>
      </x:c>
      <x:c r="E45" s="28" t="str">
        <x:v>Coin</x:v>
      </x:c>
      <x:c r="F45" s="28" t="str">
        <x:v>Uncommon</x:v>
      </x:c>
      <x:c r="G45" s="32" t="n">
        <x:v>9</x:v>
      </x:c>
      <x:c r="H45" s="28" t="str">
        <x:v>Coins</x:v>
      </x:c>
      <x:c r="I45" s="32" t="n">
        <x:v>0</x:v>
      </x:c>
      <x:c r="J45" s="42" t="n">
        <x:v>0.092</x:v>
      </x:c>
      <x:c r="K45" s="32" t="n">
        <x:v>11</x:v>
      </x:c>
      <x:c r="L45" s="38" t="n">
        <x:f>IF(I45&gt;0,I45,IF(H45="Coins",MAX($I$5,ROUND(VLOOKUP(G45,'XP &amp; Unlocks'!$A$5:$N$74,4,FALSE)*J45/5,0)*5),K45))</x:f>
        <x:v>1125</x:v>
      </x:c>
      <x:c r="M45" s="28" t="n">
        <x:f>'Inputs'!$B$35</x:f>
        <x:v>0</x:v>
      </x:c>
      <x:c r="N45" s="28" t="n">
        <x:f>IF(Q45="Small",'Inputs'!$B$36,IF(Q45="Medium",'Inputs'!$B$37,IF(Q45="Large",'Inputs'!$B$38,'Inputs'!$B$39)))</x:f>
        <x:v>20</x:v>
      </x:c>
      <x:c r="O45" s="34" t="n">
        <x:v>2</x:v>
      </x:c>
      <x:c r="P45" s="34" t="n">
        <x:v>1.4</x:v>
      </x:c>
      <x:c r="Q45" s="28" t="str">
        <x:f>IF(MAX(O45,P45)&lt;=1.2,"Small",IF(MAX(O45,P45)&lt;=2,"Medium",IF(MAX(O45,P45)&lt;=3.2,"Large","XL")))</x:f>
        <x:v>Medium</x:v>
      </x:c>
      <x:c r="R45" s="28" t="str">
        <x:v>Midground</x:v>
      </x:c>
      <x:c r="S45" s="28" t="str">
        <x:v>None</x:v>
      </x:c>
      <x:c r="T45" s="28" t="str">
        <x:f>IF(E45="Limited Edition","Event-gated",IF(G45&lt;='Inputs'!$B$5,"Launch","Post-launch"))</x:f>
        <x:v>Launch</x:v>
      </x:c>
      <x:c r="U45" s="28" t="n">
        <x:v>550</x:v>
      </x:c>
      <x:c r="V45" s="28" t="str">
        <x:v>Rock</x:v>
      </x:c>
      <x:c r="W45" s="28" t="str">
        <x:f>IF(AND(L45&gt;0,M45=0,MAX(O45,P45)&lt;=4.5,MIN(O45,P45)&gt;0,OR(H45="Coins",H45="Pearls")),"MODEL OK","REVIEW")</x:f>
        <x:v>MODEL OK</x:v>
      </x:c>
      <x:c r="X45" s="28" t="str">
        <x:v>Decor Catalog!A45:T45</x:v>
      </x:c>
    </x:row>
    <x:row r="46" ht="48" customHeight="1">
      <x:c r="A46" s="28" t="str">
        <x:v>CD-10</x:v>
      </x:c>
      <x:c r="B46" s="28" t="str">
        <x:v>Mini Stone Bridge</x:v>
      </x:c>
      <x:c r="C46" s="28" t="str">
        <x:v>Decoration</x:v>
      </x:c>
      <x:c r="D46" s="28" t="str">
        <x:v>Zen Garden</x:v>
      </x:c>
      <x:c r="E46" s="28" t="str">
        <x:v>Coin</x:v>
      </x:c>
      <x:c r="F46" s="28" t="str">
        <x:v>Uncommon</x:v>
      </x:c>
      <x:c r="G46" s="32" t="n">
        <x:v>10</x:v>
      </x:c>
      <x:c r="H46" s="28" t="str">
        <x:v>Coins</x:v>
      </x:c>
      <x:c r="I46" s="32" t="n">
        <x:v>0</x:v>
      </x:c>
      <x:c r="J46" s="42" t="n">
        <x:v>0.1725</x:v>
      </x:c>
      <x:c r="K46" s="32" t="n">
        <x:v>17</x:v>
      </x:c>
      <x:c r="L46" s="38" t="n">
        <x:f>IF(I46&gt;0,I46,IF(H46="Coins",MAX($I$5,ROUND(VLOOKUP(G46,'XP &amp; Unlocks'!$A$5:$N$74,4,FALSE)*J46/5,0)*5),K46))</x:f>
        <x:v>2180</x:v>
      </x:c>
      <x:c r="M46" s="28" t="n">
        <x:f>'Inputs'!$B$35</x:f>
        <x:v>0</x:v>
      </x:c>
      <x:c r="N46" s="28" t="n">
        <x:f>IF(Q46="Small",'Inputs'!$B$36,IF(Q46="Medium",'Inputs'!$B$37,IF(Q46="Large",'Inputs'!$B$38,'Inputs'!$B$39)))</x:f>
        <x:v>35</x:v>
      </x:c>
      <x:c r="O46" s="34" t="n">
        <x:v>2.4</x:v>
      </x:c>
      <x:c r="P46" s="34" t="n">
        <x:v>1.4</x:v>
      </x:c>
      <x:c r="Q46" s="28" t="str">
        <x:f>IF(MAX(O46,P46)&lt;=1.2,"Small",IF(MAX(O46,P46)&lt;=2,"Medium",IF(MAX(O46,P46)&lt;=3.2,"Large","XL")))</x:f>
        <x:v>Large</x:v>
      </x:c>
      <x:c r="R46" s="28" t="str">
        <x:v>Midground</x:v>
      </x:c>
      <x:c r="S46" s="28" t="str">
        <x:v>None</x:v>
      </x:c>
      <x:c r="T46" s="28" t="str">
        <x:f>IF(E46="Limited Edition","Event-gated",IF(G46&lt;='Inputs'!$B$5,"Launch","Post-launch"))</x:f>
        <x:v>Launch</x:v>
      </x:c>
      <x:c r="U46" s="28" t="n">
        <x:v>650</x:v>
      </x:c>
      <x:c r="V46" s="28" t="str">
        <x:v>Architecture</x:v>
      </x:c>
      <x:c r="W46" s="28" t="str">
        <x:f>IF(AND(L46&gt;0,M46=0,MAX(O46,P46)&lt;=4.5,MIN(O46,P46)&gt;0,OR(H46="Coins",H46="Pearls")),"MODEL OK","REVIEW")</x:f>
        <x:v>MODEL OK</x:v>
      </x:c>
      <x:c r="X46" s="28" t="str">
        <x:v>Decor Catalog!A46:T46</x:v>
      </x:c>
    </x:row>
    <x:row r="47" ht="48" customHeight="1">
      <x:c r="A47" s="28" t="str">
        <x:v>CD-11</x:v>
      </x:c>
      <x:c r="B47" s="28" t="str">
        <x:v>Sea-glass Mosaic Tile</x:v>
      </x:c>
      <x:c r="C47" s="28" t="str">
        <x:v>Decoration</x:v>
      </x:c>
      <x:c r="D47" s="28" t="str">
        <x:v>Tropical Lagoon</x:v>
      </x:c>
      <x:c r="E47" s="28" t="str">
        <x:v>Coin</x:v>
      </x:c>
      <x:c r="F47" s="28" t="str">
        <x:v>Uncommon</x:v>
      </x:c>
      <x:c r="G47" s="32" t="n">
        <x:v>11</x:v>
      </x:c>
      <x:c r="H47" s="28" t="str">
        <x:v>Coins</x:v>
      </x:c>
      <x:c r="I47" s="32" t="n">
        <x:v>0</x:v>
      </x:c>
      <x:c r="J47" s="42" t="n">
        <x:v>0.092</x:v>
      </x:c>
      <x:c r="K47" s="32" t="n">
        <x:v>11</x:v>
      </x:c>
      <x:c r="L47" s="38" t="n">
        <x:f>IF(I47&gt;0,I47,IF(H47="Coins",MAX($I$5,ROUND(VLOOKUP(G47,'XP &amp; Unlocks'!$A$5:$N$74,4,FALSE)*J47/5,0)*5),K47))</x:f>
        <x:v>1200</x:v>
      </x:c>
      <x:c r="M47" s="28" t="n">
        <x:f>'Inputs'!$B$35</x:f>
        <x:v>0</x:v>
      </x:c>
      <x:c r="N47" s="28" t="n">
        <x:f>IF(Q47="Small",'Inputs'!$B$36,IF(Q47="Medium",'Inputs'!$B$37,IF(Q47="Large",'Inputs'!$B$38,'Inputs'!$B$39)))</x:f>
        <x:v>20</x:v>
      </x:c>
      <x:c r="O47" s="34" t="n">
        <x:v>1.8</x:v>
      </x:c>
      <x:c r="P47" s="34" t="n">
        <x:v>0.7</x:v>
      </x:c>
      <x:c r="Q47" s="28" t="str">
        <x:f>IF(MAX(O47,P47)&lt;=1.2,"Small",IF(MAX(O47,P47)&lt;=2,"Medium",IF(MAX(O47,P47)&lt;=3.2,"Large","XL")))</x:f>
        <x:v>Medium</x:v>
      </x:c>
      <x:c r="R47" s="28" t="str">
        <x:v>Foreground</x:v>
      </x:c>
      <x:c r="S47" s="28" t="str">
        <x:v>None</x:v>
      </x:c>
      <x:c r="T47" s="28" t="str">
        <x:f>IF(E47="Limited Edition","Event-gated",IF(G47&lt;='Inputs'!$B$5,"Launch","Post-launch"))</x:f>
        <x:v>Launch</x:v>
      </x:c>
      <x:c r="U47" s="28" t="n">
        <x:v>800</x:v>
      </x:c>
      <x:c r="V47" s="28" t="str">
        <x:v>Ground Accent</x:v>
      </x:c>
      <x:c r="W47" s="28" t="str">
        <x:f>IF(AND(L47&gt;0,M47=0,MAX(O47,P47)&lt;=4.5,MIN(O47,P47)&gt;0,OR(H47="Coins",H47="Pearls")),"MODEL OK","REVIEW")</x:f>
        <x:v>MODEL OK</x:v>
      </x:c>
      <x:c r="X47" s="28" t="str">
        <x:v>Decor Catalog!A47:T47</x:v>
      </x:c>
    </x:row>
    <x:row r="48" ht="48" customHeight="1">
      <x:c r="A48" s="28" t="str">
        <x:v>CD-12</x:v>
      </x:c>
      <x:c r="B48" s="28" t="str">
        <x:v>Anchor &amp; Rope</x:v>
      </x:c>
      <x:c r="C48" s="28" t="str">
        <x:v>Decoration</x:v>
      </x:c>
      <x:c r="D48" s="28" t="str">
        <x:v>Shipwreck</x:v>
      </x:c>
      <x:c r="E48" s="28" t="str">
        <x:v>Coin</x:v>
      </x:c>
      <x:c r="F48" s="28" t="str">
        <x:v>Uncommon</x:v>
      </x:c>
      <x:c r="G48" s="32" t="n">
        <x:v>13</x:v>
      </x:c>
      <x:c r="H48" s="28" t="str">
        <x:v>Coins</x:v>
      </x:c>
      <x:c r="I48" s="32" t="n">
        <x:v>0</x:v>
      </x:c>
      <x:c r="J48" s="42" t="n">
        <x:v>0.092</x:v>
      </x:c>
      <x:c r="K48" s="32" t="n">
        <x:v>11</x:v>
      </x:c>
      <x:c r="L48" s="38" t="n">
        <x:f>IF(I48&gt;0,I48,IF(H48="Coins",MAX($I$5,ROUND(VLOOKUP(G48,'XP &amp; Unlocks'!$A$5:$N$74,4,FALSE)*J48/5,0)*5),K48))</x:f>
        <x:v>1490</x:v>
      </x:c>
      <x:c r="M48" s="28" t="n">
        <x:f>'Inputs'!$B$35</x:f>
        <x:v>0</x:v>
      </x:c>
      <x:c r="N48" s="28" t="n">
        <x:f>IF(Q48="Small",'Inputs'!$B$36,IF(Q48="Medium",'Inputs'!$B$37,IF(Q48="Large",'Inputs'!$B$38,'Inputs'!$B$39)))</x:f>
        <x:v>20</x:v>
      </x:c>
      <x:c r="O48" s="34" t="n">
        <x:v>1.9</x:v>
      </x:c>
      <x:c r="P48" s="34" t="n">
        <x:v>2</x:v>
      </x:c>
      <x:c r="Q48" s="28" t="str">
        <x:f>IF(MAX(O48,P48)&lt;=1.2,"Small",IF(MAX(O48,P48)&lt;=2,"Medium",IF(MAX(O48,P48)&lt;=3.2,"Large","XL")))</x:f>
        <x:v>Medium</x:v>
      </x:c>
      <x:c r="R48" s="28" t="str">
        <x:v>Midground</x:v>
      </x:c>
      <x:c r="S48" s="28" t="str">
        <x:v>None</x:v>
      </x:c>
      <x:c r="T48" s="28" t="str">
        <x:f>IF(E48="Limited Edition","Event-gated",IF(G48&lt;='Inputs'!$B$5,"Launch","Post-launch"))</x:f>
        <x:v>Launch</x:v>
      </x:c>
      <x:c r="U48" s="28" t="n">
        <x:v>1050</x:v>
      </x:c>
      <x:c r="V48" s="28" t="str">
        <x:v>Nautical Relic</x:v>
      </x:c>
      <x:c r="W48" s="28" t="str">
        <x:f>IF(AND(L48&gt;0,M48=0,MAX(O48,P48)&lt;=4.5,MIN(O48,P48)&gt;0,OR(H48="Coins",H48="Pearls")),"MODEL OK","REVIEW")</x:f>
        <x:v>MODEL OK</x:v>
      </x:c>
      <x:c r="X48" s="28" t="str">
        <x:v>Decor Catalog!A48:T48</x:v>
      </x:c>
    </x:row>
    <x:row r="49" ht="48" customHeight="1">
      <x:c r="A49" s="28" t="str">
        <x:v>CD-13</x:v>
      </x:c>
      <x:c r="B49" s="28" t="str">
        <x:v>Barrel Hideout</x:v>
      </x:c>
      <x:c r="C49" s="28" t="str">
        <x:v>Decoration</x:v>
      </x:c>
      <x:c r="D49" s="28" t="str">
        <x:v>Shipwreck</x:v>
      </x:c>
      <x:c r="E49" s="28" t="str">
        <x:v>Coin</x:v>
      </x:c>
      <x:c r="F49" s="28" t="str">
        <x:v>Uncommon</x:v>
      </x:c>
      <x:c r="G49" s="32" t="n">
        <x:v>15</x:v>
      </x:c>
      <x:c r="H49" s="28" t="str">
        <x:v>Coins</x:v>
      </x:c>
      <x:c r="I49" s="32" t="n">
        <x:v>0</x:v>
      </x:c>
      <x:c r="J49" s="42" t="n">
        <x:v>0.092</x:v>
      </x:c>
      <x:c r="K49" s="32" t="n">
        <x:v>11</x:v>
      </x:c>
      <x:c r="L49" s="38" t="n">
        <x:f>IF(I49&gt;0,I49,IF(H49="Coins",MAX($I$5,ROUND(VLOOKUP(G49,'XP &amp; Unlocks'!$A$5:$N$74,4,FALSE)*J49/5,0)*5),K49))</x:f>
        <x:v>1575</x:v>
      </x:c>
      <x:c r="M49" s="28" t="n">
        <x:f>'Inputs'!$B$35</x:f>
        <x:v>0</x:v>
      </x:c>
      <x:c r="N49" s="28" t="n">
        <x:f>IF(Q49="Small",'Inputs'!$B$36,IF(Q49="Medium",'Inputs'!$B$37,IF(Q49="Large",'Inputs'!$B$38,'Inputs'!$B$39)))</x:f>
        <x:v>20</x:v>
      </x:c>
      <x:c r="O49" s="34" t="n">
        <x:v>1.8</x:v>
      </x:c>
      <x:c r="P49" s="34" t="n">
        <x:v>1.8</x:v>
      </x:c>
      <x:c r="Q49" s="28" t="str">
        <x:f>IF(MAX(O49,P49)&lt;=1.2,"Small",IF(MAX(O49,P49)&lt;=2,"Medium",IF(MAX(O49,P49)&lt;=3.2,"Large","XL")))</x:f>
        <x:v>Medium</x:v>
      </x:c>
      <x:c r="R49" s="28" t="str">
        <x:v>Midground</x:v>
      </x:c>
      <x:c r="S49" s="28" t="str">
        <x:v>None</x:v>
      </x:c>
      <x:c r="T49" s="28" t="str">
        <x:f>IF(E49="Limited Edition","Event-gated",IF(G49&lt;='Inputs'!$B$5,"Launch","Post-launch"))</x:f>
        <x:v>Launch</x:v>
      </x:c>
      <x:c r="U49" s="28" t="n">
        <x:v>1400</x:v>
      </x:c>
      <x:c r="V49" s="28" t="str">
        <x:v>Nautical Relic</x:v>
      </x:c>
      <x:c r="W49" s="28" t="str">
        <x:f>IF(AND(L49&gt;0,M49=0,MAX(O49,P49)&lt;=4.5,MIN(O49,P49)&gt;0,OR(H49="Coins",H49="Pearls")),"MODEL OK","REVIEW")</x:f>
        <x:v>MODEL OK</x:v>
      </x:c>
      <x:c r="X49" s="28" t="str">
        <x:v>Decor Catalog!A49:T49</x:v>
      </x:c>
    </x:row>
    <x:row r="50" ht="48" customHeight="1">
      <x:c r="A50" s="28" t="str">
        <x:v>CD-14</x:v>
      </x:c>
      <x:c r="B50" s="28" t="str">
        <x:v>Fan Coral Sculpture</x:v>
      </x:c>
      <x:c r="C50" s="28" t="str">
        <x:v>Decoration</x:v>
      </x:c>
      <x:c r="D50" s="28" t="str">
        <x:v>Coral</x:v>
      </x:c>
      <x:c r="E50" s="28" t="str">
        <x:v>Coin</x:v>
      </x:c>
      <x:c r="F50" s="28" t="str">
        <x:v>Uncommon</x:v>
      </x:c>
      <x:c r="G50" s="32" t="n">
        <x:v>17</x:v>
      </x:c>
      <x:c r="H50" s="28" t="str">
        <x:v>Coins</x:v>
      </x:c>
      <x:c r="I50" s="32" t="n">
        <x:v>0</x:v>
      </x:c>
      <x:c r="J50" s="42" t="n">
        <x:v>0.1725</x:v>
      </x:c>
      <x:c r="K50" s="32" t="n">
        <x:v>17</x:v>
      </x:c>
      <x:c r="L50" s="38" t="n">
        <x:f>IF(I50&gt;0,I50,IF(H50="Coins",MAX($I$5,ROUND(VLOOKUP(G50,'XP &amp; Unlocks'!$A$5:$N$74,4,FALSE)*J50/5,0)*5),K50))</x:f>
        <x:v>4005</x:v>
      </x:c>
      <x:c r="M50" s="28" t="n">
        <x:f>'Inputs'!$B$35</x:f>
        <x:v>0</x:v>
      </x:c>
      <x:c r="N50" s="28" t="n">
        <x:f>IF(Q50="Small",'Inputs'!$B$36,IF(Q50="Medium",'Inputs'!$B$37,IF(Q50="Large",'Inputs'!$B$38,'Inputs'!$B$39)))</x:f>
        <x:v>35</x:v>
      </x:c>
      <x:c r="O50" s="34" t="n">
        <x:v>2.3</x:v>
      </x:c>
      <x:c r="P50" s="34" t="n">
        <x:v>2.7</x:v>
      </x:c>
      <x:c r="Q50" s="28" t="str">
        <x:f>IF(MAX(O50,P50)&lt;=1.2,"Small",IF(MAX(O50,P50)&lt;=2,"Medium",IF(MAX(O50,P50)&lt;=3.2,"Large","XL")))</x:f>
        <x:v>Large</x:v>
      </x:c>
      <x:c r="R50" s="28" t="str">
        <x:v>Background</x:v>
      </x:c>
      <x:c r="S50" s="28" t="str">
        <x:v>None</x:v>
      </x:c>
      <x:c r="T50" s="28" t="str">
        <x:f>IF(E50="Limited Edition","Event-gated",IF(G50&lt;='Inputs'!$B$5,"Launch","Post-launch"))</x:f>
        <x:v>Launch</x:v>
      </x:c>
      <x:c r="U50" s="28" t="n">
        <x:v>1900</x:v>
      </x:c>
      <x:c r="V50" s="28" t="str">
        <x:v>Coral Sculpture</x:v>
      </x:c>
      <x:c r="W50" s="28" t="str">
        <x:f>IF(AND(L50&gt;0,M50=0,MAX(O50,P50)&lt;=4.5,MIN(O50,P50)&gt;0,OR(H50="Coins",H50="Pearls")),"MODEL OK","REVIEW")</x:f>
        <x:v>MODEL OK</x:v>
      </x:c>
      <x:c r="X50" s="28" t="str">
        <x:v>Decor Catalog!A50:T50</x:v>
      </x:c>
    </x:row>
    <x:row r="51" ht="48" customHeight="1">
      <x:c r="A51" s="28" t="str">
        <x:v>CD-15</x:v>
      </x:c>
      <x:c r="B51" s="28" t="str">
        <x:v>Bamboo Water Wheel</x:v>
      </x:c>
      <x:c r="C51" s="28" t="str">
        <x:v>Decoration</x:v>
      </x:c>
      <x:c r="D51" s="28" t="str">
        <x:v>Zen Garden</x:v>
      </x:c>
      <x:c r="E51" s="28" t="str">
        <x:v>Coin</x:v>
      </x:c>
      <x:c r="F51" s="28" t="str">
        <x:v>Rare</x:v>
      </x:c>
      <x:c r="G51" s="32" t="n">
        <x:v>19</x:v>
      </x:c>
      <x:c r="H51" s="28" t="str">
        <x:v>Coins</x:v>
      </x:c>
      <x:c r="I51" s="32" t="n">
        <x:v>0</x:v>
      </x:c>
      <x:c r="J51" s="42" t="n">
        <x:v>0.2925</x:v>
      </x:c>
      <x:c r="K51" s="32" t="n">
        <x:v>18</x:v>
      </x:c>
      <x:c r="L51" s="38" t="n">
        <x:f>IF(I51&gt;0,I51,IF(H51="Coins",MAX($I$5,ROUND(VLOOKUP(G51,'XP &amp; Unlocks'!$A$5:$N$74,4,FALSE)*J51/5,0)*5),K51))</x:f>
        <x:v>7940</x:v>
      </x:c>
      <x:c r="M51" s="28" t="n">
        <x:f>'Inputs'!$B$35</x:f>
        <x:v>0</x:v>
      </x:c>
      <x:c r="N51" s="28" t="n">
        <x:f>IF(Q51="Small",'Inputs'!$B$36,IF(Q51="Medium",'Inputs'!$B$37,IF(Q51="Large",'Inputs'!$B$38,'Inputs'!$B$39)))</x:f>
        <x:v>35</x:v>
      </x:c>
      <x:c r="O51" s="34" t="n">
        <x:v>2.5</x:v>
      </x:c>
      <x:c r="P51" s="34" t="n">
        <x:v>2.5</x:v>
      </x:c>
      <x:c r="Q51" s="28" t="str">
        <x:f>IF(MAX(O51,P51)&lt;=1.2,"Small",IF(MAX(O51,P51)&lt;=2,"Medium",IF(MAX(O51,P51)&lt;=3.2,"Large","XL")))</x:f>
        <x:v>Large</x:v>
      </x:c>
      <x:c r="R51" s="28" t="str">
        <x:v>Midground</x:v>
      </x:c>
      <x:c r="S51" s="28" t="str">
        <x:v>None</x:v>
      </x:c>
      <x:c r="T51" s="28" t="str">
        <x:f>IF(E51="Limited Edition","Event-gated",IF(G51&lt;='Inputs'!$B$5,"Launch","Post-launch"))</x:f>
        <x:v>Launch</x:v>
      </x:c>
      <x:c r="U51" s="28" t="n">
        <x:v>2500</x:v>
      </x:c>
      <x:c r="V51" s="28" t="str">
        <x:v>Architecture</x:v>
      </x:c>
      <x:c r="W51" s="28" t="str">
        <x:f>IF(AND(L51&gt;0,M51=0,MAX(O51,P51)&lt;=4.5,MIN(O51,P51)&gt;0,OR(H51="Coins",H51="Pearls")),"MODEL OK","REVIEW")</x:f>
        <x:v>MODEL OK</x:v>
      </x:c>
      <x:c r="X51" s="28" t="str">
        <x:v>Decor Catalog!A51:T51</x:v>
      </x:c>
    </x:row>
    <x:row r="52" ht="48" customHeight="1">
      <x:c r="A52" s="28" t="str">
        <x:v>CD-16</x:v>
      </x:c>
      <x:c r="B52" s="28" t="str">
        <x:v>Broken Column Pair</x:v>
      </x:c>
      <x:c r="C52" s="28" t="str">
        <x:v>Decoration</x:v>
      </x:c>
      <x:c r="D52" s="28" t="str">
        <x:v>Ruins</x:v>
      </x:c>
      <x:c r="E52" s="28" t="str">
        <x:v>Coin</x:v>
      </x:c>
      <x:c r="F52" s="28" t="str">
        <x:v>Rare</x:v>
      </x:c>
      <x:c r="G52" s="32" t="n">
        <x:v>21</x:v>
      </x:c>
      <x:c r="H52" s="28" t="str">
        <x:v>Coins</x:v>
      </x:c>
      <x:c r="I52" s="32" t="n">
        <x:v>0</x:v>
      </x:c>
      <x:c r="J52" s="42" t="n">
        <x:v>0.2925</x:v>
      </x:c>
      <x:c r="K52" s="32" t="n">
        <x:v>18</x:v>
      </x:c>
      <x:c r="L52" s="38" t="n">
        <x:f>IF(I52&gt;0,I52,IF(H52="Coins",MAX($I$5,ROUND(VLOOKUP(G52,'XP &amp; Unlocks'!$A$5:$N$74,4,FALSE)*J52/5,0)*5),K52))</x:f>
        <x:v>9170</x:v>
      </x:c>
      <x:c r="M52" s="28" t="n">
        <x:f>'Inputs'!$B$35</x:f>
        <x:v>0</x:v>
      </x:c>
      <x:c r="N52" s="28" t="n">
        <x:f>IF(Q52="Small",'Inputs'!$B$36,IF(Q52="Medium",'Inputs'!$B$37,IF(Q52="Large",'Inputs'!$B$38,'Inputs'!$B$39)))</x:f>
        <x:v>35</x:v>
      </x:c>
      <x:c r="O52" s="34" t="n">
        <x:v>2.5</x:v>
      </x:c>
      <x:c r="P52" s="34" t="n">
        <x:v>2.3</x:v>
      </x:c>
      <x:c r="Q52" s="28" t="str">
        <x:f>IF(MAX(O52,P52)&lt;=1.2,"Small",IF(MAX(O52,P52)&lt;=2,"Medium",IF(MAX(O52,P52)&lt;=3.2,"Large","XL")))</x:f>
        <x:v>Large</x:v>
      </x:c>
      <x:c r="R52" s="28" t="str">
        <x:v>Midground</x:v>
      </x:c>
      <x:c r="S52" s="28" t="str">
        <x:v>None</x:v>
      </x:c>
      <x:c r="T52" s="28" t="str">
        <x:f>IF(E52="Limited Edition","Event-gated",IF(G52&lt;='Inputs'!$B$5,"Launch","Post-launch"))</x:f>
        <x:v>Launch</x:v>
      </x:c>
      <x:c r="U52" s="28" t="n">
        <x:v>3200</x:v>
      </x:c>
      <x:c r="V52" s="28" t="str">
        <x:v>Ancient Relic</x:v>
      </x:c>
      <x:c r="W52" s="28" t="str">
        <x:f>IF(AND(L52&gt;0,M52=0,MAX(O52,P52)&lt;=4.5,MIN(O52,P52)&gt;0,OR(H52="Coins",H52="Pearls")),"MODEL OK","REVIEW")</x:f>
        <x:v>MODEL OK</x:v>
      </x:c>
      <x:c r="X52" s="28" t="str">
        <x:v>Decor Catalog!A52:T52</x:v>
      </x:c>
    </x:row>
    <x:row r="53" ht="48" customHeight="1">
      <x:c r="A53" s="28" t="str">
        <x:v>CD-17</x:v>
      </x:c>
      <x:c r="B53" s="28" t="str">
        <x:v>Turtle Garden Statue</x:v>
      </x:c>
      <x:c r="C53" s="28" t="str">
        <x:v>Decoration</x:v>
      </x:c>
      <x:c r="D53" s="28" t="str">
        <x:v>Zen Garden</x:v>
      </x:c>
      <x:c r="E53" s="28" t="str">
        <x:v>Coin</x:v>
      </x:c>
      <x:c r="F53" s="28" t="str">
        <x:v>Rare</x:v>
      </x:c>
      <x:c r="G53" s="32" t="n">
        <x:v>23</x:v>
      </x:c>
      <x:c r="H53" s="28" t="str">
        <x:v>Coins</x:v>
      </x:c>
      <x:c r="I53" s="32" t="n">
        <x:v>0</x:v>
      </x:c>
      <x:c r="J53" s="42" t="n">
        <x:v>0.15600000000000003</x:v>
      </x:c>
      <x:c r="K53" s="32" t="n">
        <x:v>12</x:v>
      </x:c>
      <x:c r="L53" s="38" t="n">
        <x:f>IF(I53&gt;0,I53,IF(H53="Coins",MAX($I$5,ROUND(VLOOKUP(G53,'XP &amp; Unlocks'!$A$5:$N$74,4,FALSE)*J53/5,0)*5),K53))</x:f>
        <x:v>5120</x:v>
      </x:c>
      <x:c r="M53" s="28" t="n">
        <x:f>'Inputs'!$B$35</x:f>
        <x:v>0</x:v>
      </x:c>
      <x:c r="N53" s="28" t="n">
        <x:f>IF(Q53="Small",'Inputs'!$B$36,IF(Q53="Medium",'Inputs'!$B$37,IF(Q53="Large",'Inputs'!$B$38,'Inputs'!$B$39)))</x:f>
        <x:v>20</x:v>
      </x:c>
      <x:c r="O53" s="34" t="n">
        <x:v>1.9</x:v>
      </x:c>
      <x:c r="P53" s="34" t="n">
        <x:v>1.2</x:v>
      </x:c>
      <x:c r="Q53" s="28" t="str">
        <x:f>IF(MAX(O53,P53)&lt;=1.2,"Small",IF(MAX(O53,P53)&lt;=2,"Medium",IF(MAX(O53,P53)&lt;=3.2,"Large","XL")))</x:f>
        <x:v>Medium</x:v>
      </x:c>
      <x:c r="R53" s="28" t="str">
        <x:v>Foreground</x:v>
      </x:c>
      <x:c r="S53" s="28" t="str">
        <x:v>None</x:v>
      </x:c>
      <x:c r="T53" s="28" t="str">
        <x:f>IF(E53="Limited Edition","Event-gated",IF(G53&lt;='Inputs'!$B$5,"Launch","Post-launch"))</x:f>
        <x:v>Launch</x:v>
      </x:c>
      <x:c r="U53" s="28" t="n">
        <x:v>4000</x:v>
      </x:c>
      <x:c r="V53" s="28" t="str">
        <x:v>Statue</x:v>
      </x:c>
      <x:c r="W53" s="28" t="str">
        <x:f>IF(AND(L53&gt;0,M53=0,MAX(O53,P53)&lt;=4.5,MIN(O53,P53)&gt;0,OR(H53="Coins",H53="Pearls")),"MODEL OK","REVIEW")</x:f>
        <x:v>MODEL OK</x:v>
      </x:c>
      <x:c r="X53" s="28" t="str">
        <x:v>Decor Catalog!A53:T53</x:v>
      </x:c>
    </x:row>
    <x:row r="54" ht="48" customHeight="1">
      <x:c r="A54" s="28" t="str">
        <x:v>CD-18</x:v>
      </x:c>
      <x:c r="B54" s="28" t="str">
        <x:v>Ship's Wheel Stand</x:v>
      </x:c>
      <x:c r="C54" s="28" t="str">
        <x:v>Decoration</x:v>
      </x:c>
      <x:c r="D54" s="28" t="str">
        <x:v>Shipwreck</x:v>
      </x:c>
      <x:c r="E54" s="28" t="str">
        <x:v>Coin</x:v>
      </x:c>
      <x:c r="F54" s="28" t="str">
        <x:v>Rare</x:v>
      </x:c>
      <x:c r="G54" s="32" t="n">
        <x:v>25</x:v>
      </x:c>
      <x:c r="H54" s="28" t="str">
        <x:v>Coins</x:v>
      </x:c>
      <x:c r="I54" s="32" t="n">
        <x:v>0</x:v>
      </x:c>
      <x:c r="J54" s="42" t="n">
        <x:v>0.2925</x:v>
      </x:c>
      <x:c r="K54" s="32" t="n">
        <x:v>18</x:v>
      </x:c>
      <x:c r="L54" s="38" t="n">
        <x:f>IF(I54&gt;0,I54,IF(H54="Coins",MAX($I$5,ROUND(VLOOKUP(G54,'XP &amp; Unlocks'!$A$5:$N$74,4,FALSE)*J54/5,0)*5),K54))</x:f>
        <x:v>11865</x:v>
      </x:c>
      <x:c r="M54" s="28" t="n">
        <x:f>'Inputs'!$B$35</x:f>
        <x:v>0</x:v>
      </x:c>
      <x:c r="N54" s="28" t="n">
        <x:f>IF(Q54="Small",'Inputs'!$B$36,IF(Q54="Medium",'Inputs'!$B$37,IF(Q54="Large",'Inputs'!$B$38,'Inputs'!$B$39)))</x:f>
        <x:v>35</x:v>
      </x:c>
      <x:c r="O54" s="34" t="n">
        <x:v>2.3</x:v>
      </x:c>
      <x:c r="P54" s="34" t="n">
        <x:v>2.5</x:v>
      </x:c>
      <x:c r="Q54" s="28" t="str">
        <x:f>IF(MAX(O54,P54)&lt;=1.2,"Small",IF(MAX(O54,P54)&lt;=2,"Medium",IF(MAX(O54,P54)&lt;=3.2,"Large","XL")))</x:f>
        <x:v>Large</x:v>
      </x:c>
      <x:c r="R54" s="28" t="str">
        <x:v>Midground</x:v>
      </x:c>
      <x:c r="S54" s="28" t="str">
        <x:v>None</x:v>
      </x:c>
      <x:c r="T54" s="28" t="str">
        <x:f>IF(E54="Limited Edition","Event-gated",IF(G54&lt;='Inputs'!$B$5,"Launch","Post-launch"))</x:f>
        <x:v>Launch</x:v>
      </x:c>
      <x:c r="U54" s="28" t="n">
        <x:v>5000</x:v>
      </x:c>
      <x:c r="V54" s="28" t="str">
        <x:v>Nautical Relic</x:v>
      </x:c>
      <x:c r="W54" s="28" t="str">
        <x:f>IF(AND(L54&gt;0,M54=0,MAX(O54,P54)&lt;=4.5,MIN(O54,P54)&gt;0,OR(H54="Coins",H54="Pearls")),"MODEL OK","REVIEW")</x:f>
        <x:v>MODEL OK</x:v>
      </x:c>
      <x:c r="X54" s="28" t="str">
        <x:v>Decor Catalog!A54:T54</x:v>
      </x:c>
    </x:row>
    <x:row r="55" ht="48" customHeight="1">
      <x:c r="A55" s="28" t="str">
        <x:v>CD-19</x:v>
      </x:c>
      <x:c r="B55" s="28" t="str">
        <x:v>Mushroom Cottage</x:v>
      </x:c>
      <x:c r="C55" s="28" t="str">
        <x:v>Decoration</x:v>
      </x:c>
      <x:c r="D55" s="28" t="str">
        <x:v>Fantasy</x:v>
      </x:c>
      <x:c r="E55" s="28" t="str">
        <x:v>Coin</x:v>
      </x:c>
      <x:c r="F55" s="28" t="str">
        <x:v>Rare</x:v>
      </x:c>
      <x:c r="G55" s="32" t="n">
        <x:v>27</x:v>
      </x:c>
      <x:c r="H55" s="28" t="str">
        <x:v>Coins</x:v>
      </x:c>
      <x:c r="I55" s="32" t="n">
        <x:v>0</x:v>
      </x:c>
      <x:c r="J55" s="42" t="n">
        <x:v>0.2925</x:v>
      </x:c>
      <x:c r="K55" s="32" t="n">
        <x:v>18</x:v>
      </x:c>
      <x:c r="L55" s="38" t="n">
        <x:f>IF(I55&gt;0,I55,IF(H55="Coins",MAX($I$5,ROUND(VLOOKUP(G55,'XP &amp; Unlocks'!$A$5:$N$74,4,FALSE)*J55/5,0)*5),K55))</x:f>
        <x:v>12375</x:v>
      </x:c>
      <x:c r="M55" s="28" t="n">
        <x:f>'Inputs'!$B$35</x:f>
        <x:v>0</x:v>
      </x:c>
      <x:c r="N55" s="28" t="n">
        <x:f>IF(Q55="Small",'Inputs'!$B$36,IF(Q55="Medium",'Inputs'!$B$37,IF(Q55="Large",'Inputs'!$B$38,'Inputs'!$B$39)))</x:f>
        <x:v>35</x:v>
      </x:c>
      <x:c r="O55" s="34" t="n">
        <x:v>2.3</x:v>
      </x:c>
      <x:c r="P55" s="34" t="n">
        <x:v>2.7</x:v>
      </x:c>
      <x:c r="Q55" s="28" t="str">
        <x:f>IF(MAX(O55,P55)&lt;=1.2,"Small",IF(MAX(O55,P55)&lt;=2,"Medium",IF(MAX(O55,P55)&lt;=3.2,"Large","XL")))</x:f>
        <x:v>Large</x:v>
      </x:c>
      <x:c r="R55" s="28" t="str">
        <x:v>Midground</x:v>
      </x:c>
      <x:c r="S55" s="28" t="str">
        <x:v>None</x:v>
      </x:c>
      <x:c r="T55" s="28" t="str">
        <x:f>IF(E55="Limited Edition","Event-gated",IF(G55&lt;='Inputs'!$B$5,"Launch","Post-launch"))</x:f>
        <x:v>Launch</x:v>
      </x:c>
      <x:c r="U55" s="28" t="n">
        <x:v>6200</x:v>
      </x:c>
      <x:c r="V55" s="28" t="str">
        <x:v>Fantasy Architecture</x:v>
      </x:c>
      <x:c r="W55" s="28" t="str">
        <x:f>IF(AND(L55&gt;0,M55=0,MAX(O55,P55)&lt;=4.5,MIN(O55,P55)&gt;0,OR(H55="Coins",H55="Pearls")),"MODEL OK","REVIEW")</x:f>
        <x:v>MODEL OK</x:v>
      </x:c>
      <x:c r="X55" s="28" t="str">
        <x:v>Decor Catalog!A55:T55</x:v>
      </x:c>
    </x:row>
    <x:row r="56" ht="48" customHeight="1">
      <x:c r="A56" s="28" t="str">
        <x:v>CD-20</x:v>
      </x:c>
      <x:c r="B56" s="28" t="str">
        <x:v>Basalt Stair Terrace</x:v>
      </x:c>
      <x:c r="C56" s="28" t="str">
        <x:v>Decoration</x:v>
      </x:c>
      <x:c r="D56" s="28" t="str">
        <x:v>Deep Sea</x:v>
      </x:c>
      <x:c r="E56" s="28" t="str">
        <x:v>Coin</x:v>
      </x:c>
      <x:c r="F56" s="28" t="str">
        <x:v>Rare</x:v>
      </x:c>
      <x:c r="G56" s="32" t="n">
        <x:v>29</x:v>
      </x:c>
      <x:c r="H56" s="28" t="str">
        <x:v>Coins</x:v>
      </x:c>
      <x:c r="I56" s="32" t="n">
        <x:v>0</x:v>
      </x:c>
      <x:c r="J56" s="42" t="n">
        <x:v>0.2925</x:v>
      </x:c>
      <x:c r="K56" s="32" t="n">
        <x:v>18</x:v>
      </x:c>
      <x:c r="L56" s="38" t="n">
        <x:f>IF(I56&gt;0,I56,IF(H56="Coins",MAX($I$5,ROUND(VLOOKUP(G56,'XP &amp; Unlocks'!$A$5:$N$74,4,FALSE)*J56/5,0)*5),K56))</x:f>
        <x:v>13880</x:v>
      </x:c>
      <x:c r="M56" s="28" t="n">
        <x:f>'Inputs'!$B$35</x:f>
        <x:v>0</x:v>
      </x:c>
      <x:c r="N56" s="28" t="n">
        <x:f>IF(Q56="Small",'Inputs'!$B$36,IF(Q56="Medium",'Inputs'!$B$37,IF(Q56="Large",'Inputs'!$B$38,'Inputs'!$B$39)))</x:f>
        <x:v>35</x:v>
      </x:c>
      <x:c r="O56" s="34" t="n">
        <x:v>2.8</x:v>
      </x:c>
      <x:c r="P56" s="34" t="n">
        <x:v>2.1</x:v>
      </x:c>
      <x:c r="Q56" s="28" t="str">
        <x:f>IF(MAX(O56,P56)&lt;=1.2,"Small",IF(MAX(O56,P56)&lt;=2,"Medium",IF(MAX(O56,P56)&lt;=3.2,"Large","XL")))</x:f>
        <x:v>Large</x:v>
      </x:c>
      <x:c r="R56" s="28" t="str">
        <x:v>Midground</x:v>
      </x:c>
      <x:c r="S56" s="28" t="str">
        <x:v>None</x:v>
      </x:c>
      <x:c r="T56" s="28" t="str">
        <x:f>IF(E56="Limited Edition","Event-gated",IF(G56&lt;='Inputs'!$B$5,"Launch","Post-launch"))</x:f>
        <x:v>Launch</x:v>
      </x:c>
      <x:c r="U56" s="28" t="n">
        <x:v>7600</x:v>
      </x:c>
      <x:c r="V56" s="28" t="str">
        <x:v>Rock</x:v>
      </x:c>
      <x:c r="W56" s="28" t="str">
        <x:f>IF(AND(L56&gt;0,M56=0,MAX(O56,P56)&lt;=4.5,MIN(O56,P56)&gt;0,OR(H56="Coins",H56="Pearls")),"MODEL OK","REVIEW")</x:f>
        <x:v>MODEL OK</x:v>
      </x:c>
      <x:c r="X56" s="28" t="str">
        <x:v>Decor Catalog!A56:T56</x:v>
      </x:c>
    </x:row>
    <x:row r="57" ht="48" customHeight="1">
      <x:c r="A57" s="28" t="str">
        <x:v>CD-21</x:v>
      </x:c>
      <x:c r="B57" s="28" t="str">
        <x:v>Nautilus Alcove</x:v>
      </x:c>
      <x:c r="C57" s="28" t="str">
        <x:v>Decoration</x:v>
      </x:c>
      <x:c r="D57" s="28" t="str">
        <x:v>Ruins</x:v>
      </x:c>
      <x:c r="E57" s="28" t="str">
        <x:v>Coin</x:v>
      </x:c>
      <x:c r="F57" s="28" t="str">
        <x:v>Rare</x:v>
      </x:c>
      <x:c r="G57" s="32" t="n">
        <x:v>31</x:v>
      </x:c>
      <x:c r="H57" s="28" t="str">
        <x:v>Coins</x:v>
      </x:c>
      <x:c r="I57" s="32" t="n">
        <x:v>0</x:v>
      </x:c>
      <x:c r="J57" s="42" t="n">
        <x:v>0.2925</x:v>
      </x:c>
      <x:c r="K57" s="32" t="n">
        <x:v>18</x:v>
      </x:c>
      <x:c r="L57" s="38" t="n">
        <x:f>IF(I57&gt;0,I57,IF(H57="Coins",MAX($I$5,ROUND(VLOOKUP(G57,'XP &amp; Unlocks'!$A$5:$N$74,4,FALSE)*J57/5,0)*5),K57))</x:f>
        <x:v>15465</x:v>
      </x:c>
      <x:c r="M57" s="28" t="n">
        <x:f>'Inputs'!$B$35</x:f>
        <x:v>0</x:v>
      </x:c>
      <x:c r="N57" s="28" t="n">
        <x:f>IF(Q57="Small",'Inputs'!$B$36,IF(Q57="Medium",'Inputs'!$B$37,IF(Q57="Large",'Inputs'!$B$38,'Inputs'!$B$39)))</x:f>
        <x:v>35</x:v>
      </x:c>
      <x:c r="O57" s="34" t="n">
        <x:v>2.7</x:v>
      </x:c>
      <x:c r="P57" s="34" t="n">
        <x:v>2.6</x:v>
      </x:c>
      <x:c r="Q57" s="28" t="str">
        <x:f>IF(MAX(O57,P57)&lt;=1.2,"Small",IF(MAX(O57,P57)&lt;=2,"Medium",IF(MAX(O57,P57)&lt;=3.2,"Large","XL")))</x:f>
        <x:v>Large</x:v>
      </x:c>
      <x:c r="R57" s="28" t="str">
        <x:v>Midground</x:v>
      </x:c>
      <x:c r="S57" s="28" t="str">
        <x:v>None</x:v>
      </x:c>
      <x:c r="T57" s="28" t="str">
        <x:f>IF(E57="Limited Edition","Event-gated",IF(G57&lt;='Inputs'!$B$5,"Launch","Post-launch"))</x:f>
        <x:v>Launch</x:v>
      </x:c>
      <x:c r="U57" s="28" t="n">
        <x:v>9000</x:v>
      </x:c>
      <x:c r="V57" s="28" t="str">
        <x:v>Ancient Relic</x:v>
      </x:c>
      <x:c r="W57" s="28" t="str">
        <x:f>IF(AND(L57&gt;0,M57=0,MAX(O57,P57)&lt;=4.5,MIN(O57,P57)&gt;0,OR(H57="Coins",H57="Pearls")),"MODEL OK","REVIEW")</x:f>
        <x:v>MODEL OK</x:v>
      </x:c>
      <x:c r="X57" s="28" t="str">
        <x:v>Decor Catalog!A57:T57</x:v>
      </x:c>
    </x:row>
    <x:row r="58" ht="48" customHeight="1">
      <x:c r="A58" s="28" t="str">
        <x:v>CD-22</x:v>
      </x:c>
      <x:c r="B58" s="28" t="str">
        <x:v>Sunken Teacup</x:v>
      </x:c>
      <x:c r="C58" s="28" t="str">
        <x:v>Decoration</x:v>
      </x:c>
      <x:c r="D58" s="28" t="str">
        <x:v>Fantasy</x:v>
      </x:c>
      <x:c r="E58" s="28" t="str">
        <x:v>Coin</x:v>
      </x:c>
      <x:c r="F58" s="28" t="str">
        <x:v>Rare</x:v>
      </x:c>
      <x:c r="G58" s="32" t="n">
        <x:v>33</x:v>
      </x:c>
      <x:c r="H58" s="28" t="str">
        <x:v>Coins</x:v>
      </x:c>
      <x:c r="I58" s="32" t="n">
        <x:v>0</x:v>
      </x:c>
      <x:c r="J58" s="42" t="n">
        <x:v>0.2925</x:v>
      </x:c>
      <x:c r="K58" s="32" t="n">
        <x:v>18</x:v>
      </x:c>
      <x:c r="L58" s="38" t="n">
        <x:f>IF(I58&gt;0,I58,IF(H58="Coins",MAX($I$5,ROUND(VLOOKUP(G58,'XP &amp; Unlocks'!$A$5:$N$74,4,FALSE)*J58/5,0)*5),K58))</x:f>
        <x:v>16060</x:v>
      </x:c>
      <x:c r="M58" s="28" t="n">
        <x:f>'Inputs'!$B$35</x:f>
        <x:v>0</x:v>
      </x:c>
      <x:c r="N58" s="28" t="n">
        <x:f>IF(Q58="Small",'Inputs'!$B$36,IF(Q58="Medium",'Inputs'!$B$37,IF(Q58="Large",'Inputs'!$B$38,'Inputs'!$B$39)))</x:f>
        <x:v>35</x:v>
      </x:c>
      <x:c r="O58" s="34" t="n">
        <x:v>2.5</x:v>
      </x:c>
      <x:c r="P58" s="34" t="n">
        <x:v>1.8</x:v>
      </x:c>
      <x:c r="Q58" s="28" t="str">
        <x:f>IF(MAX(O58,P58)&lt;=1.2,"Small",IF(MAX(O58,P58)&lt;=2,"Medium",IF(MAX(O58,P58)&lt;=3.2,"Large","XL")))</x:f>
        <x:v>Large</x:v>
      </x:c>
      <x:c r="R58" s="28" t="str">
        <x:v>Midground</x:v>
      </x:c>
      <x:c r="S58" s="28" t="str">
        <x:v>None</x:v>
      </x:c>
      <x:c r="T58" s="28" t="str">
        <x:f>IF(E58="Limited Edition","Event-gated",IF(G58&lt;='Inputs'!$B$5,"Launch","Post-launch"))</x:f>
        <x:v>Launch</x:v>
      </x:c>
      <x:c r="U58" s="28" t="n">
        <x:v>11000</x:v>
      </x:c>
      <x:c r="V58" s="28" t="str">
        <x:v>Whimsical Object</x:v>
      </x:c>
      <x:c r="W58" s="28" t="str">
        <x:f>IF(AND(L58&gt;0,M58=0,MAX(O58,P58)&lt;=4.5,MIN(O58,P58)&gt;0,OR(H58="Coins",H58="Pearls")),"MODEL OK","REVIEW")</x:f>
        <x:v>MODEL OK</x:v>
      </x:c>
      <x:c r="X58" s="28" t="str">
        <x:v>Decor Catalog!A58:T58</x:v>
      </x:c>
    </x:row>
    <x:row r="59" ht="48" customHeight="1">
      <x:c r="A59" s="28" t="str">
        <x:v>CD-23</x:v>
      </x:c>
      <x:c r="B59" s="28" t="str">
        <x:v>Ruined Moon Gate</x:v>
      </x:c>
      <x:c r="C59" s="28" t="str">
        <x:v>Decoration</x:v>
      </x:c>
      <x:c r="D59" s="28" t="str">
        <x:v>Zen Garden</x:v>
      </x:c>
      <x:c r="E59" s="28" t="str">
        <x:v>Coin</x:v>
      </x:c>
      <x:c r="F59" s="28" t="str">
        <x:v>Epic</x:v>
      </x:c>
      <x:c r="G59" s="32" t="n">
        <x:v>35</x:v>
      </x:c>
      <x:c r="H59" s="28" t="str">
        <x:v>Coins</x:v>
      </x:c>
      <x:c r="I59" s="32" t="n">
        <x:v>0</x:v>
      </x:c>
      <x:c r="J59" s="42" t="n">
        <x:v>0.33749999999999997</x:v>
      </x:c>
      <x:c r="K59" s="32" t="n">
        <x:v>20</x:v>
      </x:c>
      <x:c r="L59" s="38" t="n">
        <x:f>IF(I59&gt;0,I59,IF(H59="Coins",MAX($I$5,ROUND(VLOOKUP(G59,'XP &amp; Unlocks'!$A$5:$N$74,4,FALSE)*J59/5,0)*5),K59))</x:f>
        <x:v>21775</x:v>
      </x:c>
      <x:c r="M59" s="28" t="n">
        <x:f>'Inputs'!$B$35</x:f>
        <x:v>0</x:v>
      </x:c>
      <x:c r="N59" s="28" t="n">
        <x:f>IF(Q59="Small",'Inputs'!$B$36,IF(Q59="Medium",'Inputs'!$B$37,IF(Q59="Large",'Inputs'!$B$38,'Inputs'!$B$39)))</x:f>
        <x:v>35</x:v>
      </x:c>
      <x:c r="O59" s="34" t="n">
        <x:v>3</x:v>
      </x:c>
      <x:c r="P59" s="34" t="n">
        <x:v>3.1</x:v>
      </x:c>
      <x:c r="Q59" s="28" t="str">
        <x:f>IF(MAX(O59,P59)&lt;=1.2,"Small",IF(MAX(O59,P59)&lt;=2,"Medium",IF(MAX(O59,P59)&lt;=3.2,"Large","XL")))</x:f>
        <x:v>Large</x:v>
      </x:c>
      <x:c r="R59" s="28" t="str">
        <x:v>Background</x:v>
      </x:c>
      <x:c r="S59" s="28" t="str">
        <x:v>None</x:v>
      </x:c>
      <x:c r="T59" s="28" t="str">
        <x:f>IF(E59="Limited Edition","Event-gated",IF(G59&lt;='Inputs'!$B$5,"Launch","Post-launch"))</x:f>
        <x:v>Launch</x:v>
      </x:c>
      <x:c r="U59" s="28" t="n">
        <x:v>13000</x:v>
      </x:c>
      <x:c r="V59" s="28" t="str">
        <x:v>Architecture</x:v>
      </x:c>
      <x:c r="W59" s="28" t="str">
        <x:f>IF(AND(L59&gt;0,M59=0,MAX(O59,P59)&lt;=4.5,MIN(O59,P59)&gt;0,OR(H59="Coins",H59="Pearls")),"MODEL OK","REVIEW")</x:f>
        <x:v>MODEL OK</x:v>
      </x:c>
      <x:c r="X59" s="28" t="str">
        <x:v>Decor Catalog!A59:T59</x:v>
      </x:c>
    </x:row>
    <x:row r="60" ht="48" customHeight="1">
      <x:c r="A60" s="28" t="str">
        <x:v>CD-24</x:v>
      </x:c>
      <x:c r="B60" s="28" t="str">
        <x:v>Fossil Spiral Slab</x:v>
      </x:c>
      <x:c r="C60" s="28" t="str">
        <x:v>Decoration</x:v>
      </x:c>
      <x:c r="D60" s="28" t="str">
        <x:v>Ruins</x:v>
      </x:c>
      <x:c r="E60" s="28" t="str">
        <x:v>Coin</x:v>
      </x:c>
      <x:c r="F60" s="28" t="str">
        <x:v>Epic</x:v>
      </x:c>
      <x:c r="G60" s="32" t="n">
        <x:v>37</x:v>
      </x:c>
      <x:c r="H60" s="28" t="str">
        <x:v>Coins</x:v>
      </x:c>
      <x:c r="I60" s="32" t="n">
        <x:v>0</x:v>
      </x:c>
      <x:c r="J60" s="42" t="n">
        <x:v>0.33749999999999997</x:v>
      </x:c>
      <x:c r="K60" s="32" t="n">
        <x:v>20</x:v>
      </x:c>
      <x:c r="L60" s="38" t="n">
        <x:f>IF(I60&gt;0,I60,IF(H60="Coins",MAX($I$5,ROUND(VLOOKUP(G60,'XP &amp; Unlocks'!$A$5:$N$74,4,FALSE)*J60/5,0)*5),K60))</x:f>
        <x:v>23875</x:v>
      </x:c>
      <x:c r="M60" s="28" t="n">
        <x:f>'Inputs'!$B$35</x:f>
        <x:v>0</x:v>
      </x:c>
      <x:c r="N60" s="28" t="n">
        <x:f>IF(Q60="Small",'Inputs'!$B$36,IF(Q60="Medium",'Inputs'!$B$37,IF(Q60="Large",'Inputs'!$B$38,'Inputs'!$B$39)))</x:f>
        <x:v>35</x:v>
      </x:c>
      <x:c r="O60" s="34" t="n">
        <x:v>2.8</x:v>
      </x:c>
      <x:c r="P60" s="34" t="n">
        <x:v>2.4</x:v>
      </x:c>
      <x:c r="Q60" s="28" t="str">
        <x:f>IF(MAX(O60,P60)&lt;=1.2,"Small",IF(MAX(O60,P60)&lt;=2,"Medium",IF(MAX(O60,P60)&lt;=3.2,"Large","XL")))</x:f>
        <x:v>Large</x:v>
      </x:c>
      <x:c r="R60" s="28" t="str">
        <x:v>Midground</x:v>
      </x:c>
      <x:c r="S60" s="28" t="str">
        <x:v>None</x:v>
      </x:c>
      <x:c r="T60" s="28" t="str">
        <x:f>IF(E60="Limited Edition","Event-gated",IF(G60&lt;='Inputs'!$B$5,"Launch","Post-launch"))</x:f>
        <x:v>Launch</x:v>
      </x:c>
      <x:c r="U60" s="28" t="n">
        <x:v>15000</x:v>
      </x:c>
      <x:c r="V60" s="28" t="str">
        <x:v>Ancient Relic</x:v>
      </x:c>
      <x:c r="W60" s="28" t="str">
        <x:f>IF(AND(L60&gt;0,M60=0,MAX(O60,P60)&lt;=4.5,MIN(O60,P60)&gt;0,OR(H60="Coins",H60="Pearls")),"MODEL OK","REVIEW")</x:f>
        <x:v>MODEL OK</x:v>
      </x:c>
      <x:c r="X60" s="28" t="str">
        <x:v>Decor Catalog!A60:T60</x:v>
      </x:c>
    </x:row>
    <x:row r="61" ht="48" customHeight="1">
      <x:c r="A61" s="28" t="str">
        <x:v>CD-25</x:v>
      </x:c>
      <x:c r="B61" s="28" t="str">
        <x:v>Grand Driftwood Arch</x:v>
      </x:c>
      <x:c r="C61" s="28" t="str">
        <x:v>Decoration</x:v>
      </x:c>
      <x:c r="D61" s="28" t="str">
        <x:v>Woodland Creek</x:v>
      </x:c>
      <x:c r="E61" s="28" t="str">
        <x:v>Coin</x:v>
      </x:c>
      <x:c r="F61" s="28" t="str">
        <x:v>Epic</x:v>
      </x:c>
      <x:c r="G61" s="32" t="n">
        <x:v>39</x:v>
      </x:c>
      <x:c r="H61" s="28" t="str">
        <x:v>Coins</x:v>
      </x:c>
      <x:c r="I61" s="32" t="n">
        <x:v>0</x:v>
      </x:c>
      <x:c r="J61" s="42" t="n">
        <x:v>0.54</x:v>
      </x:c>
      <x:c r="K61" s="32" t="n">
        <x:v>28</x:v>
      </x:c>
      <x:c r="L61" s="38" t="n">
        <x:f>IF(I61&gt;0,I61,IF(H61="Coins",MAX($I$5,ROUND(VLOOKUP(G61,'XP &amp; Unlocks'!$A$5:$N$74,4,FALSE)*J61/5,0)*5),K61))</x:f>
        <x:v>41705</x:v>
      </x:c>
      <x:c r="M61" s="28" t="n">
        <x:f>'Inputs'!$B$35</x:f>
        <x:v>0</x:v>
      </x:c>
      <x:c r="N61" s="28" t="n">
        <x:f>IF(Q61="Small",'Inputs'!$B$36,IF(Q61="Medium",'Inputs'!$B$37,IF(Q61="Large",'Inputs'!$B$38,'Inputs'!$B$39)))</x:f>
        <x:v>50</x:v>
      </x:c>
      <x:c r="O61" s="34" t="n">
        <x:v>3.5</x:v>
      </x:c>
      <x:c r="P61" s="34" t="n">
        <x:v>2.6</x:v>
      </x:c>
      <x:c r="Q61" s="28" t="str">
        <x:f>IF(MAX(O61,P61)&lt;=1.2,"Small",IF(MAX(O61,P61)&lt;=2,"Medium",IF(MAX(O61,P61)&lt;=3.2,"Large","XL")))</x:f>
        <x:v>XL</x:v>
      </x:c>
      <x:c r="R61" s="28" t="str">
        <x:v>Background</x:v>
      </x:c>
      <x:c r="S61" s="28" t="str">
        <x:v>None</x:v>
      </x:c>
      <x:c r="T61" s="28" t="str">
        <x:f>IF(E61="Limited Edition","Event-gated",IF(G61&lt;='Inputs'!$B$5,"Launch","Post-launch"))</x:f>
        <x:v>Launch</x:v>
      </x:c>
      <x:c r="U61" s="28" t="n">
        <x:v>18000</x:v>
      </x:c>
      <x:c r="V61" s="28" t="str">
        <x:v>Wood</x:v>
      </x:c>
      <x:c r="W61" s="28" t="str">
        <x:f>IF(AND(L61&gt;0,M61=0,MAX(O61,P61)&lt;=4.5,MIN(O61,P61)&gt;0,OR(H61="Coins",H61="Pearls")),"MODEL OK","REVIEW")</x:f>
        <x:v>MODEL OK</x:v>
      </x:c>
      <x:c r="X61" s="28" t="str">
        <x:v>Decor Catalog!A61:T61</x:v>
      </x:c>
    </x:row>
    <x:row r="62" ht="48" customHeight="1">
      <x:c r="A62" s="28" t="str">
        <x:v>CD-26</x:v>
      </x:c>
      <x:c r="B62" s="28" t="str">
        <x:v>Star Crystal Cluster</x:v>
      </x:c>
      <x:c r="C62" s="28" t="str">
        <x:v>Decoration</x:v>
      </x:c>
      <x:c r="D62" s="28" t="str">
        <x:v>Crystal Grotto</x:v>
      </x:c>
      <x:c r="E62" s="28" t="str">
        <x:v>Coin</x:v>
      </x:c>
      <x:c r="F62" s="28" t="str">
        <x:v>Epic</x:v>
      </x:c>
      <x:c r="G62" s="32" t="n">
        <x:v>42</x:v>
      </x:c>
      <x:c r="H62" s="28" t="str">
        <x:v>Coins</x:v>
      </x:c>
      <x:c r="I62" s="32" t="n">
        <x:v>0</x:v>
      </x:c>
      <x:c r="J62" s="42" t="n">
        <x:v>0.33749999999999997</x:v>
      </x:c>
      <x:c r="K62" s="32" t="n">
        <x:v>20</x:v>
      </x:c>
      <x:c r="L62" s="38" t="n">
        <x:f>IF(I62&gt;0,I62,IF(H62="Coins",MAX($I$5,ROUND(VLOOKUP(G62,'XP &amp; Unlocks'!$A$5:$N$74,4,FALSE)*J62/5,0)*5),K62))</x:f>
        <x:v>28805</x:v>
      </x:c>
      <x:c r="M62" s="28" t="n">
        <x:f>'Inputs'!$B$35</x:f>
        <x:v>0</x:v>
      </x:c>
      <x:c r="N62" s="28" t="n">
        <x:f>IF(Q62="Small",'Inputs'!$B$36,IF(Q62="Medium",'Inputs'!$B$37,IF(Q62="Large",'Inputs'!$B$38,'Inputs'!$B$39)))</x:f>
        <x:v>35</x:v>
      </x:c>
      <x:c r="O62" s="34" t="n">
        <x:v>2.8</x:v>
      </x:c>
      <x:c r="P62" s="34" t="n">
        <x:v>3</x:v>
      </x:c>
      <x:c r="Q62" s="28" t="str">
        <x:f>IF(MAX(O62,P62)&lt;=1.2,"Small",IF(MAX(O62,P62)&lt;=2,"Medium",IF(MAX(O62,P62)&lt;=3.2,"Large","XL")))</x:f>
        <x:v>Large</x:v>
      </x:c>
      <x:c r="R62" s="28" t="str">
        <x:v>Midground</x:v>
      </x:c>
      <x:c r="S62" s="28" t="str">
        <x:v>None</x:v>
      </x:c>
      <x:c r="T62" s="28" t="str">
        <x:f>IF(E62="Limited Edition","Event-gated",IF(G62&lt;='Inputs'!$B$5,"Launch","Post-launch"))</x:f>
        <x:v>Post-launch</x:v>
      </x:c>
      <x:c r="U62" s="28" t="n">
        <x:v>21000</x:v>
      </x:c>
      <x:c r="V62" s="28" t="str">
        <x:v>Crystal</x:v>
      </x:c>
      <x:c r="W62" s="28" t="str">
        <x:f>IF(AND(L62&gt;0,M62=0,MAX(O62,P62)&lt;=4.5,MIN(O62,P62)&gt;0,OR(H62="Coins",H62="Pearls")),"MODEL OK","REVIEW")</x:f>
        <x:v>MODEL OK</x:v>
      </x:c>
      <x:c r="X62" s="28" t="str">
        <x:v>Decor Catalog!A62:T62</x:v>
      </x:c>
    </x:row>
    <x:row r="63" ht="48" customHeight="1">
      <x:c r="A63" s="28" t="str">
        <x:v>CD-27</x:v>
      </x:c>
      <x:c r="B63" s="28" t="str">
        <x:v>Sandstone Palace Ruin</x:v>
      </x:c>
      <x:c r="C63" s="28" t="str">
        <x:v>Decoration</x:v>
      </x:c>
      <x:c r="D63" s="28" t="str">
        <x:v>Ruins</x:v>
      </x:c>
      <x:c r="E63" s="28" t="str">
        <x:v>Coin</x:v>
      </x:c>
      <x:c r="F63" s="28" t="str">
        <x:v>Epic</x:v>
      </x:c>
      <x:c r="G63" s="32" t="n">
        <x:v>46</x:v>
      </x:c>
      <x:c r="H63" s="28" t="str">
        <x:v>Coins</x:v>
      </x:c>
      <x:c r="I63" s="32" t="n">
        <x:v>0</x:v>
      </x:c>
      <x:c r="J63" s="42" t="n">
        <x:v>0.54</x:v>
      </x:c>
      <x:c r="K63" s="32" t="n">
        <x:v>28</x:v>
      </x:c>
      <x:c r="L63" s="38" t="n">
        <x:f>IF(I63&gt;0,I63,IF(H63="Coins",MAX($I$5,ROUND(VLOOKUP(G63,'XP &amp; Unlocks'!$A$5:$N$74,4,FALSE)*J63/5,0)*5),K63))</x:f>
        <x:v>49005</x:v>
      </x:c>
      <x:c r="M63" s="28" t="n">
        <x:f>'Inputs'!$B$35</x:f>
        <x:v>0</x:v>
      </x:c>
      <x:c r="N63" s="28" t="n">
        <x:f>IF(Q63="Small",'Inputs'!$B$36,IF(Q63="Medium",'Inputs'!$B$37,IF(Q63="Large",'Inputs'!$B$38,'Inputs'!$B$39)))</x:f>
        <x:v>50</x:v>
      </x:c>
      <x:c r="O63" s="34" t="n">
        <x:v>3.6</x:v>
      </x:c>
      <x:c r="P63" s="34" t="n">
        <x:v>3.4</x:v>
      </x:c>
      <x:c r="Q63" s="28" t="str">
        <x:f>IF(MAX(O63,P63)&lt;=1.2,"Small",IF(MAX(O63,P63)&lt;=2,"Medium",IF(MAX(O63,P63)&lt;=3.2,"Large","XL")))</x:f>
        <x:v>XL</x:v>
      </x:c>
      <x:c r="R63" s="28" t="str">
        <x:v>Background</x:v>
      </x:c>
      <x:c r="S63" s="28" t="str">
        <x:v>None</x:v>
      </x:c>
      <x:c r="T63" s="28" t="str">
        <x:f>IF(E63="Limited Edition","Event-gated",IF(G63&lt;='Inputs'!$B$5,"Launch","Post-launch"))</x:f>
        <x:v>Post-launch</x:v>
      </x:c>
      <x:c r="U63" s="28" t="n">
        <x:v>25000</x:v>
      </x:c>
      <x:c r="V63" s="28" t="str">
        <x:v>Architecture</x:v>
      </x:c>
      <x:c r="W63" s="28" t="str">
        <x:f>IF(AND(L63&gt;0,M63=0,MAX(O63,P63)&lt;=4.5,MIN(O63,P63)&gt;0,OR(H63="Coins",H63="Pearls")),"MODEL OK","REVIEW")</x:f>
        <x:v>MODEL OK</x:v>
      </x:c>
      <x:c r="X63" s="28" t="str">
        <x:v>Decor Catalog!A63:T63</x:v>
      </x:c>
    </x:row>
    <x:row r="64" ht="48" customHeight="1">
      <x:c r="A64" s="28" t="str">
        <x:v>CD-28</x:v>
      </x:c>
      <x:c r="B64" s="28" t="str">
        <x:v>Shipwreck Bow</x:v>
      </x:c>
      <x:c r="C64" s="28" t="str">
        <x:v>Decoration</x:v>
      </x:c>
      <x:c r="D64" s="28" t="str">
        <x:v>Shipwreck</x:v>
      </x:c>
      <x:c r="E64" s="28" t="str">
        <x:v>Coin</x:v>
      </x:c>
      <x:c r="F64" s="28" t="str">
        <x:v>Epic</x:v>
      </x:c>
      <x:c r="G64" s="32" t="n">
        <x:v>50</x:v>
      </x:c>
      <x:c r="H64" s="28" t="str">
        <x:v>Coins</x:v>
      </x:c>
      <x:c r="I64" s="32" t="n">
        <x:v>0</x:v>
      </x:c>
      <x:c r="J64" s="42" t="n">
        <x:v>0.54</x:v>
      </x:c>
      <x:c r="K64" s="32" t="n">
        <x:v>28</x:v>
      </x:c>
      <x:c r="L64" s="38" t="n">
        <x:f>IF(I64&gt;0,I64,IF(H64="Coins",MAX($I$5,ROUND(VLOOKUP(G64,'XP &amp; Unlocks'!$A$5:$N$74,4,FALSE)*J64/5,0)*5),K64))</x:f>
        <x:v>51920</x:v>
      </x:c>
      <x:c r="M64" s="28" t="n">
        <x:f>'Inputs'!$B$35</x:f>
        <x:v>0</x:v>
      </x:c>
      <x:c r="N64" s="28" t="n">
        <x:f>IF(Q64="Small",'Inputs'!$B$36,IF(Q64="Medium",'Inputs'!$B$37,IF(Q64="Large",'Inputs'!$B$38,'Inputs'!$B$39)))</x:f>
        <x:v>50</x:v>
      </x:c>
      <x:c r="O64" s="34" t="n">
        <x:v>3.9</x:v>
      </x:c>
      <x:c r="P64" s="34" t="n">
        <x:v>3</x:v>
      </x:c>
      <x:c r="Q64" s="28" t="str">
        <x:f>IF(MAX(O64,P64)&lt;=1.2,"Small",IF(MAX(O64,P64)&lt;=2,"Medium",IF(MAX(O64,P64)&lt;=3.2,"Large","XL")))</x:f>
        <x:v>XL</x:v>
      </x:c>
      <x:c r="R64" s="28" t="str">
        <x:v>Background</x:v>
      </x:c>
      <x:c r="S64" s="28" t="str">
        <x:v>None</x:v>
      </x:c>
      <x:c r="T64" s="28" t="str">
        <x:f>IF(E64="Limited Edition","Event-gated",IF(G64&lt;='Inputs'!$B$5,"Launch","Post-launch"))</x:f>
        <x:v>Post-launch</x:v>
      </x:c>
      <x:c r="U64" s="28" t="n">
        <x:v>30000</x:v>
      </x:c>
      <x:c r="V64" s="28" t="str">
        <x:v>Nautical Relic</x:v>
      </x:c>
      <x:c r="W64" s="28" t="str">
        <x:f>IF(AND(L64&gt;0,M64=0,MAX(O64,P64)&lt;=4.5,MIN(O64,P64)&gt;0,OR(H64="Coins",H64="Pearls")),"MODEL OK","REVIEW")</x:f>
        <x:v>MODEL OK</x:v>
      </x:c>
      <x:c r="X64" s="28" t="str">
        <x:v>Decor Catalog!A64:T64</x:v>
      </x:c>
    </x:row>
    <x:row r="65" ht="48" customHeight="1">
      <x:c r="A65" s="28" t="str">
        <x:v>CD-29</x:v>
      </x:c>
      <x:c r="B65" s="28" t="str">
        <x:v>Overgrown Observatory</x:v>
      </x:c>
      <x:c r="C65" s="28" t="str">
        <x:v>Decoration</x:v>
      </x:c>
      <x:c r="D65" s="28" t="str">
        <x:v>Ruins</x:v>
      </x:c>
      <x:c r="E65" s="28" t="str">
        <x:v>Coin</x:v>
      </x:c>
      <x:c r="F65" s="28" t="str">
        <x:v>Epic</x:v>
      </x:c>
      <x:c r="G65" s="32" t="n">
        <x:v>54</x:v>
      </x:c>
      <x:c r="H65" s="28" t="str">
        <x:v>Coins</x:v>
      </x:c>
      <x:c r="I65" s="32" t="n">
        <x:v>0</x:v>
      </x:c>
      <x:c r="J65" s="42" t="n">
        <x:v>0.54</x:v>
      </x:c>
      <x:c r="K65" s="32" t="n">
        <x:v>28</x:v>
      </x:c>
      <x:c r="L65" s="38" t="n">
        <x:f>IF(I65&gt;0,I65,IF(H65="Coins",MAX($I$5,ROUND(VLOOKUP(G65,'XP &amp; Unlocks'!$A$5:$N$74,4,FALSE)*J65/5,0)*5),K65))</x:f>
        <x:v>54835</x:v>
      </x:c>
      <x:c r="M65" s="28" t="n">
        <x:f>'Inputs'!$B$35</x:f>
        <x:v>0</x:v>
      </x:c>
      <x:c r="N65" s="28" t="n">
        <x:f>IF(Q65="Small",'Inputs'!$B$36,IF(Q65="Medium",'Inputs'!$B$37,IF(Q65="Large",'Inputs'!$B$38,'Inputs'!$B$39)))</x:f>
        <x:v>50</x:v>
      </x:c>
      <x:c r="O65" s="34" t="n">
        <x:v>3.4</x:v>
      </x:c>
      <x:c r="P65" s="34" t="n">
        <x:v>3.8</x:v>
      </x:c>
      <x:c r="Q65" s="28" t="str">
        <x:f>IF(MAX(O65,P65)&lt;=1.2,"Small",IF(MAX(O65,P65)&lt;=2,"Medium",IF(MAX(O65,P65)&lt;=3.2,"Large","XL")))</x:f>
        <x:v>XL</x:v>
      </x:c>
      <x:c r="R65" s="28" t="str">
        <x:v>Background</x:v>
      </x:c>
      <x:c r="S65" s="28" t="str">
        <x:v>None</x:v>
      </x:c>
      <x:c r="T65" s="28" t="str">
        <x:f>IF(E65="Limited Edition","Event-gated",IF(G65&lt;='Inputs'!$B$5,"Launch","Post-launch"))</x:f>
        <x:v>Post-launch</x:v>
      </x:c>
      <x:c r="U65" s="28" t="n">
        <x:v>35000</x:v>
      </x:c>
      <x:c r="V65" s="28" t="str">
        <x:v>Architecture</x:v>
      </x:c>
      <x:c r="W65" s="28" t="str">
        <x:f>IF(AND(L65&gt;0,M65=0,MAX(O65,P65)&lt;=4.5,MIN(O65,P65)&gt;0,OR(H65="Coins",H65="Pearls")),"MODEL OK","REVIEW")</x:f>
        <x:v>MODEL OK</x:v>
      </x:c>
      <x:c r="X65" s="28" t="str">
        <x:v>Decor Catalog!A65:T65</x:v>
      </x:c>
    </x:row>
    <x:row r="66" ht="48" customHeight="1">
      <x:c r="A66" s="28" t="str">
        <x:v>CD-30</x:v>
      </x:c>
      <x:c r="B66" s="28" t="str">
        <x:v>Giant Conch Pavilion</x:v>
      </x:c>
      <x:c r="C66" s="28" t="str">
        <x:v>Decoration</x:v>
      </x:c>
      <x:c r="D66" s="28" t="str">
        <x:v>Tropical Lagoon</x:v>
      </x:c>
      <x:c r="E66" s="28" t="str">
        <x:v>Coin</x:v>
      </x:c>
      <x:c r="F66" s="28" t="str">
        <x:v>Epic</x:v>
      </x:c>
      <x:c r="G66" s="32" t="n">
        <x:v>58</x:v>
      </x:c>
      <x:c r="H66" s="28" t="str">
        <x:v>Coins</x:v>
      </x:c>
      <x:c r="I66" s="32" t="n">
        <x:v>0</x:v>
      </x:c>
      <x:c r="J66" s="42" t="n">
        <x:v>0.54</x:v>
      </x:c>
      <x:c r="K66" s="32" t="n">
        <x:v>28</x:v>
      </x:c>
      <x:c r="L66" s="38" t="n">
        <x:f>IF(I66&gt;0,I66,IF(H66="Coins",MAX($I$5,ROUND(VLOOKUP(G66,'XP &amp; Unlocks'!$A$5:$N$74,4,FALSE)*J66/5,0)*5),K66))</x:f>
        <x:v>57755</x:v>
      </x:c>
      <x:c r="M66" s="28" t="n">
        <x:f>'Inputs'!$B$35</x:f>
        <x:v>0</x:v>
      </x:c>
      <x:c r="N66" s="28" t="n">
        <x:f>IF(Q66="Small",'Inputs'!$B$36,IF(Q66="Medium",'Inputs'!$B$37,IF(Q66="Large",'Inputs'!$B$38,'Inputs'!$B$39)))</x:f>
        <x:v>50</x:v>
      </x:c>
      <x:c r="O66" s="34" t="n">
        <x:v>4</x:v>
      </x:c>
      <x:c r="P66" s="34" t="n">
        <x:v>3.4</x:v>
      </x:c>
      <x:c r="Q66" s="28" t="str">
        <x:f>IF(MAX(O66,P66)&lt;=1.2,"Small",IF(MAX(O66,P66)&lt;=2,"Medium",IF(MAX(O66,P66)&lt;=3.2,"Large","XL")))</x:f>
        <x:v>XL</x:v>
      </x:c>
      <x:c r="R66" s="28" t="str">
        <x:v>Background</x:v>
      </x:c>
      <x:c r="S66" s="28" t="str">
        <x:v>None</x:v>
      </x:c>
      <x:c r="T66" s="28" t="str">
        <x:f>IF(E66="Limited Edition","Event-gated",IF(G66&lt;='Inputs'!$B$5,"Launch","Post-launch"))</x:f>
        <x:v>Post-launch</x:v>
      </x:c>
      <x:c r="U66" s="28" t="n">
        <x:v>40000</x:v>
      </x:c>
      <x:c r="V66" s="28" t="str">
        <x:v>Shell Ornament</x:v>
      </x:c>
      <x:c r="W66" s="28" t="str">
        <x:f>IF(AND(L66&gt;0,M66=0,MAX(O66,P66)&lt;=4.5,MIN(O66,P66)&gt;0,OR(H66="Coins",H66="Pearls")),"MODEL OK","REVIEW")</x:f>
        <x:v>MODEL OK</x:v>
      </x:c>
      <x:c r="X66" s="28" t="str">
        <x:v>Decor Catalog!A66:T66</x:v>
      </x:c>
    </x:row>
    <x:row r="67" ht="48" customHeight="1">
      <x:c r="A67" s="28" t="str">
        <x:v>CD-31</x:v>
      </x:c>
      <x:c r="B67" s="28" t="str">
        <x:v>Deep-sea Monolith</x:v>
      </x:c>
      <x:c r="C67" s="28" t="str">
        <x:v>Decoration</x:v>
      </x:c>
      <x:c r="D67" s="28" t="str">
        <x:v>Deep Sea</x:v>
      </x:c>
      <x:c r="E67" s="28" t="str">
        <x:v>Coin</x:v>
      </x:c>
      <x:c r="F67" s="28" t="str">
        <x:v>Legendary</x:v>
      </x:c>
      <x:c r="G67" s="32" t="n">
        <x:v>64</x:v>
      </x:c>
      <x:c r="H67" s="28" t="str">
        <x:v>Coins</x:v>
      </x:c>
      <x:c r="I67" s="32" t="n">
        <x:v>0</x:v>
      </x:c>
      <x:c r="J67" s="42" t="n">
        <x:v>0.648</x:v>
      </x:c>
      <x:c r="K67" s="32" t="n">
        <x:v>30</x:v>
      </x:c>
      <x:c r="L67" s="38" t="n">
        <x:f>IF(I67&gt;0,I67,IF(H67="Coins",MAX($I$5,ROUND(VLOOKUP(G67,'XP &amp; Unlocks'!$A$5:$N$74,4,FALSE)*J67/5,0)*5),K67))</x:f>
        <x:v>74550</x:v>
      </x:c>
      <x:c r="M67" s="28" t="n">
        <x:f>'Inputs'!$B$35</x:f>
        <x:v>0</x:v>
      </x:c>
      <x:c r="N67" s="28" t="n">
        <x:f>IF(Q67="Small",'Inputs'!$B$36,IF(Q67="Medium",'Inputs'!$B$37,IF(Q67="Large",'Inputs'!$B$38,'Inputs'!$B$39)))</x:f>
        <x:v>50</x:v>
      </x:c>
      <x:c r="O67" s="34" t="n">
        <x:v>2.6</x:v>
      </x:c>
      <x:c r="P67" s="34" t="n">
        <x:v>4</x:v>
      </x:c>
      <x:c r="Q67" s="28" t="str">
        <x:f>IF(MAX(O67,P67)&lt;=1.2,"Small",IF(MAX(O67,P67)&lt;=2,"Medium",IF(MAX(O67,P67)&lt;=3.2,"Large","XL")))</x:f>
        <x:v>XL</x:v>
      </x:c>
      <x:c r="R67" s="28" t="str">
        <x:v>Background</x:v>
      </x:c>
      <x:c r="S67" s="28" t="str">
        <x:v>None</x:v>
      </x:c>
      <x:c r="T67" s="28" t="str">
        <x:f>IF(E67="Limited Edition","Event-gated",IF(G67&lt;='Inputs'!$B$5,"Launch","Post-launch"))</x:f>
        <x:v>Post-launch</x:v>
      </x:c>
      <x:c r="U67" s="28" t="n">
        <x:v>48000</x:v>
      </x:c>
      <x:c r="V67" s="28" t="str">
        <x:v>Ancient Relic</x:v>
      </x:c>
      <x:c r="W67" s="28" t="str">
        <x:f>IF(AND(L67&gt;0,M67=0,MAX(O67,P67)&lt;=4.5,MIN(O67,P67)&gt;0,OR(H67="Coins",H67="Pearls")),"MODEL OK","REVIEW")</x:f>
        <x:v>MODEL OK</x:v>
      </x:c>
      <x:c r="X67" s="28" t="str">
        <x:v>Decor Catalog!A67:T67</x:v>
      </x:c>
    </x:row>
    <x:row r="68" ht="48" customHeight="1">
      <x:c r="A68" s="28" t="str">
        <x:v>CD-32</x:v>
      </x:c>
      <x:c r="B68" s="28" t="str">
        <x:v>Coral Crown Castle</x:v>
      </x:c>
      <x:c r="C68" s="28" t="str">
        <x:v>Decoration</x:v>
      </x:c>
      <x:c r="D68" s="28" t="str">
        <x:v>Coral</x:v>
      </x:c>
      <x:c r="E68" s="28" t="str">
        <x:v>Coin</x:v>
      </x:c>
      <x:c r="F68" s="28" t="str">
        <x:v>Legendary</x:v>
      </x:c>
      <x:c r="G68" s="32" t="n">
        <x:v>68</x:v>
      </x:c>
      <x:c r="H68" s="28" t="str">
        <x:v>Coins</x:v>
      </x:c>
      <x:c r="I68" s="32" t="n">
        <x:v>0</x:v>
      </x:c>
      <x:c r="J68" s="42" t="n">
        <x:v>0.648</x:v>
      </x:c>
      <x:c r="K68" s="32" t="n">
        <x:v>30</x:v>
      </x:c>
      <x:c r="L68" s="38" t="n">
        <x:f>IF(I68&gt;0,I68,IF(H68="Coins",MAX($I$5,ROUND(VLOOKUP(G68,'XP &amp; Unlocks'!$A$5:$N$74,4,FALSE)*J68/5,0)*5),K68))</x:f>
        <x:v>78050</x:v>
      </x:c>
      <x:c r="M68" s="28" t="n">
        <x:f>'Inputs'!$B$35</x:f>
        <x:v>0</x:v>
      </x:c>
      <x:c r="N68" s="28" t="n">
        <x:f>IF(Q68="Small",'Inputs'!$B$36,IF(Q68="Medium",'Inputs'!$B$37,IF(Q68="Large",'Inputs'!$B$38,'Inputs'!$B$39)))</x:f>
        <x:v>50</x:v>
      </x:c>
      <x:c r="O68" s="34" t="n">
        <x:v>4.2</x:v>
      </x:c>
      <x:c r="P68" s="34" t="n">
        <x:v>4.1</x:v>
      </x:c>
      <x:c r="Q68" s="28" t="str">
        <x:f>IF(MAX(O68,P68)&lt;=1.2,"Small",IF(MAX(O68,P68)&lt;=2,"Medium",IF(MAX(O68,P68)&lt;=3.2,"Large","XL")))</x:f>
        <x:v>XL</x:v>
      </x:c>
      <x:c r="R68" s="28" t="str">
        <x:v>Background</x:v>
      </x:c>
      <x:c r="S68" s="28" t="str">
        <x:v>None</x:v>
      </x:c>
      <x:c r="T68" s="28" t="str">
        <x:f>IF(E68="Limited Edition","Event-gated",IF(G68&lt;='Inputs'!$B$5,"Launch","Post-launch"))</x:f>
        <x:v>Post-launch</x:v>
      </x:c>
      <x:c r="U68" s="28" t="n">
        <x:v>55000</x:v>
      </x:c>
      <x:c r="V68" s="28" t="str">
        <x:v>Fantasy Architecture</x:v>
      </x:c>
      <x:c r="W68" s="28" t="str">
        <x:f>IF(AND(L68&gt;0,M68=0,MAX(O68,P68)&lt;=4.5,MIN(O68,P68)&gt;0,OR(H68="Coins",H68="Pearls")),"MODEL OK","REVIEW")</x:f>
        <x:v>MODEL OK</x:v>
      </x:c>
      <x:c r="X68" s="28" t="str">
        <x:v>Decor Catalog!A68:T68</x:v>
      </x:c>
    </x:row>
    <x:row r="69" ht="48" customHeight="1">
      <x:c r="A69" s="28" t="str">
        <x:v>PP-01</x:v>
      </x:c>
      <x:c r="B69" s="28" t="str">
        <x:v>Moon-tip Anubias</x:v>
      </x:c>
      <x:c r="C69" s="28" t="str">
        <x:v>Plant</x:v>
      </x:c>
      <x:c r="D69" s="28" t="str">
        <x:v>Moonlit Garden</x:v>
      </x:c>
      <x:c r="E69" s="28" t="str">
        <x:v>Premium</x:v>
      </x:c>
      <x:c r="F69" s="28" t="str">
        <x:v>Rare</x:v>
      </x:c>
      <x:c r="G69" s="32" t="n">
        <x:v>4</x:v>
      </x:c>
      <x:c r="H69" s="28" t="str">
        <x:v>Pearls</x:v>
      </x:c>
      <x:c r="I69" s="32" t="n">
        <x:v>0</x:v>
      </x:c>
      <x:c r="J69" s="42" t="n">
        <x:v>0.15600000000000003</x:v>
      </x:c>
      <x:c r="K69" s="32" t="n">
        <x:v>12</x:v>
      </x:c>
      <x:c r="L69" s="38" t="n">
        <x:f>IF(I69&gt;0,I69,IF(H69="Coins",MAX($I$5,ROUND(VLOOKUP(G69,'XP &amp; Unlocks'!$A$5:$N$74,4,FALSE)*J69/5,0)*5),K69))</x:f>
        <x:v>12</x:v>
      </x:c>
      <x:c r="M69" s="28" t="n">
        <x:f>'Inputs'!$B$35</x:f>
        <x:v>0</x:v>
      </x:c>
      <x:c r="N69" s="28" t="n">
        <x:f>IF(Q69="Small",'Inputs'!$B$36,IF(Q69="Medium",'Inputs'!$B$37,IF(Q69="Large",'Inputs'!$B$38,'Inputs'!$B$39)))</x:f>
        <x:v>20</x:v>
      </x:c>
      <x:c r="O69" s="34" t="n">
        <x:v>1.5</x:v>
      </x:c>
      <x:c r="P69" s="34" t="n">
        <x:v>1.4</x:v>
      </x:c>
      <x:c r="Q69" s="28" t="str">
        <x:f>IF(MAX(O69,P69)&lt;=1.2,"Small",IF(MAX(O69,P69)&lt;=2,"Medium",IF(MAX(O69,P69)&lt;=3.2,"Large","XL")))</x:f>
        <x:v>Medium</x:v>
      </x:c>
      <x:c r="R69" s="28" t="str">
        <x:v>Midground</x:v>
      </x:c>
      <x:c r="S69" s="28" t="str">
        <x:v>None</x:v>
      </x:c>
      <x:c r="T69" s="28" t="str">
        <x:f>IF(E69="Limited Edition","Event-gated",IF(G69&lt;='Inputs'!$B$5,"Launch","Post-launch"))</x:f>
        <x:v>Launch</x:v>
      </x:c>
      <x:c r="U69" s="28" t="n">
        <x:v>2</x:v>
      </x:c>
      <x:c r="V69" s="28" t="str">
        <x:v>Broadleaf Plant</x:v>
      </x:c>
      <x:c r="W69" s="28" t="str">
        <x:f>IF(AND(L69&gt;0,M69=0,MAX(O69,P69)&lt;=4.5,MIN(O69,P69)&gt;0,OR(H69="Coins",H69="Pearls")),"MODEL OK","REVIEW")</x:f>
        <x:v>MODEL OK</x:v>
      </x:c>
      <x:c r="X69" s="28" t="str">
        <x:v>Decor Catalog!A69:T69</x:v>
      </x:c>
    </x:row>
    <x:row r="70" ht="48" customHeight="1">
      <x:c r="A70" s="28" t="str">
        <x:v>PP-02</x:v>
      </x:c>
      <x:c r="B70" s="28" t="str">
        <x:v>Silken Ribbon Fern</x:v>
      </x:c>
      <x:c r="C70" s="28" t="str">
        <x:v>Plant</x:v>
      </x:c>
      <x:c r="D70" s="28" t="str">
        <x:v>Moonlit Garden</x:v>
      </x:c>
      <x:c r="E70" s="28" t="str">
        <x:v>Premium</x:v>
      </x:c>
      <x:c r="F70" s="28" t="str">
        <x:v>Rare</x:v>
      </x:c>
      <x:c r="G70" s="32" t="n">
        <x:v>7</x:v>
      </x:c>
      <x:c r="H70" s="28" t="str">
        <x:v>Pearls</x:v>
      </x:c>
      <x:c r="I70" s="32" t="n">
        <x:v>0</x:v>
      </x:c>
      <x:c r="J70" s="42" t="n">
        <x:v>0.2925</x:v>
      </x:c>
      <x:c r="K70" s="32" t="n">
        <x:v>18</x:v>
      </x:c>
      <x:c r="L70" s="38" t="n">
        <x:f>IF(I70&gt;0,I70,IF(H70="Coins",MAX($I$5,ROUND(VLOOKUP(G70,'XP &amp; Unlocks'!$A$5:$N$74,4,FALSE)*J70/5,0)*5),K70))</x:f>
        <x:v>18</x:v>
      </x:c>
      <x:c r="M70" s="28" t="n">
        <x:f>'Inputs'!$B$35</x:f>
        <x:v>0</x:v>
      </x:c>
      <x:c r="N70" s="28" t="n">
        <x:f>IF(Q70="Small",'Inputs'!$B$36,IF(Q70="Medium",'Inputs'!$B$37,IF(Q70="Large",'Inputs'!$B$38,'Inputs'!$B$39)))</x:f>
        <x:v>35</x:v>
      </x:c>
      <x:c r="O70" s="34" t="n">
        <x:v>1.4</x:v>
      </x:c>
      <x:c r="P70" s="34" t="n">
        <x:v>2.3</x:v>
      </x:c>
      <x:c r="Q70" s="28" t="str">
        <x:f>IF(MAX(O70,P70)&lt;=1.2,"Small",IF(MAX(O70,P70)&lt;=2,"Medium",IF(MAX(O70,P70)&lt;=3.2,"Large","XL")))</x:f>
        <x:v>Large</x:v>
      </x:c>
      <x:c r="R70" s="28" t="str">
        <x:v>Background</x:v>
      </x:c>
      <x:c r="S70" s="28" t="str">
        <x:v>None</x:v>
      </x:c>
      <x:c r="T70" s="28" t="str">
        <x:f>IF(E70="Limited Edition","Event-gated",IF(G70&lt;='Inputs'!$B$5,"Launch","Post-launch"))</x:f>
        <x:v>Launch</x:v>
      </x:c>
      <x:c r="U70" s="28" t="n">
        <x:v>3</x:v>
      </x:c>
      <x:c r="V70" s="28" t="str">
        <x:v>Ribbon Plant</x:v>
      </x:c>
      <x:c r="W70" s="28" t="str">
        <x:f>IF(AND(L70&gt;0,M70=0,MAX(O70,P70)&lt;=4.5,MIN(O70,P70)&gt;0,OR(H70="Coins",H70="Pearls")),"MODEL OK","REVIEW")</x:f>
        <x:v>MODEL OK</x:v>
      </x:c>
      <x:c r="X70" s="28" t="str">
        <x:v>Decor Catalog!A70:T70</x:v>
      </x:c>
    </x:row>
    <x:row r="71" ht="48" customHeight="1">
      <x:c r="A71" s="28" t="str">
        <x:v>PP-03</x:v>
      </x:c>
      <x:c r="B71" s="28" t="str">
        <x:v>Lantern Bud Stem</x:v>
      </x:c>
      <x:c r="C71" s="28" t="str">
        <x:v>Plant</x:v>
      </x:c>
      <x:c r="D71" s="28" t="str">
        <x:v>Fantasy</x:v>
      </x:c>
      <x:c r="E71" s="28" t="str">
        <x:v>Premium</x:v>
      </x:c>
      <x:c r="F71" s="28" t="str">
        <x:v>Rare</x:v>
      </x:c>
      <x:c r="G71" s="32" t="n">
        <x:v>10</x:v>
      </x:c>
      <x:c r="H71" s="28" t="str">
        <x:v>Pearls</x:v>
      </x:c>
      <x:c r="I71" s="32" t="n">
        <x:v>0</x:v>
      </x:c>
      <x:c r="J71" s="42" t="n">
        <x:v>0.2925</x:v>
      </x:c>
      <x:c r="K71" s="32" t="n">
        <x:v>18</x:v>
      </x:c>
      <x:c r="L71" s="38" t="n">
        <x:f>IF(I71&gt;0,I71,IF(H71="Coins",MAX($I$5,ROUND(VLOOKUP(G71,'XP &amp; Unlocks'!$A$5:$N$74,4,FALSE)*J71/5,0)*5),K71))</x:f>
        <x:v>18</x:v>
      </x:c>
      <x:c r="M71" s="28" t="n">
        <x:f>'Inputs'!$B$35</x:f>
        <x:v>0</x:v>
      </x:c>
      <x:c r="N71" s="28" t="n">
        <x:f>IF(Q71="Small",'Inputs'!$B$36,IF(Q71="Medium",'Inputs'!$B$37,IF(Q71="Large",'Inputs'!$B$38,'Inputs'!$B$39)))</x:f>
        <x:v>35</x:v>
      </x:c>
      <x:c r="O71" s="34" t="n">
        <x:v>1.6</x:v>
      </x:c>
      <x:c r="P71" s="34" t="n">
        <x:v>2.2</x:v>
      </x:c>
      <x:c r="Q71" s="28" t="str">
        <x:f>IF(MAX(O71,P71)&lt;=1.2,"Small",IF(MAX(O71,P71)&lt;=2,"Medium",IF(MAX(O71,P71)&lt;=3.2,"Large","XL")))</x:f>
        <x:v>Large</x:v>
      </x:c>
      <x:c r="R71" s="28" t="str">
        <x:v>Midground</x:v>
      </x:c>
      <x:c r="S71" s="28" t="str">
        <x:v>None</x:v>
      </x:c>
      <x:c r="T71" s="28" t="str">
        <x:f>IF(E71="Limited Edition","Event-gated",IF(G71&lt;='Inputs'!$B$5,"Launch","Post-launch"))</x:f>
        <x:v>Launch</x:v>
      </x:c>
      <x:c r="U71" s="28" t="n">
        <x:v>4</x:v>
      </x:c>
      <x:c r="V71" s="28" t="str">
        <x:v>Flowering Plant</x:v>
      </x:c>
      <x:c r="W71" s="28" t="str">
        <x:f>IF(AND(L71&gt;0,M71=0,MAX(O71,P71)&lt;=4.5,MIN(O71,P71)&gt;0,OR(H71="Coins",H71="Pearls")),"MODEL OK","REVIEW")</x:f>
        <x:v>MODEL OK</x:v>
      </x:c>
      <x:c r="X71" s="28" t="str">
        <x:v>Decor Catalog!A71:T71</x:v>
      </x:c>
    </x:row>
    <x:row r="72" ht="48" customHeight="1">
      <x:c r="A72" s="28" t="str">
        <x:v>PP-04</x:v>
      </x:c>
      <x:c r="B72" s="28" t="str">
        <x:v>Pearldrop Lotus</x:v>
      </x:c>
      <x:c r="C72" s="28" t="str">
        <x:v>Plant</x:v>
      </x:c>
      <x:c r="D72" s="28" t="str">
        <x:v>Zen Garden</x:v>
      </x:c>
      <x:c r="E72" s="28" t="str">
        <x:v>Premium</x:v>
      </x:c>
      <x:c r="F72" s="28" t="str">
        <x:v>Rare</x:v>
      </x:c>
      <x:c r="G72" s="32" t="n">
        <x:v>13</x:v>
      </x:c>
      <x:c r="H72" s="28" t="str">
        <x:v>Pearls</x:v>
      </x:c>
      <x:c r="I72" s="32" t="n">
        <x:v>0</x:v>
      </x:c>
      <x:c r="J72" s="42" t="n">
        <x:v>0.15600000000000003</x:v>
      </x:c>
      <x:c r="K72" s="32" t="n">
        <x:v>12</x:v>
      </x:c>
      <x:c r="L72" s="38" t="n">
        <x:f>IF(I72&gt;0,I72,IF(H72="Coins",MAX($I$5,ROUND(VLOOKUP(G72,'XP &amp; Unlocks'!$A$5:$N$74,4,FALSE)*J72/5,0)*5),K72))</x:f>
        <x:v>12</x:v>
      </x:c>
      <x:c r="M72" s="28" t="n">
        <x:f>'Inputs'!$B$35</x:f>
        <x:v>0</x:v>
      </x:c>
      <x:c r="N72" s="28" t="n">
        <x:f>IF(Q72="Small",'Inputs'!$B$36,IF(Q72="Medium",'Inputs'!$B$37,IF(Q72="Large",'Inputs'!$B$38,'Inputs'!$B$39)))</x:f>
        <x:v>20</x:v>
      </x:c>
      <x:c r="O72" s="34" t="n">
        <x:v>2</x:v>
      </x:c>
      <x:c r="P72" s="34" t="n">
        <x:v>2</x:v>
      </x:c>
      <x:c r="Q72" s="28" t="str">
        <x:f>IF(MAX(O72,P72)&lt;=1.2,"Small",IF(MAX(O72,P72)&lt;=2,"Medium",IF(MAX(O72,P72)&lt;=3.2,"Large","XL")))</x:f>
        <x:v>Medium</x:v>
      </x:c>
      <x:c r="R72" s="28" t="str">
        <x:v>Midground</x:v>
      </x:c>
      <x:c r="S72" s="28" t="str">
        <x:v>None</x:v>
      </x:c>
      <x:c r="T72" s="28" t="str">
        <x:f>IF(E72="Limited Edition","Event-gated",IF(G72&lt;='Inputs'!$B$5,"Launch","Post-launch"))</x:f>
        <x:v>Launch</x:v>
      </x:c>
      <x:c r="U72" s="28" t="n">
        <x:v>5</x:v>
      </x:c>
      <x:c r="V72" s="28" t="str">
        <x:v>Lotus</x:v>
      </x:c>
      <x:c r="W72" s="28" t="str">
        <x:f>IF(AND(L72&gt;0,M72=0,MAX(O72,P72)&lt;=4.5,MIN(O72,P72)&gt;0,OR(H72="Coins",H72="Pearls")),"MODEL OK","REVIEW")</x:f>
        <x:v>MODEL OK</x:v>
      </x:c>
      <x:c r="X72" s="28" t="str">
        <x:v>Decor Catalog!A72:T72</x:v>
      </x:c>
    </x:row>
    <x:row r="73" ht="48" customHeight="1">
      <x:c r="A73" s="28" t="str">
        <x:v>PP-05</x:v>
      </x:c>
      <x:c r="B73" s="28" t="str">
        <x:v>Aurora Rotala</x:v>
      </x:c>
      <x:c r="C73" s="28" t="str">
        <x:v>Plant</x:v>
      </x:c>
      <x:c r="D73" s="28" t="str">
        <x:v>Prism Reef</x:v>
      </x:c>
      <x:c r="E73" s="28" t="str">
        <x:v>Premium</x:v>
      </x:c>
      <x:c r="F73" s="28" t="str">
        <x:v>Rare</x:v>
      </x:c>
      <x:c r="G73" s="32" t="n">
        <x:v>16</x:v>
      </x:c>
      <x:c r="H73" s="28" t="str">
        <x:v>Pearls</x:v>
      </x:c>
      <x:c r="I73" s="32" t="n">
        <x:v>0</x:v>
      </x:c>
      <x:c r="J73" s="42" t="n">
        <x:v>0.2925</x:v>
      </x:c>
      <x:c r="K73" s="32" t="n">
        <x:v>18</x:v>
      </x:c>
      <x:c r="L73" s="38" t="n">
        <x:f>IF(I73&gt;0,I73,IF(H73="Coins",MAX($I$5,ROUND(VLOOKUP(G73,'XP &amp; Unlocks'!$A$5:$N$74,4,FALSE)*J73/5,0)*5),K73))</x:f>
        <x:v>18</x:v>
      </x:c>
      <x:c r="M73" s="28" t="n">
        <x:f>'Inputs'!$B$35</x:f>
        <x:v>0</x:v>
      </x:c>
      <x:c r="N73" s="28" t="n">
        <x:f>IF(Q73="Small",'Inputs'!$B$36,IF(Q73="Medium",'Inputs'!$B$37,IF(Q73="Large",'Inputs'!$B$38,'Inputs'!$B$39)))</x:f>
        <x:v>35</x:v>
      </x:c>
      <x:c r="O73" s="34" t="n">
        <x:v>1.8</x:v>
      </x:c>
      <x:c r="P73" s="34" t="n">
        <x:v>2.6</x:v>
      </x:c>
      <x:c r="Q73" s="28" t="str">
        <x:f>IF(MAX(O73,P73)&lt;=1.2,"Small",IF(MAX(O73,P73)&lt;=2,"Medium",IF(MAX(O73,P73)&lt;=3.2,"Large","XL")))</x:f>
        <x:v>Large</x:v>
      </x:c>
      <x:c r="R73" s="28" t="str">
        <x:v>Background</x:v>
      </x:c>
      <x:c r="S73" s="28" t="str">
        <x:v>None</x:v>
      </x:c>
      <x:c r="T73" s="28" t="str">
        <x:f>IF(E73="Limited Edition","Event-gated",IF(G73&lt;='Inputs'!$B$5,"Launch","Post-launch"))</x:f>
        <x:v>Launch</x:v>
      </x:c>
      <x:c r="U73" s="28" t="n">
        <x:v>6</x:v>
      </x:c>
      <x:c r="V73" s="28" t="str">
        <x:v>Stem Plant</x:v>
      </x:c>
      <x:c r="W73" s="28" t="str">
        <x:f>IF(AND(L73&gt;0,M73=0,MAX(O73,P73)&lt;=4.5,MIN(O73,P73)&gt;0,OR(H73="Coins",H73="Pearls")),"MODEL OK","REVIEW")</x:f>
        <x:v>MODEL OK</x:v>
      </x:c>
      <x:c r="X73" s="28" t="str">
        <x:v>Decor Catalog!A73:T73</x:v>
      </x:c>
    </x:row>
    <x:row r="74" ht="48" customHeight="1">
      <x:c r="A74" s="28" t="str">
        <x:v>PP-06</x:v>
      </x:c>
      <x:c r="B74" s="28" t="str">
        <x:v>Firefly Moss Cushion</x:v>
      </x:c>
      <x:c r="C74" s="28" t="str">
        <x:v>Plant</x:v>
      </x:c>
      <x:c r="D74" s="28" t="str">
        <x:v>Moonlit Garden</x:v>
      </x:c>
      <x:c r="E74" s="28" t="str">
        <x:v>Premium</x:v>
      </x:c>
      <x:c r="F74" s="28" t="str">
        <x:v>Rare</x:v>
      </x:c>
      <x:c r="G74" s="32" t="n">
        <x:v>20</x:v>
      </x:c>
      <x:c r="H74" s="28" t="str">
        <x:v>Pearls</x:v>
      </x:c>
      <x:c r="I74" s="32" t="n">
        <x:v>0</x:v>
      </x:c>
      <x:c r="J74" s="42" t="n">
        <x:v>0.15600000000000003</x:v>
      </x:c>
      <x:c r="K74" s="32" t="n">
        <x:v>12</x:v>
      </x:c>
      <x:c r="L74" s="38" t="n">
        <x:f>IF(I74&gt;0,I74,IF(H74="Coins",MAX($I$5,ROUND(VLOOKUP(G74,'XP &amp; Unlocks'!$A$5:$N$74,4,FALSE)*J74/5,0)*5),K74))</x:f>
        <x:v>12</x:v>
      </x:c>
      <x:c r="M74" s="28" t="n">
        <x:f>'Inputs'!$B$35</x:f>
        <x:v>0</x:v>
      </x:c>
      <x:c r="N74" s="28" t="n">
        <x:f>IF(Q74="Small",'Inputs'!$B$36,IF(Q74="Medium",'Inputs'!$B$37,IF(Q74="Large",'Inputs'!$B$38,'Inputs'!$B$39)))</x:f>
        <x:v>20</x:v>
      </x:c>
      <x:c r="O74" s="34" t="n">
        <x:v>1.8</x:v>
      </x:c>
      <x:c r="P74" s="34" t="n">
        <x:v>1</x:v>
      </x:c>
      <x:c r="Q74" s="28" t="str">
        <x:f>IF(MAX(O74,P74)&lt;=1.2,"Small",IF(MAX(O74,P74)&lt;=2,"Medium",IF(MAX(O74,P74)&lt;=3.2,"Large","XL")))</x:f>
        <x:v>Medium</x:v>
      </x:c>
      <x:c r="R74" s="28" t="str">
        <x:v>Foreground</x:v>
      </x:c>
      <x:c r="S74" s="28" t="str">
        <x:v>None</x:v>
      </x:c>
      <x:c r="T74" s="28" t="str">
        <x:f>IF(E74="Limited Edition","Event-gated",IF(G74&lt;='Inputs'!$B$5,"Launch","Post-launch"))</x:f>
        <x:v>Launch</x:v>
      </x:c>
      <x:c r="U74" s="28" t="n">
        <x:v>7</x:v>
      </x:c>
      <x:c r="V74" s="28" t="str">
        <x:v>Moss</x:v>
      </x:c>
      <x:c r="W74" s="28" t="str">
        <x:f>IF(AND(L74&gt;0,M74=0,MAX(O74,P74)&lt;=4.5,MIN(O74,P74)&gt;0,OR(H74="Coins",H74="Pearls")),"MODEL OK","REVIEW")</x:f>
        <x:v>MODEL OK</x:v>
      </x:c>
      <x:c r="X74" s="28" t="str">
        <x:v>Decor Catalog!A74:T74</x:v>
      </x:c>
    </x:row>
    <x:row r="75" ht="48" customHeight="1">
      <x:c r="A75" s="28" t="str">
        <x:v>PP-07</x:v>
      </x:c>
      <x:c r="B75" s="28" t="str">
        <x:v>Crystal-tip Seagrass</x:v>
      </x:c>
      <x:c r="C75" s="28" t="str">
        <x:v>Plant</x:v>
      </x:c>
      <x:c r="D75" s="28" t="str">
        <x:v>Crystal Grotto</x:v>
      </x:c>
      <x:c r="E75" s="28" t="str">
        <x:v>Premium</x:v>
      </x:c>
      <x:c r="F75" s="28" t="str">
        <x:v>Epic</x:v>
      </x:c>
      <x:c r="G75" s="32" t="n">
        <x:v>24</x:v>
      </x:c>
      <x:c r="H75" s="28" t="str">
        <x:v>Pearls</x:v>
      </x:c>
      <x:c r="I75" s="32" t="n">
        <x:v>0</x:v>
      </x:c>
      <x:c r="J75" s="42" t="n">
        <x:v>0.33749999999999997</x:v>
      </x:c>
      <x:c r="K75" s="32" t="n">
        <x:v>20</x:v>
      </x:c>
      <x:c r="L75" s="38" t="n">
        <x:f>IF(I75&gt;0,I75,IF(H75="Coins",MAX($I$5,ROUND(VLOOKUP(G75,'XP &amp; Unlocks'!$A$5:$N$74,4,FALSE)*J75/5,0)*5),K75))</x:f>
        <x:v>20</x:v>
      </x:c>
      <x:c r="M75" s="28" t="n">
        <x:f>'Inputs'!$B$35</x:f>
        <x:v>0</x:v>
      </x:c>
      <x:c r="N75" s="28" t="n">
        <x:f>IF(Q75="Small",'Inputs'!$B$36,IF(Q75="Medium",'Inputs'!$B$37,IF(Q75="Large",'Inputs'!$B$38,'Inputs'!$B$39)))</x:f>
        <x:v>35</x:v>
      </x:c>
      <x:c r="O75" s="34" t="n">
        <x:v>1.6</x:v>
      </x:c>
      <x:c r="P75" s="34" t="n">
        <x:v>2.7</x:v>
      </x:c>
      <x:c r="Q75" s="28" t="str">
        <x:f>IF(MAX(O75,P75)&lt;=1.2,"Small",IF(MAX(O75,P75)&lt;=2,"Medium",IF(MAX(O75,P75)&lt;=3.2,"Large","XL")))</x:f>
        <x:v>Large</x:v>
      </x:c>
      <x:c r="R75" s="28" t="str">
        <x:v>Background</x:v>
      </x:c>
      <x:c r="S75" s="28" t="str">
        <x:v>None</x:v>
      </x:c>
      <x:c r="T75" s="28" t="str">
        <x:f>IF(E75="Limited Edition","Event-gated",IF(G75&lt;='Inputs'!$B$5,"Launch","Post-launch"))</x:f>
        <x:v>Launch</x:v>
      </x:c>
      <x:c r="U75" s="28" t="n">
        <x:v>8</x:v>
      </x:c>
      <x:c r="V75" s="28" t="str">
        <x:v>Fantasy Plant</x:v>
      </x:c>
      <x:c r="W75" s="28" t="str">
        <x:f>IF(AND(L75&gt;0,M75=0,MAX(O75,P75)&lt;=4.5,MIN(O75,P75)&gt;0,OR(H75="Coins",H75="Pearls")),"MODEL OK","REVIEW")</x:f>
        <x:v>MODEL OK</x:v>
      </x:c>
      <x:c r="X75" s="28" t="str">
        <x:v>Decor Catalog!A75:T75</x:v>
      </x:c>
    </x:row>
    <x:row r="76" ht="48" customHeight="1">
      <x:c r="A76" s="28" t="str">
        <x:v>PP-08</x:v>
      </x:c>
      <x:c r="B76" s="28" t="str">
        <x:v>Coral Bells Vine</x:v>
      </x:c>
      <x:c r="C76" s="28" t="str">
        <x:v>Plant</x:v>
      </x:c>
      <x:c r="D76" s="28" t="str">
        <x:v>Fantasy</x:v>
      </x:c>
      <x:c r="E76" s="28" t="str">
        <x:v>Premium</x:v>
      </x:c>
      <x:c r="F76" s="28" t="str">
        <x:v>Epic</x:v>
      </x:c>
      <x:c r="G76" s="32" t="n">
        <x:v>28</x:v>
      </x:c>
      <x:c r="H76" s="28" t="str">
        <x:v>Pearls</x:v>
      </x:c>
      <x:c r="I76" s="32" t="n">
        <x:v>0</x:v>
      </x:c>
      <x:c r="J76" s="42" t="n">
        <x:v>0.33749999999999997</x:v>
      </x:c>
      <x:c r="K76" s="32" t="n">
        <x:v>20</x:v>
      </x:c>
      <x:c r="L76" s="38" t="n">
        <x:f>IF(I76&gt;0,I76,IF(H76="Coins",MAX($I$5,ROUND(VLOOKUP(G76,'XP &amp; Unlocks'!$A$5:$N$74,4,FALSE)*J76/5,0)*5),K76))</x:f>
        <x:v>20</x:v>
      </x:c>
      <x:c r="M76" s="28" t="n">
        <x:f>'Inputs'!$B$35</x:f>
        <x:v>0</x:v>
      </x:c>
      <x:c r="N76" s="28" t="n">
        <x:f>IF(Q76="Small",'Inputs'!$B$36,IF(Q76="Medium",'Inputs'!$B$37,IF(Q76="Large",'Inputs'!$B$38,'Inputs'!$B$39)))</x:f>
        <x:v>35</x:v>
      </x:c>
      <x:c r="O76" s="34" t="n">
        <x:v>2.5</x:v>
      </x:c>
      <x:c r="P76" s="34" t="n">
        <x:v>2.6</x:v>
      </x:c>
      <x:c r="Q76" s="28" t="str">
        <x:f>IF(MAX(O76,P76)&lt;=1.2,"Small",IF(MAX(O76,P76)&lt;=2,"Medium",IF(MAX(O76,P76)&lt;=3.2,"Large","XL")))</x:f>
        <x:v>Large</x:v>
      </x:c>
      <x:c r="R76" s="28" t="str">
        <x:v>Midground</x:v>
      </x:c>
      <x:c r="S76" s="28" t="str">
        <x:v>None</x:v>
      </x:c>
      <x:c r="T76" s="28" t="str">
        <x:f>IF(E76="Limited Edition","Event-gated",IF(G76&lt;='Inputs'!$B$5,"Launch","Post-launch"))</x:f>
        <x:v>Launch</x:v>
      </x:c>
      <x:c r="U76" s="28" t="n">
        <x:v>9</x:v>
      </x:c>
      <x:c r="V76" s="28" t="str">
        <x:v>Flowering Plant</x:v>
      </x:c>
      <x:c r="W76" s="28" t="str">
        <x:f>IF(AND(L76&gt;0,M76=0,MAX(O76,P76)&lt;=4.5,MIN(O76,P76)&gt;0,OR(H76="Coins",H76="Pearls")),"MODEL OK","REVIEW")</x:f>
        <x:v>MODEL OK</x:v>
      </x:c>
      <x:c r="X76" s="28" t="str">
        <x:v>Decor Catalog!A76:T76</x:v>
      </x:c>
    </x:row>
    <x:row r="77" ht="48" customHeight="1">
      <x:c r="A77" s="28" t="str">
        <x:v>PP-09</x:v>
      </x:c>
      <x:c r="B77" s="28" t="str">
        <x:v>Starlight Lace Fern</x:v>
      </x:c>
      <x:c r="C77" s="28" t="str">
        <x:v>Plant</x:v>
      </x:c>
      <x:c r="D77" s="28" t="str">
        <x:v>Moonlit Garden</x:v>
      </x:c>
      <x:c r="E77" s="28" t="str">
        <x:v>Premium</x:v>
      </x:c>
      <x:c r="F77" s="28" t="str">
        <x:v>Epic</x:v>
      </x:c>
      <x:c r="G77" s="32" t="n">
        <x:v>32</x:v>
      </x:c>
      <x:c r="H77" s="28" t="str">
        <x:v>Pearls</x:v>
      </x:c>
      <x:c r="I77" s="32" t="n">
        <x:v>0</x:v>
      </x:c>
      <x:c r="J77" s="42" t="n">
        <x:v>0.33749999999999997</x:v>
      </x:c>
      <x:c r="K77" s="32" t="n">
        <x:v>20</x:v>
      </x:c>
      <x:c r="L77" s="38" t="n">
        <x:f>IF(I77&gt;0,I77,IF(H77="Coins",MAX($I$5,ROUND(VLOOKUP(G77,'XP &amp; Unlocks'!$A$5:$N$74,4,FALSE)*J77/5,0)*5),K77))</x:f>
        <x:v>20</x:v>
      </x:c>
      <x:c r="M77" s="28" t="n">
        <x:f>'Inputs'!$B$35</x:f>
        <x:v>0</x:v>
      </x:c>
      <x:c r="N77" s="28" t="n">
        <x:f>IF(Q77="Small",'Inputs'!$B$36,IF(Q77="Medium",'Inputs'!$B$37,IF(Q77="Large",'Inputs'!$B$38,'Inputs'!$B$39)))</x:f>
        <x:v>35</x:v>
      </x:c>
      <x:c r="O77" s="34" t="n">
        <x:v>2.6</x:v>
      </x:c>
      <x:c r="P77" s="34" t="n">
        <x:v>3</x:v>
      </x:c>
      <x:c r="Q77" s="28" t="str">
        <x:f>IF(MAX(O77,P77)&lt;=1.2,"Small",IF(MAX(O77,P77)&lt;=2,"Medium",IF(MAX(O77,P77)&lt;=3.2,"Large","XL")))</x:f>
        <x:v>Large</x:v>
      </x:c>
      <x:c r="R77" s="28" t="str">
        <x:v>Background</x:v>
      </x:c>
      <x:c r="S77" s="28" t="str">
        <x:v>None</x:v>
      </x:c>
      <x:c r="T77" s="28" t="str">
        <x:f>IF(E77="Limited Edition","Event-gated",IF(G77&lt;='Inputs'!$B$5,"Launch","Post-launch"))</x:f>
        <x:v>Launch</x:v>
      </x:c>
      <x:c r="U77" s="28" t="n">
        <x:v>10</x:v>
      </x:c>
      <x:c r="V77" s="28" t="str">
        <x:v>Fern</x:v>
      </x:c>
      <x:c r="W77" s="28" t="str">
        <x:f>IF(AND(L77&gt;0,M77=0,MAX(O77,P77)&lt;=4.5,MIN(O77,P77)&gt;0,OR(H77="Coins",H77="Pearls")),"MODEL OK","REVIEW")</x:f>
        <x:v>MODEL OK</x:v>
      </x:c>
      <x:c r="X77" s="28" t="str">
        <x:v>Decor Catalog!A77:T77</x:v>
      </x:c>
    </x:row>
    <x:row r="78" ht="48" customHeight="1">
      <x:c r="A78" s="28" t="str">
        <x:v>PP-10</x:v>
      </x:c>
      <x:c r="B78" s="28" t="str">
        <x:v>Velvet Fan Bloom</x:v>
      </x:c>
      <x:c r="C78" s="28" t="str">
        <x:v>Plant</x:v>
      </x:c>
      <x:c r="D78" s="28" t="str">
        <x:v>Botanical Rarities</x:v>
      </x:c>
      <x:c r="E78" s="28" t="str">
        <x:v>Premium</x:v>
      </x:c>
      <x:c r="F78" s="28" t="str">
        <x:v>Epic</x:v>
      </x:c>
      <x:c r="G78" s="32" t="n">
        <x:v>36</x:v>
      </x:c>
      <x:c r="H78" s="28" t="str">
        <x:v>Pearls</x:v>
      </x:c>
      <x:c r="I78" s="32" t="n">
        <x:v>0</x:v>
      </x:c>
      <x:c r="J78" s="42" t="n">
        <x:v>0.33749999999999997</x:v>
      </x:c>
      <x:c r="K78" s="32" t="n">
        <x:v>20</x:v>
      </x:c>
      <x:c r="L78" s="38" t="n">
        <x:f>IF(I78&gt;0,I78,IF(H78="Coins",MAX($I$5,ROUND(VLOOKUP(G78,'XP &amp; Unlocks'!$A$5:$N$74,4,FALSE)*J78/5,0)*5),K78))</x:f>
        <x:v>20</x:v>
      </x:c>
      <x:c r="M78" s="28" t="n">
        <x:f>'Inputs'!$B$35</x:f>
        <x:v>0</x:v>
      </x:c>
      <x:c r="N78" s="28" t="n">
        <x:f>IF(Q78="Small",'Inputs'!$B$36,IF(Q78="Medium",'Inputs'!$B$37,IF(Q78="Large",'Inputs'!$B$38,'Inputs'!$B$39)))</x:f>
        <x:v>35</x:v>
      </x:c>
      <x:c r="O78" s="34" t="n">
        <x:v>2.8</x:v>
      </x:c>
      <x:c r="P78" s="34" t="n">
        <x:v>2.6</x:v>
      </x:c>
      <x:c r="Q78" s="28" t="str">
        <x:f>IF(MAX(O78,P78)&lt;=1.2,"Small",IF(MAX(O78,P78)&lt;=2,"Medium",IF(MAX(O78,P78)&lt;=3.2,"Large","XL")))</x:f>
        <x:v>Large</x:v>
      </x:c>
      <x:c r="R78" s="28" t="str">
        <x:v>Midground</x:v>
      </x:c>
      <x:c r="S78" s="28" t="str">
        <x:v>None</x:v>
      </x:c>
      <x:c r="T78" s="28" t="str">
        <x:f>IF(E78="Limited Edition","Event-gated",IF(G78&lt;='Inputs'!$B$5,"Launch","Post-launch"))</x:f>
        <x:v>Launch</x:v>
      </x:c>
      <x:c r="U78" s="28" t="n">
        <x:v>12</x:v>
      </x:c>
      <x:c r="V78" s="28" t="str">
        <x:v>Flowering Plant</x:v>
      </x:c>
      <x:c r="W78" s="28" t="str">
        <x:f>IF(AND(L78&gt;0,M78=0,MAX(O78,P78)&lt;=4.5,MIN(O78,P78)&gt;0,OR(H78="Coins",H78="Pearls")),"MODEL OK","REVIEW")</x:f>
        <x:v>MODEL OK</x:v>
      </x:c>
      <x:c r="X78" s="28" t="str">
        <x:v>Decor Catalog!A78:T78</x:v>
      </x:c>
    </x:row>
    <x:row r="79" ht="48" customHeight="1">
      <x:c r="A79" s="28" t="str">
        <x:v>PP-11</x:v>
      </x:c>
      <x:c r="B79" s="28" t="str">
        <x:v>Opal Lotus Bouquet</x:v>
      </x:c>
      <x:c r="C79" s="28" t="str">
        <x:v>Plant</x:v>
      </x:c>
      <x:c r="D79" s="28" t="str">
        <x:v>Prism Reef</x:v>
      </x:c>
      <x:c r="E79" s="28" t="str">
        <x:v>Premium</x:v>
      </x:c>
      <x:c r="F79" s="28" t="str">
        <x:v>Epic</x:v>
      </x:c>
      <x:c r="G79" s="32" t="n">
        <x:v>40</x:v>
      </x:c>
      <x:c r="H79" s="28" t="str">
        <x:v>Pearls</x:v>
      </x:c>
      <x:c r="I79" s="32" t="n">
        <x:v>0</x:v>
      </x:c>
      <x:c r="J79" s="42" t="n">
        <x:v>0.33749999999999997</x:v>
      </x:c>
      <x:c r="K79" s="32" t="n">
        <x:v>20</x:v>
      </x:c>
      <x:c r="L79" s="38" t="n">
        <x:f>IF(I79&gt;0,I79,IF(H79="Coins",MAX($I$5,ROUND(VLOOKUP(G79,'XP &amp; Unlocks'!$A$5:$N$74,4,FALSE)*J79/5,0)*5),K79))</x:f>
        <x:v>20</x:v>
      </x:c>
      <x:c r="M79" s="28" t="n">
        <x:f>'Inputs'!$B$35</x:f>
        <x:v>0</x:v>
      </x:c>
      <x:c r="N79" s="28" t="n">
        <x:f>IF(Q79="Small",'Inputs'!$B$36,IF(Q79="Medium",'Inputs'!$B$37,IF(Q79="Large",'Inputs'!$B$38,'Inputs'!$B$39)))</x:f>
        <x:v>35</x:v>
      </x:c>
      <x:c r="O79" s="34" t="n">
        <x:v>3.2</x:v>
      </x:c>
      <x:c r="P79" s="34" t="n">
        <x:v>3.2</x:v>
      </x:c>
      <x:c r="Q79" s="28" t="str">
        <x:f>IF(MAX(O79,P79)&lt;=1.2,"Small",IF(MAX(O79,P79)&lt;=2,"Medium",IF(MAX(O79,P79)&lt;=3.2,"Large","XL")))</x:f>
        <x:v>Large</x:v>
      </x:c>
      <x:c r="R79" s="28" t="str">
        <x:v>Background</x:v>
      </x:c>
      <x:c r="S79" s="28" t="str">
        <x:v>None</x:v>
      </x:c>
      <x:c r="T79" s="28" t="str">
        <x:f>IF(E79="Limited Edition","Event-gated",IF(G79&lt;='Inputs'!$B$5,"Launch","Post-launch"))</x:f>
        <x:v>Launch</x:v>
      </x:c>
      <x:c r="U79" s="28" t="n">
        <x:v>14</x:v>
      </x:c>
      <x:c r="V79" s="28" t="str">
        <x:v>Lotus</x:v>
      </x:c>
      <x:c r="W79" s="28" t="str">
        <x:f>IF(AND(L79&gt;0,M79=0,MAX(O79,P79)&lt;=4.5,MIN(O79,P79)&gt;0,OR(H79="Coins",H79="Pearls")),"MODEL OK","REVIEW")</x:f>
        <x:v>MODEL OK</x:v>
      </x:c>
      <x:c r="X79" s="28" t="str">
        <x:v>Decor Catalog!A79:T79</x:v>
      </x:c>
    </x:row>
    <x:row r="80" ht="48" customHeight="1">
      <x:c r="A80" s="28" t="str">
        <x:v>PP-12</x:v>
      </x:c>
      <x:c r="B80" s="28" t="str">
        <x:v>Moonbell Root Tree</x:v>
      </x:c>
      <x:c r="C80" s="28" t="str">
        <x:v>Plant</x:v>
      </x:c>
      <x:c r="D80" s="28" t="str">
        <x:v>Moonlit Garden</x:v>
      </x:c>
      <x:c r="E80" s="28" t="str">
        <x:v>Premium</x:v>
      </x:c>
      <x:c r="F80" s="28" t="str">
        <x:v>Epic</x:v>
      </x:c>
      <x:c r="G80" s="32" t="n">
        <x:v>45</x:v>
      </x:c>
      <x:c r="H80" s="28" t="str">
        <x:v>Pearls</x:v>
      </x:c>
      <x:c r="I80" s="32" t="n">
        <x:v>0</x:v>
      </x:c>
      <x:c r="J80" s="42" t="n">
        <x:v>0.54</x:v>
      </x:c>
      <x:c r="K80" s="32" t="n">
        <x:v>28</x:v>
      </x:c>
      <x:c r="L80" s="38" t="n">
        <x:f>IF(I80&gt;0,I80,IF(H80="Coins",MAX($I$5,ROUND(VLOOKUP(G80,'XP &amp; Unlocks'!$A$5:$N$74,4,FALSE)*J80/5,0)*5),K80))</x:f>
        <x:v>28</x:v>
      </x:c>
      <x:c r="M80" s="28" t="n">
        <x:f>'Inputs'!$B$35</x:f>
        <x:v>0</x:v>
      </x:c>
      <x:c r="N80" s="28" t="n">
        <x:f>IF(Q80="Small",'Inputs'!$B$36,IF(Q80="Medium",'Inputs'!$B$37,IF(Q80="Large",'Inputs'!$B$38,'Inputs'!$B$39)))</x:f>
        <x:v>50</x:v>
      </x:c>
      <x:c r="O80" s="34" t="n">
        <x:v>2.9</x:v>
      </x:c>
      <x:c r="P80" s="34" t="n">
        <x:v>3.7</x:v>
      </x:c>
      <x:c r="Q80" s="28" t="str">
        <x:f>IF(MAX(O80,P80)&lt;=1.2,"Small",IF(MAX(O80,P80)&lt;=2,"Medium",IF(MAX(O80,P80)&lt;=3.2,"Large","XL")))</x:f>
        <x:v>XL</x:v>
      </x:c>
      <x:c r="R80" s="28" t="str">
        <x:v>Background</x:v>
      </x:c>
      <x:c r="S80" s="28" t="str">
        <x:v>None</x:v>
      </x:c>
      <x:c r="T80" s="28" t="str">
        <x:f>IF(E80="Limited Edition","Event-gated",IF(G80&lt;='Inputs'!$B$5,"Launch","Post-launch"))</x:f>
        <x:v>Post-launch</x:v>
      </x:c>
      <x:c r="U80" s="28" t="n">
        <x:v>16</x:v>
      </x:c>
      <x:c r="V80" s="28" t="str">
        <x:v>Rooted Plant</x:v>
      </x:c>
      <x:c r="W80" s="28" t="str">
        <x:f>IF(AND(L80&gt;0,M80=0,MAX(O80,P80)&lt;=4.5,MIN(O80,P80)&gt;0,OR(H80="Coins",H80="Pearls")),"MODEL OK","REVIEW")</x:f>
        <x:v>MODEL OK</x:v>
      </x:c>
      <x:c r="X80" s="28" t="str">
        <x:v>Decor Catalog!A80:T80</x:v>
      </x:c>
    </x:row>
    <x:row r="81" ht="48" customHeight="1">
      <x:c r="A81" s="28" t="str">
        <x:v>PP-13</x:v>
      </x:c>
      <x:c r="B81" s="28" t="str">
        <x:v>Glowing Kelp Spiral</x:v>
      </x:c>
      <x:c r="C81" s="28" t="str">
        <x:v>Plant</x:v>
      </x:c>
      <x:c r="D81" s="28" t="str">
        <x:v>Deep Sea</x:v>
      </x:c>
      <x:c r="E81" s="28" t="str">
        <x:v>Premium</x:v>
      </x:c>
      <x:c r="F81" s="28" t="str">
        <x:v>Epic</x:v>
      </x:c>
      <x:c r="G81" s="32" t="n">
        <x:v>50</x:v>
      </x:c>
      <x:c r="H81" s="28" t="str">
        <x:v>Pearls</x:v>
      </x:c>
      <x:c r="I81" s="32" t="n">
        <x:v>0</x:v>
      </x:c>
      <x:c r="J81" s="42" t="n">
        <x:v>0.54</x:v>
      </x:c>
      <x:c r="K81" s="32" t="n">
        <x:v>28</x:v>
      </x:c>
      <x:c r="L81" s="38" t="n">
        <x:f>IF(I81&gt;0,I81,IF(H81="Coins",MAX($I$5,ROUND(VLOOKUP(G81,'XP &amp; Unlocks'!$A$5:$N$74,4,FALSE)*J81/5,0)*5),K81))</x:f>
        <x:v>28</x:v>
      </x:c>
      <x:c r="M81" s="28" t="n">
        <x:f>'Inputs'!$B$35</x:f>
        <x:v>0</x:v>
      </x:c>
      <x:c r="N81" s="28" t="n">
        <x:f>IF(Q81="Small",'Inputs'!$B$36,IF(Q81="Medium",'Inputs'!$B$37,IF(Q81="Large",'Inputs'!$B$38,'Inputs'!$B$39)))</x:f>
        <x:v>50</x:v>
      </x:c>
      <x:c r="O81" s="34" t="n">
        <x:v>2.3</x:v>
      </x:c>
      <x:c r="P81" s="34" t="n">
        <x:v>3.8</x:v>
      </x:c>
      <x:c r="Q81" s="28" t="str">
        <x:f>IF(MAX(O81,P81)&lt;=1.2,"Small",IF(MAX(O81,P81)&lt;=2,"Medium",IF(MAX(O81,P81)&lt;=3.2,"Large","XL")))</x:f>
        <x:v>XL</x:v>
      </x:c>
      <x:c r="R81" s="28" t="str">
        <x:v>Background</x:v>
      </x:c>
      <x:c r="S81" s="28" t="str">
        <x:v>None</x:v>
      </x:c>
      <x:c r="T81" s="28" t="str">
        <x:f>IF(E81="Limited Edition","Event-gated",IF(G81&lt;='Inputs'!$B$5,"Launch","Post-launch"))</x:f>
        <x:v>Post-launch</x:v>
      </x:c>
      <x:c r="U81" s="28" t="n">
        <x:v>18</x:v>
      </x:c>
      <x:c r="V81" s="28" t="str">
        <x:v>Ribbon Plant</x:v>
      </x:c>
      <x:c r="W81" s="28" t="str">
        <x:f>IF(AND(L81&gt;0,M81=0,MAX(O81,P81)&lt;=4.5,MIN(O81,P81)&gt;0,OR(H81="Coins",H81="Pearls")),"MODEL OK","REVIEW")</x:f>
        <x:v>MODEL OK</x:v>
      </x:c>
      <x:c r="X81" s="28" t="str">
        <x:v>Decor Catalog!A81:T81</x:v>
      </x:c>
    </x:row>
    <x:row r="82" ht="48" customHeight="1">
      <x:c r="A82" s="28" t="str">
        <x:v>PP-14</x:v>
      </x:c>
      <x:c r="B82" s="28" t="str">
        <x:v>Jade Dragonleaf</x:v>
      </x:c>
      <x:c r="C82" s="28" t="str">
        <x:v>Plant</x:v>
      </x:c>
      <x:c r="D82" s="28" t="str">
        <x:v>Zen Garden</x:v>
      </x:c>
      <x:c r="E82" s="28" t="str">
        <x:v>Premium</x:v>
      </x:c>
      <x:c r="F82" s="28" t="str">
        <x:v>Legendary</x:v>
      </x:c>
      <x:c r="G82" s="32" t="n">
        <x:v>55</x:v>
      </x:c>
      <x:c r="H82" s="28" t="str">
        <x:v>Pearls</x:v>
      </x:c>
      <x:c r="I82" s="32" t="n">
        <x:v>0</x:v>
      </x:c>
      <x:c r="J82" s="42" t="n">
        <x:v>0.648</x:v>
      </x:c>
      <x:c r="K82" s="32" t="n">
        <x:v>30</x:v>
      </x:c>
      <x:c r="L82" s="38" t="n">
        <x:f>IF(I82&gt;0,I82,IF(H82="Coins",MAX($I$5,ROUND(VLOOKUP(G82,'XP &amp; Unlocks'!$A$5:$N$74,4,FALSE)*J82/5,0)*5),K82))</x:f>
        <x:v>30</x:v>
      </x:c>
      <x:c r="M82" s="28" t="n">
        <x:f>'Inputs'!$B$35</x:f>
        <x:v>0</x:v>
      </x:c>
      <x:c r="N82" s="28" t="n">
        <x:f>IF(Q82="Small",'Inputs'!$B$36,IF(Q82="Medium",'Inputs'!$B$37,IF(Q82="Large",'Inputs'!$B$38,'Inputs'!$B$39)))</x:f>
        <x:v>50</x:v>
      </x:c>
      <x:c r="O82" s="34" t="n">
        <x:v>3.3</x:v>
      </x:c>
      <x:c r="P82" s="34" t="n">
        <x:v>3.6</x:v>
      </x:c>
      <x:c r="Q82" s="28" t="str">
        <x:f>IF(MAX(O82,P82)&lt;=1.2,"Small",IF(MAX(O82,P82)&lt;=2,"Medium",IF(MAX(O82,P82)&lt;=3.2,"Large","XL")))</x:f>
        <x:v>XL</x:v>
      </x:c>
      <x:c r="R82" s="28" t="str">
        <x:v>Background</x:v>
      </x:c>
      <x:c r="S82" s="28" t="str">
        <x:v>None</x:v>
      </x:c>
      <x:c r="T82" s="28" t="str">
        <x:f>IF(E82="Limited Edition","Event-gated",IF(G82&lt;='Inputs'!$B$5,"Launch","Post-launch"))</x:f>
        <x:v>Post-launch</x:v>
      </x:c>
      <x:c r="U82" s="28" t="n">
        <x:v>20</x:v>
      </x:c>
      <x:c r="V82" s="28" t="str">
        <x:v>Fantasy Plant</x:v>
      </x:c>
      <x:c r="W82" s="28" t="str">
        <x:f>IF(AND(L82&gt;0,M82=0,MAX(O82,P82)&lt;=4.5,MIN(O82,P82)&gt;0,OR(H82="Coins",H82="Pearls")),"MODEL OK","REVIEW")</x:f>
        <x:v>MODEL OK</x:v>
      </x:c>
      <x:c r="X82" s="28" t="str">
        <x:v>Decor Catalog!A82:T82</x:v>
      </x:c>
    </x:row>
    <x:row r="83" ht="48" customHeight="1">
      <x:c r="A83" s="28" t="str">
        <x:v>PP-15</x:v>
      </x:c>
      <x:c r="B83" s="28" t="str">
        <x:v>Celestial Lily Crown</x:v>
      </x:c>
      <x:c r="C83" s="28" t="str">
        <x:v>Plant</x:v>
      </x:c>
      <x:c r="D83" s="28" t="str">
        <x:v>Moonlit Garden</x:v>
      </x:c>
      <x:c r="E83" s="28" t="str">
        <x:v>Premium</x:v>
      </x:c>
      <x:c r="F83" s="28" t="str">
        <x:v>Legendary</x:v>
      </x:c>
      <x:c r="G83" s="32" t="n">
        <x:v>60</x:v>
      </x:c>
      <x:c r="H83" s="28" t="str">
        <x:v>Pearls</x:v>
      </x:c>
      <x:c r="I83" s="32" t="n">
        <x:v>0</x:v>
      </x:c>
      <x:c r="J83" s="42" t="n">
        <x:v>0.648</x:v>
      </x:c>
      <x:c r="K83" s="32" t="n">
        <x:v>30</x:v>
      </x:c>
      <x:c r="L83" s="38" t="n">
        <x:f>IF(I83&gt;0,I83,IF(H83="Coins",MAX($I$5,ROUND(VLOOKUP(G83,'XP &amp; Unlocks'!$A$5:$N$74,4,FALSE)*J83/5,0)*5),K83))</x:f>
        <x:v>30</x:v>
      </x:c>
      <x:c r="M83" s="28" t="n">
        <x:f>'Inputs'!$B$35</x:f>
        <x:v>0</x:v>
      </x:c>
      <x:c r="N83" s="28" t="n">
        <x:f>IF(Q83="Small",'Inputs'!$B$36,IF(Q83="Medium",'Inputs'!$B$37,IF(Q83="Large",'Inputs'!$B$38,'Inputs'!$B$39)))</x:f>
        <x:v>50</x:v>
      </x:c>
      <x:c r="O83" s="34" t="n">
        <x:v>3.6</x:v>
      </x:c>
      <x:c r="P83" s="34" t="n">
        <x:v>3.8</x:v>
      </x:c>
      <x:c r="Q83" s="28" t="str">
        <x:f>IF(MAX(O83,P83)&lt;=1.2,"Small",IF(MAX(O83,P83)&lt;=2,"Medium",IF(MAX(O83,P83)&lt;=3.2,"Large","XL")))</x:f>
        <x:v>XL</x:v>
      </x:c>
      <x:c r="R83" s="28" t="str">
        <x:v>Background</x:v>
      </x:c>
      <x:c r="S83" s="28" t="str">
        <x:v>None</x:v>
      </x:c>
      <x:c r="T83" s="28" t="str">
        <x:f>IF(E83="Limited Edition","Event-gated",IF(G83&lt;='Inputs'!$B$5,"Launch","Post-launch"))</x:f>
        <x:v>Post-launch</x:v>
      </x:c>
      <x:c r="U83" s="28" t="n">
        <x:v>23</x:v>
      </x:c>
      <x:c r="V83" s="28" t="str">
        <x:v>Flowering Plant</x:v>
      </x:c>
      <x:c r="W83" s="28" t="str">
        <x:f>IF(AND(L83&gt;0,M83=0,MAX(O83,P83)&lt;=4.5,MIN(O83,P83)&gt;0,OR(H83="Coins",H83="Pearls")),"MODEL OK","REVIEW")</x:f>
        <x:v>MODEL OK</x:v>
      </x:c>
      <x:c r="X83" s="28" t="str">
        <x:v>Decor Catalog!A83:T83</x:v>
      </x:c>
    </x:row>
    <x:row r="84" ht="48" customHeight="1">
      <x:c r="A84" s="28" t="str">
        <x:v>PP-16</x:v>
      </x:c>
      <x:c r="B84" s="28" t="str">
        <x:v>Aurora Worldroot</x:v>
      </x:c>
      <x:c r="C84" s="28" t="str">
        <x:v>Plant</x:v>
      </x:c>
      <x:c r="D84" s="28" t="str">
        <x:v>Prism Reef</x:v>
      </x:c>
      <x:c r="E84" s="28" t="str">
        <x:v>Premium</x:v>
      </x:c>
      <x:c r="F84" s="28" t="str">
        <x:v>Legendary</x:v>
      </x:c>
      <x:c r="G84" s="32" t="n">
        <x:v>70</x:v>
      </x:c>
      <x:c r="H84" s="28" t="str">
        <x:v>Pearls</x:v>
      </x:c>
      <x:c r="I84" s="32" t="n">
        <x:v>0</x:v>
      </x:c>
      <x:c r="J84" s="42" t="n">
        <x:v>0.648</x:v>
      </x:c>
      <x:c r="K84" s="32" t="n">
        <x:v>30</x:v>
      </x:c>
      <x:c r="L84" s="38" t="n">
        <x:f>IF(I84&gt;0,I84,IF(H84="Coins",MAX($I$5,ROUND(VLOOKUP(G84,'XP &amp; Unlocks'!$A$5:$N$74,4,FALSE)*J84/5,0)*5),K84))</x:f>
        <x:v>30</x:v>
      </x:c>
      <x:c r="M84" s="28" t="n">
        <x:f>'Inputs'!$B$35</x:f>
        <x:v>0</x:v>
      </x:c>
      <x:c r="N84" s="28" t="n">
        <x:f>IF(Q84="Small",'Inputs'!$B$36,IF(Q84="Medium",'Inputs'!$B$37,IF(Q84="Large",'Inputs'!$B$38,'Inputs'!$B$39)))</x:f>
        <x:v>50</x:v>
      </x:c>
      <x:c r="O84" s="34" t="n">
        <x:v>4</x:v>
      </x:c>
      <x:c r="P84" s="34" t="n">
        <x:v>4.2</x:v>
      </x:c>
      <x:c r="Q84" s="28" t="str">
        <x:f>IF(MAX(O84,P84)&lt;=1.2,"Small",IF(MAX(O84,P84)&lt;=2,"Medium",IF(MAX(O84,P84)&lt;=3.2,"Large","XL")))</x:f>
        <x:v>XL</x:v>
      </x:c>
      <x:c r="R84" s="28" t="str">
        <x:v>Background</x:v>
      </x:c>
      <x:c r="S84" s="28" t="str">
        <x:v>None</x:v>
      </x:c>
      <x:c r="T84" s="28" t="str">
        <x:f>IF(E84="Limited Edition","Event-gated",IF(G84&lt;='Inputs'!$B$5,"Launch","Post-launch"))</x:f>
        <x:v>Post-launch</x:v>
      </x:c>
      <x:c r="U84" s="28" t="n">
        <x:v>28</x:v>
      </x:c>
      <x:c r="V84" s="28" t="str">
        <x:v>Rooted Plant</x:v>
      </x:c>
      <x:c r="W84" s="28" t="str">
        <x:f>IF(AND(L84&gt;0,M84=0,MAX(O84,P84)&lt;=4.5,MIN(O84,P84)&gt;0,OR(H84="Coins",H84="Pearls")),"MODEL OK","REVIEW")</x:f>
        <x:v>MODEL OK</x:v>
      </x:c>
      <x:c r="X84" s="28" t="str">
        <x:v>Decor Catalog!A84:T84</x:v>
      </x:c>
    </x:row>
    <x:row r="85" ht="48" customHeight="1">
      <x:c r="A85" s="28" t="str">
        <x:v>PD-01</x:v>
      </x:c>
      <x:c r="B85" s="28" t="str">
        <x:v>Pearl Cradle Clam</x:v>
      </x:c>
      <x:c r="C85" s="28" t="str">
        <x:v>Decoration</x:v>
      </x:c>
      <x:c r="D85" s="28" t="str">
        <x:v>Tropical Lagoon</x:v>
      </x:c>
      <x:c r="E85" s="28" t="str">
        <x:v>Premium</x:v>
      </x:c>
      <x:c r="F85" s="28" t="str">
        <x:v>Rare</x:v>
      </x:c>
      <x:c r="G85" s="32" t="n">
        <x:v>4</x:v>
      </x:c>
      <x:c r="H85" s="28" t="str">
        <x:v>Pearls</x:v>
      </x:c>
      <x:c r="I85" s="32" t="n">
        <x:v>0</x:v>
      </x:c>
      <x:c r="J85" s="42" t="n">
        <x:v>0.15600000000000003</x:v>
      </x:c>
      <x:c r="K85" s="32" t="n">
        <x:v>12</x:v>
      </x:c>
      <x:c r="L85" s="38" t="n">
        <x:f>IF(I85&gt;0,I85,IF(H85="Coins",MAX($I$5,ROUND(VLOOKUP(G85,'XP &amp; Unlocks'!$A$5:$N$74,4,FALSE)*J85/5,0)*5),K85))</x:f>
        <x:v>12</x:v>
      </x:c>
      <x:c r="M85" s="28" t="n">
        <x:f>'Inputs'!$B$35</x:f>
        <x:v>0</x:v>
      </x:c>
      <x:c r="N85" s="28" t="n">
        <x:f>IF(Q85="Small",'Inputs'!$B$36,IF(Q85="Medium",'Inputs'!$B$37,IF(Q85="Large",'Inputs'!$B$38,'Inputs'!$B$39)))</x:f>
        <x:v>20</x:v>
      </x:c>
      <x:c r="O85" s="34" t="n">
        <x:v>1.6</x:v>
      </x:c>
      <x:c r="P85" s="34" t="n">
        <x:v>1.2</x:v>
      </x:c>
      <x:c r="Q85" s="28" t="str">
        <x:f>IF(MAX(O85,P85)&lt;=1.2,"Small",IF(MAX(O85,P85)&lt;=2,"Medium",IF(MAX(O85,P85)&lt;=3.2,"Large","XL")))</x:f>
        <x:v>Medium</x:v>
      </x:c>
      <x:c r="R85" s="28" t="str">
        <x:v>Foreground</x:v>
      </x:c>
      <x:c r="S85" s="28" t="str">
        <x:v>None</x:v>
      </x:c>
      <x:c r="T85" s="28" t="str">
        <x:f>IF(E85="Limited Edition","Event-gated",IF(G85&lt;='Inputs'!$B$5,"Launch","Post-launch"))</x:f>
        <x:v>Launch</x:v>
      </x:c>
      <x:c r="U85" s="28" t="n">
        <x:v>3</x:v>
      </x:c>
      <x:c r="V85" s="28" t="str">
        <x:v>Shell Ornament</x:v>
      </x:c>
      <x:c r="W85" s="28" t="str">
        <x:f>IF(AND(L85&gt;0,M85=0,MAX(O85,P85)&lt;=4.5,MIN(O85,P85)&gt;0,OR(H85="Coins",H85="Pearls")),"MODEL OK","REVIEW")</x:f>
        <x:v>MODEL OK</x:v>
      </x:c>
      <x:c r="X85" s="28" t="str">
        <x:v>Decor Catalog!A85:T85</x:v>
      </x:c>
    </x:row>
    <x:row r="86" ht="48" customHeight="1">
      <x:c r="A86" s="28" t="str">
        <x:v>PD-02</x:v>
      </x:c>
      <x:c r="B86" s="28" t="str">
        <x:v>Breathing Shell Lantern</x:v>
      </x:c>
      <x:c r="C86" s="28" t="str">
        <x:v>Decoration</x:v>
      </x:c>
      <x:c r="D86" s="28" t="str">
        <x:v>Moonlit Garden</x:v>
      </x:c>
      <x:c r="E86" s="28" t="str">
        <x:v>Premium</x:v>
      </x:c>
      <x:c r="F86" s="28" t="str">
        <x:v>Rare</x:v>
      </x:c>
      <x:c r="G86" s="32" t="n">
        <x:v>8</x:v>
      </x:c>
      <x:c r="H86" s="28" t="str">
        <x:v>Pearls</x:v>
      </x:c>
      <x:c r="I86" s="32" t="n">
        <x:v>0</x:v>
      </x:c>
      <x:c r="J86" s="42" t="n">
        <x:v>0.15600000000000003</x:v>
      </x:c>
      <x:c r="K86" s="32" t="n">
        <x:v>12</x:v>
      </x:c>
      <x:c r="L86" s="38" t="n">
        <x:f>IF(I86&gt;0,I86,IF(H86="Coins",MAX($I$5,ROUND(VLOOKUP(G86,'XP &amp; Unlocks'!$A$5:$N$74,4,FALSE)*J86/5,0)*5),K86))</x:f>
        <x:v>12</x:v>
      </x:c>
      <x:c r="M86" s="28" t="n">
        <x:f>'Inputs'!$B$35</x:f>
        <x:v>0</x:v>
      </x:c>
      <x:c r="N86" s="28" t="n">
        <x:f>IF(Q86="Small",'Inputs'!$B$36,IF(Q86="Medium",'Inputs'!$B$37,IF(Q86="Large",'Inputs'!$B$38,'Inputs'!$B$39)))</x:f>
        <x:v>20</x:v>
      </x:c>
      <x:c r="O86" s="34" t="n">
        <x:v>1.5</x:v>
      </x:c>
      <x:c r="P86" s="34" t="n">
        <x:v>1.8</x:v>
      </x:c>
      <x:c r="Q86" s="28" t="str">
        <x:f>IF(MAX(O86,P86)&lt;=1.2,"Small",IF(MAX(O86,P86)&lt;=2,"Medium",IF(MAX(O86,P86)&lt;=3.2,"Large","XL")))</x:f>
        <x:v>Medium</x:v>
      </x:c>
      <x:c r="R86" s="28" t="str">
        <x:v>Midground</x:v>
      </x:c>
      <x:c r="S86" s="28" t="str">
        <x:v>None</x:v>
      </x:c>
      <x:c r="T86" s="28" t="str">
        <x:f>IF(E86="Limited Edition","Event-gated",IF(G86&lt;='Inputs'!$B$5,"Launch","Post-launch"))</x:f>
        <x:v>Launch</x:v>
      </x:c>
      <x:c r="U86" s="28" t="n">
        <x:v>4</x:v>
      </x:c>
      <x:c r="V86" s="28" t="str">
        <x:v>Light Ornament</x:v>
      </x:c>
      <x:c r="W86" s="28" t="str">
        <x:f>IF(AND(L86&gt;0,M86=0,MAX(O86,P86)&lt;=4.5,MIN(O86,P86)&gt;0,OR(H86="Coins",H86="Pearls")),"MODEL OK","REVIEW")</x:f>
        <x:v>MODEL OK</x:v>
      </x:c>
      <x:c r="X86" s="28" t="str">
        <x:v>Decor Catalog!A86:T86</x:v>
      </x:c>
    </x:row>
    <x:row r="87" ht="48" customHeight="1">
      <x:c r="A87" s="28" t="str">
        <x:v>PD-03</x:v>
      </x:c>
      <x:c r="B87" s="28" t="str">
        <x:v>Bubble Chimney Rock</x:v>
      </x:c>
      <x:c r="C87" s="28" t="str">
        <x:v>Decoration</x:v>
      </x:c>
      <x:c r="D87" s="28" t="str">
        <x:v>Deep Sea</x:v>
      </x:c>
      <x:c r="E87" s="28" t="str">
        <x:v>Premium</x:v>
      </x:c>
      <x:c r="F87" s="28" t="str">
        <x:v>Rare</x:v>
      </x:c>
      <x:c r="G87" s="32" t="n">
        <x:v>12</x:v>
      </x:c>
      <x:c r="H87" s="28" t="str">
        <x:v>Pearls</x:v>
      </x:c>
      <x:c r="I87" s="32" t="n">
        <x:v>0</x:v>
      </x:c>
      <x:c r="J87" s="42" t="n">
        <x:v>0.2925</x:v>
      </x:c>
      <x:c r="K87" s="32" t="n">
        <x:v>18</x:v>
      </x:c>
      <x:c r="L87" s="38" t="n">
        <x:f>IF(I87&gt;0,I87,IF(H87="Coins",MAX($I$5,ROUND(VLOOKUP(G87,'XP &amp; Unlocks'!$A$5:$N$74,4,FALSE)*J87/5,0)*5),K87))</x:f>
        <x:v>18</x:v>
      </x:c>
      <x:c r="M87" s="28" t="n">
        <x:f>'Inputs'!$B$35</x:f>
        <x:v>0</x:v>
      </x:c>
      <x:c r="N87" s="28" t="n">
        <x:f>IF(Q87="Small",'Inputs'!$B$36,IF(Q87="Medium",'Inputs'!$B$37,IF(Q87="Large",'Inputs'!$B$38,'Inputs'!$B$39)))</x:f>
        <x:v>35</x:v>
      </x:c>
      <x:c r="O87" s="34" t="n">
        <x:v>1.7</x:v>
      </x:c>
      <x:c r="P87" s="34" t="n">
        <x:v>2.1</x:v>
      </x:c>
      <x:c r="Q87" s="28" t="str">
        <x:f>IF(MAX(O87,P87)&lt;=1.2,"Small",IF(MAX(O87,P87)&lt;=2,"Medium",IF(MAX(O87,P87)&lt;=3.2,"Large","XL")))</x:f>
        <x:v>Large</x:v>
      </x:c>
      <x:c r="R87" s="28" t="str">
        <x:v>Midground</x:v>
      </x:c>
      <x:c r="S87" s="28" t="str">
        <x:v>None</x:v>
      </x:c>
      <x:c r="T87" s="28" t="str">
        <x:f>IF(E87="Limited Edition","Event-gated",IF(G87&lt;='Inputs'!$B$5,"Launch","Post-launch"))</x:f>
        <x:v>Launch</x:v>
      </x:c>
      <x:c r="U87" s="28" t="n">
        <x:v>5</x:v>
      </x:c>
      <x:c r="V87" s="28" t="str">
        <x:v>Rock</x:v>
      </x:c>
      <x:c r="W87" s="28" t="str">
        <x:f>IF(AND(L87&gt;0,M87=0,MAX(O87,P87)&lt;=4.5,MIN(O87,P87)&gt;0,OR(H87="Coins",H87="Pearls")),"MODEL OK","REVIEW")</x:f>
        <x:v>MODEL OK</x:v>
      </x:c>
      <x:c r="X87" s="28" t="str">
        <x:v>Decor Catalog!A87:T87</x:v>
      </x:c>
    </x:row>
    <x:row r="88" ht="48" customHeight="1">
      <x:c r="A88" s="28" t="str">
        <x:v>PD-04</x:v>
      </x:c>
      <x:c r="B88" s="28" t="str">
        <x:v>Clockwork Crab Ornament</x:v>
      </x:c>
      <x:c r="C88" s="28" t="str">
        <x:v>Decoration</x:v>
      </x:c>
      <x:c r="D88" s="28" t="str">
        <x:v>Fantasy</x:v>
      </x:c>
      <x:c r="E88" s="28" t="str">
        <x:v>Premium</x:v>
      </x:c>
      <x:c r="F88" s="28" t="str">
        <x:v>Rare</x:v>
      </x:c>
      <x:c r="G88" s="32" t="n">
        <x:v>15</x:v>
      </x:c>
      <x:c r="H88" s="28" t="str">
        <x:v>Pearls</x:v>
      </x:c>
      <x:c r="I88" s="32" t="n">
        <x:v>0</x:v>
      </x:c>
      <x:c r="J88" s="42" t="n">
        <x:v>0.15600000000000003</x:v>
      </x:c>
      <x:c r="K88" s="32" t="n">
        <x:v>12</x:v>
      </x:c>
      <x:c r="L88" s="38" t="n">
        <x:f>IF(I88&gt;0,I88,IF(H88="Coins",MAX($I$5,ROUND(VLOOKUP(G88,'XP &amp; Unlocks'!$A$5:$N$74,4,FALSE)*J88/5,0)*5),K88))</x:f>
        <x:v>12</x:v>
      </x:c>
      <x:c r="M88" s="28" t="n">
        <x:f>'Inputs'!$B$35</x:f>
        <x:v>0</x:v>
      </x:c>
      <x:c r="N88" s="28" t="n">
        <x:f>IF(Q88="Small",'Inputs'!$B$36,IF(Q88="Medium",'Inputs'!$B$37,IF(Q88="Large",'Inputs'!$B$38,'Inputs'!$B$39)))</x:f>
        <x:v>20</x:v>
      </x:c>
      <x:c r="O88" s="34" t="n">
        <x:v>1.9</x:v>
      </x:c>
      <x:c r="P88" s="34" t="n">
        <x:v>1.5</x:v>
      </x:c>
      <x:c r="Q88" s="28" t="str">
        <x:f>IF(MAX(O88,P88)&lt;=1.2,"Small",IF(MAX(O88,P88)&lt;=2,"Medium",IF(MAX(O88,P88)&lt;=3.2,"Large","XL")))</x:f>
        <x:v>Medium</x:v>
      </x:c>
      <x:c r="R88" s="28" t="str">
        <x:v>Foreground</x:v>
      </x:c>
      <x:c r="S88" s="28" t="str">
        <x:v>None</x:v>
      </x:c>
      <x:c r="T88" s="28" t="str">
        <x:f>IF(E88="Limited Edition","Event-gated",IF(G88&lt;='Inputs'!$B$5,"Launch","Post-launch"))</x:f>
        <x:v>Launch</x:v>
      </x:c>
      <x:c r="U88" s="28" t="n">
        <x:v>6</x:v>
      </x:c>
      <x:c r="V88" s="28" t="str">
        <x:v>Mechanical Toy</x:v>
      </x:c>
      <x:c r="W88" s="28" t="str">
        <x:f>IF(AND(L88&gt;0,M88=0,MAX(O88,P88)&lt;=4.5,MIN(O88,P88)&gt;0,OR(H88="Coins",H88="Pearls")),"MODEL OK","REVIEW")</x:f>
        <x:v>MODEL OK</x:v>
      </x:c>
      <x:c r="X88" s="28" t="str">
        <x:v>Decor Catalog!A88:T88</x:v>
      </x:c>
    </x:row>
    <x:row r="89" ht="48" customHeight="1">
      <x:c r="A89" s="28" t="str">
        <x:v>PD-05</x:v>
      </x:c>
      <x:c r="B89" s="28" t="str">
        <x:v>Crystal Chime Arch</x:v>
      </x:c>
      <x:c r="C89" s="28" t="str">
        <x:v>Decoration</x:v>
      </x:c>
      <x:c r="D89" s="28" t="str">
        <x:v>Crystal Grotto</x:v>
      </x:c>
      <x:c r="E89" s="28" t="str">
        <x:v>Premium</x:v>
      </x:c>
      <x:c r="F89" s="28" t="str">
        <x:v>Rare</x:v>
      </x:c>
      <x:c r="G89" s="32" t="n">
        <x:v>18</x:v>
      </x:c>
      <x:c r="H89" s="28" t="str">
        <x:v>Pearls</x:v>
      </x:c>
      <x:c r="I89" s="32" t="n">
        <x:v>0</x:v>
      </x:c>
      <x:c r="J89" s="42" t="n">
        <x:v>0.2925</x:v>
      </x:c>
      <x:c r="K89" s="32" t="n">
        <x:v>18</x:v>
      </x:c>
      <x:c r="L89" s="38" t="n">
        <x:f>IF(I89&gt;0,I89,IF(H89="Coins",MAX($I$5,ROUND(VLOOKUP(G89,'XP &amp; Unlocks'!$A$5:$N$74,4,FALSE)*J89/5,0)*5),K89))</x:f>
        <x:v>18</x:v>
      </x:c>
      <x:c r="M89" s="28" t="n">
        <x:f>'Inputs'!$B$35</x:f>
        <x:v>0</x:v>
      </x:c>
      <x:c r="N89" s="28" t="n">
        <x:f>IF(Q89="Small",'Inputs'!$B$36,IF(Q89="Medium",'Inputs'!$B$37,IF(Q89="Large",'Inputs'!$B$38,'Inputs'!$B$39)))</x:f>
        <x:v>35</x:v>
      </x:c>
      <x:c r="O89" s="34" t="n">
        <x:v>2.3</x:v>
      </x:c>
      <x:c r="P89" s="34" t="n">
        <x:v>2.6</x:v>
      </x:c>
      <x:c r="Q89" s="28" t="str">
        <x:f>IF(MAX(O89,P89)&lt;=1.2,"Small",IF(MAX(O89,P89)&lt;=2,"Medium",IF(MAX(O89,P89)&lt;=3.2,"Large","XL")))</x:f>
        <x:v>Large</x:v>
      </x:c>
      <x:c r="R89" s="28" t="str">
        <x:v>Midground</x:v>
      </x:c>
      <x:c r="S89" s="28" t="str">
        <x:v>None</x:v>
      </x:c>
      <x:c r="T89" s="28" t="str">
        <x:f>IF(E89="Limited Edition","Event-gated",IF(G89&lt;='Inputs'!$B$5,"Launch","Post-launch"))</x:f>
        <x:v>Launch</x:v>
      </x:c>
      <x:c r="U89" s="28" t="n">
        <x:v>7</x:v>
      </x:c>
      <x:c r="V89" s="28" t="str">
        <x:v>Crystal</x:v>
      </x:c>
      <x:c r="W89" s="28" t="str">
        <x:f>IF(AND(L89&gt;0,M89=0,MAX(O89,P89)&lt;=4.5,MIN(O89,P89)&gt;0,OR(H89="Coins",H89="Pearls")),"MODEL OK","REVIEW")</x:f>
        <x:v>MODEL OK</x:v>
      </x:c>
      <x:c r="X89" s="28" t="str">
        <x:v>Decor Catalog!A89:T89</x:v>
      </x:c>
    </x:row>
    <x:row r="90" ht="48" customHeight="1">
      <x:c r="A90" s="28" t="str">
        <x:v>PD-06</x:v>
      </x:c>
      <x:c r="B90" s="28" t="str">
        <x:v>Kelp-sail Boat</x:v>
      </x:c>
      <x:c r="C90" s="28" t="str">
        <x:v>Decoration</x:v>
      </x:c>
      <x:c r="D90" s="28" t="str">
        <x:v>Shipwreck</x:v>
      </x:c>
      <x:c r="E90" s="28" t="str">
        <x:v>Premium</x:v>
      </x:c>
      <x:c r="F90" s="28" t="str">
        <x:v>Rare</x:v>
      </x:c>
      <x:c r="G90" s="32" t="n">
        <x:v>22</x:v>
      </x:c>
      <x:c r="H90" s="28" t="str">
        <x:v>Pearls</x:v>
      </x:c>
      <x:c r="I90" s="32" t="n">
        <x:v>0</x:v>
      </x:c>
      <x:c r="J90" s="42" t="n">
        <x:v>0.2925</x:v>
      </x:c>
      <x:c r="K90" s="32" t="n">
        <x:v>18</x:v>
      </x:c>
      <x:c r="L90" s="38" t="n">
        <x:f>IF(I90&gt;0,I90,IF(H90="Coins",MAX($I$5,ROUND(VLOOKUP(G90,'XP &amp; Unlocks'!$A$5:$N$74,4,FALSE)*J90/5,0)*5),K90))</x:f>
        <x:v>18</x:v>
      </x:c>
      <x:c r="M90" s="28" t="n">
        <x:f>'Inputs'!$B$35</x:f>
        <x:v>0</x:v>
      </x:c>
      <x:c r="N90" s="28" t="n">
        <x:f>IF(Q90="Small",'Inputs'!$B$36,IF(Q90="Medium",'Inputs'!$B$37,IF(Q90="Large",'Inputs'!$B$38,'Inputs'!$B$39)))</x:f>
        <x:v>35</x:v>
      </x:c>
      <x:c r="O90" s="34" t="n">
        <x:v>2.5</x:v>
      </x:c>
      <x:c r="P90" s="34" t="n">
        <x:v>2.1</x:v>
      </x:c>
      <x:c r="Q90" s="28" t="str">
        <x:f>IF(MAX(O90,P90)&lt;=1.2,"Small",IF(MAX(O90,P90)&lt;=2,"Medium",IF(MAX(O90,P90)&lt;=3.2,"Large","XL")))</x:f>
        <x:v>Large</x:v>
      </x:c>
      <x:c r="R90" s="28" t="str">
        <x:v>Midground</x:v>
      </x:c>
      <x:c r="S90" s="28" t="str">
        <x:v>None</x:v>
      </x:c>
      <x:c r="T90" s="28" t="str">
        <x:f>IF(E90="Limited Edition","Event-gated",IF(G90&lt;='Inputs'!$B$5,"Launch","Post-launch"))</x:f>
        <x:v>Launch</x:v>
      </x:c>
      <x:c r="U90" s="28" t="n">
        <x:v>8</x:v>
      </x:c>
      <x:c r="V90" s="28" t="str">
        <x:v>Nautical Relic</x:v>
      </x:c>
      <x:c r="W90" s="28" t="str">
        <x:f>IF(AND(L90&gt;0,M90=0,MAX(O90,P90)&lt;=4.5,MIN(O90,P90)&gt;0,OR(H90="Coins",H90="Pearls")),"MODEL OK","REVIEW")</x:f>
        <x:v>MODEL OK</x:v>
      </x:c>
      <x:c r="X90" s="28" t="str">
        <x:v>Decor Catalog!A90:T90</x:v>
      </x:c>
    </x:row>
    <x:row r="91" ht="48" customHeight="1">
      <x:c r="A91" s="28" t="str">
        <x:v>PD-07</x:v>
      </x:c>
      <x:c r="B91" s="28" t="str">
        <x:v>Seahorse Carousel</x:v>
      </x:c>
      <x:c r="C91" s="28" t="str">
        <x:v>Decoration</x:v>
      </x:c>
      <x:c r="D91" s="28" t="str">
        <x:v>Fantasy</x:v>
      </x:c>
      <x:c r="E91" s="28" t="str">
        <x:v>Premium</x:v>
      </x:c>
      <x:c r="F91" s="28" t="str">
        <x:v>Epic</x:v>
      </x:c>
      <x:c r="G91" s="32" t="n">
        <x:v>26</x:v>
      </x:c>
      <x:c r="H91" s="28" t="str">
        <x:v>Pearls</x:v>
      </x:c>
      <x:c r="I91" s="32" t="n">
        <x:v>0</x:v>
      </x:c>
      <x:c r="J91" s="42" t="n">
        <x:v>0.33749999999999997</x:v>
      </x:c>
      <x:c r="K91" s="32" t="n">
        <x:v>20</x:v>
      </x:c>
      <x:c r="L91" s="38" t="n">
        <x:f>IF(I91&gt;0,I91,IF(H91="Coins",MAX($I$5,ROUND(VLOOKUP(G91,'XP &amp; Unlocks'!$A$5:$N$74,4,FALSE)*J91/5,0)*5),K91))</x:f>
        <x:v>20</x:v>
      </x:c>
      <x:c r="M91" s="28" t="n">
        <x:f>'Inputs'!$B$35</x:f>
        <x:v>0</x:v>
      </x:c>
      <x:c r="N91" s="28" t="n">
        <x:f>IF(Q91="Small",'Inputs'!$B$36,IF(Q91="Medium",'Inputs'!$B$37,IF(Q91="Large",'Inputs'!$B$38,'Inputs'!$B$39)))</x:f>
        <x:v>35</x:v>
      </x:c>
      <x:c r="O91" s="34" t="n">
        <x:v>2.5</x:v>
      </x:c>
      <x:c r="P91" s="34" t="n">
        <x:v>2.8</x:v>
      </x:c>
      <x:c r="Q91" s="28" t="str">
        <x:f>IF(MAX(O91,P91)&lt;=1.2,"Small",IF(MAX(O91,P91)&lt;=2,"Medium",IF(MAX(O91,P91)&lt;=3.2,"Large","XL")))</x:f>
        <x:v>Large</x:v>
      </x:c>
      <x:c r="R91" s="28" t="str">
        <x:v>Midground</x:v>
      </x:c>
      <x:c r="S91" s="28" t="str">
        <x:v>None</x:v>
      </x:c>
      <x:c r="T91" s="28" t="str">
        <x:f>IF(E91="Limited Edition","Event-gated",IF(G91&lt;='Inputs'!$B$5,"Launch","Post-launch"))</x:f>
        <x:v>Launch</x:v>
      </x:c>
      <x:c r="U91" s="28" t="n">
        <x:v>9</x:v>
      </x:c>
      <x:c r="V91" s="28" t="str">
        <x:v>Mechanical Toy</x:v>
      </x:c>
      <x:c r="W91" s="28" t="str">
        <x:f>IF(AND(L91&gt;0,M91=0,MAX(O91,P91)&lt;=4.5,MIN(O91,P91)&gt;0,OR(H91="Coins",H91="Pearls")),"MODEL OK","REVIEW")</x:f>
        <x:v>MODEL OK</x:v>
      </x:c>
      <x:c r="X91" s="28" t="str">
        <x:v>Decor Catalog!A91:T91</x:v>
      </x:c>
    </x:row>
    <x:row r="92" ht="48" customHeight="1">
      <x:c r="A92" s="28" t="str">
        <x:v>PD-08</x:v>
      </x:c>
      <x:c r="B92" s="28" t="str">
        <x:v>Sleeping Volcano</x:v>
      </x:c>
      <x:c r="C92" s="28" t="str">
        <x:v>Decoration</x:v>
      </x:c>
      <x:c r="D92" s="28" t="str">
        <x:v>Deep Sea</x:v>
      </x:c>
      <x:c r="E92" s="28" t="str">
        <x:v>Premium</x:v>
      </x:c>
      <x:c r="F92" s="28" t="str">
        <x:v>Epic</x:v>
      </x:c>
      <x:c r="G92" s="32" t="n">
        <x:v>30</x:v>
      </x:c>
      <x:c r="H92" s="28" t="str">
        <x:v>Pearls</x:v>
      </x:c>
      <x:c r="I92" s="32" t="n">
        <x:v>0</x:v>
      </x:c>
      <x:c r="J92" s="42" t="n">
        <x:v>0.33749999999999997</x:v>
      </x:c>
      <x:c r="K92" s="32" t="n">
        <x:v>20</x:v>
      </x:c>
      <x:c r="L92" s="38" t="n">
        <x:f>IF(I92&gt;0,I92,IF(H92="Coins",MAX($I$5,ROUND(VLOOKUP(G92,'XP &amp; Unlocks'!$A$5:$N$74,4,FALSE)*J92/5,0)*5),K92))</x:f>
        <x:v>20</x:v>
      </x:c>
      <x:c r="M92" s="28" t="n">
        <x:f>'Inputs'!$B$35</x:f>
        <x:v>0</x:v>
      </x:c>
      <x:c r="N92" s="28" t="n">
        <x:f>IF(Q92="Small",'Inputs'!$B$36,IF(Q92="Medium",'Inputs'!$B$37,IF(Q92="Large",'Inputs'!$B$38,'Inputs'!$B$39)))</x:f>
        <x:v>35</x:v>
      </x:c>
      <x:c r="O92" s="34" t="n">
        <x:v>2.5</x:v>
      </x:c>
      <x:c r="P92" s="34" t="n">
        <x:v>2.3</x:v>
      </x:c>
      <x:c r="Q92" s="28" t="str">
        <x:f>IF(MAX(O92,P92)&lt;=1.2,"Small",IF(MAX(O92,P92)&lt;=2,"Medium",IF(MAX(O92,P92)&lt;=3.2,"Large","XL")))</x:f>
        <x:v>Large</x:v>
      </x:c>
      <x:c r="R92" s="28" t="str">
        <x:v>Midground</x:v>
      </x:c>
      <x:c r="S92" s="28" t="str">
        <x:v>None</x:v>
      </x:c>
      <x:c r="T92" s="28" t="str">
        <x:f>IF(E92="Limited Edition","Event-gated",IF(G92&lt;='Inputs'!$B$5,"Launch","Post-launch"))</x:f>
        <x:v>Launch</x:v>
      </x:c>
      <x:c r="U92" s="28" t="n">
        <x:v>10</x:v>
      </x:c>
      <x:c r="V92" s="28" t="str">
        <x:v>Rock</x:v>
      </x:c>
      <x:c r="W92" s="28" t="str">
        <x:f>IF(AND(L92&gt;0,M92=0,MAX(O92,P92)&lt;=4.5,MIN(O92,P92)&gt;0,OR(H92="Coins",H92="Pearls")),"MODEL OK","REVIEW")</x:f>
        <x:v>MODEL OK</x:v>
      </x:c>
      <x:c r="X92" s="28" t="str">
        <x:v>Decor Catalog!A92:T92</x:v>
      </x:c>
    </x:row>
    <x:row r="93" ht="48" customHeight="1">
      <x:c r="A93" s="28" t="str">
        <x:v>PD-09</x:v>
      </x:c>
      <x:c r="B93" s="28" t="str">
        <x:v>Moonstone Grotto</x:v>
      </x:c>
      <x:c r="C93" s="28" t="str">
        <x:v>Decoration</x:v>
      </x:c>
      <x:c r="D93" s="28" t="str">
        <x:v>Moonlit Garden</x:v>
      </x:c>
      <x:c r="E93" s="28" t="str">
        <x:v>Premium</x:v>
      </x:c>
      <x:c r="F93" s="28" t="str">
        <x:v>Epic</x:v>
      </x:c>
      <x:c r="G93" s="32" t="n">
        <x:v>34</x:v>
      </x:c>
      <x:c r="H93" s="28" t="str">
        <x:v>Pearls</x:v>
      </x:c>
      <x:c r="I93" s="32" t="n">
        <x:v>0</x:v>
      </x:c>
      <x:c r="J93" s="42" t="n">
        <x:v>0.33749999999999997</x:v>
      </x:c>
      <x:c r="K93" s="32" t="n">
        <x:v>20</x:v>
      </x:c>
      <x:c r="L93" s="38" t="n">
        <x:f>IF(I93&gt;0,I93,IF(H93="Coins",MAX($I$5,ROUND(VLOOKUP(G93,'XP &amp; Unlocks'!$A$5:$N$74,4,FALSE)*J93/5,0)*5),K93))</x:f>
        <x:v>20</x:v>
      </x:c>
      <x:c r="M93" s="28" t="n">
        <x:f>'Inputs'!$B$35</x:f>
        <x:v>0</x:v>
      </x:c>
      <x:c r="N93" s="28" t="n">
        <x:f>IF(Q93="Small",'Inputs'!$B$36,IF(Q93="Medium",'Inputs'!$B$37,IF(Q93="Large",'Inputs'!$B$38,'Inputs'!$B$39)))</x:f>
        <x:v>35</x:v>
      </x:c>
      <x:c r="O93" s="34" t="n">
        <x:v>2.8</x:v>
      </x:c>
      <x:c r="P93" s="34" t="n">
        <x:v>2.8</x:v>
      </x:c>
      <x:c r="Q93" s="28" t="str">
        <x:f>IF(MAX(O93,P93)&lt;=1.2,"Small",IF(MAX(O93,P93)&lt;=2,"Medium",IF(MAX(O93,P93)&lt;=3.2,"Large","XL")))</x:f>
        <x:v>Large</x:v>
      </x:c>
      <x:c r="R93" s="28" t="str">
        <x:v>Midground</x:v>
      </x:c>
      <x:c r="S93" s="28" t="str">
        <x:v>None</x:v>
      </x:c>
      <x:c r="T93" s="28" t="str">
        <x:f>IF(E93="Limited Edition","Event-gated",IF(G93&lt;='Inputs'!$B$5,"Launch","Post-launch"))</x:f>
        <x:v>Launch</x:v>
      </x:c>
      <x:c r="U93" s="28" t="n">
        <x:v>12</x:v>
      </x:c>
      <x:c r="V93" s="28" t="str">
        <x:v>Rock</x:v>
      </x:c>
      <x:c r="W93" s="28" t="str">
        <x:f>IF(AND(L93&gt;0,M93=0,MAX(O93,P93)&lt;=4.5,MIN(O93,P93)&gt;0,OR(H93="Coins",H93="Pearls")),"MODEL OK","REVIEW")</x:f>
        <x:v>MODEL OK</x:v>
      </x:c>
      <x:c r="X93" s="28" t="str">
        <x:v>Decor Catalog!A93:T93</x:v>
      </x:c>
    </x:row>
    <x:row r="94" ht="48" customHeight="1">
      <x:c r="A94" s="28" t="str">
        <x:v>PD-10</x:v>
      </x:c>
      <x:c r="B94" s="28" t="str">
        <x:v>Sunken Music Box</x:v>
      </x:c>
      <x:c r="C94" s="28" t="str">
        <x:v>Decoration</x:v>
      </x:c>
      <x:c r="D94" s="28" t="str">
        <x:v>Fantasy</x:v>
      </x:c>
      <x:c r="E94" s="28" t="str">
        <x:v>Premium</x:v>
      </x:c>
      <x:c r="F94" s="28" t="str">
        <x:v>Epic</x:v>
      </x:c>
      <x:c r="G94" s="32" t="n">
        <x:v>38</x:v>
      </x:c>
      <x:c r="H94" s="28" t="str">
        <x:v>Pearls</x:v>
      </x:c>
      <x:c r="I94" s="32" t="n">
        <x:v>0</x:v>
      </x:c>
      <x:c r="J94" s="42" t="n">
        <x:v>0.33749999999999997</x:v>
      </x:c>
      <x:c r="K94" s="32" t="n">
        <x:v>20</x:v>
      </x:c>
      <x:c r="L94" s="38" t="n">
        <x:f>IF(I94&gt;0,I94,IF(H94="Coins",MAX($I$5,ROUND(VLOOKUP(G94,'XP &amp; Unlocks'!$A$5:$N$74,4,FALSE)*J94/5,0)*5),K94))</x:f>
        <x:v>20</x:v>
      </x:c>
      <x:c r="M94" s="28" t="n">
        <x:f>'Inputs'!$B$35</x:f>
        <x:v>0</x:v>
      </x:c>
      <x:c r="N94" s="28" t="n">
        <x:f>IF(Q94="Small",'Inputs'!$B$36,IF(Q94="Medium",'Inputs'!$B$37,IF(Q94="Large",'Inputs'!$B$38,'Inputs'!$B$39)))</x:f>
        <x:v>35</x:v>
      </x:c>
      <x:c r="O94" s="34" t="n">
        <x:v>2.7</x:v>
      </x:c>
      <x:c r="P94" s="34" t="n">
        <x:v>2.3</x:v>
      </x:c>
      <x:c r="Q94" s="28" t="str">
        <x:f>IF(MAX(O94,P94)&lt;=1.2,"Small",IF(MAX(O94,P94)&lt;=2,"Medium",IF(MAX(O94,P94)&lt;=3.2,"Large","XL")))</x:f>
        <x:v>Large</x:v>
      </x:c>
      <x:c r="R94" s="28" t="str">
        <x:v>Midground</x:v>
      </x:c>
      <x:c r="S94" s="28" t="str">
        <x:v>None</x:v>
      </x:c>
      <x:c r="T94" s="28" t="str">
        <x:f>IF(E94="Limited Edition","Event-gated",IF(G94&lt;='Inputs'!$B$5,"Launch","Post-launch"))</x:f>
        <x:v>Launch</x:v>
      </x:c>
      <x:c r="U94" s="28" t="n">
        <x:v>14</x:v>
      </x:c>
      <x:c r="V94" s="28" t="str">
        <x:v>Whimsical Object</x:v>
      </x:c>
      <x:c r="W94" s="28" t="str">
        <x:f>IF(AND(L94&gt;0,M94=0,MAX(O94,P94)&lt;=4.5,MIN(O94,P94)&gt;0,OR(H94="Coins",H94="Pearls")),"MODEL OK","REVIEW")</x:f>
        <x:v>MODEL OK</x:v>
      </x:c>
      <x:c r="X94" s="28" t="str">
        <x:v>Decor Catalog!A94:T94</x:v>
      </x:c>
    </x:row>
    <x:row r="95" ht="48" customHeight="1">
      <x:c r="A95" s="28" t="str">
        <x:v>PD-11</x:v>
      </x:c>
      <x:c r="B95" s="28" t="str">
        <x:v>Jelly Lantern Pavilion</x:v>
      </x:c>
      <x:c r="C95" s="28" t="str">
        <x:v>Decoration</x:v>
      </x:c>
      <x:c r="D95" s="28" t="str">
        <x:v>Moonlit Garden</x:v>
      </x:c>
      <x:c r="E95" s="28" t="str">
        <x:v>Premium</x:v>
      </x:c>
      <x:c r="F95" s="28" t="str">
        <x:v>Epic</x:v>
      </x:c>
      <x:c r="G95" s="32" t="n">
        <x:v>40</x:v>
      </x:c>
      <x:c r="H95" s="28" t="str">
        <x:v>Pearls</x:v>
      </x:c>
      <x:c r="I95" s="32" t="n">
        <x:v>0</x:v>
      </x:c>
      <x:c r="J95" s="42" t="n">
        <x:v>0.33749999999999997</x:v>
      </x:c>
      <x:c r="K95" s="32" t="n">
        <x:v>20</x:v>
      </x:c>
      <x:c r="L95" s="38" t="n">
        <x:f>IF(I95&gt;0,I95,IF(H95="Coins",MAX($I$5,ROUND(VLOOKUP(G95,'XP &amp; Unlocks'!$A$5:$N$74,4,FALSE)*J95/5,0)*5),K95))</x:f>
        <x:v>20</x:v>
      </x:c>
      <x:c r="M95" s="28" t="n">
        <x:f>'Inputs'!$B$35</x:f>
        <x:v>0</x:v>
      </x:c>
      <x:c r="N95" s="28" t="n">
        <x:f>IF(Q95="Small",'Inputs'!$B$36,IF(Q95="Medium",'Inputs'!$B$37,IF(Q95="Large",'Inputs'!$B$38,'Inputs'!$B$39)))</x:f>
        <x:v>35</x:v>
      </x:c>
      <x:c r="O95" s="34" t="n">
        <x:v>3</x:v>
      </x:c>
      <x:c r="P95" s="34" t="n">
        <x:v>3</x:v>
      </x:c>
      <x:c r="Q95" s="28" t="str">
        <x:f>IF(MAX(O95,P95)&lt;=1.2,"Small",IF(MAX(O95,P95)&lt;=2,"Medium",IF(MAX(O95,P95)&lt;=3.2,"Large","XL")))</x:f>
        <x:v>Large</x:v>
      </x:c>
      <x:c r="R95" s="28" t="str">
        <x:v>Background</x:v>
      </x:c>
      <x:c r="S95" s="28" t="str">
        <x:v>None</x:v>
      </x:c>
      <x:c r="T95" s="28" t="str">
        <x:f>IF(E95="Limited Edition","Event-gated",IF(G95&lt;='Inputs'!$B$5,"Launch","Post-launch"))</x:f>
        <x:v>Launch</x:v>
      </x:c>
      <x:c r="U95" s="28" t="n">
        <x:v>16</x:v>
      </x:c>
      <x:c r="V95" s="28" t="str">
        <x:v>Fantasy Architecture</x:v>
      </x:c>
      <x:c r="W95" s="28" t="str">
        <x:f>IF(AND(L95&gt;0,M95=0,MAX(O95,P95)&lt;=4.5,MIN(O95,P95)&gt;0,OR(H95="Coins",H95="Pearls")),"MODEL OK","REVIEW")</x:f>
        <x:v>MODEL OK</x:v>
      </x:c>
      <x:c r="X95" s="28" t="str">
        <x:v>Decor Catalog!A95:T95</x:v>
      </x:c>
    </x:row>
    <x:row r="96" ht="48" customHeight="1">
      <x:c r="A96" s="28" t="str">
        <x:v>PD-12</x:v>
      </x:c>
      <x:c r="B96" s="28" t="str">
        <x:v>Tideglass Hourglass</x:v>
      </x:c>
      <x:c r="C96" s="28" t="str">
        <x:v>Decoration</x:v>
      </x:c>
      <x:c r="D96" s="28" t="str">
        <x:v>Crystal Grotto</x:v>
      </x:c>
      <x:c r="E96" s="28" t="str">
        <x:v>Premium</x:v>
      </x:c>
      <x:c r="F96" s="28" t="str">
        <x:v>Epic</x:v>
      </x:c>
      <x:c r="G96" s="32" t="n">
        <x:v>43</x:v>
      </x:c>
      <x:c r="H96" s="28" t="str">
        <x:v>Pearls</x:v>
      </x:c>
      <x:c r="I96" s="32" t="n">
        <x:v>0</x:v>
      </x:c>
      <x:c r="J96" s="42" t="n">
        <x:v>0.54</x:v>
      </x:c>
      <x:c r="K96" s="32" t="n">
        <x:v>28</x:v>
      </x:c>
      <x:c r="L96" s="38" t="n">
        <x:f>IF(I96&gt;0,I96,IF(H96="Coins",MAX($I$5,ROUND(VLOOKUP(G96,'XP &amp; Unlocks'!$A$5:$N$74,4,FALSE)*J96/5,0)*5),K96))</x:f>
        <x:v>28</x:v>
      </x:c>
      <x:c r="M96" s="28" t="n">
        <x:f>'Inputs'!$B$35</x:f>
        <x:v>0</x:v>
      </x:c>
      <x:c r="N96" s="28" t="n">
        <x:f>IF(Q96="Small",'Inputs'!$B$36,IF(Q96="Medium",'Inputs'!$B$37,IF(Q96="Large",'Inputs'!$B$38,'Inputs'!$B$39)))</x:f>
        <x:v>50</x:v>
      </x:c>
      <x:c r="O96" s="34" t="n">
        <x:v>2.3</x:v>
      </x:c>
      <x:c r="P96" s="34" t="n">
        <x:v>3.4</x:v>
      </x:c>
      <x:c r="Q96" s="28" t="str">
        <x:f>IF(MAX(O96,P96)&lt;=1.2,"Small",IF(MAX(O96,P96)&lt;=2,"Medium",IF(MAX(O96,P96)&lt;=3.2,"Large","XL")))</x:f>
        <x:v>XL</x:v>
      </x:c>
      <x:c r="R96" s="28" t="str">
        <x:v>Background</x:v>
      </x:c>
      <x:c r="S96" s="28" t="str">
        <x:v>None</x:v>
      </x:c>
      <x:c r="T96" s="28" t="str">
        <x:f>IF(E96="Limited Edition","Event-gated",IF(G96&lt;='Inputs'!$B$5,"Launch","Post-launch"))</x:f>
        <x:v>Post-launch</x:v>
      </x:c>
      <x:c r="U96" s="28" t="n">
        <x:v>18</x:v>
      </x:c>
      <x:c r="V96" s="28" t="str">
        <x:v>Whimsical Object</x:v>
      </x:c>
      <x:c r="W96" s="28" t="str">
        <x:f>IF(AND(L96&gt;0,M96=0,MAX(O96,P96)&lt;=4.5,MIN(O96,P96)&gt;0,OR(H96="Coins",H96="Pearls")),"MODEL OK","REVIEW")</x:f>
        <x:v>MODEL OK</x:v>
      </x:c>
      <x:c r="X96" s="28" t="str">
        <x:v>Decor Catalog!A96:T96</x:v>
      </x:c>
    </x:row>
    <x:row r="97" ht="48" customHeight="1">
      <x:c r="A97" s="28" t="str">
        <x:v>PD-13</x:v>
      </x:c>
      <x:c r="B97" s="28" t="str">
        <x:v>Opal Treasure Chest</x:v>
      </x:c>
      <x:c r="C97" s="28" t="str">
        <x:v>Decoration</x:v>
      </x:c>
      <x:c r="D97" s="28" t="str">
        <x:v>Shipwreck</x:v>
      </x:c>
      <x:c r="E97" s="28" t="str">
        <x:v>Premium</x:v>
      </x:c>
      <x:c r="F97" s="28" t="str">
        <x:v>Epic</x:v>
      </x:c>
      <x:c r="G97" s="32" t="n">
        <x:v>48</x:v>
      </x:c>
      <x:c r="H97" s="28" t="str">
        <x:v>Pearls</x:v>
      </x:c>
      <x:c r="I97" s="32" t="n">
        <x:v>0</x:v>
      </x:c>
      <x:c r="J97" s="42" t="n">
        <x:v>0.33749999999999997</x:v>
      </x:c>
      <x:c r="K97" s="32" t="n">
        <x:v>20</x:v>
      </x:c>
      <x:c r="L97" s="38" t="n">
        <x:f>IF(I97&gt;0,I97,IF(H97="Coins",MAX($I$5,ROUND(VLOOKUP(G97,'XP &amp; Unlocks'!$A$5:$N$74,4,FALSE)*J97/5,0)*5),K97))</x:f>
        <x:v>20</x:v>
      </x:c>
      <x:c r="M97" s="28" t="n">
        <x:f>'Inputs'!$B$35</x:f>
        <x:v>0</x:v>
      </x:c>
      <x:c r="N97" s="28" t="n">
        <x:f>IF(Q97="Small",'Inputs'!$B$36,IF(Q97="Medium",'Inputs'!$B$37,IF(Q97="Large",'Inputs'!$B$38,'Inputs'!$B$39)))</x:f>
        <x:v>35</x:v>
      </x:c>
      <x:c r="O97" s="34" t="n">
        <x:v>3</x:v>
      </x:c>
      <x:c r="P97" s="34" t="n">
        <x:v>2.4</x:v>
      </x:c>
      <x:c r="Q97" s="28" t="str">
        <x:f>IF(MAX(O97,P97)&lt;=1.2,"Small",IF(MAX(O97,P97)&lt;=2,"Medium",IF(MAX(O97,P97)&lt;=3.2,"Large","XL")))</x:f>
        <x:v>Large</x:v>
      </x:c>
      <x:c r="R97" s="28" t="str">
        <x:v>Midground</x:v>
      </x:c>
      <x:c r="S97" s="28" t="str">
        <x:v>None</x:v>
      </x:c>
      <x:c r="T97" s="28" t="str">
        <x:f>IF(E97="Limited Edition","Event-gated",IF(G97&lt;='Inputs'!$B$5,"Launch","Post-launch"))</x:f>
        <x:v>Post-launch</x:v>
      </x:c>
      <x:c r="U97" s="28" t="n">
        <x:v>20</x:v>
      </x:c>
      <x:c r="V97" s="28" t="str">
        <x:v>Nautical Relic</x:v>
      </x:c>
      <x:c r="W97" s="28" t="str">
        <x:f>IF(AND(L97&gt;0,M97=0,MAX(O97,P97)&lt;=4.5,MIN(O97,P97)&gt;0,OR(H97="Coins",H97="Pearls")),"MODEL OK","REVIEW")</x:f>
        <x:v>MODEL OK</x:v>
      </x:c>
      <x:c r="X97" s="28" t="str">
        <x:v>Decor Catalog!A97:T97</x:v>
      </x:c>
    </x:row>
    <x:row r="98" ht="48" customHeight="1">
      <x:c r="A98" s="28" t="str">
        <x:v>PD-14</x:v>
      </x:c>
      <x:c r="B98" s="28" t="str">
        <x:v>Lunar Ring Portal</x:v>
      </x:c>
      <x:c r="C98" s="28" t="str">
        <x:v>Decoration</x:v>
      </x:c>
      <x:c r="D98" s="28" t="str">
        <x:v>Moonlit Garden</x:v>
      </x:c>
      <x:c r="E98" s="28" t="str">
        <x:v>Premium</x:v>
      </x:c>
      <x:c r="F98" s="28" t="str">
        <x:v>Legendary</x:v>
      </x:c>
      <x:c r="G98" s="32" t="n">
        <x:v>53</x:v>
      </x:c>
      <x:c r="H98" s="28" t="str">
        <x:v>Pearls</x:v>
      </x:c>
      <x:c r="I98" s="32" t="n">
        <x:v>0</x:v>
      </x:c>
      <x:c r="J98" s="42" t="n">
        <x:v>0.648</x:v>
      </x:c>
      <x:c r="K98" s="32" t="n">
        <x:v>30</x:v>
      </x:c>
      <x:c r="L98" s="38" t="n">
        <x:f>IF(I98&gt;0,I98,IF(H98="Coins",MAX($I$5,ROUND(VLOOKUP(G98,'XP &amp; Unlocks'!$A$5:$N$74,4,FALSE)*J98/5,0)*5),K98))</x:f>
        <x:v>30</x:v>
      </x:c>
      <x:c r="M98" s="28" t="n">
        <x:f>'Inputs'!$B$35</x:f>
        <x:v>0</x:v>
      </x:c>
      <x:c r="N98" s="28" t="n">
        <x:f>IF(Q98="Small",'Inputs'!$B$36,IF(Q98="Medium",'Inputs'!$B$37,IF(Q98="Large",'Inputs'!$B$38,'Inputs'!$B$39)))</x:f>
        <x:v>50</x:v>
      </x:c>
      <x:c r="O98" s="34" t="n">
        <x:v>3.2</x:v>
      </x:c>
      <x:c r="P98" s="34" t="n">
        <x:v>3.6</x:v>
      </x:c>
      <x:c r="Q98" s="28" t="str">
        <x:f>IF(MAX(O98,P98)&lt;=1.2,"Small",IF(MAX(O98,P98)&lt;=2,"Medium",IF(MAX(O98,P98)&lt;=3.2,"Large","XL")))</x:f>
        <x:v>XL</x:v>
      </x:c>
      <x:c r="R98" s="28" t="str">
        <x:v>Background</x:v>
      </x:c>
      <x:c r="S98" s="28" t="str">
        <x:v>None</x:v>
      </x:c>
      <x:c r="T98" s="28" t="str">
        <x:f>IF(E98="Limited Edition","Event-gated",IF(G98&lt;='Inputs'!$B$5,"Launch","Post-launch"))</x:f>
        <x:v>Post-launch</x:v>
      </x:c>
      <x:c r="U98" s="28" t="n">
        <x:v>23</x:v>
      </x:c>
      <x:c r="V98" s="28" t="str">
        <x:v>Fantasy Architecture</x:v>
      </x:c>
      <x:c r="W98" s="28" t="str">
        <x:f>IF(AND(L98&gt;0,M98=0,MAX(O98,P98)&lt;=4.5,MIN(O98,P98)&gt;0,OR(H98="Coins",H98="Pearls")),"MODEL OK","REVIEW")</x:f>
        <x:v>MODEL OK</x:v>
      </x:c>
      <x:c r="X98" s="28" t="str">
        <x:v>Decor Catalog!A98:T98</x:v>
      </x:c>
    </x:row>
    <x:row r="99" ht="48" customHeight="1">
      <x:c r="A99" s="28" t="str">
        <x:v>PD-15</x:v>
      </x:c>
      <x:c r="B99" s="28" t="str">
        <x:v>Crown of Atlantis</x:v>
      </x:c>
      <x:c r="C99" s="28" t="str">
        <x:v>Decoration</x:v>
      </x:c>
      <x:c r="D99" s="28" t="str">
        <x:v>Ruins</x:v>
      </x:c>
      <x:c r="E99" s="28" t="str">
        <x:v>Premium</x:v>
      </x:c>
      <x:c r="F99" s="28" t="str">
        <x:v>Legendary</x:v>
      </x:c>
      <x:c r="G99" s="32" t="n">
        <x:v>62</x:v>
      </x:c>
      <x:c r="H99" s="28" t="str">
        <x:v>Pearls</x:v>
      </x:c>
      <x:c r="I99" s="32" t="n">
        <x:v>0</x:v>
      </x:c>
      <x:c r="J99" s="42" t="n">
        <x:v>0.648</x:v>
      </x:c>
      <x:c r="K99" s="32" t="n">
        <x:v>30</x:v>
      </x:c>
      <x:c r="L99" s="38" t="n">
        <x:f>IF(I99&gt;0,I99,IF(H99="Coins",MAX($I$5,ROUND(VLOOKUP(G99,'XP &amp; Unlocks'!$A$5:$N$74,4,FALSE)*J99/5,0)*5),K99))</x:f>
        <x:v>30</x:v>
      </x:c>
      <x:c r="M99" s="28" t="n">
        <x:f>'Inputs'!$B$35</x:f>
        <x:v>0</x:v>
      </x:c>
      <x:c r="N99" s="28" t="n">
        <x:f>IF(Q99="Small",'Inputs'!$B$36,IF(Q99="Medium",'Inputs'!$B$37,IF(Q99="Large",'Inputs'!$B$38,'Inputs'!$B$39)))</x:f>
        <x:v>50</x:v>
      </x:c>
      <x:c r="O99" s="34" t="n">
        <x:v>3.8</x:v>
      </x:c>
      <x:c r="P99" s="34" t="n">
        <x:v>4</x:v>
      </x:c>
      <x:c r="Q99" s="28" t="str">
        <x:f>IF(MAX(O99,P99)&lt;=1.2,"Small",IF(MAX(O99,P99)&lt;=2,"Medium",IF(MAX(O99,P99)&lt;=3.2,"Large","XL")))</x:f>
        <x:v>XL</x:v>
      </x:c>
      <x:c r="R99" s="28" t="str">
        <x:v>Background</x:v>
      </x:c>
      <x:c r="S99" s="28" t="str">
        <x:v>None</x:v>
      </x:c>
      <x:c r="T99" s="28" t="str">
        <x:f>IF(E99="Limited Edition","Event-gated",IF(G99&lt;='Inputs'!$B$5,"Launch","Post-launch"))</x:f>
        <x:v>Post-launch</x:v>
      </x:c>
      <x:c r="U99" s="28" t="n">
        <x:v>26</x:v>
      </x:c>
      <x:c r="V99" s="28" t="str">
        <x:v>Ancient Relic</x:v>
      </x:c>
      <x:c r="W99" s="28" t="str">
        <x:f>IF(AND(L99&gt;0,M99=0,MAX(O99,P99)&lt;=4.5,MIN(O99,P99)&gt;0,OR(H99="Coins",H99="Pearls")),"MODEL OK","REVIEW")</x:f>
        <x:v>MODEL OK</x:v>
      </x:c>
      <x:c r="X99" s="28" t="str">
        <x:v>Decor Catalog!A99:T99</x:v>
      </x:c>
    </x:row>
    <x:row r="100" ht="48" customHeight="1">
      <x:c r="A100" s="28" t="str">
        <x:v>PD-16</x:v>
      </x:c>
      <x:c r="B100" s="28" t="str">
        <x:v>Starfall Lighthouse</x:v>
      </x:c>
      <x:c r="C100" s="28" t="str">
        <x:v>Decoration</x:v>
      </x:c>
      <x:c r="D100" s="28" t="str">
        <x:v>Prism Reef</x:v>
      </x:c>
      <x:c r="E100" s="28" t="str">
        <x:v>Premium</x:v>
      </x:c>
      <x:c r="F100" s="28" t="str">
        <x:v>Legendary</x:v>
      </x:c>
      <x:c r="G100" s="32" t="n">
        <x:v>68</x:v>
      </x:c>
      <x:c r="H100" s="28" t="str">
        <x:v>Pearls</x:v>
      </x:c>
      <x:c r="I100" s="32" t="n">
        <x:v>0</x:v>
      </x:c>
      <x:c r="J100" s="42" t="n">
        <x:v>0.648</x:v>
      </x:c>
      <x:c r="K100" s="32" t="n">
        <x:v>30</x:v>
      </x:c>
      <x:c r="L100" s="38" t="n">
        <x:f>IF(I100&gt;0,I100,IF(H100="Coins",MAX($I$5,ROUND(VLOOKUP(G100,'XP &amp; Unlocks'!$A$5:$N$74,4,FALSE)*J100/5,0)*5),K100))</x:f>
        <x:v>30</x:v>
      </x:c>
      <x:c r="M100" s="28" t="n">
        <x:f>'Inputs'!$B$35</x:f>
        <x:v>0</x:v>
      </x:c>
      <x:c r="N100" s="28" t="n">
        <x:f>IF(Q100="Small",'Inputs'!$B$36,IF(Q100="Medium",'Inputs'!$B$37,IF(Q100="Large",'Inputs'!$B$38,'Inputs'!$B$39)))</x:f>
        <x:v>50</x:v>
      </x:c>
      <x:c r="O100" s="34" t="n">
        <x:v>3</x:v>
      </x:c>
      <x:c r="P100" s="34" t="n">
        <x:v>4.2</x:v>
      </x:c>
      <x:c r="Q100" s="28" t="str">
        <x:f>IF(MAX(O100,P100)&lt;=1.2,"Small",IF(MAX(O100,P100)&lt;=2,"Medium",IF(MAX(O100,P100)&lt;=3.2,"Large","XL")))</x:f>
        <x:v>XL</x:v>
      </x:c>
      <x:c r="R100" s="28" t="str">
        <x:v>Background</x:v>
      </x:c>
      <x:c r="S100" s="28" t="str">
        <x:v>None</x:v>
      </x:c>
      <x:c r="T100" s="28" t="str">
        <x:f>IF(E100="Limited Edition","Event-gated",IF(G100&lt;='Inputs'!$B$5,"Launch","Post-launch"))</x:f>
        <x:v>Post-launch</x:v>
      </x:c>
      <x:c r="U100" s="28" t="n">
        <x:v>30</x:v>
      </x:c>
      <x:c r="V100" s="28" t="str">
        <x:v>Fantasy Architecture</x:v>
      </x:c>
      <x:c r="W100" s="28" t="str">
        <x:f>IF(AND(L100&gt;0,M100=0,MAX(O100,P100)&lt;=4.5,MIN(O100,P100)&gt;0,OR(H100="Coins",H100="Pearls")),"MODEL OK","REVIEW")</x:f>
        <x:v>MODEL OK</x:v>
      </x:c>
      <x:c r="X100" s="28" t="str">
        <x:v>Decor Catalog!A100:T100</x:v>
      </x:c>
    </x:row>
    <x:row r="101" ht="48" customHeight="1">
      <x:c r="A101" s="28" t="str">
        <x:v>CL-01</x:v>
      </x:c>
      <x:c r="B101" s="28" t="str">
        <x:v>Lucky Bamboo Knot</x:v>
      </x:c>
      <x:c r="C101" s="28" t="str">
        <x:v>Plant</x:v>
      </x:c>
      <x:c r="D101" s="28" t="str">
        <x:v>Lunar New Year</x:v>
      </x:c>
      <x:c r="E101" s="28" t="str">
        <x:v>Limited Edition</x:v>
      </x:c>
      <x:c r="F101" s="28" t="str">
        <x:v>Rare</x:v>
      </x:c>
      <x:c r="G101" s="32" t="n">
        <x:v>10</x:v>
      </x:c>
      <x:c r="H101" s="28" t="str">
        <x:v>Coins</x:v>
      </x:c>
      <x:c r="I101" s="32" t="n">
        <x:v>0</x:v>
      </x:c>
      <x:c r="J101" s="42" t="n">
        <x:v>0.2925</x:v>
      </x:c>
      <x:c r="K101" s="32" t="n">
        <x:v>18</x:v>
      </x:c>
      <x:c r="L101" s="38" t="n">
        <x:f>IF(I101&gt;0,I101,IF(H101="Coins",MAX($I$5,ROUND(VLOOKUP(G101,'XP &amp; Unlocks'!$A$5:$N$74,4,FALSE)*J101/5,0)*5),K101))</x:f>
        <x:v>3700</x:v>
      </x:c>
      <x:c r="M101" s="28" t="n">
        <x:f>'Inputs'!$B$35</x:f>
        <x:v>0</x:v>
      </x:c>
      <x:c r="N101" s="28" t="n">
        <x:f>IF(Q101="Small",'Inputs'!$B$36,IF(Q101="Medium",'Inputs'!$B$37,IF(Q101="Large",'Inputs'!$B$38,'Inputs'!$B$39)))</x:f>
        <x:v>35</x:v>
      </x:c>
      <x:c r="O101" s="34" t="n">
        <x:v>1.7</x:v>
      </x:c>
      <x:c r="P101" s="34" t="n">
        <x:v>2.3</x:v>
      </x:c>
      <x:c r="Q101" s="28" t="str">
        <x:f>IF(MAX(O101,P101)&lt;=1.2,"Small",IF(MAX(O101,P101)&lt;=2,"Medium",IF(MAX(O101,P101)&lt;=3.2,"Large","XL")))</x:f>
        <x:v>Large</x:v>
      </x:c>
      <x:c r="R101" s="28" t="str">
        <x:v>Midground</x:v>
      </x:c>
      <x:c r="S101" s="28" t="str">
        <x:v>Lunar New Year</x:v>
      </x:c>
      <x:c r="T101" s="28" t="str">
        <x:f>IF(E101="Limited Edition","Event-gated",IF(G101&lt;='Inputs'!$B$5,"Launch","Post-launch"))</x:f>
        <x:v>Event-gated</x:v>
      </x:c>
      <x:c r="U101" s="28" t="n">
        <x:v>650</x:v>
      </x:c>
      <x:c r="V101" s="28" t="str">
        <x:v>Stem Plant</x:v>
      </x:c>
      <x:c r="W101" s="28" t="str">
        <x:f>IF(AND(L101&gt;0,M101=0,MAX(O101,P101)&lt;=4.5,MIN(O101,P101)&gt;0,OR(H101="Coins",H101="Pearls")),"MODEL OK","REVIEW")</x:f>
        <x:v>MODEL OK</x:v>
      </x:c>
      <x:c r="X101" s="28" t="str">
        <x:v>Decor Catalog!A101:T101</x:v>
      </x:c>
    </x:row>
    <x:row r="102" ht="48" customHeight="1">
      <x:c r="A102" s="28" t="str">
        <x:v>PL-01</x:v>
      </x:c>
      <x:c r="B102" s="28" t="str">
        <x:v>Festival Lantern Arch</x:v>
      </x:c>
      <x:c r="C102" s="28" t="str">
        <x:v>Decoration</x:v>
      </x:c>
      <x:c r="D102" s="28" t="str">
        <x:v>Lunar New Year</x:v>
      </x:c>
      <x:c r="E102" s="28" t="str">
        <x:v>Limited Edition</x:v>
      </x:c>
      <x:c r="F102" s="28" t="str">
        <x:v>Epic</x:v>
      </x:c>
      <x:c r="G102" s="32" t="n">
        <x:v>10</x:v>
      </x:c>
      <x:c r="H102" s="28" t="str">
        <x:v>Pearls</x:v>
      </x:c>
      <x:c r="I102" s="32" t="n">
        <x:v>0</x:v>
      </x:c>
      <x:c r="J102" s="42" t="n">
        <x:v>0.33749999999999997</x:v>
      </x:c>
      <x:c r="K102" s="32" t="n">
        <x:v>20</x:v>
      </x:c>
      <x:c r="L102" s="38" t="n">
        <x:f>IF(I102&gt;0,I102,IF(H102="Coins",MAX($I$5,ROUND(VLOOKUP(G102,'XP &amp; Unlocks'!$A$5:$N$74,4,FALSE)*J102/5,0)*5),K102))</x:f>
        <x:v>20</x:v>
      </x:c>
      <x:c r="M102" s="28" t="n">
        <x:f>'Inputs'!$B$35</x:f>
        <x:v>0</x:v>
      </x:c>
      <x:c r="N102" s="28" t="n">
        <x:f>IF(Q102="Small",'Inputs'!$B$36,IF(Q102="Medium",'Inputs'!$B$37,IF(Q102="Large",'Inputs'!$B$38,'Inputs'!$B$39)))</x:f>
        <x:v>35</x:v>
      </x:c>
      <x:c r="O102" s="34" t="n">
        <x:v>2.5</x:v>
      </x:c>
      <x:c r="P102" s="34" t="n">
        <x:v>2.7</x:v>
      </x:c>
      <x:c r="Q102" s="28" t="str">
        <x:f>IF(MAX(O102,P102)&lt;=1.2,"Small",IF(MAX(O102,P102)&lt;=2,"Medium",IF(MAX(O102,P102)&lt;=3.2,"Large","XL")))</x:f>
        <x:v>Large</x:v>
      </x:c>
      <x:c r="R102" s="28" t="str">
        <x:v>Midground</x:v>
      </x:c>
      <x:c r="S102" s="28" t="str">
        <x:v>Lunar New Year</x:v>
      </x:c>
      <x:c r="T102" s="28" t="str">
        <x:f>IF(E102="Limited Edition","Event-gated",IF(G102&lt;='Inputs'!$B$5,"Launch","Post-launch"))</x:f>
        <x:v>Event-gated</x:v>
      </x:c>
      <x:c r="U102" s="28" t="n">
        <x:v>8</x:v>
      </x:c>
      <x:c r="V102" s="28" t="str">
        <x:v>Garden Ornament</x:v>
      </x:c>
      <x:c r="W102" s="28" t="str">
        <x:f>IF(AND(L102&gt;0,M102=0,MAX(O102,P102)&lt;=4.5,MIN(O102,P102)&gt;0,OR(H102="Coins",H102="Pearls")),"MODEL OK","REVIEW")</x:f>
        <x:v>MODEL OK</x:v>
      </x:c>
      <x:c r="X102" s="28" t="str">
        <x:v>Decor Catalog!A102:T102</x:v>
      </x:c>
    </x:row>
    <x:row r="103" ht="48" customHeight="1">
      <x:c r="A103" s="28" t="str">
        <x:v>CL-02</x:v>
      </x:c>
      <x:c r="B103" s="28" t="str">
        <x:v>Heart Pebble Bench</x:v>
      </x:c>
      <x:c r="C103" s="28" t="str">
        <x:v>Decoration</x:v>
      </x:c>
      <x:c r="D103" s="28" t="str">
        <x:v>Valentine's</x:v>
      </x:c>
      <x:c r="E103" s="28" t="str">
        <x:v>Limited Edition</x:v>
      </x:c>
      <x:c r="F103" s="28" t="str">
        <x:v>Uncommon</x:v>
      </x:c>
      <x:c r="G103" s="32" t="n">
        <x:v>5</x:v>
      </x:c>
      <x:c r="H103" s="28" t="str">
        <x:v>Coins</x:v>
      </x:c>
      <x:c r="I103" s="32" t="n">
        <x:v>0</x:v>
      </x:c>
      <x:c r="J103" s="42" t="n">
        <x:v>0.092</x:v>
      </x:c>
      <x:c r="K103" s="32" t="n">
        <x:v>11</x:v>
      </x:c>
      <x:c r="L103" s="38" t="n">
        <x:f>IF(I103&gt;0,I103,IF(H103="Coins",MAX($I$5,ROUND(VLOOKUP(G103,'XP &amp; Unlocks'!$A$5:$N$74,4,FALSE)*J103/5,0)*5),K103))</x:f>
        <x:v>490</x:v>
      </x:c>
      <x:c r="M103" s="28" t="n">
        <x:f>'Inputs'!$B$35</x:f>
        <x:v>0</x:v>
      </x:c>
      <x:c r="N103" s="28" t="n">
        <x:f>IF(Q103="Small",'Inputs'!$B$36,IF(Q103="Medium",'Inputs'!$B$37,IF(Q103="Large",'Inputs'!$B$38,'Inputs'!$B$39)))</x:f>
        <x:v>20</x:v>
      </x:c>
      <x:c r="O103" s="34" t="n">
        <x:v>1.8</x:v>
      </x:c>
      <x:c r="P103" s="34" t="n">
        <x:v>1</x:v>
      </x:c>
      <x:c r="Q103" s="28" t="str">
        <x:f>IF(MAX(O103,P103)&lt;=1.2,"Small",IF(MAX(O103,P103)&lt;=2,"Medium",IF(MAX(O103,P103)&lt;=3.2,"Large","XL")))</x:f>
        <x:v>Medium</x:v>
      </x:c>
      <x:c r="R103" s="28" t="str">
        <x:v>Foreground</x:v>
      </x:c>
      <x:c r="S103" s="28" t="str">
        <x:v>Valentine's</x:v>
      </x:c>
      <x:c r="T103" s="28" t="str">
        <x:f>IF(E103="Limited Edition","Event-gated",IF(G103&lt;='Inputs'!$B$5,"Launch","Post-launch"))</x:f>
        <x:v>Event-gated</x:v>
      </x:c>
      <x:c r="U103" s="28" t="n">
        <x:v>300</x:v>
      </x:c>
      <x:c r="V103" s="28" t="str">
        <x:v>Garden Ornament</x:v>
      </x:c>
      <x:c r="W103" s="28" t="str">
        <x:f>IF(AND(L103&gt;0,M103=0,MAX(O103,P103)&lt;=4.5,MIN(O103,P103)&gt;0,OR(H103="Coins",H103="Pearls")),"MODEL OK","REVIEW")</x:f>
        <x:v>MODEL OK</x:v>
      </x:c>
      <x:c r="X103" s="28" t="str">
        <x:v>Decor Catalog!A103:T103</x:v>
      </x:c>
    </x:row>
    <x:row r="104" ht="48" customHeight="1">
      <x:c r="A104" s="28" t="str">
        <x:v>PL-02</x:v>
      </x:c>
      <x:c r="B104" s="28" t="str">
        <x:v>Sweetheart Bloom</x:v>
      </x:c>
      <x:c r="C104" s="28" t="str">
        <x:v>Plant</x:v>
      </x:c>
      <x:c r="D104" s="28" t="str">
        <x:v>Valentine's</x:v>
      </x:c>
      <x:c r="E104" s="28" t="str">
        <x:v>Limited Edition</x:v>
      </x:c>
      <x:c r="F104" s="28" t="str">
        <x:v>Rare</x:v>
      </x:c>
      <x:c r="G104" s="32" t="n">
        <x:v>5</x:v>
      </x:c>
      <x:c r="H104" s="28" t="str">
        <x:v>Pearls</x:v>
      </x:c>
      <x:c r="I104" s="32" t="n">
        <x:v>0</x:v>
      </x:c>
      <x:c r="J104" s="42" t="n">
        <x:v>0.15600000000000003</x:v>
      </x:c>
      <x:c r="K104" s="32" t="n">
        <x:v>12</x:v>
      </x:c>
      <x:c r="L104" s="38" t="n">
        <x:f>IF(I104&gt;0,I104,IF(H104="Coins",MAX($I$5,ROUND(VLOOKUP(G104,'XP &amp; Unlocks'!$A$5:$N$74,4,FALSE)*J104/5,0)*5),K104))</x:f>
        <x:v>12</x:v>
      </x:c>
      <x:c r="M104" s="28" t="n">
        <x:f>'Inputs'!$B$35</x:f>
        <x:v>0</x:v>
      </x:c>
      <x:c r="N104" s="28" t="n">
        <x:f>IF(Q104="Small",'Inputs'!$B$36,IF(Q104="Medium",'Inputs'!$B$37,IF(Q104="Large",'Inputs'!$B$38,'Inputs'!$B$39)))</x:f>
        <x:v>20</x:v>
      </x:c>
      <x:c r="O104" s="34" t="n">
        <x:v>1.8</x:v>
      </x:c>
      <x:c r="P104" s="34" t="n">
        <x:v>2</x:v>
      </x:c>
      <x:c r="Q104" s="28" t="str">
        <x:f>IF(MAX(O104,P104)&lt;=1.2,"Small",IF(MAX(O104,P104)&lt;=2,"Medium",IF(MAX(O104,P104)&lt;=3.2,"Large","XL")))</x:f>
        <x:v>Medium</x:v>
      </x:c>
      <x:c r="R104" s="28" t="str">
        <x:v>Midground</x:v>
      </x:c>
      <x:c r="S104" s="28" t="str">
        <x:v>Valentine's</x:v>
      </x:c>
      <x:c r="T104" s="28" t="str">
        <x:f>IF(E104="Limited Edition","Event-gated",IF(G104&lt;='Inputs'!$B$5,"Launch","Post-launch"))</x:f>
        <x:v>Event-gated</x:v>
      </x:c>
      <x:c r="U104" s="28" t="n">
        <x:v>4</x:v>
      </x:c>
      <x:c r="V104" s="28" t="str">
        <x:v>Flowering Plant</x:v>
      </x:c>
      <x:c r="W104" s="28" t="str">
        <x:f>IF(AND(L104&gt;0,M104=0,MAX(O104,P104)&lt;=4.5,MIN(O104,P104)&gt;0,OR(H104="Coins",H104="Pearls")),"MODEL OK","REVIEW")</x:f>
        <x:v>MODEL OK</x:v>
      </x:c>
      <x:c r="X104" s="28" t="str">
        <x:v>Decor Catalog!A104:T104</x:v>
      </x:c>
    </x:row>
    <x:row r="105" ht="48" customHeight="1">
      <x:c r="A105" s="28" t="str">
        <x:v>CL-03</x:v>
      </x:c>
      <x:c r="B105" s="28" t="str">
        <x:v>Cloverleaf Carpet</x:v>
      </x:c>
      <x:c r="C105" s="28" t="str">
        <x:v>Plant</x:v>
      </x:c>
      <x:c r="D105" s="28" t="str">
        <x:v>St. Patrick's</x:v>
      </x:c>
      <x:c r="E105" s="28" t="str">
        <x:v>Limited Edition</x:v>
      </x:c>
      <x:c r="F105" s="28" t="str">
        <x:v>Rare</x:v>
      </x:c>
      <x:c r="G105" s="32" t="n">
        <x:v>10</x:v>
      </x:c>
      <x:c r="H105" s="28" t="str">
        <x:v>Coins</x:v>
      </x:c>
      <x:c r="I105" s="32" t="n">
        <x:v>0</x:v>
      </x:c>
      <x:c r="J105" s="42" t="n">
        <x:v>0.15600000000000003</x:v>
      </x:c>
      <x:c r="K105" s="32" t="n">
        <x:v>12</x:v>
      </x:c>
      <x:c r="L105" s="38" t="n">
        <x:f>IF(I105&gt;0,I105,IF(H105="Coins",MAX($I$5,ROUND(VLOOKUP(G105,'XP &amp; Unlocks'!$A$5:$N$74,4,FALSE)*J105/5,0)*5),K105))</x:f>
        <x:v>1975</x:v>
      </x:c>
      <x:c r="M105" s="28" t="n">
        <x:f>'Inputs'!$B$35</x:f>
        <x:v>0</x:v>
      </x:c>
      <x:c r="N105" s="28" t="n">
        <x:f>IF(Q105="Small",'Inputs'!$B$36,IF(Q105="Medium",'Inputs'!$B$37,IF(Q105="Large",'Inputs'!$B$38,'Inputs'!$B$39)))</x:f>
        <x:v>20</x:v>
      </x:c>
      <x:c r="O105" s="34" t="n">
        <x:v>1.9</x:v>
      </x:c>
      <x:c r="P105" s="34" t="n">
        <x:v>1.2</x:v>
      </x:c>
      <x:c r="Q105" s="28" t="str">
        <x:f>IF(MAX(O105,P105)&lt;=1.2,"Small",IF(MAX(O105,P105)&lt;=2,"Medium",IF(MAX(O105,P105)&lt;=3.2,"Large","XL")))</x:f>
        <x:v>Medium</x:v>
      </x:c>
      <x:c r="R105" s="28" t="str">
        <x:v>Foreground</x:v>
      </x:c>
      <x:c r="S105" s="28" t="str">
        <x:v>St. Patrick's</x:v>
      </x:c>
      <x:c r="T105" s="28" t="str">
        <x:f>IF(E105="Limited Edition","Event-gated",IF(G105&lt;='Inputs'!$B$5,"Launch","Post-launch"))</x:f>
        <x:v>Event-gated</x:v>
      </x:c>
      <x:c r="U105" s="28" t="n">
        <x:v>800</x:v>
      </x:c>
      <x:c r="V105" s="28" t="str">
        <x:v>Carpet Plant</x:v>
      </x:c>
      <x:c r="W105" s="28" t="str">
        <x:f>IF(AND(L105&gt;0,M105=0,MAX(O105,P105)&lt;=4.5,MIN(O105,P105)&gt;0,OR(H105="Coins",H105="Pearls")),"MODEL OK","REVIEW")</x:f>
        <x:v>MODEL OK</x:v>
      </x:c>
      <x:c r="X105" s="28" t="str">
        <x:v>Decor Catalog!A105:T105</x:v>
      </x:c>
    </x:row>
    <x:row r="106" ht="48" customHeight="1">
      <x:c r="A106" s="28" t="str">
        <x:v>PL-03</x:v>
      </x:c>
      <x:c r="B106" s="28" t="str">
        <x:v>Emerald Wishing Well</x:v>
      </x:c>
      <x:c r="C106" s="28" t="str">
        <x:v>Decoration</x:v>
      </x:c>
      <x:c r="D106" s="28" t="str">
        <x:v>St. Patrick's</x:v>
      </x:c>
      <x:c r="E106" s="28" t="str">
        <x:v>Limited Edition</x:v>
      </x:c>
      <x:c r="F106" s="28" t="str">
        <x:v>Epic</x:v>
      </x:c>
      <x:c r="G106" s="32" t="n">
        <x:v>10</x:v>
      </x:c>
      <x:c r="H106" s="28" t="str">
        <x:v>Pearls</x:v>
      </x:c>
      <x:c r="I106" s="32" t="n">
        <x:v>0</x:v>
      </x:c>
      <x:c r="J106" s="42" t="n">
        <x:v>0.33749999999999997</x:v>
      </x:c>
      <x:c r="K106" s="32" t="n">
        <x:v>20</x:v>
      </x:c>
      <x:c r="L106" s="38" t="n">
        <x:f>IF(I106&gt;0,I106,IF(H106="Coins",MAX($I$5,ROUND(VLOOKUP(G106,'XP &amp; Unlocks'!$A$5:$N$74,4,FALSE)*J106/5,0)*5),K106))</x:f>
        <x:v>20</x:v>
      </x:c>
      <x:c r="M106" s="28" t="n">
        <x:f>'Inputs'!$B$35</x:f>
        <x:v>0</x:v>
      </x:c>
      <x:c r="N106" s="28" t="n">
        <x:f>IF(Q106="Small",'Inputs'!$B$36,IF(Q106="Medium",'Inputs'!$B$37,IF(Q106="Large",'Inputs'!$B$38,'Inputs'!$B$39)))</x:f>
        <x:v>35</x:v>
      </x:c>
      <x:c r="O106" s="34" t="n">
        <x:v>2</x:v>
      </x:c>
      <x:c r="P106" s="34" t="n">
        <x:v>2.1</x:v>
      </x:c>
      <x:c r="Q106" s="28" t="str">
        <x:f>IF(MAX(O106,P106)&lt;=1.2,"Small",IF(MAX(O106,P106)&lt;=2,"Medium",IF(MAX(O106,P106)&lt;=3.2,"Large","XL")))</x:f>
        <x:v>Large</x:v>
      </x:c>
      <x:c r="R106" s="28" t="str">
        <x:v>Midground</x:v>
      </x:c>
      <x:c r="S106" s="28" t="str">
        <x:v>St. Patrick's</x:v>
      </x:c>
      <x:c r="T106" s="28" t="str">
        <x:f>IF(E106="Limited Edition","Event-gated",IF(G106&lt;='Inputs'!$B$5,"Launch","Post-launch"))</x:f>
        <x:v>Event-gated</x:v>
      </x:c>
      <x:c r="U106" s="28" t="n">
        <x:v>6</x:v>
      </x:c>
      <x:c r="V106" s="28" t="str">
        <x:v>Garden Ornament</x:v>
      </x:c>
      <x:c r="W106" s="28" t="str">
        <x:f>IF(AND(L106&gt;0,M106=0,MAX(O106,P106)&lt;=4.5,MIN(O106,P106)&gt;0,OR(H106="Coins",H106="Pearls")),"MODEL OK","REVIEW")</x:f>
        <x:v>MODEL OK</x:v>
      </x:c>
      <x:c r="X106" s="28" t="str">
        <x:v>Decor Catalog!A106:T106</x:v>
      </x:c>
    </x:row>
    <x:row r="107" ht="48" customHeight="1">
      <x:c r="A107" s="28" t="str">
        <x:v>CL-04</x:v>
      </x:c>
      <x:c r="B107" s="28" t="str">
        <x:v>Sakura Stone Lantern</x:v>
      </x:c>
      <x:c r="C107" s="28" t="str">
        <x:v>Decoration</x:v>
      </x:c>
      <x:c r="D107" s="28" t="str">
        <x:v>Spring Blossom</x:v>
      </x:c>
      <x:c r="E107" s="28" t="str">
        <x:v>Limited Edition</x:v>
      </x:c>
      <x:c r="F107" s="28" t="str">
        <x:v>Uncommon</x:v>
      </x:c>
      <x:c r="G107" s="32" t="n">
        <x:v>8</x:v>
      </x:c>
      <x:c r="H107" s="28" t="str">
        <x:v>Coins</x:v>
      </x:c>
      <x:c r="I107" s="32" t="n">
        <x:v>0</x:v>
      </x:c>
      <x:c r="J107" s="42" t="n">
        <x:v>0.092</x:v>
      </x:c>
      <x:c r="K107" s="32" t="n">
        <x:v>11</x:v>
      </x:c>
      <x:c r="L107" s="38" t="n">
        <x:f>IF(I107&gt;0,I107,IF(H107="Coins",MAX($I$5,ROUND(VLOOKUP(G107,'XP &amp; Unlocks'!$A$5:$N$74,4,FALSE)*J107/5,0)*5),K107))</x:f>
        <x:v>905</x:v>
      </x:c>
      <x:c r="M107" s="28" t="n">
        <x:f>'Inputs'!$B$35</x:f>
        <x:v>0</x:v>
      </x:c>
      <x:c r="N107" s="28" t="n">
        <x:f>IF(Q107="Small",'Inputs'!$B$36,IF(Q107="Medium",'Inputs'!$B$37,IF(Q107="Large",'Inputs'!$B$38,'Inputs'!$B$39)))</x:f>
        <x:v>20</x:v>
      </x:c>
      <x:c r="O107" s="34" t="n">
        <x:v>1.4</x:v>
      </x:c>
      <x:c r="P107" s="34" t="n">
        <x:v>1.8</x:v>
      </x:c>
      <x:c r="Q107" s="28" t="str">
        <x:f>IF(MAX(O107,P107)&lt;=1.2,"Small",IF(MAX(O107,P107)&lt;=2,"Medium",IF(MAX(O107,P107)&lt;=3.2,"Large","XL")))</x:f>
        <x:v>Medium</x:v>
      </x:c>
      <x:c r="R107" s="28" t="str">
        <x:v>Midground</x:v>
      </x:c>
      <x:c r="S107" s="28" t="str">
        <x:v>Spring Blossom</x:v>
      </x:c>
      <x:c r="T107" s="28" t="str">
        <x:f>IF(E107="Limited Edition","Event-gated",IF(G107&lt;='Inputs'!$B$5,"Launch","Post-launch"))</x:f>
        <x:v>Event-gated</x:v>
      </x:c>
      <x:c r="U107" s="28" t="n">
        <x:v>600</x:v>
      </x:c>
      <x:c r="V107" s="28" t="str">
        <x:v>Garden Ornament</x:v>
      </x:c>
      <x:c r="W107" s="28" t="str">
        <x:f>IF(AND(L107&gt;0,M107=0,MAX(O107,P107)&lt;=4.5,MIN(O107,P107)&gt;0,OR(H107="Coins",H107="Pearls")),"MODEL OK","REVIEW")</x:f>
        <x:v>MODEL OK</x:v>
      </x:c>
      <x:c r="X107" s="28" t="str">
        <x:v>Decor Catalog!A107:T107</x:v>
      </x:c>
    </x:row>
    <x:row r="108" ht="48" customHeight="1">
      <x:c r="A108" s="28" t="str">
        <x:v>PL-04</x:v>
      </x:c>
      <x:c r="B108" s="28" t="str">
        <x:v>Blossom Ribbon Tree</x:v>
      </x:c>
      <x:c r="C108" s="28" t="str">
        <x:v>Plant</x:v>
      </x:c>
      <x:c r="D108" s="28" t="str">
        <x:v>Spring Blossom</x:v>
      </x:c>
      <x:c r="E108" s="28" t="str">
        <x:v>Limited Edition</x:v>
      </x:c>
      <x:c r="F108" s="28" t="str">
        <x:v>Epic</x:v>
      </x:c>
      <x:c r="G108" s="32" t="n">
        <x:v>8</x:v>
      </x:c>
      <x:c r="H108" s="28" t="str">
        <x:v>Pearls</x:v>
      </x:c>
      <x:c r="I108" s="32" t="n">
        <x:v>0</x:v>
      </x:c>
      <x:c r="J108" s="42" t="n">
        <x:v>0.33749999999999997</x:v>
      </x:c>
      <x:c r="K108" s="32" t="n">
        <x:v>20</x:v>
      </x:c>
      <x:c r="L108" s="38" t="n">
        <x:f>IF(I108&gt;0,I108,IF(H108="Coins",MAX($I$5,ROUND(VLOOKUP(G108,'XP &amp; Unlocks'!$A$5:$N$74,4,FALSE)*J108/5,0)*5),K108))</x:f>
        <x:v>20</x:v>
      </x:c>
      <x:c r="M108" s="28" t="n">
        <x:f>'Inputs'!$B$35</x:f>
        <x:v>0</x:v>
      </x:c>
      <x:c r="N108" s="28" t="n">
        <x:f>IF(Q108="Small",'Inputs'!$B$36,IF(Q108="Medium",'Inputs'!$B$37,IF(Q108="Large",'Inputs'!$B$38,'Inputs'!$B$39)))</x:f>
        <x:v>35</x:v>
      </x:c>
      <x:c r="O108" s="34" t="n">
        <x:v>2.4</x:v>
      </x:c>
      <x:c r="P108" s="34" t="n">
        <x:v>2.8</x:v>
      </x:c>
      <x:c r="Q108" s="28" t="str">
        <x:f>IF(MAX(O108,P108)&lt;=1.2,"Small",IF(MAX(O108,P108)&lt;=2,"Medium",IF(MAX(O108,P108)&lt;=3.2,"Large","XL")))</x:f>
        <x:v>Large</x:v>
      </x:c>
      <x:c r="R108" s="28" t="str">
        <x:v>Background</x:v>
      </x:c>
      <x:c r="S108" s="28" t="str">
        <x:v>Spring Blossom</x:v>
      </x:c>
      <x:c r="T108" s="28" t="str">
        <x:f>IF(E108="Limited Edition","Event-gated",IF(G108&lt;='Inputs'!$B$5,"Launch","Post-launch"))</x:f>
        <x:v>Event-gated</x:v>
      </x:c>
      <x:c r="U108" s="28" t="n">
        <x:v>6</x:v>
      </x:c>
      <x:c r="V108" s="28" t="str">
        <x:v>Flowering Plant</x:v>
      </x:c>
      <x:c r="W108" s="28" t="str">
        <x:f>IF(AND(L108&gt;0,M108=0,MAX(O108,P108)&lt;=4.5,MIN(O108,P108)&gt;0,OR(H108="Coins",H108="Pearls")),"MODEL OK","REVIEW")</x:f>
        <x:v>MODEL OK</x:v>
      </x:c>
      <x:c r="X108" s="28" t="str">
        <x:v>Decor Catalog!A108:T108</x:v>
      </x:c>
    </x:row>
    <x:row r="109" ht="48" customHeight="1">
      <x:c r="A109" s="28" t="str">
        <x:v>CL-05</x:v>
      </x:c>
      <x:c r="B109" s="28" t="str">
        <x:v>River Reeds Basket</x:v>
      </x:c>
      <x:c r="C109" s="28" t="str">
        <x:v>Plant</x:v>
      </x:c>
      <x:c r="D109" s="28" t="str">
        <x:v>River Revival</x:v>
      </x:c>
      <x:c r="E109" s="28" t="str">
        <x:v>Limited Edition</x:v>
      </x:c>
      <x:c r="F109" s="28" t="str">
        <x:v>Rare</x:v>
      </x:c>
      <x:c r="G109" s="32" t="n">
        <x:v>12</x:v>
      </x:c>
      <x:c r="H109" s="28" t="str">
        <x:v>Coins</x:v>
      </x:c>
      <x:c r="I109" s="32" t="n">
        <x:v>0</x:v>
      </x:c>
      <x:c r="J109" s="42" t="n">
        <x:v>0.2925</x:v>
      </x:c>
      <x:c r="K109" s="32" t="n">
        <x:v>18</x:v>
      </x:c>
      <x:c r="L109" s="38" t="n">
        <x:f>IF(I109&gt;0,I109,IF(H109="Coins",MAX($I$5,ROUND(VLOOKUP(G109,'XP &amp; Unlocks'!$A$5:$N$74,4,FALSE)*J109/5,0)*5),K109))</x:f>
        <x:v>4590</x:v>
      </x:c>
      <x:c r="M109" s="28" t="n">
        <x:f>'Inputs'!$B$35</x:f>
        <x:v>0</x:v>
      </x:c>
      <x:c r="N109" s="28" t="n">
        <x:f>IF(Q109="Small",'Inputs'!$B$36,IF(Q109="Medium",'Inputs'!$B$37,IF(Q109="Large",'Inputs'!$B$38,'Inputs'!$B$39)))</x:f>
        <x:v>35</x:v>
      </x:c>
      <x:c r="O109" s="34" t="n">
        <x:v>1.8</x:v>
      </x:c>
      <x:c r="P109" s="34" t="n">
        <x:v>2.4</x:v>
      </x:c>
      <x:c r="Q109" s="28" t="str">
        <x:f>IF(MAX(O109,P109)&lt;=1.2,"Small",IF(MAX(O109,P109)&lt;=2,"Medium",IF(MAX(O109,P109)&lt;=3.2,"Large","XL")))</x:f>
        <x:v>Large</x:v>
      </x:c>
      <x:c r="R109" s="28" t="str">
        <x:v>Midground</x:v>
      </x:c>
      <x:c r="S109" s="28" t="str">
        <x:v>River Revival</x:v>
      </x:c>
      <x:c r="T109" s="28" t="str">
        <x:f>IF(E109="Limited Edition","Event-gated",IF(G109&lt;='Inputs'!$B$5,"Launch","Post-launch"))</x:f>
        <x:v>Event-gated</x:v>
      </x:c>
      <x:c r="U109" s="28" t="n">
        <x:v>1100</x:v>
      </x:c>
      <x:c r="V109" s="28" t="str">
        <x:v>Reed Plant</x:v>
      </x:c>
      <x:c r="W109" s="28" t="str">
        <x:f>IF(AND(L109&gt;0,M109=0,MAX(O109,P109)&lt;=4.5,MIN(O109,P109)&gt;0,OR(H109="Coins",H109="Pearls")),"MODEL OK","REVIEW")</x:f>
        <x:v>MODEL OK</x:v>
      </x:c>
      <x:c r="X109" s="28" t="str">
        <x:v>Decor Catalog!A109:T109</x:v>
      </x:c>
    </x:row>
    <x:row r="110" ht="48" customHeight="1">
      <x:c r="A110" s="28" t="str">
        <x:v>PL-05</x:v>
      </x:c>
      <x:c r="B110" s="28" t="str">
        <x:v>Raincloud Watering Can</x:v>
      </x:c>
      <x:c r="C110" s="28" t="str">
        <x:v>Decoration</x:v>
      </x:c>
      <x:c r="D110" s="28" t="str">
        <x:v>River Revival</x:v>
      </x:c>
      <x:c r="E110" s="28" t="str">
        <x:v>Limited Edition</x:v>
      </x:c>
      <x:c r="F110" s="28" t="str">
        <x:v>Epic</x:v>
      </x:c>
      <x:c r="G110" s="32" t="n">
        <x:v>12</x:v>
      </x:c>
      <x:c r="H110" s="28" t="str">
        <x:v>Pearls</x:v>
      </x:c>
      <x:c r="I110" s="32" t="n">
        <x:v>0</x:v>
      </x:c>
      <x:c r="J110" s="42" t="n">
        <x:v>0.33749999999999997</x:v>
      </x:c>
      <x:c r="K110" s="32" t="n">
        <x:v>20</x:v>
      </x:c>
      <x:c r="L110" s="38" t="n">
        <x:f>IF(I110&gt;0,I110,IF(H110="Coins",MAX($I$5,ROUND(VLOOKUP(G110,'XP &amp; Unlocks'!$A$5:$N$74,4,FALSE)*J110/5,0)*5),K110))</x:f>
        <x:v>20</x:v>
      </x:c>
      <x:c r="M110" s="28" t="n">
        <x:f>'Inputs'!$B$35</x:f>
        <x:v>0</x:v>
      </x:c>
      <x:c r="N110" s="28" t="n">
        <x:f>IF(Q110="Small",'Inputs'!$B$36,IF(Q110="Medium",'Inputs'!$B$37,IF(Q110="Large",'Inputs'!$B$38,'Inputs'!$B$39)))</x:f>
        <x:v>35</x:v>
      </x:c>
      <x:c r="O110" s="34" t="n">
        <x:v>2.2</x:v>
      </x:c>
      <x:c r="P110" s="34" t="n">
        <x:v>1.9</x:v>
      </x:c>
      <x:c r="Q110" s="28" t="str">
        <x:f>IF(MAX(O110,P110)&lt;=1.2,"Small",IF(MAX(O110,P110)&lt;=2,"Medium",IF(MAX(O110,P110)&lt;=3.2,"Large","XL")))</x:f>
        <x:v>Large</x:v>
      </x:c>
      <x:c r="R110" s="28" t="str">
        <x:v>Midground</x:v>
      </x:c>
      <x:c r="S110" s="28" t="str">
        <x:v>River Revival</x:v>
      </x:c>
      <x:c r="T110" s="28" t="str">
        <x:f>IF(E110="Limited Edition","Event-gated",IF(G110&lt;='Inputs'!$B$5,"Launch","Post-launch"))</x:f>
        <x:v>Event-gated</x:v>
      </x:c>
      <x:c r="U110" s="28" t="n">
        <x:v>7</x:v>
      </x:c>
      <x:c r="V110" s="28" t="str">
        <x:v>Whimsical Object</x:v>
      </x:c>
      <x:c r="W110" s="28" t="str">
        <x:f>IF(AND(L110&gt;0,M110=0,MAX(O110,P110)&lt;=4.5,MIN(O110,P110)&gt;0,OR(H110="Coins",H110="Pearls")),"MODEL OK","REVIEW")</x:f>
        <x:v>MODEL OK</x:v>
      </x:c>
      <x:c r="X110" s="28" t="str">
        <x:v>Decor Catalog!A110:T110</x:v>
      </x:c>
    </x:row>
    <x:row r="111" ht="48" customHeight="1">
      <x:c r="A111" s="28" t="str">
        <x:v>CL-06</x:v>
      </x:c>
      <x:c r="B111" s="28" t="str">
        <x:v>Reef Rescue Plaque</x:v>
      </x:c>
      <x:c r="C111" s="28" t="str">
        <x:v>Decoration</x:v>
      </x:c>
      <x:c r="D111" s="28" t="str">
        <x:v>Ocean Week</x:v>
      </x:c>
      <x:c r="E111" s="28" t="str">
        <x:v>Limited Edition</x:v>
      </x:c>
      <x:c r="F111" s="28" t="str">
        <x:v>Rare</x:v>
      </x:c>
      <x:c r="G111" s="32" t="n">
        <x:v>15</x:v>
      </x:c>
      <x:c r="H111" s="28" t="str">
        <x:v>Coins</x:v>
      </x:c>
      <x:c r="I111" s="32" t="n">
        <x:v>0</x:v>
      </x:c>
      <x:c r="J111" s="42" t="n">
        <x:v>0.15600000000000003</x:v>
      </x:c>
      <x:c r="K111" s="32" t="n">
        <x:v>12</x:v>
      </x:c>
      <x:c r="L111" s="38" t="n">
        <x:f>IF(I111&gt;0,I111,IF(H111="Coins",MAX($I$5,ROUND(VLOOKUP(G111,'XP &amp; Unlocks'!$A$5:$N$74,4,FALSE)*J111/5,0)*5),K111))</x:f>
        <x:v>2670</x:v>
      </x:c>
      <x:c r="M111" s="28" t="n">
        <x:f>'Inputs'!$B$35</x:f>
        <x:v>0</x:v>
      </x:c>
      <x:c r="N111" s="28" t="n">
        <x:f>IF(Q111="Small",'Inputs'!$B$36,IF(Q111="Medium",'Inputs'!$B$37,IF(Q111="Large",'Inputs'!$B$38,'Inputs'!$B$39)))</x:f>
        <x:v>20</x:v>
      </x:c>
      <x:c r="O111" s="34" t="n">
        <x:v>1.9</x:v>
      </x:c>
      <x:c r="P111" s="34" t="n">
        <x:v>1.4</x:v>
      </x:c>
      <x:c r="Q111" s="28" t="str">
        <x:f>IF(MAX(O111,P111)&lt;=1.2,"Small",IF(MAX(O111,P111)&lt;=2,"Medium",IF(MAX(O111,P111)&lt;=3.2,"Large","XL")))</x:f>
        <x:v>Medium</x:v>
      </x:c>
      <x:c r="R111" s="28" t="str">
        <x:v>Foreground</x:v>
      </x:c>
      <x:c r="S111" s="28" t="str">
        <x:v>Ocean Week</x:v>
      </x:c>
      <x:c r="T111" s="28" t="str">
        <x:f>IF(E111="Limited Edition","Event-gated",IF(G111&lt;='Inputs'!$B$5,"Launch","Post-launch"))</x:f>
        <x:v>Event-gated</x:v>
      </x:c>
      <x:c r="U111" s="28" t="n">
        <x:v>1700</x:v>
      </x:c>
      <x:c r="V111" s="28" t="str">
        <x:v>Ground Accent</x:v>
      </x:c>
      <x:c r="W111" s="28" t="str">
        <x:f>IF(AND(L111&gt;0,M111=0,MAX(O111,P111)&lt;=4.5,MIN(O111,P111)&gt;0,OR(H111="Coins",H111="Pearls")),"MODEL OK","REVIEW")</x:f>
        <x:v>MODEL OK</x:v>
      </x:c>
      <x:c r="X111" s="28" t="str">
        <x:v>Decor Catalog!A111:T111</x:v>
      </x:c>
    </x:row>
    <x:row r="112" ht="48" customHeight="1">
      <x:c r="A112" s="28" t="str">
        <x:v>PL-06</x:v>
      </x:c>
      <x:c r="B112" s="28" t="str">
        <x:v>Coral-pink Seagrass Fan</x:v>
      </x:c>
      <x:c r="C112" s="28" t="str">
        <x:v>Plant</x:v>
      </x:c>
      <x:c r="D112" s="28" t="str">
        <x:v>Ocean Week</x:v>
      </x:c>
      <x:c r="E112" s="28" t="str">
        <x:v>Limited Edition</x:v>
      </x:c>
      <x:c r="F112" s="28" t="str">
        <x:v>Epic</x:v>
      </x:c>
      <x:c r="G112" s="32" t="n">
        <x:v>15</x:v>
      </x:c>
      <x:c r="H112" s="28" t="str">
        <x:v>Pearls</x:v>
      </x:c>
      <x:c r="I112" s="32" t="n">
        <x:v>0</x:v>
      </x:c>
      <x:c r="J112" s="42" t="n">
        <x:v>0.33749999999999997</x:v>
      </x:c>
      <x:c r="K112" s="32" t="n">
        <x:v>20</x:v>
      </x:c>
      <x:c r="L112" s="38" t="n">
        <x:f>IF(I112&gt;0,I112,IF(H112="Coins",MAX($I$5,ROUND(VLOOKUP(G112,'XP &amp; Unlocks'!$A$5:$N$74,4,FALSE)*J112/5,0)*5),K112))</x:f>
        <x:v>20</x:v>
      </x:c>
      <x:c r="M112" s="28" t="n">
        <x:f>'Inputs'!$B$35</x:f>
        <x:v>0</x:v>
      </x:c>
      <x:c r="N112" s="28" t="n">
        <x:f>IF(Q112="Small",'Inputs'!$B$36,IF(Q112="Medium",'Inputs'!$B$37,IF(Q112="Large",'Inputs'!$B$38,'Inputs'!$B$39)))</x:f>
        <x:v>35</x:v>
      </x:c>
      <x:c r="O112" s="34" t="n">
        <x:v>2.2</x:v>
      </x:c>
      <x:c r="P112" s="34" t="n">
        <x:v>2.8</x:v>
      </x:c>
      <x:c r="Q112" s="28" t="str">
        <x:f>IF(MAX(O112,P112)&lt;=1.2,"Small",IF(MAX(O112,P112)&lt;=2,"Medium",IF(MAX(O112,P112)&lt;=3.2,"Large","XL")))</x:f>
        <x:v>Large</x:v>
      </x:c>
      <x:c r="R112" s="28" t="str">
        <x:v>Background</x:v>
      </x:c>
      <x:c r="S112" s="28" t="str">
        <x:v>Ocean Week</x:v>
      </x:c>
      <x:c r="T112" s="28" t="str">
        <x:f>IF(E112="Limited Edition","Event-gated",IF(G112&lt;='Inputs'!$B$5,"Launch","Post-launch"))</x:f>
        <x:v>Event-gated</x:v>
      </x:c>
      <x:c r="U112" s="28" t="n">
        <x:v>7</x:v>
      </x:c>
      <x:c r="V112" s="28" t="str">
        <x:v>Fantasy Plant</x:v>
      </x:c>
      <x:c r="W112" s="28" t="str">
        <x:f>IF(AND(L112&gt;0,M112=0,MAX(O112,P112)&lt;=4.5,MIN(O112,P112)&gt;0,OR(H112="Coins",H112="Pearls")),"MODEL OK","REVIEW")</x:f>
        <x:v>MODEL OK</x:v>
      </x:c>
      <x:c r="X112" s="28" t="str">
        <x:v>Decor Catalog!A112:T112</x:v>
      </x:c>
    </x:row>
    <x:row r="113" ht="48" customHeight="1">
      <x:c r="A113" s="28" t="str">
        <x:v>CL-07</x:v>
      </x:c>
      <x:c r="B113" s="28" t="str">
        <x:v>Sunburst Reed Rosette</x:v>
      </x:c>
      <x:c r="C113" s="28" t="str">
        <x:v>Plant</x:v>
      </x:c>
      <x:c r="D113" s="28" t="str">
        <x:v>Summer Festival</x:v>
      </x:c>
      <x:c r="E113" s="28" t="str">
        <x:v>Limited Edition</x:v>
      </x:c>
      <x:c r="F113" s="28" t="str">
        <x:v>Rare</x:v>
      </x:c>
      <x:c r="G113" s="32" t="n">
        <x:v>10</x:v>
      </x:c>
      <x:c r="H113" s="28" t="str">
        <x:v>Coins</x:v>
      </x:c>
      <x:c r="I113" s="32" t="n">
        <x:v>0</x:v>
      </x:c>
      <x:c r="J113" s="42" t="n">
        <x:v>0.15600000000000003</x:v>
      </x:c>
      <x:c r="K113" s="32" t="n">
        <x:v>12</x:v>
      </x:c>
      <x:c r="L113" s="38" t="n">
        <x:f>IF(I113&gt;0,I113,IF(H113="Coins",MAX($I$5,ROUND(VLOOKUP(G113,'XP &amp; Unlocks'!$A$5:$N$74,4,FALSE)*J113/5,0)*5),K113))</x:f>
        <x:v>1975</x:v>
      </x:c>
      <x:c r="M113" s="28" t="n">
        <x:f>'Inputs'!$B$35</x:f>
        <x:v>0</x:v>
      </x:c>
      <x:c r="N113" s="28" t="n">
        <x:f>IF(Q113="Small",'Inputs'!$B$36,IF(Q113="Medium",'Inputs'!$B$37,IF(Q113="Large",'Inputs'!$B$38,'Inputs'!$B$39)))</x:f>
        <x:v>20</x:v>
      </x:c>
      <x:c r="O113" s="34" t="n">
        <x:v>2</x:v>
      </x:c>
      <x:c r="P113" s="34" t="n">
        <x:v>1.8</x:v>
      </x:c>
      <x:c r="Q113" s="28" t="str">
        <x:f>IF(MAX(O113,P113)&lt;=1.2,"Small",IF(MAX(O113,P113)&lt;=2,"Medium",IF(MAX(O113,P113)&lt;=3.2,"Large","XL")))</x:f>
        <x:v>Medium</x:v>
      </x:c>
      <x:c r="R113" s="28" t="str">
        <x:v>Midground</x:v>
      </x:c>
      <x:c r="S113" s="28" t="str">
        <x:v>Summer Festival</x:v>
      </x:c>
      <x:c r="T113" s="28" t="str">
        <x:f>IF(E113="Limited Edition","Event-gated",IF(G113&lt;='Inputs'!$B$5,"Launch","Post-launch"))</x:f>
        <x:v>Event-gated</x:v>
      </x:c>
      <x:c r="U113" s="28" t="n">
        <x:v>900</x:v>
      </x:c>
      <x:c r="V113" s="28" t="str">
        <x:v>Rosette Plant</x:v>
      </x:c>
      <x:c r="W113" s="28" t="str">
        <x:f>IF(AND(L113&gt;0,M113=0,MAX(O113,P113)&lt;=4.5,MIN(O113,P113)&gt;0,OR(H113="Coins",H113="Pearls")),"MODEL OK","REVIEW")</x:f>
        <x:v>MODEL OK</x:v>
      </x:c>
      <x:c r="X113" s="28" t="str">
        <x:v>Decor Catalog!A113:T113</x:v>
      </x:c>
    </x:row>
    <x:row r="114" ht="48" customHeight="1">
      <x:c r="A114" s="28" t="str">
        <x:v>PL-07</x:v>
      </x:c>
      <x:c r="B114" s="28" t="str">
        <x:v>Festival Pinwheel</x:v>
      </x:c>
      <x:c r="C114" s="28" t="str">
        <x:v>Decoration</x:v>
      </x:c>
      <x:c r="D114" s="28" t="str">
        <x:v>Summer Festival</x:v>
      </x:c>
      <x:c r="E114" s="28" t="str">
        <x:v>Limited Edition</x:v>
      </x:c>
      <x:c r="F114" s="28" t="str">
        <x:v>Epic</x:v>
      </x:c>
      <x:c r="G114" s="32" t="n">
        <x:v>10</x:v>
      </x:c>
      <x:c r="H114" s="28" t="str">
        <x:v>Pearls</x:v>
      </x:c>
      <x:c r="I114" s="32" t="n">
        <x:v>0</x:v>
      </x:c>
      <x:c r="J114" s="42" t="n">
        <x:v>0.33749999999999997</x:v>
      </x:c>
      <x:c r="K114" s="32" t="n">
        <x:v>20</x:v>
      </x:c>
      <x:c r="L114" s="38" t="n">
        <x:f>IF(I114&gt;0,I114,IF(H114="Coins",MAX($I$5,ROUND(VLOOKUP(G114,'XP &amp; Unlocks'!$A$5:$N$74,4,FALSE)*J114/5,0)*5),K114))</x:f>
        <x:v>20</x:v>
      </x:c>
      <x:c r="M114" s="28" t="n">
        <x:f>'Inputs'!$B$35</x:f>
        <x:v>0</x:v>
      </x:c>
      <x:c r="N114" s="28" t="n">
        <x:f>IF(Q114="Small",'Inputs'!$B$36,IF(Q114="Medium",'Inputs'!$B$37,IF(Q114="Large",'Inputs'!$B$38,'Inputs'!$B$39)))</x:f>
        <x:v>35</x:v>
      </x:c>
      <x:c r="O114" s="34" t="n">
        <x:v>1.9</x:v>
      </x:c>
      <x:c r="P114" s="34" t="n">
        <x:v>2.5</x:v>
      </x:c>
      <x:c r="Q114" s="28" t="str">
        <x:f>IF(MAX(O114,P114)&lt;=1.2,"Small",IF(MAX(O114,P114)&lt;=2,"Medium",IF(MAX(O114,P114)&lt;=3.2,"Large","XL")))</x:f>
        <x:v>Large</x:v>
      </x:c>
      <x:c r="R114" s="28" t="str">
        <x:v>Midground</x:v>
      </x:c>
      <x:c r="S114" s="28" t="str">
        <x:v>Summer Festival</x:v>
      </x:c>
      <x:c r="T114" s="28" t="str">
        <x:f>IF(E114="Limited Edition","Event-gated",IF(G114&lt;='Inputs'!$B$5,"Launch","Post-launch"))</x:f>
        <x:v>Event-gated</x:v>
      </x:c>
      <x:c r="U114" s="28" t="n">
        <x:v>6</x:v>
      </x:c>
      <x:c r="V114" s="28" t="str">
        <x:v>Mechanical Toy</x:v>
      </x:c>
      <x:c r="W114" s="28" t="str">
        <x:f>IF(AND(L114&gt;0,M114=0,MAX(O114,P114)&lt;=4.5,MIN(O114,P114)&gt;0,OR(H114="Coins",H114="Pearls")),"MODEL OK","REVIEW")</x:f>
        <x:v>MODEL OK</x:v>
      </x:c>
      <x:c r="X114" s="28" t="str">
        <x:v>Decor Catalog!A114:T114</x:v>
      </x:c>
    </x:row>
    <x:row r="115" ht="48" customHeight="1">
      <x:c r="A115" s="28" t="str">
        <x:v>CL-08</x:v>
      </x:c>
      <x:c r="B115" s="28" t="str">
        <x:v>Monsoon Frog Pot</x:v>
      </x:c>
      <x:c r="C115" s="28" t="str">
        <x:v>Decoration</x:v>
      </x:c>
      <x:c r="D115" s="28" t="str">
        <x:v>Monsoon Garden</x:v>
      </x:c>
      <x:c r="E115" s="28" t="str">
        <x:v>Limited Edition</x:v>
      </x:c>
      <x:c r="F115" s="28" t="str">
        <x:v>Rare</x:v>
      </x:c>
      <x:c r="G115" s="32" t="n">
        <x:v>18</x:v>
      </x:c>
      <x:c r="H115" s="28" t="str">
        <x:v>Coins</x:v>
      </x:c>
      <x:c r="I115" s="32" t="n">
        <x:v>0</x:v>
      </x:c>
      <x:c r="J115" s="42" t="n">
        <x:v>0.15600000000000003</x:v>
      </x:c>
      <x:c r="K115" s="32" t="n">
        <x:v>12</x:v>
      </x:c>
      <x:c r="L115" s="38" t="n">
        <x:f>IF(I115&gt;0,I115,IF(H115="Coins",MAX($I$5,ROUND(VLOOKUP(G115,'XP &amp; Unlocks'!$A$5:$N$74,4,FALSE)*J115/5,0)*5),K115))</x:f>
        <x:v>4130</x:v>
      </x:c>
      <x:c r="M115" s="28" t="n">
        <x:f>'Inputs'!$B$35</x:f>
        <x:v>0</x:v>
      </x:c>
      <x:c r="N115" s="28" t="n">
        <x:f>IF(Q115="Small",'Inputs'!$B$36,IF(Q115="Medium",'Inputs'!$B$37,IF(Q115="Large",'Inputs'!$B$38,'Inputs'!$B$39)))</x:f>
        <x:v>20</x:v>
      </x:c>
      <x:c r="O115" s="34" t="n">
        <x:v>1.8</x:v>
      </x:c>
      <x:c r="P115" s="34" t="n">
        <x:v>1.6</x:v>
      </x:c>
      <x:c r="Q115" s="28" t="str">
        <x:f>IF(MAX(O115,P115)&lt;=1.2,"Small",IF(MAX(O115,P115)&lt;=2,"Medium",IF(MAX(O115,P115)&lt;=3.2,"Large","XL")))</x:f>
        <x:v>Medium</x:v>
      </x:c>
      <x:c r="R115" s="28" t="str">
        <x:v>Midground</x:v>
      </x:c>
      <x:c r="S115" s="28" t="str">
        <x:v>Monsoon Garden</x:v>
      </x:c>
      <x:c r="T115" s="28" t="str">
        <x:f>IF(E115="Limited Edition","Event-gated",IF(G115&lt;='Inputs'!$B$5,"Launch","Post-launch"))</x:f>
        <x:v>Event-gated</x:v>
      </x:c>
      <x:c r="U115" s="28" t="n">
        <x:v>2300</x:v>
      </x:c>
      <x:c r="V115" s="28" t="str">
        <x:v>Pottery</x:v>
      </x:c>
      <x:c r="W115" s="28" t="str">
        <x:f>IF(AND(L115&gt;0,M115=0,MAX(O115,P115)&lt;=4.5,MIN(O115,P115)&gt;0,OR(H115="Coins",H115="Pearls")),"MODEL OK","REVIEW")</x:f>
        <x:v>MODEL OK</x:v>
      </x:c>
      <x:c r="X115" s="28" t="str">
        <x:v>Decor Catalog!A115:T115</x:v>
      </x:c>
    </x:row>
    <x:row r="116" ht="48" customHeight="1">
      <x:c r="A116" s="28" t="str">
        <x:v>PL-08</x:v>
      </x:c>
      <x:c r="B116" s="28" t="str">
        <x:v>Raindrop Lotus</x:v>
      </x:c>
      <x:c r="C116" s="28" t="str">
        <x:v>Plant</x:v>
      </x:c>
      <x:c r="D116" s="28" t="str">
        <x:v>Monsoon Garden</x:v>
      </x:c>
      <x:c r="E116" s="28" t="str">
        <x:v>Limited Edition</x:v>
      </x:c>
      <x:c r="F116" s="28" t="str">
        <x:v>Epic</x:v>
      </x:c>
      <x:c r="G116" s="32" t="n">
        <x:v>18</x:v>
      </x:c>
      <x:c r="H116" s="28" t="str">
        <x:v>Pearls</x:v>
      </x:c>
      <x:c r="I116" s="32" t="n">
        <x:v>0</x:v>
      </x:c>
      <x:c r="J116" s="42" t="n">
        <x:v>0.33749999999999997</x:v>
      </x:c>
      <x:c r="K116" s="32" t="n">
        <x:v>20</x:v>
      </x:c>
      <x:c r="L116" s="38" t="n">
        <x:f>IF(I116&gt;0,I116,IF(H116="Coins",MAX($I$5,ROUND(VLOOKUP(G116,'XP &amp; Unlocks'!$A$5:$N$74,4,FALSE)*J116/5,0)*5),K116))</x:f>
        <x:v>20</x:v>
      </x:c>
      <x:c r="M116" s="28" t="n">
        <x:f>'Inputs'!$B$35</x:f>
        <x:v>0</x:v>
      </x:c>
      <x:c r="N116" s="28" t="n">
        <x:f>IF(Q116="Small",'Inputs'!$B$36,IF(Q116="Medium",'Inputs'!$B$37,IF(Q116="Large",'Inputs'!$B$38,'Inputs'!$B$39)))</x:f>
        <x:v>35</x:v>
      </x:c>
      <x:c r="O116" s="34" t="n">
        <x:v>2.2</x:v>
      </x:c>
      <x:c r="P116" s="34" t="n">
        <x:v>2.3</x:v>
      </x:c>
      <x:c r="Q116" s="28" t="str">
        <x:f>IF(MAX(O116,P116)&lt;=1.2,"Small",IF(MAX(O116,P116)&lt;=2,"Medium",IF(MAX(O116,P116)&lt;=3.2,"Large","XL")))</x:f>
        <x:v>Large</x:v>
      </x:c>
      <x:c r="R116" s="28" t="str">
        <x:v>Midground</x:v>
      </x:c>
      <x:c r="S116" s="28" t="str">
        <x:v>Monsoon Garden</x:v>
      </x:c>
      <x:c r="T116" s="28" t="str">
        <x:f>IF(E116="Limited Edition","Event-gated",IF(G116&lt;='Inputs'!$B$5,"Launch","Post-launch"))</x:f>
        <x:v>Event-gated</x:v>
      </x:c>
      <x:c r="U116" s="28" t="n">
        <x:v>8</x:v>
      </x:c>
      <x:c r="V116" s="28" t="str">
        <x:v>Lotus</x:v>
      </x:c>
      <x:c r="W116" s="28" t="str">
        <x:f>IF(AND(L116&gt;0,M116=0,MAX(O116,P116)&lt;=4.5,MIN(O116,P116)&gt;0,OR(H116="Coins",H116="Pearls")),"MODEL OK","REVIEW")</x:f>
        <x:v>MODEL OK</x:v>
      </x:c>
      <x:c r="X116" s="28" t="str">
        <x:v>Decor Catalog!A116:T116</x:v>
      </x:c>
    </x:row>
    <x:row r="117" ht="48" customHeight="1">
      <x:c r="A117" s="28" t="str">
        <x:v>CL-09</x:v>
      </x:c>
      <x:c r="B117" s="28" t="str">
        <x:v>Amber Seed Wreath</x:v>
      </x:c>
      <x:c r="C117" s="28" t="str">
        <x:v>Plant</x:v>
      </x:c>
      <x:c r="D117" s="28" t="str">
        <x:v>Harvest Moon</x:v>
      </x:c>
      <x:c r="E117" s="28" t="str">
        <x:v>Limited Edition</x:v>
      </x:c>
      <x:c r="F117" s="28" t="str">
        <x:v>Rare</x:v>
      </x:c>
      <x:c r="G117" s="32" t="n">
        <x:v>20</x:v>
      </x:c>
      <x:c r="H117" s="28" t="str">
        <x:v>Coins</x:v>
      </x:c>
      <x:c r="I117" s="32" t="n">
        <x:v>0</x:v>
      </x:c>
      <x:c r="J117" s="42" t="n">
        <x:v>0.2925</x:v>
      </x:c>
      <x:c r="K117" s="32" t="n">
        <x:v>18</x:v>
      </x:c>
      <x:c r="L117" s="38" t="n">
        <x:f>IF(I117&gt;0,I117,IF(H117="Coins",MAX($I$5,ROUND(VLOOKUP(G117,'XP &amp; Unlocks'!$A$5:$N$74,4,FALSE)*J117/5,0)*5),K117))</x:f>
        <x:v>8140</x:v>
      </x:c>
      <x:c r="M117" s="28" t="n">
        <x:f>'Inputs'!$B$35</x:f>
        <x:v>0</x:v>
      </x:c>
      <x:c r="N117" s="28" t="n">
        <x:f>IF(Q117="Small",'Inputs'!$B$36,IF(Q117="Medium",'Inputs'!$B$37,IF(Q117="Large",'Inputs'!$B$38,'Inputs'!$B$39)))</x:f>
        <x:v>35</x:v>
      </x:c>
      <x:c r="O117" s="34" t="n">
        <x:v>2.2</x:v>
      </x:c>
      <x:c r="P117" s="34" t="n">
        <x:v>2.2</x:v>
      </x:c>
      <x:c r="Q117" s="28" t="str">
        <x:f>IF(MAX(O117,P117)&lt;=1.2,"Small",IF(MAX(O117,P117)&lt;=2,"Medium",IF(MAX(O117,P117)&lt;=3.2,"Large","XL")))</x:f>
        <x:v>Large</x:v>
      </x:c>
      <x:c r="R117" s="28" t="str">
        <x:v>Midground</x:v>
      </x:c>
      <x:c r="S117" s="28" t="str">
        <x:v>Harvest Moon</x:v>
      </x:c>
      <x:c r="T117" s="28" t="str">
        <x:f>IF(E117="Limited Edition","Event-gated",IF(G117&lt;='Inputs'!$B$5,"Launch","Post-launch"))</x:f>
        <x:v>Event-gated</x:v>
      </x:c>
      <x:c r="U117" s="28" t="n">
        <x:v>2800</x:v>
      </x:c>
      <x:c r="V117" s="28" t="str">
        <x:v>Fantasy Plant</x:v>
      </x:c>
      <x:c r="W117" s="28" t="str">
        <x:f>IF(AND(L117&gt;0,M117=0,MAX(O117,P117)&lt;=4.5,MIN(O117,P117)&gt;0,OR(H117="Coins",H117="Pearls")),"MODEL OK","REVIEW")</x:f>
        <x:v>MODEL OK</x:v>
      </x:c>
      <x:c r="X117" s="28" t="str">
        <x:v>Decor Catalog!A117:T117</x:v>
      </x:c>
    </x:row>
    <x:row r="118" ht="48" customHeight="1">
      <x:c r="A118" s="28" t="str">
        <x:v>PL-09</x:v>
      </x:c>
      <x:c r="B118" s="28" t="str">
        <x:v>Harvest Moon Arch</x:v>
      </x:c>
      <x:c r="C118" s="28" t="str">
        <x:v>Decoration</x:v>
      </x:c>
      <x:c r="D118" s="28" t="str">
        <x:v>Harvest Moon</x:v>
      </x:c>
      <x:c r="E118" s="28" t="str">
        <x:v>Limited Edition</x:v>
      </x:c>
      <x:c r="F118" s="28" t="str">
        <x:v>Epic</x:v>
      </x:c>
      <x:c r="G118" s="32" t="n">
        <x:v>20</x:v>
      </x:c>
      <x:c r="H118" s="28" t="str">
        <x:v>Pearls</x:v>
      </x:c>
      <x:c r="I118" s="32" t="n">
        <x:v>0</x:v>
      </x:c>
      <x:c r="J118" s="42" t="n">
        <x:v>0.33749999999999997</x:v>
      </x:c>
      <x:c r="K118" s="32" t="n">
        <x:v>20</x:v>
      </x:c>
      <x:c r="L118" s="38" t="n">
        <x:f>IF(I118&gt;0,I118,IF(H118="Coins",MAX($I$5,ROUND(VLOOKUP(G118,'XP &amp; Unlocks'!$A$5:$N$74,4,FALSE)*J118/5,0)*5),K118))</x:f>
        <x:v>20</x:v>
      </x:c>
      <x:c r="M118" s="28" t="n">
        <x:f>'Inputs'!$B$35</x:f>
        <x:v>0</x:v>
      </x:c>
      <x:c r="N118" s="28" t="n">
        <x:f>IF(Q118="Small",'Inputs'!$B$36,IF(Q118="Medium",'Inputs'!$B$37,IF(Q118="Large",'Inputs'!$B$38,'Inputs'!$B$39)))</x:f>
        <x:v>35</x:v>
      </x:c>
      <x:c r="O118" s="34" t="n">
        <x:v>2.8</x:v>
      </x:c>
      <x:c r="P118" s="34" t="n">
        <x:v>2.9</x:v>
      </x:c>
      <x:c r="Q118" s="28" t="str">
        <x:f>IF(MAX(O118,P118)&lt;=1.2,"Small",IF(MAX(O118,P118)&lt;=2,"Medium",IF(MAX(O118,P118)&lt;=3.2,"Large","XL")))</x:f>
        <x:v>Large</x:v>
      </x:c>
      <x:c r="R118" s="28" t="str">
        <x:v>Background</x:v>
      </x:c>
      <x:c r="S118" s="28" t="str">
        <x:v>Harvest Moon</x:v>
      </x:c>
      <x:c r="T118" s="28" t="str">
        <x:f>IF(E118="Limited Edition","Event-gated",IF(G118&lt;='Inputs'!$B$5,"Launch","Post-launch"))</x:f>
        <x:v>Event-gated</x:v>
      </x:c>
      <x:c r="U118" s="28" t="n">
        <x:v>9</x:v>
      </x:c>
      <x:c r="V118" s="28" t="str">
        <x:v>Garden Ornament</x:v>
      </x:c>
      <x:c r="W118" s="28" t="str">
        <x:f>IF(AND(L118&gt;0,M118=0,MAX(O118,P118)&lt;=4.5,MIN(O118,P118)&gt;0,OR(H118="Coins",H118="Pearls")),"MODEL OK","REVIEW")</x:f>
        <x:v>MODEL OK</x:v>
      </x:c>
      <x:c r="X118" s="28" t="str">
        <x:v>Decor Catalog!A118:T118</x:v>
      </x:c>
    </x:row>
    <x:row r="119" ht="48" customHeight="1">
      <x:c r="A119" s="28" t="str">
        <x:v>CL-10</x:v>
      </x:c>
      <x:c r="B119" s="28" t="str">
        <x:v>Pumpkin Shell House</x:v>
      </x:c>
      <x:c r="C119" s="28" t="str">
        <x:v>Decoration</x:v>
      </x:c>
      <x:c r="D119" s="28" t="str">
        <x:v>Halloween</x:v>
      </x:c>
      <x:c r="E119" s="28" t="str">
        <x:v>Limited Edition</x:v>
      </x:c>
      <x:c r="F119" s="28" t="str">
        <x:v>Rare</x:v>
      </x:c>
      <x:c r="G119" s="32" t="n">
        <x:v>12</x:v>
      </x:c>
      <x:c r="H119" s="28" t="str">
        <x:v>Coins</x:v>
      </x:c>
      <x:c r="I119" s="32" t="n">
        <x:v>0</x:v>
      </x:c>
      <x:c r="J119" s="42" t="n">
        <x:v>0.15600000000000003</x:v>
      </x:c>
      <x:c r="K119" s="32" t="n">
        <x:v>12</x:v>
      </x:c>
      <x:c r="L119" s="38" t="n">
        <x:f>IF(I119&gt;0,I119,IF(H119="Coins",MAX($I$5,ROUND(VLOOKUP(G119,'XP &amp; Unlocks'!$A$5:$N$74,4,FALSE)*J119/5,0)*5),K119))</x:f>
        <x:v>2450</x:v>
      </x:c>
      <x:c r="M119" s="28" t="n">
        <x:f>'Inputs'!$B$35</x:f>
        <x:v>0</x:v>
      </x:c>
      <x:c r="N119" s="28" t="n">
        <x:f>IF(Q119="Small",'Inputs'!$B$36,IF(Q119="Medium",'Inputs'!$B$37,IF(Q119="Large",'Inputs'!$B$38,'Inputs'!$B$39)))</x:f>
        <x:v>20</x:v>
      </x:c>
      <x:c r="O119" s="34" t="n">
        <x:v>1.9</x:v>
      </x:c>
      <x:c r="P119" s="34" t="n">
        <x:v>1.8</x:v>
      </x:c>
      <x:c r="Q119" s="28" t="str">
        <x:f>IF(MAX(O119,P119)&lt;=1.2,"Small",IF(MAX(O119,P119)&lt;=2,"Medium",IF(MAX(O119,P119)&lt;=3.2,"Large","XL")))</x:f>
        <x:v>Medium</x:v>
      </x:c>
      <x:c r="R119" s="28" t="str">
        <x:v>Midground</x:v>
      </x:c>
      <x:c r="S119" s="28" t="str">
        <x:v>Halloween</x:v>
      </x:c>
      <x:c r="T119" s="28" t="str">
        <x:f>IF(E119="Limited Edition","Event-gated",IF(G119&lt;='Inputs'!$B$5,"Launch","Post-launch"))</x:f>
        <x:v>Event-gated</x:v>
      </x:c>
      <x:c r="U119" s="28" t="n">
        <x:v>1200</x:v>
      </x:c>
      <x:c r="V119" s="28" t="str">
        <x:v>Fantasy Architecture</x:v>
      </x:c>
      <x:c r="W119" s="28" t="str">
        <x:f>IF(AND(L119&gt;0,M119=0,MAX(O119,P119)&lt;=4.5,MIN(O119,P119)&gt;0,OR(H119="Coins",H119="Pearls")),"MODEL OK","REVIEW")</x:f>
        <x:v>MODEL OK</x:v>
      </x:c>
      <x:c r="X119" s="28" t="str">
        <x:v>Decor Catalog!A119:T119</x:v>
      </x:c>
    </x:row>
    <x:row r="120" ht="48" customHeight="1">
      <x:c r="A120" s="28" t="str">
        <x:v>PL-10</x:v>
      </x:c>
      <x:c r="B120" s="28" t="str">
        <x:v>Mooncap Bloom</x:v>
      </x:c>
      <x:c r="C120" s="28" t="str">
        <x:v>Plant</x:v>
      </x:c>
      <x:c r="D120" s="28" t="str">
        <x:v>Halloween</x:v>
      </x:c>
      <x:c r="E120" s="28" t="str">
        <x:v>Limited Edition</x:v>
      </x:c>
      <x:c r="F120" s="28" t="str">
        <x:v>Epic</x:v>
      </x:c>
      <x:c r="G120" s="32" t="n">
        <x:v>12</x:v>
      </x:c>
      <x:c r="H120" s="28" t="str">
        <x:v>Pearls</x:v>
      </x:c>
      <x:c r="I120" s="32" t="n">
        <x:v>0</x:v>
      </x:c>
      <x:c r="J120" s="42" t="n">
        <x:v>0.33749999999999997</x:v>
      </x:c>
      <x:c r="K120" s="32" t="n">
        <x:v>20</x:v>
      </x:c>
      <x:c r="L120" s="38" t="n">
        <x:f>IF(I120&gt;0,I120,IF(H120="Coins",MAX($I$5,ROUND(VLOOKUP(G120,'XP &amp; Unlocks'!$A$5:$N$74,4,FALSE)*J120/5,0)*5),K120))</x:f>
        <x:v>20</x:v>
      </x:c>
      <x:c r="M120" s="28" t="n">
        <x:f>'Inputs'!$B$35</x:f>
        <x:v>0</x:v>
      </x:c>
      <x:c r="N120" s="28" t="n">
        <x:f>IF(Q120="Small",'Inputs'!$B$36,IF(Q120="Medium",'Inputs'!$B$37,IF(Q120="Large",'Inputs'!$B$38,'Inputs'!$B$39)))</x:f>
        <x:v>35</x:v>
      </x:c>
      <x:c r="O120" s="34" t="n">
        <x:v>2</x:v>
      </x:c>
      <x:c r="P120" s="34" t="n">
        <x:v>2.3</x:v>
      </x:c>
      <x:c r="Q120" s="28" t="str">
        <x:f>IF(MAX(O120,P120)&lt;=1.2,"Small",IF(MAX(O120,P120)&lt;=2,"Medium",IF(MAX(O120,P120)&lt;=3.2,"Large","XL")))</x:f>
        <x:v>Large</x:v>
      </x:c>
      <x:c r="R120" s="28" t="str">
        <x:v>Midground</x:v>
      </x:c>
      <x:c r="S120" s="28" t="str">
        <x:v>Halloween</x:v>
      </x:c>
      <x:c r="T120" s="28" t="str">
        <x:f>IF(E120="Limited Edition","Event-gated",IF(G120&lt;='Inputs'!$B$5,"Launch","Post-launch"))</x:f>
        <x:v>Event-gated</x:v>
      </x:c>
      <x:c r="U120" s="28" t="n">
        <x:v>7</x:v>
      </x:c>
      <x:c r="V120" s="28" t="str">
        <x:v>Fantasy Flower</x:v>
      </x:c>
      <x:c r="W120" s="28" t="str">
        <x:f>IF(AND(L120&gt;0,M120=0,MAX(O120,P120)&lt;=4.5,MIN(O120,P120)&gt;0,OR(H120="Coins",H120="Pearls")),"MODEL OK","REVIEW")</x:f>
        <x:v>MODEL OK</x:v>
      </x:c>
      <x:c r="X120" s="28" t="str">
        <x:v>Decor Catalog!A120:T120</x:v>
      </x:c>
    </x:row>
    <x:row r="121" ht="48" customHeight="1">
      <x:c r="A121" s="28" t="str">
        <x:v>CL-11</x:v>
      </x:c>
      <x:c r="B121" s="28" t="str">
        <x:v>Frost Fern</x:v>
      </x:c>
      <x:c r="C121" s="28" t="str">
        <x:v>Plant</x:v>
      </x:c>
      <x:c r="D121" s="28" t="str">
        <x:v>Winterfest</x:v>
      </x:c>
      <x:c r="E121" s="28" t="str">
        <x:v>Limited Edition</x:v>
      </x:c>
      <x:c r="F121" s="28" t="str">
        <x:v>Uncommon</x:v>
      </x:c>
      <x:c r="G121" s="32" t="n">
        <x:v>5</x:v>
      </x:c>
      <x:c r="H121" s="28" t="str">
        <x:v>Coins</x:v>
      </x:c>
      <x:c r="I121" s="32" t="n">
        <x:v>0</x:v>
      </x:c>
      <x:c r="J121" s="42" t="n">
        <x:v>0.092</x:v>
      </x:c>
      <x:c r="K121" s="32" t="n">
        <x:v>11</x:v>
      </x:c>
      <x:c r="L121" s="38" t="n">
        <x:f>IF(I121&gt;0,I121,IF(H121="Coins",MAX($I$5,ROUND(VLOOKUP(G121,'XP &amp; Unlocks'!$A$5:$N$74,4,FALSE)*J121/5,0)*5),K121))</x:f>
        <x:v>490</x:v>
      </x:c>
      <x:c r="M121" s="28" t="n">
        <x:f>'Inputs'!$B$35</x:f>
        <x:v>0</x:v>
      </x:c>
      <x:c r="N121" s="28" t="n">
        <x:f>IF(Q121="Small",'Inputs'!$B$36,IF(Q121="Medium",'Inputs'!$B$37,IF(Q121="Large",'Inputs'!$B$38,'Inputs'!$B$39)))</x:f>
        <x:v>20</x:v>
      </x:c>
      <x:c r="O121" s="34" t="n">
        <x:v>1.6</x:v>
      </x:c>
      <x:c r="P121" s="34" t="n">
        <x:v>1.8</x:v>
      </x:c>
      <x:c r="Q121" s="28" t="str">
        <x:f>IF(MAX(O121,P121)&lt;=1.2,"Small",IF(MAX(O121,P121)&lt;=2,"Medium",IF(MAX(O121,P121)&lt;=3.2,"Large","XL")))</x:f>
        <x:v>Medium</x:v>
      </x:c>
      <x:c r="R121" s="28" t="str">
        <x:v>Midground</x:v>
      </x:c>
      <x:c r="S121" s="28" t="str">
        <x:v>Winterfest</x:v>
      </x:c>
      <x:c r="T121" s="28" t="str">
        <x:f>IF(E121="Limited Edition","Event-gated",IF(G121&lt;='Inputs'!$B$5,"Launch","Post-launch"))</x:f>
        <x:v>Event-gated</x:v>
      </x:c>
      <x:c r="U121" s="28" t="n">
        <x:v>400</x:v>
      </x:c>
      <x:c r="V121" s="28" t="str">
        <x:v>Fern</x:v>
      </x:c>
      <x:c r="W121" s="28" t="str">
        <x:f>IF(AND(L121&gt;0,M121=0,MAX(O121,P121)&lt;=4.5,MIN(O121,P121)&gt;0,OR(H121="Coins",H121="Pearls")),"MODEL OK","REVIEW")</x:f>
        <x:v>MODEL OK</x:v>
      </x:c>
      <x:c r="X121" s="28" t="str">
        <x:v>Decor Catalog!A121:T121</x:v>
      </x:c>
    </x:row>
    <x:row r="122" ht="48" customHeight="1">
      <x:c r="A122" s="28" t="str">
        <x:v>PL-11</x:v>
      </x:c>
      <x:c r="B122" s="28" t="str">
        <x:v>Snowglobe Grotto</x:v>
      </x:c>
      <x:c r="C122" s="28" t="str">
        <x:v>Decoration</x:v>
      </x:c>
      <x:c r="D122" s="28" t="str">
        <x:v>Winterfest</x:v>
      </x:c>
      <x:c r="E122" s="28" t="str">
        <x:v>Limited Edition</x:v>
      </x:c>
      <x:c r="F122" s="28" t="str">
        <x:v>Epic</x:v>
      </x:c>
      <x:c r="G122" s="32" t="n">
        <x:v>15</x:v>
      </x:c>
      <x:c r="H122" s="28" t="str">
        <x:v>Pearls</x:v>
      </x:c>
      <x:c r="I122" s="32" t="n">
        <x:v>0</x:v>
      </x:c>
      <x:c r="J122" s="42" t="n">
        <x:v>0.33749999999999997</x:v>
      </x:c>
      <x:c r="K122" s="32" t="n">
        <x:v>20</x:v>
      </x:c>
      <x:c r="L122" s="38" t="n">
        <x:f>IF(I122&gt;0,I122,IF(H122="Coins",MAX($I$5,ROUND(VLOOKUP(G122,'XP &amp; Unlocks'!$A$5:$N$74,4,FALSE)*J122/5,0)*5),K122))</x:f>
        <x:v>20</x:v>
      </x:c>
      <x:c r="M122" s="28" t="n">
        <x:f>'Inputs'!$B$35</x:f>
        <x:v>0</x:v>
      </x:c>
      <x:c r="N122" s="28" t="n">
        <x:f>IF(Q122="Small",'Inputs'!$B$36,IF(Q122="Medium",'Inputs'!$B$37,IF(Q122="Large",'Inputs'!$B$38,'Inputs'!$B$39)))</x:f>
        <x:v>35</x:v>
      </x:c>
      <x:c r="O122" s="34" t="n">
        <x:v>2.3</x:v>
      </x:c>
      <x:c r="P122" s="34" t="n">
        <x:v>2.6</x:v>
      </x:c>
      <x:c r="Q122" s="28" t="str">
        <x:f>IF(MAX(O122,P122)&lt;=1.2,"Small",IF(MAX(O122,P122)&lt;=2,"Medium",IF(MAX(O122,P122)&lt;=3.2,"Large","XL")))</x:f>
        <x:v>Large</x:v>
      </x:c>
      <x:c r="R122" s="28" t="str">
        <x:v>Midground</x:v>
      </x:c>
      <x:c r="S122" s="28" t="str">
        <x:v>Winterfest</x:v>
      </x:c>
      <x:c r="T122" s="28" t="str">
        <x:f>IF(E122="Limited Edition","Event-gated",IF(G122&lt;='Inputs'!$B$5,"Launch","Post-launch"))</x:f>
        <x:v>Event-gated</x:v>
      </x:c>
      <x:c r="U122" s="28" t="n">
        <x:v>8</x:v>
      </x:c>
      <x:c r="V122" s="28" t="str">
        <x:v>Whimsical Object</x:v>
      </x:c>
      <x:c r="W122" s="28" t="str">
        <x:f>IF(AND(L122&gt;0,M122=0,MAX(O122,P122)&lt;=4.5,MIN(O122,P122)&gt;0,OR(H122="Coins",H122="Pearls")),"MODEL OK","REVIEW")</x:f>
        <x:v>MODEL OK</x:v>
      </x:c>
      <x:c r="X122" s="28" t="str">
        <x:v>Decor Catalog!A122:T122</x:v>
      </x:c>
    </x:row>
    <x:row r="123" ht="48" customHeight="1">
      <x:c r="A123" s="28" t="str">
        <x:v>CL-12</x:v>
      </x:c>
      <x:c r="B123" s="28" t="str">
        <x:v>Founder's Shell Plinth</x:v>
      </x:c>
      <x:c r="C123" s="28" t="str">
        <x:v>Decoration</x:v>
      </x:c>
      <x:c r="D123" s="28" t="str">
        <x:v>Game Anniversary</x:v>
      </x:c>
      <x:c r="E123" s="28" t="str">
        <x:v>Limited Edition</x:v>
      </x:c>
      <x:c r="F123" s="28" t="str">
        <x:v>Uncommon</x:v>
      </x:c>
      <x:c r="G123" s="32" t="n">
        <x:v>1</x:v>
      </x:c>
      <x:c r="H123" s="28" t="str">
        <x:v>Coins</x:v>
      </x:c>
      <x:c r="I123" s="32" t="n">
        <x:v>0</x:v>
      </x:c>
      <x:c r="J123" s="42" t="n">
        <x:v>0.092</x:v>
      </x:c>
      <x:c r="K123" s="32" t="n">
        <x:v>11</x:v>
      </x:c>
      <x:c r="L123" s="38" t="n">
        <x:f>IF(I123&gt;0,I123,IF(H123="Coins",MAX($I$5,ROUND(VLOOKUP(G123,'XP &amp; Unlocks'!$A$5:$N$74,4,FALSE)*J123/5,0)*5),K123))</x:f>
        <x:v>275</x:v>
      </x:c>
      <x:c r="M123" s="28" t="n">
        <x:f>'Inputs'!$B$35</x:f>
        <x:v>0</x:v>
      </x:c>
      <x:c r="N123" s="28" t="n">
        <x:f>IF(Q123="Small",'Inputs'!$B$36,IF(Q123="Medium",'Inputs'!$B$37,IF(Q123="Large",'Inputs'!$B$38,'Inputs'!$B$39)))</x:f>
        <x:v>20</x:v>
      </x:c>
      <x:c r="O123" s="34" t="n">
        <x:v>1.4</x:v>
      </x:c>
      <x:c r="P123" s="34" t="n">
        <x:v>1.3</x:v>
      </x:c>
      <x:c r="Q123" s="28" t="str">
        <x:f>IF(MAX(O123,P123)&lt;=1.2,"Small",IF(MAX(O123,P123)&lt;=2,"Medium",IF(MAX(O123,P123)&lt;=3.2,"Large","XL")))</x:f>
        <x:v>Medium</x:v>
      </x:c>
      <x:c r="R123" s="28" t="str">
        <x:v>Foreground</x:v>
      </x:c>
      <x:c r="S123" s="28" t="str">
        <x:v>Game Anniversary</x:v>
      </x:c>
      <x:c r="T123" s="28" t="str">
        <x:f>IF(E123="Limited Edition","Event-gated",IF(G123&lt;='Inputs'!$B$5,"Launch","Post-launch"))</x:f>
        <x:v>Event-gated</x:v>
      </x:c>
      <x:c r="U123" s="28" t="n">
        <x:v>100</x:v>
      </x:c>
      <x:c r="V123" s="28" t="str">
        <x:v>Commemorative Ornament</x:v>
      </x:c>
      <x:c r="W123" s="28" t="str">
        <x:f>IF(AND(L123&gt;0,M123=0,MAX(O123,P123)&lt;=4.5,MIN(O123,P123)&gt;0,OR(H123="Coins",H123="Pearls")),"MODEL OK","REVIEW")</x:f>
        <x:v>MODEL OK</x:v>
      </x:c>
      <x:c r="X123" s="28" t="str">
        <x:v>Decor Catalog!A123:T123</x:v>
      </x:c>
    </x:row>
    <x:row r="124" ht="48" customHeight="1">
      <x:c r="A124" s="28" t="str">
        <x:v>PL-12</x:v>
      </x:c>
      <x:c r="B124" s="28" t="str">
        <x:v>Celebration Lotus</x:v>
      </x:c>
      <x:c r="C124" s="28" t="str">
        <x:v>Plant</x:v>
      </x:c>
      <x:c r="D124" s="28" t="str">
        <x:v>Game Anniversary</x:v>
      </x:c>
      <x:c r="E124" s="28" t="str">
        <x:v>Limited Edition</x:v>
      </x:c>
      <x:c r="F124" s="28" t="str">
        <x:v>Epic</x:v>
      </x:c>
      <x:c r="G124" s="32" t="n">
        <x:v>5</x:v>
      </x:c>
      <x:c r="H124" s="28" t="str">
        <x:v>Pearls</x:v>
      </x:c>
      <x:c r="I124" s="32" t="n">
        <x:v>0</x:v>
      </x:c>
      <x:c r="J124" s="42" t="n">
        <x:v>0.33749999999999997</x:v>
      </x:c>
      <x:c r="K124" s="32" t="n">
        <x:v>20</x:v>
      </x:c>
      <x:c r="L124" s="38" t="n">
        <x:f>IF(I124&gt;0,I124,IF(H124="Coins",MAX($I$5,ROUND(VLOOKUP(G124,'XP &amp; Unlocks'!$A$5:$N$74,4,FALSE)*J124/5,0)*5),K124))</x:f>
        <x:v>20</x:v>
      </x:c>
      <x:c r="M124" s="28" t="n">
        <x:f>'Inputs'!$B$35</x:f>
        <x:v>0</x:v>
      </x:c>
      <x:c r="N124" s="28" t="n">
        <x:f>IF(Q124="Small",'Inputs'!$B$36,IF(Q124="Medium",'Inputs'!$B$37,IF(Q124="Large",'Inputs'!$B$38,'Inputs'!$B$39)))</x:f>
        <x:v>35</x:v>
      </x:c>
      <x:c r="O124" s="34" t="n">
        <x:v>2.2</x:v>
      </x:c>
      <x:c r="P124" s="34" t="n">
        <x:v>2.2</x:v>
      </x:c>
      <x:c r="Q124" s="28" t="str">
        <x:f>IF(MAX(O124,P124)&lt;=1.2,"Small",IF(MAX(O124,P124)&lt;=2,"Medium",IF(MAX(O124,P124)&lt;=3.2,"Large","XL")))</x:f>
        <x:v>Large</x:v>
      </x:c>
      <x:c r="R124" s="28" t="str">
        <x:v>Midground</x:v>
      </x:c>
      <x:c r="S124" s="28" t="str">
        <x:v>Game Anniversary</x:v>
      </x:c>
      <x:c r="T124" s="28" t="str">
        <x:f>IF(E124="Limited Edition","Event-gated",IF(G124&lt;='Inputs'!$B$5,"Launch","Post-launch"))</x:f>
        <x:v>Event-gated</x:v>
      </x:c>
      <x:c r="U124" s="28" t="n">
        <x:v>5</x:v>
      </x:c>
      <x:c r="V124" s="28" t="str">
        <x:v>Lotus</x:v>
      </x:c>
      <x:c r="W124" s="28" t="str">
        <x:f>IF(AND(L124&gt;0,M124=0,MAX(O124,P124)&lt;=4.5,MIN(O124,P124)&gt;0,OR(H124="Coins",H124="Pearls")),"MODEL OK","REVIEW")</x:f>
        <x:v>MODEL OK</x:v>
      </x:c>
      <x:c r="X124" s="28" t="str">
        <x:v>Decor Catalog!A124:T124</x:v>
      </x:c>
    </x:row>
  </x:sheetData>
  <x:mergeCells>
    <x:mergeCell ref="A1:X1"/>
    <x:mergeCell ref="A2:X2"/>
  </x:mergeCells>
  <x:pageMargins left="0.7" right="0.7" top="0.75" bottom="0.75" header="0.3" footer="0.3"/>
  <x:tableParts count="1">
    <x:tablePart xmlns:r="http://schemas.openxmlformats.org/officeDocument/2006/relationships" r:id="Rbd789f6517c34efd"/>
  </x:tableParts>
</x:worksheet>
</file>

<file path=xl/worksheets/sheet21.xml><?xml version="1.0" encoding="utf-8"?>
<x:worksheet xmlns:x="http://schemas.openxmlformats.org/spreadsheetml/2006/main">
  <x:sheetFormatPr defaultRowHeight="15"/>
  <x:cols>
    <x:col min="1" max="1" width="14" hidden="0" customWidth="1"/>
    <x:col min="2" max="2" width="28" hidden="0" customWidth="1"/>
    <x:col min="3" max="3" width="44" hidden="0" customWidth="1"/>
    <x:col min="4" max="4" width="35" hidden="0" customWidth="1"/>
    <x:col min="5" max="5" width="40" hidden="0" customWidth="1"/>
    <x:col min="6" max="6" width="28" hidden="0" customWidth="1"/>
    <x:col min="7" max="7" width="44" hidden="0" customWidth="1"/>
    <x:col min="8" max="8" width="48" hidden="0" customWidth="1"/>
    <x:col min="9" max="9" width="20" hidden="0" customWidth="1"/>
    <x:col min="10" max="10" width="38" hidden="0" customWidth="1"/>
    <x:col min="11" max="11" width="42" hidden="0" customWidth="1"/>
    <x:col min="12" max="12" width="40" hidden="0" customWidth="1"/>
  </x:cols>
  <x:sheetData>
    <x:row r="1" ht="34" customHeight="1">
      <x:c r="A1" s="6" t="str">
        <x:v>DECOR ART BRIEFS • PRESERVED FULL DETAIL</x:v>
      </x:c>
      <x:c r="B1" s="6"/>
      <x:c r="C1" s="6"/>
      <x:c r="D1" s="6"/>
      <x:c r="E1" s="6"/>
      <x:c r="F1" s="6"/>
      <x:c r="G1" s="6"/>
      <x:c r="H1" s="6"/>
      <x:c r="I1" s="6"/>
      <x:c r="J1" s="6"/>
      <x:c r="K1" s="6"/>
      <x:c r="L1" s="6"/>
    </x:row>
    <x:row r="2" ht="32" customHeight="1">
      <x:c r="A2" s="13" t="str">
        <x:v>120 one-to-one ID joins. Shape, palette, materials, placement, animation, still pose and construction preserved; commerce and power rules come from the revised catalog.</x:v>
      </x:c>
      <x:c r="B2" s="13"/>
      <x:c r="C2" s="13"/>
      <x:c r="D2" s="13"/>
      <x:c r="E2" s="13"/>
      <x:c r="F2" s="13"/>
      <x:c r="G2" s="13"/>
      <x:c r="H2" s="13"/>
      <x:c r="I2" s="13"/>
      <x:c r="J2" s="13"/>
      <x:c r="K2" s="13"/>
      <x:c r="L2" s="13"/>
    </x:row>
    <x:row r="3">
      <x:c r="A3" s="2"/>
      <x:c r="B3" s="2"/>
      <x:c r="C3" s="2"/>
      <x:c r="D3" s="2"/>
      <x:c r="E3" s="2"/>
      <x:c r="F3" s="2"/>
      <x:c r="G3" s="2"/>
      <x:c r="H3" s="2"/>
      <x:c r="I3" s="2"/>
      <x:c r="J3" s="2"/>
      <x:c r="K3" s="2"/>
      <x:c r="L3" s="2"/>
    </x:row>
    <x:row r="4" ht="32" customHeight="1">
      <x:c r="A4" s="21" t="str">
        <x:v>ID</x:v>
      </x:c>
      <x:c r="B4" s="21" t="str">
        <x:v>Item</x:v>
      </x:c>
      <x:c r="C4" s="21" t="str">
        <x:v>Shape &amp; silhouette</x:v>
      </x:c>
      <x:c r="D4" s="21" t="str">
        <x:v>Palette</x:v>
      </x:c>
      <x:c r="E4" s="21" t="str">
        <x:v>Materials &amp; finish</x:v>
      </x:c>
      <x:c r="F4" s="21" t="str">
        <x:v>Size / footprint</x:v>
      </x:c>
      <x:c r="G4" s="21" t="str">
        <x:v>Placement &amp; layering</x:v>
      </x:c>
      <x:c r="H4" s="21" t="str">
        <x:v>Animation brief</x:v>
      </x:c>
      <x:c r="I4" s="21" t="str">
        <x:v>Motion class</x:v>
      </x:c>
      <x:c r="J4" s="21" t="str">
        <x:v>Reduced-motion still</x:v>
      </x:c>
      <x:c r="K4" s="21" t="str">
        <x:v>Mobile read / distinctive hook</x:v>
      </x:c>
      <x:c r="L4" s="21" t="str">
        <x:v>Asset construction</x:v>
      </x:c>
    </x:row>
    <x:row r="5" ht="126" customHeight="1">
      <x:c r="A5" s="28" t="str">
        <x:v>CP-01</x:v>
      </x:c>
      <x:c r="B5" s="28" t="str">
        <x:f>VLOOKUP(A5,'Decor Catalog'!$A$5:$X$124,2,FALSE)</x:f>
        <x:v>Pebble Moss Tuft</x:v>
      </x:c>
      <x:c r="C5" s="28" t="str">
        <x:v>Three rounded moss humps nestle around one exposed oval pebble; the tallest hump leans gently right.</x:v>
      </x:c>
      <x:c r="D5" s="28" t="str">
        <x:v>Fresh lime and pine green; warm dove-grey pebble; one pale mint edge.</x:v>
      </x:c>
      <x:c r="E5" s="28" t="str">
        <x:v>Velvety moss rendered as broad matte clumps; smooth river stone with a single cel-shaded side.</x:v>
      </x:c>
      <x:c r="F5" s="28" t="str">
        <x:f>VLOOKUP(A5,'Decor Catalog'!$A$5:$X$124,17,FALSE)&amp;" | "&amp;TEXT(VLOOKUP(A5,'Decor Catalog'!$A$5:$X$124,15,FALSE),"0.00")&amp;" W x "&amp;TEXT(VLOOKUP(A5,'Decor Catalog'!$A$5:$X$124,16,FALSE),"0.00")&amp;" H U"</x:f>
        <x:v>Small | 0.90 W x 0.65 H U</x:v>
      </x:c>
      <x:c r="G5" s="28" t="str">
        <x:v>Foreground — Rest flat on gravel near either front corner; leave the central feeding area clear.</x:v>
      </x:c>
      <x:c r="H5" s="28" t="str">
        <x:v>Static idle. No particles, glow, movement or changing footprint.</x:v>
      </x:c>
      <x:c r="I5" s="28" t="str">
        <x:v>Static</x:v>
      </x:c>
      <x:c r="J5" s="28" t="str">
        <x:v>Use the finished base sprite with no glow or particles.</x:v>
      </x:c>
      <x:c r="K5" s="28" t="str">
        <x:v>Three-lobed mound and visible pebble remain legible at 64 px.</x:v>
      </x:c>
      <x:c r="L5" s="28" t="str">
        <x:v>Single transparent sprite; bottom-centre pivot; separate icon crop.</x:v>
      </x:c>
    </x:row>
    <x:row r="6" ht="126" customHeight="1">
      <x:c r="A6" s="28" t="str">
        <x:v>CP-02</x:v>
      </x:c>
      <x:c r="B6" s="28" t="str">
        <x:f>VLOOKUP(A6,'Decor Catalog'!$A$5:$X$124,2,FALSE)</x:f>
        <x:v>Dwarf Hairgrass Patch</x:v>
      </x:c>
      <x:c r="C6" s="28" t="str">
        <x:v>A shallow crescent of thick tapered grass blades, grouped into five fans with a low clean base.</x:v>
      </x:c>
      <x:c r="D6" s="28" t="str">
        <x:v>Spring green blades, deep teal roots and a restrained yellow-green rim.</x:v>
      </x:c>
      <x:c r="E6" s="28" t="str">
        <x:v>Soft matte leaf ribbons; a narrow dark root mat, not a separate soil tile.</x:v>
      </x:c>
      <x:c r="F6" s="28" t="str">
        <x:f>VLOOKUP(A6,'Decor Catalog'!$A$5:$X$124,17,FALSE)&amp;" | "&amp;TEXT(VLOOKUP(A6,'Decor Catalog'!$A$5:$X$124,15,FALSE),"0.00")&amp;" W x "&amp;TEXT(VLOOKUP(A6,'Decor Catalog'!$A$5:$X$124,16,FALSE),"0.00")&amp;" H U"</x:f>
        <x:v>Small | 1.20 W x 0.80 H U</x:v>
      </x:c>
      <x:c r="G6" s="28" t="str">
        <x:v>Foreground — Place along the front edge in loose clusters; do not form an opaque wall across fish.</x:v>
      </x:c>
      <x:c r="H6" s="28" t="str">
        <x:v>Static idle. No particles, glow, movement or changing footprint.</x:v>
      </x:c>
      <x:c r="I6" s="28" t="str">
        <x:v>Static</x:v>
      </x:c>
      <x:c r="J6" s="28" t="str">
        <x:v>Use the finished base sprite with no glow or particles.</x:v>
      </x:c>
      <x:c r="K6" s="28" t="str">
        <x:v>Five clear blade fans rather than many hair-thin strands.</x:v>
      </x:c>
      <x:c r="L6" s="28" t="str">
        <x:v>Single transparent sprite; bottom-centre pivot; separate icon crop.</x:v>
      </x:c>
    </x:row>
    <x:row r="7" ht="126" customHeight="1">
      <x:c r="A7" s="28" t="str">
        <x:v>CP-03</x:v>
      </x:c>
      <x:c r="B7" s="28" t="str">
        <x:f>VLOOKUP(A7,'Decor Catalog'!$A$5:$X$124,2,FALSE)</x:f>
        <x:v>Anubias Petite</x:v>
      </x:c>
      <x:c r="C7" s="28" t="str">
        <x:v>Five plump heart-shaped leaves rise on short curved stalks from a visible knuckled rhizome.</x:v>
      </x:c>
      <x:c r="D7" s="28" t="str">
        <x:v>Emerald leaf tops, blue-green shaded undersides and a cocoa-brown rhizome.</x:v>
      </x:c>
      <x:c r="E7" s="28" t="str">
        <x:v>Thick leathery leaves with one simplified centre vein each; dry-looking matte finish.</x:v>
      </x:c>
      <x:c r="F7" s="28" t="str">
        <x:f>VLOOKUP(A7,'Decor Catalog'!$A$5:$X$124,17,FALSE)&amp;" | "&amp;TEXT(VLOOKUP(A7,'Decor Catalog'!$A$5:$X$124,15,FALSE),"0.00")&amp;" W x "&amp;TEXT(VLOOKUP(A7,'Decor Catalog'!$A$5:$X$124,16,FALSE),"0.00")&amp;" H U"</x:f>
        <x:v>Small | 1.10 W x 1.05 H U</x:v>
      </x:c>
      <x:c r="G7" s="28" t="str">
        <x:v>Foreground — Anchor on gravel or against a small rock in front; keep all leaf tips inside the safe play area.</x:v>
      </x:c>
      <x:c r="H7" s="28" t="str">
        <x:v>Static idle. No particles, glow, movement or changing footprint.</x:v>
      </x:c>
      <x:c r="I7" s="28" t="str">
        <x:v>Static</x:v>
      </x:c>
      <x:c r="J7" s="28" t="str">
        <x:v>Use the finished base sprite with no glow or particles.</x:v>
      </x:c>
      <x:c r="K7" s="28" t="str">
        <x:v>Low heart-leaf rosette is distinct from grass and moss.</x:v>
      </x:c>
      <x:c r="L7" s="28" t="str">
        <x:v>Single transparent sprite; bottom-centre pivot; separate icon crop.</x:v>
      </x:c>
    </x:row>
    <x:row r="8" ht="126" customHeight="1">
      <x:c r="A8" s="28" t="str">
        <x:v>CP-04</x:v>
      </x:c>
      <x:c r="B8" s="28" t="str">
        <x:f>VLOOKUP(A8,'Decor Catalog'!$A$5:$X$124,2,FALSE)</x:f>
        <x:v>Java Fern Fan</x:v>
      </x:c>
      <x:c r="C8" s="28" t="str">
        <x:v>Seven long lance leaves spread from a tight root knot; two shorter leaves interrupt the outer fan.</x:v>
      </x:c>
      <x:c r="D8" s="28" t="str">
        <x:v>Olive and bottle green with yellow-green central veins.</x:v>
      </x:c>
      <x:c r="E8" s="28" t="str">
        <x:v>Slightly rippled matte leaf surfaces; wiry roots simplified into three thick arcs.</x:v>
      </x:c>
      <x:c r="F8" s="28" t="str">
        <x:f>VLOOKUP(A8,'Decor Catalog'!$A$5:$X$124,17,FALSE)&amp;" | "&amp;TEXT(VLOOKUP(A8,'Decor Catalog'!$A$5:$X$124,15,FALSE),"0.00")&amp;" W x "&amp;TEXT(VLOOKUP(A8,'Decor Catalog'!$A$5:$X$124,16,FALSE),"0.00")&amp;" H U"</x:f>
        <x:v>Medium | 1.50 W x 1.90 H U</x:v>
      </x:c>
      <x:c r="G8" s="28" t="str">
        <x:v>Midground — Seat beside a rear rock or log; fan outward toward a side, leaving a gap behind the centre leaves.</x:v>
      </x:c>
      <x:c r="H8" s="28" t="str">
        <x:v>Static idle. No particles, glow, movement or changing footprint.</x:v>
      </x:c>
      <x:c r="I8" s="28" t="str">
        <x:v>Static</x:v>
      </x:c>
      <x:c r="J8" s="28" t="str">
        <x:v>Use the finished base sprite with no glow or particles.</x:v>
      </x:c>
      <x:c r="K8" s="28" t="str">
        <x:v>Wide spear-leaf fan with uneven but deliberate leaf lengths.</x:v>
      </x:c>
      <x:c r="L8" s="28" t="str">
        <x:v>Single transparent sprite; bottom-centre pivot; separate icon crop.</x:v>
      </x:c>
    </x:row>
    <x:row r="9" ht="126" customHeight="1">
      <x:c r="A9" s="28" t="str">
        <x:v>CP-05</x:v>
      </x:c>
      <x:c r="B9" s="28" t="str">
        <x:f>VLOOKUP(A9,'Decor Catalog'!$A$5:$X$124,2,FALSE)</x:f>
        <x:v>Bacopa Bubbleleaf</x:v>
      </x:c>
      <x:c r="C9" s="28" t="str">
        <x:v>Three upright stems carry paired oval leaves like stacked little paddles; the middle stem is tallest.</x:v>
      </x:c>
      <x:c r="D9" s="28" t="str">
        <x:v>Apple green pads, soft jade shadows and pale chartreuse young tips.</x:v>
      </x:c>
      <x:c r="E9" s="28" t="str">
        <x:v>Rounded succulent-like leaves and flexible green stems, all softly cel-shaded.</x:v>
      </x:c>
      <x:c r="F9" s="28" t="str">
        <x:f>VLOOKUP(A9,'Decor Catalog'!$A$5:$X$124,17,FALSE)&amp;" | "&amp;TEXT(VLOOKUP(A9,'Decor Catalog'!$A$5:$X$124,15,FALSE),"0.00")&amp;" W x "&amp;TEXT(VLOOKUP(A9,'Decor Catalog'!$A$5:$X$124,16,FALSE),"0.00")&amp;" H U"</x:f>
        <x:v>Medium | 1.20 W x 1.80 H U</x:v>
      </x:c>
      <x:c r="G9" s="28" t="str">
        <x:v>Midground — Group at the rear-left of a small ornament; keep the stepped top silhouette visible.</x:v>
      </x:c>
      <x:c r="H9" s="28" t="str">
        <x:v>Static idle. No particles, glow, movement or changing footprint.</x:v>
      </x:c>
      <x:c r="I9" s="28" t="str">
        <x:v>Static</x:v>
      </x:c>
      <x:c r="J9" s="28" t="str">
        <x:v>Use the finished base sprite with no glow or particles.</x:v>
      </x:c>
      <x:c r="K9" s="28" t="str">
        <x:v>Paired coin-shaped leaves create a readable ladder rhythm.</x:v>
      </x:c>
      <x:c r="L9" s="28" t="str">
        <x:v>Single transparent sprite; bottom-centre pivot; separate icon crop.</x:v>
      </x:c>
    </x:row>
    <x:row r="10" ht="126" customHeight="1">
      <x:c r="A10" s="28" t="str">
        <x:v>CP-06</x:v>
      </x:c>
      <x:c r="B10" s="28" t="str">
        <x:f>VLOOKUP(A10,'Decor Catalog'!$A$5:$X$124,2,FALSE)</x:f>
        <x:v>Cryptocoryne Bronze</x:v>
      </x:c>
      <x:c r="C10" s="28" t="str">
        <x:v>A squat starburst of broad wavy leaves curls away from a tight centre, exposing two turned undersides.</x:v>
      </x:c>
      <x:c r="D10" s="28" t="str">
        <x:v>Bronze olive, muted copper, aubergine shadows and a small sage-green centre.</x:v>
      </x:c>
      <x:c r="E10" s="28" t="str">
        <x:v>Puckered leaf texture reduced to two broad folds per leaf; no noisy veins.</x:v>
      </x:c>
      <x:c r="F10" s="28" t="str">
        <x:f>VLOOKUP(A10,'Decor Catalog'!$A$5:$X$124,17,FALSE)&amp;" | "&amp;TEXT(VLOOKUP(A10,'Decor Catalog'!$A$5:$X$124,15,FALSE),"0.00")&amp;" W x "&amp;TEXT(VLOOKUP(A10,'Decor Catalog'!$A$5:$X$124,16,FALSE),"0.00")&amp;" H U"</x:f>
        <x:v>Medium | 1.55 W x 1.35 H U</x:v>
      </x:c>
      <x:c r="G10" s="28" t="str">
        <x:v>Midground — Plant between grey stones in the lower midground; use as a warm counterpoint to green foliage.</x:v>
      </x:c>
      <x:c r="H10" s="28" t="str">
        <x:v>Static idle. No particles, glow, movement or changing footprint.</x:v>
      </x:c>
      <x:c r="I10" s="28" t="str">
        <x:v>Static</x:v>
      </x:c>
      <x:c r="J10" s="28" t="str">
        <x:v>Use the finished base sprite with no glow or particles.</x:v>
      </x:c>
      <x:c r="K10" s="28" t="str">
        <x:v>Copper ruffled starburst breaks up the cool green plant collection.</x:v>
      </x:c>
      <x:c r="L10" s="28" t="str">
        <x:v>Single transparent sprite; bottom-centre pivot; separate icon crop.</x:v>
      </x:c>
    </x:row>
    <x:row r="11" ht="126" customHeight="1">
      <x:c r="A11" s="28" t="str">
        <x:v>CP-07</x:v>
      </x:c>
      <x:c r="B11" s="28" t="str">
        <x:f>VLOOKUP(A11,'Decor Catalog'!$A$5:$X$124,2,FALSE)</x:f>
        <x:v>Marimo Trio</x:v>
      </x:c>
      <x:c r="C11" s="28" t="str">
        <x:v>Three unequal moss balls overlap in a triangular grouping; a small ball sits slightly forward.</x:v>
      </x:c>
      <x:c r="D11" s="28" t="str">
        <x:v>Forest green, mint-green upper planes and deep petrol lower edges.</x:v>
      </x:c>
      <x:c r="E11" s="28" t="str">
        <x:v>Soft felt-like moss shown with a few broad scallops, not individual hairs.</x:v>
      </x:c>
      <x:c r="F11" s="28" t="str">
        <x:f>VLOOKUP(A11,'Decor Catalog'!$A$5:$X$124,17,FALSE)&amp;" | "&amp;TEXT(VLOOKUP(A11,'Decor Catalog'!$A$5:$X$124,15,FALSE),"0.00")&amp;" W x "&amp;TEXT(VLOOKUP(A11,'Decor Catalog'!$A$5:$X$124,16,FALSE),"0.00")&amp;" H U"</x:f>
        <x:v>Medium | 1.80 W x 1.10 H U</x:v>
      </x:c>
      <x:c r="G11" s="28" t="str">
        <x:v>Foreground — Sit on open front gravel beside a low ornament; keep the three balls separate in the silhouette.</x:v>
      </x:c>
      <x:c r="H11" s="28" t="str">
        <x:v>Static idle. No particles, glow, movement or changing footprint.</x:v>
      </x:c>
      <x:c r="I11" s="28" t="str">
        <x:v>Static</x:v>
      </x:c>
      <x:c r="J11" s="28" t="str">
        <x:v>Use the finished base sprite with no glow or particles.</x:v>
      </x:c>
      <x:c r="K11" s="28" t="str">
        <x:v>A clear large-medium-small trio; no eyes or creature features.</x:v>
      </x:c>
      <x:c r="L11" s="28" t="str">
        <x:v>Single transparent sprite; bottom-centre pivot; separate icon crop.</x:v>
      </x:c>
    </x:row>
    <x:row r="12" ht="126" customHeight="1">
      <x:c r="A12" s="28" t="str">
        <x:v>CP-08</x:v>
      </x:c>
      <x:c r="B12" s="28" t="str">
        <x:f>VLOOKUP(A12,'Decor Catalog'!$A$5:$X$124,2,FALSE)</x:f>
        <x:v>Corkscrew Vallisneria</x:v>
      </x:c>
      <x:c r="C12" s="28" t="str">
        <x:v>Four broad ribbon leaves twist in open corkscrews from a compact base, with different spiral heights.</x:v>
      </x:c>
      <x:c r="D12" s="28" t="str">
        <x:v>Bright grass green faces, teal shaded backs and pale lime edges.</x:v>
      </x:c>
      <x:c r="E12" s="28" t="str">
        <x:v>Matte flexible ribbons with clean alternating front and back colour planes.</x:v>
      </x:c>
      <x:c r="F12" s="28" t="str">
        <x:f>VLOOKUP(A12,'Decor Catalog'!$A$5:$X$124,17,FALSE)&amp;" | "&amp;TEXT(VLOOKUP(A12,'Decor Catalog'!$A$5:$X$124,15,FALSE),"0.00")&amp;" W x "&amp;TEXT(VLOOKUP(A12,'Decor Catalog'!$A$5:$X$124,16,FALSE),"0.00")&amp;" H U"</x:f>
        <x:v>Large | 1.20 W x 2.70 H U</x:v>
      </x:c>
      <x:c r="G12" s="28" t="str">
        <x:v>Background — Root at a back corner; orient the highest spiral toward the tank wall, not the centre.</x:v>
      </x:c>
      <x:c r="H12" s="28" t="str">
        <x:v>Static idle. No particles, glow, movement or changing footprint.</x:v>
      </x:c>
      <x:c r="I12" s="28" t="str">
        <x:v>Static</x:v>
      </x:c>
      <x:c r="J12" s="28" t="str">
        <x:v>Use the finished base sprite with no glow or particles.</x:v>
      </x:c>
      <x:c r="K12" s="28" t="str">
        <x:v>Large open spirals avoid the unreadable spaghetti look.</x:v>
      </x:c>
      <x:c r="L12" s="28" t="str">
        <x:v>Single transparent sprite; bottom-centre pivot; separate icon crop.</x:v>
      </x:c>
    </x:row>
    <x:row r="13" ht="126" customHeight="1">
      <x:c r="A13" s="28" t="str">
        <x:v>CP-09</x:v>
      </x:c>
      <x:c r="B13" s="28" t="str">
        <x:f>VLOOKUP(A13,'Decor Catalog'!$A$5:$X$124,2,FALSE)</x:f>
        <x:v>Water Wisteria</x:v>
      </x:c>
      <x:c r="C13" s="28" t="str">
        <x:v>Two main stalks branch into layered fern-like sprays, forming a broad triangular bush.</x:v>
      </x:c>
      <x:c r="D13" s="28" t="str">
        <x:v>Lime, spearmint and rich green, with dark teal gaps between sprays.</x:v>
      </x:c>
      <x:c r="E13" s="28" t="str">
        <x:v>Delicate foliage simplified into chunky lobed paddles; opaque matte leaf clusters.</x:v>
      </x:c>
      <x:c r="F13" s="28" t="str">
        <x:f>VLOOKUP(A13,'Decor Catalog'!$A$5:$X$124,17,FALSE)&amp;" | "&amp;TEXT(VLOOKUP(A13,'Decor Catalog'!$A$5:$X$124,15,FALSE),"0.00")&amp;" W x "&amp;TEXT(VLOOKUP(A13,'Decor Catalog'!$A$5:$X$124,16,FALSE),"0.00")&amp;" H U"</x:f>
        <x:v>Large | 1.80 W x 2.40 H U</x:v>
      </x:c>
      <x:c r="G13" s="28" t="str">
        <x:v>Background — Place behind low decor along a side; preserve open negative space between the two main stalks.</x:v>
      </x:c>
      <x:c r="H13" s="28" t="str">
        <x:v>Static idle. No particles, glow, movement or changing footprint.</x:v>
      </x:c>
      <x:c r="I13" s="28" t="str">
        <x:v>Static</x:v>
      </x:c>
      <x:c r="J13" s="28" t="str">
        <x:v>Use the finished base sprite with no glow or particles.</x:v>
      </x:c>
      <x:c r="K13" s="28" t="str">
        <x:v>A triangular lace-bush silhouette built from just six major sprays.</x:v>
      </x:c>
      <x:c r="L13" s="28" t="str">
        <x:v>Single transparent sprite; bottom-centre pivot; separate icon crop.</x:v>
      </x:c>
    </x:row>
    <x:row r="14" ht="126" customHeight="1">
      <x:c r="A14" s="28" t="str">
        <x:v>CP-10</x:v>
      </x:c>
      <x:c r="B14" s="28" t="str">
        <x:f>VLOOKUP(A14,'Decor Catalog'!$A$5:$X$124,2,FALSE)</x:f>
        <x:v>Ludwigia Ruby</x:v>
      </x:c>
      <x:c r="C14" s="28" t="str">
        <x:v>Four arcing stems carry pointed oval leaves; the tallest stem bends outward with a red leaf crown.</x:v>
      </x:c>
      <x:c r="D14" s="28" t="str">
        <x:v>Wine red, watermelon pink, muted orange tips and dark plum stems.</x:v>
      </x:c>
      <x:c r="E14" s="28" t="str">
        <x:v>Smooth waxy-looking leaves translated into restrained matte cel shading without white shine.</x:v>
      </x:c>
      <x:c r="F14" s="28" t="str">
        <x:f>VLOOKUP(A14,'Decor Catalog'!$A$5:$X$124,17,FALSE)&amp;" | "&amp;TEXT(VLOOKUP(A14,'Decor Catalog'!$A$5:$X$124,15,FALSE),"0.00")&amp;" W x "&amp;TEXT(VLOOKUP(A14,'Decor Catalog'!$A$5:$X$124,16,FALSE),"0.00")&amp;" H U"</x:f>
        <x:v>Large | 1.50 W x 2.20 H U</x:v>
      </x:c>
      <x:c r="G14" s="28" t="str">
        <x:v>Midground — Use as a midground colour accent beside pale rock; avoid hiding it behind taller green plants.</x:v>
      </x:c>
      <x:c r="H14" s="28" t="str">
        <x:v>Static idle. No particles, glow, movement or changing footprint.</x:v>
      </x:c>
      <x:c r="I14" s="28" t="str">
        <x:v>Static</x:v>
      </x:c>
      <x:c r="J14" s="28" t="str">
        <x:v>Use the finished base sprite with no glow or particles.</x:v>
      </x:c>
      <x:c r="K14" s="28" t="str">
        <x:v>Bold red oval leaves with a gently hooked top.</x:v>
      </x:c>
      <x:c r="L14" s="28" t="str">
        <x:v>Single transparent sprite; bottom-centre pivot; separate icon crop.</x:v>
      </x:c>
    </x:row>
    <x:row r="15" ht="126" customHeight="1">
      <x:c r="A15" s="28" t="str">
        <x:v>CP-11</x:v>
      </x:c>
      <x:c r="B15" s="28" t="str">
        <x:f>VLOOKUP(A15,'Decor Catalog'!$A$5:$X$124,2,FALSE)</x:f>
        <x:v>Rotala Sunset</x:v>
      </x:c>
      <x:c r="C15" s="28" t="str">
        <x:v>A narrow bouquet of five stems widens into layered small leaf fans at the top.</x:v>
      </x:c>
      <x:c r="D15" s="28" t="str">
        <x:v>Apricot upper leaves shift to coral pink and moss green near the roots.</x:v>
      </x:c>
      <x:c r="E15" s="28" t="str">
        <x:v>Fine leaves grouped into large readable sprays; thin stems remain secondary.</x:v>
      </x:c>
      <x:c r="F15" s="28" t="str">
        <x:f>VLOOKUP(A15,'Decor Catalog'!$A$5:$X$124,17,FALSE)&amp;" | "&amp;TEXT(VLOOKUP(A15,'Decor Catalog'!$A$5:$X$124,15,FALSE),"0.00")&amp;" W x "&amp;TEXT(VLOOKUP(A15,'Decor Catalog'!$A$5:$X$124,16,FALSE),"0.00")&amp;" H U"</x:f>
        <x:v>Large | 1.60 W x 2.60 H U</x:v>
      </x:c>
      <x:c r="G15" s="28" t="str">
        <x:v>Background — Anchor along the rear third; overlap only the base of an adjacent plant for a soft hedge.</x:v>
      </x:c>
      <x:c r="H15" s="28" t="str">
        <x:v>Static idle. No particles, glow, movement or changing footprint.</x:v>
      </x:c>
      <x:c r="I15" s="28" t="str">
        <x:v>Static</x:v>
      </x:c>
      <x:c r="J15" s="28" t="str">
        <x:v>Use the finished base sprite with no glow or particles.</x:v>
      </x:c>
      <x:c r="K15" s="28" t="str">
        <x:v>Warm top-to-bottom colour bands read as sunset, not an emitted glow.</x:v>
      </x:c>
      <x:c r="L15" s="28" t="str">
        <x:v>Single transparent sprite; bottom-centre pivot; separate icon crop.</x:v>
      </x:c>
    </x:row>
    <x:row r="16" ht="126" customHeight="1">
      <x:c r="A16" s="28" t="str">
        <x:v>CP-12</x:v>
      </x:c>
      <x:c r="B16" s="28" t="str">
        <x:f>VLOOKUP(A16,'Decor Catalog'!$A$5:$X$124,2,FALSE)</x:f>
        <x:v>Amazon Sword</x:v>
      </x:c>
      <x:c r="C16" s="28" t="str">
        <x:v>A commanding rosette of seven broad sword leaves curves upward, with one leaf bowing low to the side.</x:v>
      </x:c>
      <x:c r="D16" s="28" t="str">
        <x:v>Deep emerald blades, fresh lime centre growth and cool blue-green shadows.</x:v>
      </x:c>
      <x:c r="E16" s="28" t="str">
        <x:v>Firm broad leaves with a single thick centre fold and softly rounded tips.</x:v>
      </x:c>
      <x:c r="F16" s="28" t="str">
        <x:f>VLOOKUP(A16,'Decor Catalog'!$A$5:$X$124,17,FALSE)&amp;" | "&amp;TEXT(VLOOKUP(A16,'Decor Catalog'!$A$5:$X$124,15,FALSE),"0.00")&amp;" W x "&amp;TEXT(VLOOKUP(A16,'Decor Catalog'!$A$5:$X$124,16,FALSE),"0.00")&amp;" H U"</x:f>
        <x:v>Large | 2.50 W x 3.00 H U</x:v>
      </x:c>
      <x:c r="G16" s="28" t="str">
        <x:v>Background — Use as a back-corner anchor behind a small rock; keep its lower leaf arch open to fish silhouettes.</x:v>
      </x:c>
      <x:c r="H16" s="28" t="str">
        <x:v>Static idle. No particles, glow, movement or changing footprint.</x:v>
      </x:c>
      <x:c r="I16" s="28" t="str">
        <x:v>Static</x:v>
      </x:c>
      <x:c r="J16" s="28" t="str">
        <x:v>Use the finished base sprite with no glow or particles.</x:v>
      </x:c>
      <x:c r="K16" s="28" t="str">
        <x:v>A broad sword-shaped crown, heavier and taller than Java Fern.</x:v>
      </x:c>
      <x:c r="L16" s="28" t="str">
        <x:v>Single transparent sprite; bottom-centre pivot; separate icon crop.</x:v>
      </x:c>
    </x:row>
    <x:row r="17" ht="126" customHeight="1">
      <x:c r="A17" s="28" t="str">
        <x:v>CP-13</x:v>
      </x:c>
      <x:c r="B17" s="28" t="str">
        <x:f>VLOOKUP(A17,'Decor Catalog'!$A$5:$X$124,2,FALSE)</x:f>
        <x:v>Red Tiger Lotus</x:v>
      </x:c>
      <x:c r="C17" s="28" t="str">
        <x:v>Four round shield leaves on curved stalks overlap above a squat bulb; one leaf tilts to show its underside.</x:v>
      </x:c>
      <x:c r="D17" s="28" t="str">
        <x:v>Burgundy red leaves with large russet patches, rose undersides and a dark brown bulb.</x:v>
      </x:c>
      <x:c r="E17" s="28" t="str">
        <x:v>Soft matte leaf discs; tiger markings are a handful of broad organic patches.</x:v>
      </x:c>
      <x:c r="F17" s="28" t="str">
        <x:f>VLOOKUP(A17,'Decor Catalog'!$A$5:$X$124,17,FALSE)&amp;" | "&amp;TEXT(VLOOKUP(A17,'Decor Catalog'!$A$5:$X$124,15,FALSE),"0.00")&amp;" W x "&amp;TEXT(VLOOKUP(A17,'Decor Catalog'!$A$5:$X$124,16,FALSE),"0.00")&amp;" H U"</x:f>
        <x:v>Large | 2.20 W x 2.00 H U</x:v>
      </x:c>
      <x:c r="G17" s="28" t="str">
        <x:v>Midground — Keep fully submerged in the side midground; no leaf is drawn as a tank-wide floating surface.</x:v>
      </x:c>
      <x:c r="H17" s="28" t="str">
        <x:v>Static idle. No particles, glow, movement or changing footprint.</x:v>
      </x:c>
      <x:c r="I17" s="28" t="str">
        <x:v>Static</x:v>
      </x:c>
      <x:c r="J17" s="28" t="str">
        <x:v>Use the finished base sprite with no glow or particles.</x:v>
      </x:c>
      <x:c r="K17" s="28" t="str">
        <x:v>Round red shields with coarse tiger patches, unlike pointed stem plants.</x:v>
      </x:c>
      <x:c r="L17" s="28" t="str">
        <x:v>Single transparent sprite; bottom-centre pivot; separate icon crop.</x:v>
      </x:c>
    </x:row>
    <x:row r="18" ht="126" customHeight="1">
      <x:c r="A18" s="28" t="str">
        <x:v>CP-14</x:v>
      </x:c>
      <x:c r="B18" s="28" t="str">
        <x:f>VLOOKUP(A18,'Decor Catalog'!$A$5:$X$124,2,FALSE)</x:f>
        <x:v>Water Sprite Canopy</x:v>
      </x:c>
      <x:c r="C18" s="28" t="str">
        <x:v>A slender central stem opens into a loose umbrella of branching finger-shaped fronds.</x:v>
      </x:c>
      <x:c r="D18" s="28" t="str">
        <x:v>Mint, pale celadon and medium jade with deep green at the root.</x:v>
      </x:c>
      <x:c r="E18" s="28" t="str">
        <x:v>Feathery leaves simplified into broad forked strips; airy gaps do most of the detailing.</x:v>
      </x:c>
      <x:c r="F18" s="28" t="str">
        <x:f>VLOOKUP(A18,'Decor Catalog'!$A$5:$X$124,17,FALSE)&amp;" | "&amp;TEXT(VLOOKUP(A18,'Decor Catalog'!$A$5:$X$124,15,FALSE),"0.00")&amp;" W x "&amp;TEXT(VLOOKUP(A18,'Decor Catalog'!$A$5:$X$124,16,FALSE),"0.00")&amp;" H U"</x:f>
        <x:v>Large | 2.40 W x 2.70 H U</x:v>
      </x:c>
      <x:c r="G18" s="28" t="str">
        <x:v>Background — Set behind a compact ornament near a rear corner; keep the underside of the canopy visually open.</x:v>
      </x:c>
      <x:c r="H18" s="28" t="str">
        <x:v>Static idle. No particles, glow, movement or changing footprint.</x:v>
      </x:c>
      <x:c r="I18" s="28" t="str">
        <x:v>Static</x:v>
      </x:c>
      <x:c r="J18" s="28" t="str">
        <x:v>Use the finished base sprite with no glow or particles.</x:v>
      </x:c>
      <x:c r="K18" s="28" t="str">
        <x:v>Pale umbrella canopy with forked fingers and a visible trunk.</x:v>
      </x:c>
      <x:c r="L18" s="28" t="str">
        <x:v>Single transparent sprite; bottom-centre pivot; separate icon crop.</x:v>
      </x:c>
    </x:row>
    <x:row r="19" ht="126" customHeight="1">
      <x:c r="A19" s="28" t="str">
        <x:v>CP-15</x:v>
      </x:c>
      <x:c r="B19" s="28" t="str">
        <x:f>VLOOKUP(A19,'Decor Catalog'!$A$5:$X$124,2,FALSE)</x:f>
        <x:v>Pogostemon Star Cluster</x:v>
      </x:c>
      <x:c r="C19" s="28" t="str">
        <x:v>Three compact star rosettes have deeply ruffled, chunky leaves curling upward at their tips.</x:v>
      </x:c>
      <x:c r="D19" s="28" t="str">
        <x:v>Electric lime balanced by cool jade recesses and a subdued olive base.</x:v>
      </x:c>
      <x:c r="E19" s="28" t="str">
        <x:v>Crisp folded leaves with two broad zigzag ridges each; no fine serration noise.</x:v>
      </x:c>
      <x:c r="F19" s="28" t="str">
        <x:f>VLOOKUP(A19,'Decor Catalog'!$A$5:$X$124,17,FALSE)&amp;" | "&amp;TEXT(VLOOKUP(A19,'Decor Catalog'!$A$5:$X$124,15,FALSE),"0.00")&amp;" W x "&amp;TEXT(VLOOKUP(A19,'Decor Catalog'!$A$5:$X$124,16,FALSE),"0.00")&amp;" H U"</x:f>
        <x:v>Medium | 1.80 W x 1.30 H U</x:v>
      </x:c>
      <x:c r="G19" s="28" t="str">
        <x:v>Foreground — Plant as a foreground accent between low stones; leave space around each star silhouette.</x:v>
      </x:c>
      <x:c r="H19" s="28" t="str">
        <x:v>Static idle. No particles, glow, movement or changing footprint.</x:v>
      </x:c>
      <x:c r="I19" s="28" t="str">
        <x:v>Static</x:v>
      </x:c>
      <x:c r="J19" s="28" t="str">
        <x:v>Use the finished base sprite with no glow or particles.</x:v>
      </x:c>
      <x:c r="K19" s="28" t="str">
        <x:v>A ruffled three-star carpet, not another smooth moss mound.</x:v>
      </x:c>
      <x:c r="L19" s="28" t="str">
        <x:v>Single transparent sprite; bottom-centre pivot; separate icon crop.</x:v>
      </x:c>
    </x:row>
    <x:row r="20" ht="126" customHeight="1">
      <x:c r="A20" s="28" t="str">
        <x:v>CP-16</x:v>
      </x:c>
      <x:c r="B20" s="28" t="str">
        <x:f>VLOOKUP(A20,'Decor Catalog'!$A$5:$X$124,2,FALSE)</x:f>
        <x:v>Banana Root Rosette</x:v>
      </x:c>
      <x:c r="C20" s="28" t="str">
        <x:v>A small fan of round leaves rises above five thick banana-shaped root tubers grouped at the base.</x:v>
      </x:c>
      <x:c r="D20" s="28" t="str">
        <x:v>Kelly green leaves, golden-olive tubers and pale aqua shaded undersides.</x:v>
      </x:c>
      <x:c r="E20" s="28" t="str">
        <x:v>Smooth matte leaves and gently ribbed, fleshy-looking roots with simplified rounded ends.</x:v>
      </x:c>
      <x:c r="F20" s="28" t="str">
        <x:f>VLOOKUP(A20,'Decor Catalog'!$A$5:$X$124,17,FALSE)&amp;" | "&amp;TEXT(VLOOKUP(A20,'Decor Catalog'!$A$5:$X$124,15,FALSE),"0.00")&amp;" W x "&amp;TEXT(VLOOKUP(A20,'Decor Catalog'!$A$5:$X$124,16,FALSE),"0.00")&amp;" H U"</x:f>
        <x:v>Medium | 1.80 W x 1.60 H U</x:v>
      </x:c>
      <x:c r="G20" s="28" t="str">
        <x:v>Midground — Seat on a small open gravel patch so the unusual root cluster stays visible.</x:v>
      </x:c>
      <x:c r="H20" s="28" t="str">
        <x:v>Static idle. No particles, glow, movement or changing footprint.</x:v>
      </x:c>
      <x:c r="I20" s="28" t="str">
        <x:v>Static</x:v>
      </x:c>
      <x:c r="J20" s="28" t="str">
        <x:v>Use the finished base sprite with no glow or particles.</x:v>
      </x:c>
      <x:c r="K20" s="28" t="str">
        <x:v>Exposed finger-like tubers are the collectible's defining feature.</x:v>
      </x:c>
      <x:c r="L20" s="28" t="str">
        <x:v>Single transparent sprite; bottom-centre pivot; separate icon crop.</x:v>
      </x:c>
    </x:row>
    <x:row r="21" ht="126" customHeight="1">
      <x:c r="A21" s="28" t="str">
        <x:v>CP-17</x:v>
      </x:c>
      <x:c r="B21" s="28" t="str">
        <x:f>VLOOKUP(A21,'Decor Catalog'!$A$5:$X$124,2,FALSE)</x:f>
        <x:v>Christmas Moss Log</x:v>
      </x:c>
      <x:c r="C21" s="28" t="str">
        <x:v>A short diagonal branch carries three tiers of moss shaped like miniature evergreen boughs.</x:v>
      </x:c>
      <x:c r="D21" s="28" t="str">
        <x:v>Pine and fresh green foliage; chestnut wood with a sandy cut end.</x:v>
      </x:c>
      <x:c r="E21" s="28" t="str">
        <x:v>Matte bark with two broad grooves; moss forms flat layered chevrons.</x:v>
      </x:c>
      <x:c r="F21" s="28" t="str">
        <x:f>VLOOKUP(A21,'Decor Catalog'!$A$5:$X$124,17,FALSE)&amp;" | "&amp;TEXT(VLOOKUP(A21,'Decor Catalog'!$A$5:$X$124,15,FALSE),"0.00")&amp;" W x "&amp;TEXT(VLOOKUP(A21,'Decor Catalog'!$A$5:$X$124,16,FALSE),"0.00")&amp;" H U"</x:f>
        <x:v>Large | 2.40 W x 1.40 H U</x:v>
      </x:c>
      <x:c r="G21" s="28" t="str">
        <x:v>Midground — Lay horizontally beside a side wall; leave the hollow beneath the angled branch unobscured.</x:v>
      </x:c>
      <x:c r="H21" s="28" t="str">
        <x:v>Static idle. No particles, glow, movement or changing footprint.</x:v>
      </x:c>
      <x:c r="I21" s="28" t="str">
        <x:v>Static</x:v>
      </x:c>
      <x:c r="J21" s="28" t="str">
        <x:v>Use the finished base sprite with no glow or particles.</x:v>
      </x:c>
      <x:c r="K21" s="28" t="str">
        <x:v>Tiered evergreen moss on a diagonal log; not a holiday prop.</x:v>
      </x:c>
      <x:c r="L21" s="28" t="str">
        <x:v>Single transparent sprite; bottom-centre pivot; separate icon crop.</x:v>
      </x:c>
    </x:row>
    <x:row r="22" ht="126" customHeight="1">
      <x:c r="A22" s="28" t="str">
        <x:v>CP-18</x:v>
      </x:c>
      <x:c r="B22" s="28" t="str">
        <x:f>VLOOKUP(A22,'Decor Catalog'!$A$5:$X$124,2,FALSE)</x:f>
        <x:v>Pearlweed Pillow</x:v>
      </x:c>
      <x:c r="C22" s="28" t="str">
        <x:v>A broad low cushion of six rounded leafy lobes has one shallow notch along its front edge.</x:v>
      </x:c>
      <x:c r="D22" s="28" t="str">
        <x:v>Pistachio, pale lime and deep leaf green in large overlapping clumps.</x:v>
      </x:c>
      <x:c r="E22" s="28" t="str">
        <x:v>Tiny leaf idea conveyed through paired scalloped masses rather than individual speckles.</x:v>
      </x:c>
      <x:c r="F22" s="28" t="str">
        <x:f>VLOOKUP(A22,'Decor Catalog'!$A$5:$X$124,17,FALSE)&amp;" | "&amp;TEXT(VLOOKUP(A22,'Decor Catalog'!$A$5:$X$124,15,FALSE),"0.00")&amp;" W x "&amp;TEXT(VLOOKUP(A22,'Decor Catalog'!$A$5:$X$124,16,FALSE),"0.00")&amp;" H U"</x:f>
        <x:v>Large | 2.80 W x 1.40 H U</x:v>
      </x:c>
      <x:c r="G22" s="28" t="str">
        <x:v>Foreground — Use as a short front-side border; do not stretch or tile it into a solid wall.</x:v>
      </x:c>
      <x:c r="H22" s="28" t="str">
        <x:v>Static idle. No particles, glow, movement or changing footprint.</x:v>
      </x:c>
      <x:c r="I22" s="28" t="str">
        <x:v>Static</x:v>
      </x:c>
      <x:c r="J22" s="28" t="str">
        <x:v>Use the finished base sprite with no glow or particles.</x:v>
      </x:c>
      <x:c r="K22" s="28" t="str">
        <x:v>A pillowy scalloped hedge with a distinctive centre notch.</x:v>
      </x:c>
      <x:c r="L22" s="28" t="str">
        <x:v>Single transparent sprite; bottom-centre pivot; separate icon crop.</x:v>
      </x:c>
    </x:row>
    <x:row r="23" ht="126" customHeight="1">
      <x:c r="A23" s="28" t="str">
        <x:v>CP-19</x:v>
      </x:c>
      <x:c r="B23" s="28" t="str">
        <x:f>VLOOKUP(A23,'Decor Catalog'!$A$5:$X$124,2,FALSE)</x:f>
        <x:v>Laceleaf Aponogeton</x:v>
      </x:c>
      <x:c r="C23" s="28" t="str">
        <x:v>Five tall ribbon leaves form an open fan; each has a few oversized lattice openings.</x:v>
      </x:c>
      <x:c r="D23" s="28" t="str">
        <x:v>Sea green mesh edges, mint centres and dark turquoise stalks.</x:v>
      </x:c>
      <x:c r="E23" s="28" t="str">
        <x:v>Thin lace-like leaves with bold, sparse cutouts that remain transparent at mobile size.</x:v>
      </x:c>
      <x:c r="F23" s="28" t="str">
        <x:f>VLOOKUP(A23,'Decor Catalog'!$A$5:$X$124,17,FALSE)&amp;" | "&amp;TEXT(VLOOKUP(A23,'Decor Catalog'!$A$5:$X$124,15,FALSE),"0.00")&amp;" W x "&amp;TEXT(VLOOKUP(A23,'Decor Catalog'!$A$5:$X$124,16,FALSE),"0.00")&amp;" H U"</x:f>
        <x:v>Large | 2.20 W x 3.00 H U</x:v>
      </x:c>
      <x:c r="G23" s="28" t="str">
        <x:v>Background — Place at a rear side so fish can remain visible through the large leaf openings.</x:v>
      </x:c>
      <x:c r="H23" s="28" t="str">
        <x:v>Static idle. No particles, glow, movement or changing footprint.</x:v>
      </x:c>
      <x:c r="I23" s="28" t="str">
        <x:v>Static</x:v>
      </x:c>
      <x:c r="J23" s="28" t="str">
        <x:v>Use the finished base sprite with no glow or particles.</x:v>
      </x:c>
      <x:c r="K23" s="28" t="str">
        <x:v>Real transparent lattice windows, not texture painted onto solid leaves.</x:v>
      </x:c>
      <x:c r="L23" s="28" t="str">
        <x:v>Single transparent sprite; bottom-centre pivot; separate icon crop.</x:v>
      </x:c>
    </x:row>
    <x:row r="24" ht="126" customHeight="1">
      <x:c r="A24" s="28" t="str">
        <x:v>CP-20</x:v>
      </x:c>
      <x:c r="B24" s="28" t="str">
        <x:f>VLOOKUP(A24,'Decor Catalog'!$A$5:$X$124,2,FALSE)</x:f>
        <x:v>Ruffled Ribbon Plant</x:v>
      </x:c>
      <x:c r="C24" s="28" t="str">
        <x:v>Five narrow straps rise from a small bulb, undulating in broad S-curves with exaggerated rippled edges.</x:v>
      </x:c>
      <x:c r="D24" s="28" t="str">
        <x:v>Deep blue-green, olive highlights and a warm beige bulb.</x:v>
      </x:c>
      <x:c r="E24" s="28" t="str">
        <x:v>Leathery matte ribbons; ruffles rendered as alternating broad light and dark folds.</x:v>
      </x:c>
      <x:c r="F24" s="28" t="str">
        <x:f>VLOOKUP(A24,'Decor Catalog'!$A$5:$X$124,17,FALSE)&amp;" | "&amp;TEXT(VLOOKUP(A24,'Decor Catalog'!$A$5:$X$124,15,FALSE),"0.00")&amp;" W x "&amp;TEXT(VLOOKUP(A24,'Decor Catalog'!$A$5:$X$124,16,FALSE),"0.00")&amp;" H U"</x:f>
        <x:v>Large | 1.70 W x 3.10 H U</x:v>
      </x:c>
      <x:c r="G24" s="28" t="str">
        <x:v>Background — Root at the back edge beside a low stone; direct the longest ribbons toward the outside.</x:v>
      </x:c>
      <x:c r="H24" s="28" t="str">
        <x:v>Static idle. No particles, glow, movement or changing footprint.</x:v>
      </x:c>
      <x:c r="I24" s="28" t="str">
        <x:v>Static</x:v>
      </x:c>
      <x:c r="J24" s="28" t="str">
        <x:v>Use the finished base sprite with no glow or particles.</x:v>
      </x:c>
      <x:c r="K24" s="28" t="str">
        <x:v>Tall narrow S-curves with ruffled edges, distinct from corkscrew spirals.</x:v>
      </x:c>
      <x:c r="L24" s="28" t="str">
        <x:v>Single transparent sprite; bottom-centre pivot; separate icon crop.</x:v>
      </x:c>
    </x:row>
    <x:row r="25" ht="126" customHeight="1">
      <x:c r="A25" s="28" t="str">
        <x:v>CP-21</x:v>
      </x:c>
      <x:c r="B25" s="28" t="str">
        <x:f>VLOOKUP(A25,'Decor Catalog'!$A$5:$X$124,2,FALSE)</x:f>
        <x:v>Bolbitis River Fern</x:v>
      </x:c>
      <x:c r="C25" s="28" t="str">
        <x:v>Three arched stems support widely spaced paired fern lobes, making an open asymmetric fountain.</x:v>
      </x:c>
      <x:c r="D25" s="28" t="str">
        <x:v>Bottle green, cool moss and pale emerald tips; dark cocoa roots.</x:v>
      </x:c>
      <x:c r="E25" s="28" t="str">
        <x:v>Thin leathery fronds with broad lobes and one central vein per stem.</x:v>
      </x:c>
      <x:c r="F25" s="28" t="str">
        <x:f>VLOOKUP(A25,'Decor Catalog'!$A$5:$X$124,17,FALSE)&amp;" | "&amp;TEXT(VLOOKUP(A25,'Decor Catalog'!$A$5:$X$124,15,FALSE),"0.00")&amp;" W x "&amp;TEXT(VLOOKUP(A25,'Decor Catalog'!$A$5:$X$124,16,FALSE),"0.00")&amp;" H U"</x:f>
        <x:v>Large | 2.50 W x 2.60 H U</x:v>
      </x:c>
      <x:c r="G25" s="28" t="str">
        <x:v>Background — Anchor to a rear log or rock; leave visible gaps between the three frond arches.</x:v>
      </x:c>
      <x:c r="H25" s="28" t="str">
        <x:v>Static idle. No particles, glow, movement or changing footprint.</x:v>
      </x:c>
      <x:c r="I25" s="28" t="str">
        <x:v>Static</x:v>
      </x:c>
      <x:c r="J25" s="28" t="str">
        <x:v>Use the finished base sprite with no glow or particles.</x:v>
      </x:c>
      <x:c r="K25" s="28" t="str">
        <x:v>A dark, open fountain of paired lobes with no bushy fill.</x:v>
      </x:c>
      <x:c r="L25" s="28" t="str">
        <x:v>Single transparent sprite; bottom-centre pivot; separate icon crop.</x:v>
      </x:c>
    </x:row>
    <x:row r="26" ht="126" customHeight="1">
      <x:c r="A26" s="28" t="str">
        <x:v>CP-22</x:v>
      </x:c>
      <x:c r="B26" s="28" t="str">
        <x:f>VLOOKUP(A26,'Decor Catalog'!$A$5:$X$124,2,FALSE)</x:f>
        <x:v>Bucephalandra Velvet</x:v>
      </x:c>
      <x:c r="C26" s="28" t="str">
        <x:v>A compact cluster of broad oval leaves rises from a twisting rhizome; two leaves curl like shallow spoons.</x:v>
      </x:c>
      <x:c r="D26" s="28" t="str">
        <x:v>Peacock teal, indigo shadow planes and a muted cranberry underside.</x:v>
      </x:c>
      <x:c r="E26" s="28" t="str">
        <x:v>Velvety matte leaf faces with subtle coloured edges; no iridescent sparkle animation.</x:v>
      </x:c>
      <x:c r="F26" s="28" t="str">
        <x:f>VLOOKUP(A26,'Decor Catalog'!$A$5:$X$124,17,FALSE)&amp;" | "&amp;TEXT(VLOOKUP(A26,'Decor Catalog'!$A$5:$X$124,15,FALSE),"0.00")&amp;" W x "&amp;TEXT(VLOOKUP(A26,'Decor Catalog'!$A$5:$X$124,16,FALSE),"0.00")&amp;" H U"</x:f>
        <x:v>Medium | 1.80 W x 1.40 H U</x:v>
      </x:c>
      <x:c r="G26" s="28" t="str">
        <x:v>Midground — Perch against a pale stone at a side focal point; keep the curled leaves uncovered.</x:v>
      </x:c>
      <x:c r="H26" s="28" t="str">
        <x:v>Static idle. No particles, glow, movement or changing footprint.</x:v>
      </x:c>
      <x:c r="I26" s="28" t="str">
        <x:v>Static</x:v>
      </x:c>
      <x:c r="J26" s="28" t="str">
        <x:v>Use the finished base sprite with no glow or particles.</x:v>
      </x:c>
      <x:c r="K26" s="28" t="str">
        <x:v>Low jewel-toned spoon leaves provide luxury without luminous effects.</x:v>
      </x:c>
      <x:c r="L26" s="28" t="str">
        <x:v>Single transparent sprite; bottom-centre pivot; separate icon crop.</x:v>
      </x:c>
    </x:row>
    <x:row r="27" ht="126" customHeight="1">
      <x:c r="A27" s="28" t="str">
        <x:v>CP-23</x:v>
      </x:c>
      <x:c r="B27" s="28" t="str">
        <x:f>VLOOKUP(A27,'Decor Catalog'!$A$5:$X$124,2,FALSE)</x:f>
        <x:v>Scarlet Temple Bush</x:v>
      </x:c>
      <x:c r="C27" s="28" t="str">
        <x:v>A dense but sculpted bouquet of pointed leaves grows in three ascending tiers from a narrow stem base.</x:v>
      </x:c>
      <x:c r="D27" s="28" t="str">
        <x:v>Scarlet, berry red and peach upper planes with dark plum interior gaps.</x:v>
      </x:c>
      <x:c r="E27" s="28" t="str">
        <x:v>Firm matte leaves; broad colour planes replace detailed vein networks.</x:v>
      </x:c>
      <x:c r="F27" s="28" t="str">
        <x:f>VLOOKUP(A27,'Decor Catalog'!$A$5:$X$124,17,FALSE)&amp;" | "&amp;TEXT(VLOOKUP(A27,'Decor Catalog'!$A$5:$X$124,15,FALSE),"0.00")&amp;" W x "&amp;TEXT(VLOOKUP(A27,'Decor Catalog'!$A$5:$X$124,16,FALSE),"0.00")&amp;" H U"</x:f>
        <x:v>Large | 2.80 W x 3.00 H U</x:v>
      </x:c>
      <x:c r="G27" s="28" t="str">
        <x:v>Background — Use as a single rear-side statement plant with open water above the lowest tier.</x:v>
      </x:c>
      <x:c r="H27" s="28" t="str">
        <x:v>Static idle. No particles, glow, movement or changing footprint.</x:v>
      </x:c>
      <x:c r="I27" s="28" t="str">
        <x:v>Static</x:v>
      </x:c>
      <x:c r="J27" s="28" t="str">
        <x:v>Use the finished base sprite with no glow or particles.</x:v>
      </x:c>
      <x:c r="K27" s="28" t="str">
        <x:v>Three stepped red crowns create a recognisable flame-shaped mass.</x:v>
      </x:c>
      <x:c r="L27" s="28" t="str">
        <x:v>Single transparent sprite; bottom-centre pivot; separate icon crop.</x:v>
      </x:c>
    </x:row>
    <x:row r="28" ht="126" customHeight="1">
      <x:c r="A28" s="28" t="str">
        <x:v>CP-24</x:v>
      </x:c>
      <x:c r="B28" s="28" t="str">
        <x:f>VLOOKUP(A28,'Decor Catalog'!$A$5:$X$124,2,FALSE)</x:f>
        <x:v>Willow Hygrophila</x:v>
      </x:c>
      <x:c r="C28" s="28" t="str">
        <x:v>A sturdy stem splits into three airy sprays of long narrow leaves that droop like a miniature willow.</x:v>
      </x:c>
      <x:c r="D28" s="28" t="str">
        <x:v>Chartreuse tips, soft sage and deep olive stems.</x:v>
      </x:c>
      <x:c r="E28" s="28" t="str">
        <x:v>Matte ribbon leaves with smooth edges; clusters are separated by generous transparent gaps.</x:v>
      </x:c>
      <x:c r="F28" s="28" t="str">
        <x:f>VLOOKUP(A28,'Decor Catalog'!$A$5:$X$124,17,FALSE)&amp;" | "&amp;TEXT(VLOOKUP(A28,'Decor Catalog'!$A$5:$X$124,15,FALSE),"0.00")&amp;" W x "&amp;TEXT(VLOOKUP(A28,'Decor Catalog'!$A$5:$X$124,16,FALSE),"0.00")&amp;" H U"</x:f>
        <x:v>Large | 2.80 W x 3.20 H U</x:v>
      </x:c>
      <x:c r="G28" s="28" t="str">
        <x:v>Background — Set behind a small ornament at the back right or left; keep the drooping tips outside the main swim lane.</x:v>
      </x:c>
      <x:c r="H28" s="28" t="str">
        <x:v>Static idle. No particles, glow, movement or changing footprint.</x:v>
      </x:c>
      <x:c r="I28" s="28" t="str">
        <x:v>Static</x:v>
      </x:c>
      <x:c r="J28" s="28" t="str">
        <x:v>Use the finished base sprite with no glow or particles.</x:v>
      </x:c>
      <x:c r="K28" s="28" t="str">
        <x:v>An airy willow silhouette with a visible central fork.</x:v>
      </x:c>
      <x:c r="L28" s="28" t="str">
        <x:v>Single transparent sprite; bottom-centre pivot; separate icon crop.</x:v>
      </x:c>
    </x:row>
    <x:row r="29" ht="126" customHeight="1">
      <x:c r="A29" s="28" t="str">
        <x:v>CP-25</x:v>
      </x:c>
      <x:c r="B29" s="28" t="str">
        <x:f>VLOOKUP(A29,'Decor Catalog'!$A$5:$X$124,2,FALSE)</x:f>
        <x:v>Mangrove Root Sapling</x:v>
      </x:c>
      <x:c r="C29" s="28" t="str">
        <x:v>Three stilt roots form an open tripod below a short curved trunk and a compact crown of thick oval leaves.</x:v>
      </x:c>
      <x:c r="D29" s="28" t="str">
        <x:v>Walnut brown roots, terracotta bark accents and glossy-green colour rendered matte on leaves.</x:v>
      </x:c>
      <x:c r="E29" s="28" t="str">
        <x:v>Rounded wood ridges, knotted root joints and thick leathery leaf shapes.</x:v>
      </x:c>
      <x:c r="F29" s="28" t="str">
        <x:f>VLOOKUP(A29,'Decor Catalog'!$A$5:$X$124,17,FALSE)&amp;" | "&amp;TEXT(VLOOKUP(A29,'Decor Catalog'!$A$5:$X$124,15,FALSE),"0.00")&amp;" W x "&amp;TEXT(VLOOKUP(A29,'Decor Catalog'!$A$5:$X$124,16,FALSE),"0.00")&amp;" H U"</x:f>
        <x:v>XL | 3.00 W x 3.50 H U</x:v>
      </x:c>
      <x:c r="G29" s="28" t="str">
        <x:v>Background — Use as a back-corner landmark wholly within the tank view; roots frame open negative space, not a fish tunnel mechanic.</x:v>
      </x:c>
      <x:c r="H29" s="28" t="str">
        <x:v>Static idle. No particles, glow, movement or changing footprint.</x:v>
      </x:c>
      <x:c r="I29" s="28" t="str">
        <x:v>Static</x:v>
      </x:c>
      <x:c r="J29" s="28" t="str">
        <x:v>Use the finished base sprite with no glow or particles.</x:v>
      </x:c>
      <x:c r="K29" s="28" t="str">
        <x:v>Open stilt-root tripod distinguishes it from every other plant.</x:v>
      </x:c>
      <x:c r="L29" s="28" t="str">
        <x:v>Single transparent sprite; bottom-centre pivot; separate icon crop.</x:v>
      </x:c>
    </x:row>
    <x:row r="30" ht="126" customHeight="1">
      <x:c r="A30" s="28" t="str">
        <x:v>CP-26</x:v>
      </x:c>
      <x:c r="B30" s="28" t="str">
        <x:f>VLOOKUP(A30,'Decor Catalog'!$A$5:$X$124,2,FALSE)</x:f>
        <x:v>Crystalgrass Crescent</x:v>
      </x:c>
      <x:c r="C30" s="28" t="str">
        <x:v>A crescent of six faceted leaf blades steps upward toward one side like a small botanical crystal fan.</x:v>
      </x:c>
      <x:c r="D30" s="28" t="str">
        <x:v>Icy aqua, glacier blue and pale lilac faces with dark cyan bases.</x:v>
      </x:c>
      <x:c r="E30" s="28" t="str">
        <x:v>Imaginary rigid translucent-looking leaves, painted as flat matte facets without glass reflections.</x:v>
      </x:c>
      <x:c r="F30" s="28" t="str">
        <x:f>VLOOKUP(A30,'Decor Catalog'!$A$5:$X$124,17,FALSE)&amp;" | "&amp;TEXT(VLOOKUP(A30,'Decor Catalog'!$A$5:$X$124,15,FALSE),"0.00")&amp;" W x "&amp;TEXT(VLOOKUP(A30,'Decor Catalog'!$A$5:$X$124,16,FALSE),"0.00")&amp;" H U"</x:f>
        <x:v>Large | 2.40 W x 2.20 H U</x:v>
      </x:c>
      <x:c r="G30" s="28" t="str">
        <x:v>Midground — Place against a darker rear-side area; angle the highest blades away from the screen centre.</x:v>
      </x:c>
      <x:c r="H30" s="28" t="str">
        <x:v>Static idle. No particles, glow, movement or changing footprint.</x:v>
      </x:c>
      <x:c r="I30" s="28" t="str">
        <x:v>Static</x:v>
      </x:c>
      <x:c r="J30" s="28" t="str">
        <x:v>Use the finished base sprite with no glow or particles.</x:v>
      </x:c>
      <x:c r="K30" s="28" t="str">
        <x:v>A one-sided faceted crescent; no glow is required to read it.</x:v>
      </x:c>
      <x:c r="L30" s="28" t="str">
        <x:v>Single transparent sprite; bottom-centre pivot; separate icon crop.</x:v>
      </x:c>
    </x:row>
    <x:row r="31" ht="126" customHeight="1">
      <x:c r="A31" s="28" t="str">
        <x:v>CP-27</x:v>
      </x:c>
      <x:c r="B31" s="28" t="str">
        <x:f>VLOOKUP(A31,'Decor Catalog'!$A$5:$X$124,2,FALSE)</x:f>
        <x:v>Sapphire Fanleaf</x:v>
      </x:c>
      <x:c r="C31" s="28" t="str">
        <x:v>Three broad scalloped fan leaves rise from separate thick stalks, with a smaller fan tucked between them.</x:v>
      </x:c>
      <x:c r="D31" s="28" t="str">
        <x:v>Cobalt, turquoise and midnight-blue valleys with pale blue ribs.</x:v>
      </x:c>
      <x:c r="E31" s="28" t="str">
        <x:v>Thick matte leaf fans; only five oversized radiating ribs per leaf.</x:v>
      </x:c>
      <x:c r="F31" s="28" t="str">
        <x:f>VLOOKUP(A31,'Decor Catalog'!$A$5:$X$124,17,FALSE)&amp;" | "&amp;TEXT(VLOOKUP(A31,'Decor Catalog'!$A$5:$X$124,15,FALSE),"0.00")&amp;" W x "&amp;TEXT(VLOOKUP(A31,'Decor Catalog'!$A$5:$X$124,16,FALSE),"0.00")&amp;" H U"</x:f>
        <x:v>Large | 2.70 W x 3.00 H U</x:v>
      </x:c>
      <x:c r="G31" s="28" t="str">
        <x:v>Background — Use as a rear-side cool-colour anchor beside warm stone or wood.</x:v>
      </x:c>
      <x:c r="H31" s="28" t="str">
        <x:v>Static idle. No particles, glow, movement or changing footprint.</x:v>
      </x:c>
      <x:c r="I31" s="28" t="str">
        <x:v>Static</x:v>
      </x:c>
      <x:c r="J31" s="28" t="str">
        <x:v>Use the finished base sprite with no glow or particles.</x:v>
      </x:c>
      <x:c r="K31" s="28" t="str">
        <x:v>Four blue shell-like leaf fans remain clearly botanical through visible stalks.</x:v>
      </x:c>
      <x:c r="L31" s="28" t="str">
        <x:v>Single transparent sprite; bottom-centre pivot; separate icon crop.</x:v>
      </x:c>
    </x:row>
    <x:row r="32" ht="126" customHeight="1">
      <x:c r="A32" s="28" t="str">
        <x:v>CP-28</x:v>
      </x:c>
      <x:c r="B32" s="28" t="str">
        <x:f>VLOOKUP(A32,'Decor Catalog'!$A$5:$X$124,2,FALSE)</x:f>
        <x:v>Amber Reed Cluster</x:v>
      </x:c>
      <x:c r="C32" s="28" t="str">
        <x:v>Five upright reeds have broad almond-shaped seed heads and two curling strap leaves at the base.</x:v>
      </x:c>
      <x:c r="D32" s="28" t="str">
        <x:v>Honey ochre, warm apricot and russet stems balanced by olive leaves.</x:v>
      </x:c>
      <x:c r="E32" s="28" t="str">
        <x:v>Papery seed heads and smooth reed stems rendered with broad matte bands.</x:v>
      </x:c>
      <x:c r="F32" s="28" t="str">
        <x:f>VLOOKUP(A32,'Decor Catalog'!$A$5:$X$124,17,FALSE)&amp;" | "&amp;TEXT(VLOOKUP(A32,'Decor Catalog'!$A$5:$X$124,15,FALSE),"0.00")&amp;" W x "&amp;TEXT(VLOOKUP(A32,'Decor Catalog'!$A$5:$X$124,16,FALSE),"0.00")&amp;" H U"</x:f>
        <x:v>XL | 2.00 W x 3.40 H U</x:v>
      </x:c>
      <x:c r="G32" s="28" t="str">
        <x:v>Background — Root along a back edge; keep the tallest seed head inside the top safe margin.</x:v>
      </x:c>
      <x:c r="H32" s="28" t="str">
        <x:v>Static idle. No particles, glow, movement or changing footprint.</x:v>
      </x:c>
      <x:c r="I32" s="28" t="str">
        <x:v>Static</x:v>
      </x:c>
      <x:c r="J32" s="28" t="str">
        <x:v>Use the finished base sprite with no glow or particles.</x:v>
      </x:c>
      <x:c r="K32" s="28" t="str">
        <x:v>Large amber seed heads create a warm vertical rhythm.</x:v>
      </x:c>
      <x:c r="L32" s="28" t="str">
        <x:v>Single transparent sprite; bottom-centre pivot; separate icon crop.</x:v>
      </x:c>
    </x:row>
    <x:row r="33" ht="126" customHeight="1">
      <x:c r="A33" s="28" t="str">
        <x:v>CP-29</x:v>
      </x:c>
      <x:c r="B33" s="28" t="str">
        <x:f>VLOOKUP(A33,'Decor Catalog'!$A$5:$X$124,2,FALSE)</x:f>
        <x:v>Silver Lace Grove</x:v>
      </x:c>
      <x:c r="C33" s="28" t="str">
        <x:v>Three slim trunks branch into oval lace leaves with large teardrop holes and gracefully alternating heights.</x:v>
      </x:c>
      <x:c r="D33" s="28" t="str">
        <x:v>Moonstone grey, sage silver and slate-blue shadows; subdued lilac stems.</x:v>
      </x:c>
      <x:c r="E33" s="28" t="str">
        <x:v>Papery silver leaves with clean transparent cutouts and no metallic shine.</x:v>
      </x:c>
      <x:c r="F33" s="28" t="str">
        <x:f>VLOOKUP(A33,'Decor Catalog'!$A$5:$X$124,17,FALSE)&amp;" | "&amp;TEXT(VLOOKUP(A33,'Decor Catalog'!$A$5:$X$124,15,FALSE),"0.00")&amp;" W x "&amp;TEXT(VLOOKUP(A33,'Decor Catalog'!$A$5:$X$124,16,FALSE),"0.00")&amp;" H U"</x:f>
        <x:v>XL | 3.10 W x 3.40 H U</x:v>
      </x:c>
      <x:c r="G33" s="28" t="str">
        <x:v>Background — Place along a darker back-side zone; use its holes to keep the composition airy.</x:v>
      </x:c>
      <x:c r="H33" s="28" t="str">
        <x:v>Static idle. No particles, glow, movement or changing footprint.</x:v>
      </x:c>
      <x:c r="I33" s="28" t="str">
        <x:v>Static</x:v>
      </x:c>
      <x:c r="J33" s="28" t="str">
        <x:v>Use the finished base sprite with no glow or particles.</x:v>
      </x:c>
      <x:c r="K33" s="28" t="str">
        <x:v>Pale perforated leaf grove, unlike the green strap-shaped Laceleaf Aponogeton.</x:v>
      </x:c>
      <x:c r="L33" s="28" t="str">
        <x:v>Single transparent sprite; bottom-centre pivot; separate icon crop.</x:v>
      </x:c>
    </x:row>
    <x:row r="34" ht="126" customHeight="1">
      <x:c r="A34" s="28" t="str">
        <x:v>CP-30</x:v>
      </x:c>
      <x:c r="B34" s="28" t="str">
        <x:f>VLOOKUP(A34,'Decor Catalog'!$A$5:$X$124,2,FALSE)</x:f>
        <x:v>Giant Lotus Canopy</x:v>
      </x:c>
      <x:c r="C34" s="28" t="str">
        <x:v>A sweeping arch of thick stems supports three oversized round leaves and one closed flower bud.</x:v>
      </x:c>
      <x:c r="D34" s="28" t="str">
        <x:v>Jade leaf plates, dusky rose bud and muted mint undersides.</x:v>
      </x:c>
      <x:c r="E34" s="28" t="str">
        <x:v>Rubbery matte leaf discs with a single radial notch; smooth rounded stems.</x:v>
      </x:c>
      <x:c r="F34" s="28" t="str">
        <x:f>VLOOKUP(A34,'Decor Catalog'!$A$5:$X$124,17,FALSE)&amp;" | "&amp;TEXT(VLOOKUP(A34,'Decor Catalog'!$A$5:$X$124,15,FALSE),"0.00")&amp;" W x "&amp;TEXT(VLOOKUP(A34,'Decor Catalog'!$A$5:$X$124,16,FALSE),"0.00")&amp;" H U"</x:f>
        <x:v>XL | 3.80 W x 3.40 H U</x:v>
      </x:c>
      <x:c r="G34" s="28" t="str">
        <x:v>Background — Anchor at a rear corner and curve the canopy outward; never cover the full top waterline.</x:v>
      </x:c>
      <x:c r="H34" s="28" t="str">
        <x:v>Static idle. No particles, glow, movement or changing footprint.</x:v>
      </x:c>
      <x:c r="I34" s="28" t="str">
        <x:v>Static</x:v>
      </x:c>
      <x:c r="J34" s="28" t="str">
        <x:v>Use the finished base sprite with no glow or particles.</x:v>
      </x:c>
      <x:c r="K34" s="28" t="str">
        <x:v>Three giant notched discs and one closed bud form a clear late-game landmark.</x:v>
      </x:c>
      <x:c r="L34" s="28" t="str">
        <x:v>Single transparent sprite; bottom-centre pivot; separate icon crop.</x:v>
      </x:c>
    </x:row>
    <x:row r="35" ht="126" customHeight="1">
      <x:c r="A35" s="28" t="str">
        <x:v>CP-31</x:v>
      </x:c>
      <x:c r="B35" s="28" t="str">
        <x:f>VLOOKUP(A35,'Decor Catalog'!$A$5:$X$124,2,FALSE)</x:f>
        <x:v>Ancient Root Garden</x:v>
      </x:c>
      <x:c r="C35" s="28" t="str">
        <x:v>A hollow old root twists into a low arch, carrying three separate crowns of miniature round-leaf growth.</x:v>
      </x:c>
      <x:c r="D35" s="28" t="str">
        <x:v>Aged umber, warm grey wood, fresh emerald crowns and restrained moss green.</x:v>
      </x:c>
      <x:c r="E35" s="28" t="str">
        <x:v>Matte weathered wood with oversized knots; soft compact foliage, no tiny hanging vines.</x:v>
      </x:c>
      <x:c r="F35" s="28" t="str">
        <x:f>VLOOKUP(A35,'Decor Catalog'!$A$5:$X$124,17,FALSE)&amp;" | "&amp;TEXT(VLOOKUP(A35,'Decor Catalog'!$A$5:$X$124,15,FALSE),"0.00")&amp;" W x "&amp;TEXT(VLOOKUP(A35,'Decor Catalog'!$A$5:$X$124,16,FALSE),"0.00")&amp;" H U"</x:f>
        <x:v>XL | 3.80 W x 3.50 H U</x:v>
      </x:c>
      <x:c r="G35" s="28" t="str">
        <x:v>Background — Place against the rear side; keep the root arch transparent and leave fish interaction unchanged.</x:v>
      </x:c>
      <x:c r="H35" s="28" t="str">
        <x:v>Static idle. No particles, glow, movement or changing footprint.</x:v>
      </x:c>
      <x:c r="I35" s="28" t="str">
        <x:v>Static</x:v>
      </x:c>
      <x:c r="J35" s="28" t="str">
        <x:v>Use the finished base sprite with no glow or particles.</x:v>
      </x:c>
      <x:c r="K35" s="28" t="str">
        <x:v>A living root arch with three uneven crowns, not a tree scene.</x:v>
      </x:c>
      <x:c r="L35" s="28" t="str">
        <x:v>Single transparent sprite; bottom-centre pivot; separate icon crop.</x:v>
      </x:c>
    </x:row>
    <x:row r="36" ht="126" customHeight="1">
      <x:c r="A36" s="28" t="str">
        <x:v>CP-32</x:v>
      </x:c>
      <x:c r="B36" s="28" t="str">
        <x:f>VLOOKUP(A36,'Decor Catalog'!$A$5:$X$124,2,FALSE)</x:f>
        <x:v>Rainbow Ribbon Grove</x:v>
      </x:c>
      <x:c r="C36" s="28" t="str">
        <x:v>Seven broad ribbons curve in alternating S-shapes from a shared root fan; each ends in a rounded split tip.</x:v>
      </x:c>
      <x:c r="D36" s="28" t="str">
        <x:v>Controlled bands of coral, amber, mint, aqua and lavender; deep teal at the base.</x:v>
      </x:c>
      <x:c r="E36" s="28" t="str">
        <x:v>Soft matte leaf ribbons with one colour per leaf and a single shaded fold.</x:v>
      </x:c>
      <x:c r="F36" s="28" t="str">
        <x:f>VLOOKUP(A36,'Decor Catalog'!$A$5:$X$124,17,FALSE)&amp;" | "&amp;TEXT(VLOOKUP(A36,'Decor Catalog'!$A$5:$X$124,15,FALSE),"0.00")&amp;" W x "&amp;TEXT(VLOOKUP(A36,'Decor Catalog'!$A$5:$X$124,16,FALSE),"0.00")&amp;" H U"</x:f>
        <x:v>XL | 3.40 W x 4.00 H U</x:v>
      </x:c>
      <x:c r="G36" s="28" t="str">
        <x:v>Background — Use as one rear-corner capstone; keep the central half of the tank unobstructed.</x:v>
      </x:c>
      <x:c r="H36" s="28" t="str">
        <x:v>Static idle. No particles, glow, movement or changing footprint.</x:v>
      </x:c>
      <x:c r="I36" s="28" t="str">
        <x:v>Static</x:v>
      </x:c>
      <x:c r="J36" s="28" t="str">
        <x:v>Use the finished base sprite with no glow or particles.</x:v>
      </x:c>
      <x:c r="K36" s="28" t="str">
        <x:v>A rainbow of separated chunky ribbons, not a gradient-filled blob.</x:v>
      </x:c>
      <x:c r="L36" s="28" t="str">
        <x:v>Single transparent sprite; bottom-centre pivot; separate icon crop.</x:v>
      </x:c>
    </x:row>
    <x:row r="37" ht="126" customHeight="1">
      <x:c r="A37" s="28" t="str">
        <x:v>CD-01</x:v>
      </x:c>
      <x:c r="B37" s="28" t="str">
        <x:f>VLOOKUP(A37,'Decor Catalog'!$A$5:$X$124,2,FALSE)</x:f>
        <x:v>River Pebble Pair</x:v>
      </x:c>
      <x:c r="C37" s="28" t="str">
        <x:v>Two overlapping smooth stones, one flat and broad and the other upright like a rounded egg.</x:v>
      </x:c>
      <x:c r="D37" s="28" t="str">
        <x:v>Warm grey, dusty blue and a tiny moss-green accent.</x:v>
      </x:c>
      <x:c r="E37" s="28" t="str">
        <x:v>Matte river stone with one broad shadow plane and no realistic grain.</x:v>
      </x:c>
      <x:c r="F37" s="28" t="str">
        <x:f>VLOOKUP(A37,'Decor Catalog'!$A$5:$X$124,17,FALSE)&amp;" | "&amp;TEXT(VLOOKUP(A37,'Decor Catalog'!$A$5:$X$124,15,FALSE),"0.00")&amp;" W x "&amp;TEXT(VLOOKUP(A37,'Decor Catalog'!$A$5:$X$124,16,FALSE),"0.00")&amp;" H U"</x:f>
        <x:v>Small | 1.10 W x 0.65 H U</x:v>
      </x:c>
      <x:c r="G37" s="28" t="str">
        <x:v>Foreground — Rest on front-side gravel beside a small plant; preserve the two-stone outline.</x:v>
      </x:c>
      <x:c r="H37" s="28" t="str">
        <x:v>Static idle. No particles, glow, movement or changing footprint.</x:v>
      </x:c>
      <x:c r="I37" s="28" t="str">
        <x:v>Static</x:v>
      </x:c>
      <x:c r="J37" s="28" t="str">
        <x:v>Use the finished base sprite with no glow or particles.</x:v>
      </x:c>
      <x:c r="K37" s="28" t="str">
        <x:v>An asymmetric two-stone pair rather than a generic rock pile.</x:v>
      </x:c>
      <x:c r="L37" s="28" t="str">
        <x:v>Single transparent sprite; bottom-centre pivot; separate icon crop.</x:v>
      </x:c>
    </x:row>
    <x:row r="38" ht="126" customHeight="1">
      <x:c r="A38" s="28" t="str">
        <x:v>CD-02</x:v>
      </x:c>
      <x:c r="B38" s="28" t="str">
        <x:f>VLOOKUP(A38,'Decor Catalog'!$A$5:$X$124,2,FALSE)</x:f>
        <x:v>Spiral Shell</x:v>
      </x:c>
      <x:c r="C38" s="28" t="str">
        <x:v>A chubby spiral shell lies on its side with a wide open lip and a clear central curl.</x:v>
      </x:c>
      <x:c r="D38" s="28" t="str">
        <x:v>Cream, peach and soft coral stripes with a plum-pink opening.</x:v>
      </x:c>
      <x:c r="E38" s="28" t="str">
        <x:v>Dry-looking matte shell; three thick growth bands instead of fine ridges.</x:v>
      </x:c>
      <x:c r="F38" s="28" t="str">
        <x:f>VLOOKUP(A38,'Decor Catalog'!$A$5:$X$124,17,FALSE)&amp;" | "&amp;TEXT(VLOOKUP(A38,'Decor Catalog'!$A$5:$X$124,15,FALSE),"0.00")&amp;" W x "&amp;TEXT(VLOOKUP(A38,'Decor Catalog'!$A$5:$X$124,16,FALSE),"0.00")&amp;" H U"</x:f>
        <x:v>Small | 0.95 W x 0.80 H U</x:v>
      </x:c>
      <x:c r="G38" s="28" t="str">
        <x:v>Foreground — Nestle on open front gravel with the spiral facing the viewer.</x:v>
      </x:c>
      <x:c r="H38" s="28" t="str">
        <x:v>Static idle. No particles, glow, movement or changing footprint.</x:v>
      </x:c>
      <x:c r="I38" s="28" t="str">
        <x:v>Static</x:v>
      </x:c>
      <x:c r="J38" s="28" t="str">
        <x:v>Use the finished base sprite with no glow or particles.</x:v>
      </x:c>
      <x:c r="K38" s="28" t="str">
        <x:v>One oversized spiral and a coral mouth identify it at icon size.</x:v>
      </x:c>
      <x:c r="L38" s="28" t="str">
        <x:v>Single transparent sprite; bottom-centre pivot; separate icon crop.</x:v>
      </x:c>
    </x:row>
    <x:row r="39" ht="126" customHeight="1">
      <x:c r="A39" s="28" t="str">
        <x:v>CD-03</x:v>
      </x:c>
      <x:c r="B39" s="28" t="str">
        <x:f>VLOOKUP(A39,'Decor Catalog'!$A$5:$X$124,2,FALSE)</x:f>
        <x:v>Terracotta Plant Pot</x:v>
      </x:c>
      <x:c r="C39" s="28" t="str">
        <x:v>A squat flowerpot tips slightly sideways; a small chip interrupts its thick rounded rim.</x:v>
      </x:c>
      <x:c r="D39" s="28" t="str">
        <x:v>Burnt orange clay, apricot rim and dark reddish-brown interior.</x:v>
      </x:c>
      <x:c r="E39" s="28" t="str">
        <x:v>Unglazed matte ceramic with one simple surface nick and no debris scatter.</x:v>
      </x:c>
      <x:c r="F39" s="28" t="str">
        <x:f>VLOOKUP(A39,'Decor Catalog'!$A$5:$X$124,17,FALSE)&amp;" | "&amp;TEXT(VLOOKUP(A39,'Decor Catalog'!$A$5:$X$124,15,FALSE),"0.00")&amp;" W x "&amp;TEXT(VLOOKUP(A39,'Decor Catalog'!$A$5:$X$124,16,FALSE),"0.00")&amp;" H U"</x:f>
        <x:v>Small | 1.00 W x 1.00 H U</x:v>
      </x:c>
      <x:c r="G39" s="28" t="str">
        <x:v>Foreground — Set near a front corner with the opening angled toward the central swim area.</x:v>
      </x:c>
      <x:c r="H39" s="28" t="str">
        <x:v>Static idle. No particles, glow, movement or changing footprint.</x:v>
      </x:c>
      <x:c r="I39" s="28" t="str">
        <x:v>Static</x:v>
      </x:c>
      <x:c r="J39" s="28" t="str">
        <x:v>Use the finished base sprite with no glow or particles.</x:v>
      </x:c>
      <x:c r="K39" s="28" t="str">
        <x:v>Tilted pot and chipped rim; no plants included in this standalone ornament.</x:v>
      </x:c>
      <x:c r="L39" s="28" t="str">
        <x:v>Single transparent sprite; bottom-centre pivot; separate icon crop.</x:v>
      </x:c>
    </x:row>
    <x:row r="40" ht="126" customHeight="1">
      <x:c r="A40" s="28" t="str">
        <x:v>CD-04</x:v>
      </x:c>
      <x:c r="B40" s="28" t="str">
        <x:f>VLOOKUP(A40,'Decor Catalog'!$A$5:$X$124,2,FALSE)</x:f>
        <x:v>Driftwood Fork</x:v>
      </x:c>
      <x:c r="C40" s="28" t="str">
        <x:v>A short Y-shaped branch rests on one arm, with rounded ends and a large knot near the fork.</x:v>
      </x:c>
      <x:c r="D40" s="28" t="str">
        <x:v>Cinnamon brown, cocoa shadows and sandy cut ends.</x:v>
      </x:c>
      <x:c r="E40" s="28" t="str">
        <x:v>Matte weathered wood; two broad grain grooves follow the branching shape.</x:v>
      </x:c>
      <x:c r="F40" s="28" t="str">
        <x:f>VLOOKUP(A40,'Decor Catalog'!$A$5:$X$124,17,FALSE)&amp;" | "&amp;TEXT(VLOOKUP(A40,'Decor Catalog'!$A$5:$X$124,15,FALSE),"0.00")&amp;" W x "&amp;TEXT(VLOOKUP(A40,'Decor Catalog'!$A$5:$X$124,16,FALSE),"0.00")&amp;" H U"</x:f>
        <x:v>Medium | 1.80 W x 1.20 H U</x:v>
      </x:c>
      <x:c r="G40" s="28" t="str">
        <x:v>Midground — Lay diagonally against a side plant, leaving a clear triangular gap beneath the upper arm.</x:v>
      </x:c>
      <x:c r="H40" s="28" t="str">
        <x:v>Static idle. No particles, glow, movement or changing footprint.</x:v>
      </x:c>
      <x:c r="I40" s="28" t="str">
        <x:v>Static</x:v>
      </x:c>
      <x:c r="J40" s="28" t="str">
        <x:v>Use the finished base sprite with no glow or particles.</x:v>
      </x:c>
      <x:c r="K40" s="28" t="str">
        <x:v>A readable Y-fork and one knot, not a tangle of fine branches.</x:v>
      </x:c>
      <x:c r="L40" s="28" t="str">
        <x:v>Single transparent sprite; bottom-centre pivot; separate icon crop.</x:v>
      </x:c>
    </x:row>
    <x:row r="41" ht="126" customHeight="1">
      <x:c r="A41" s="28" t="str">
        <x:v>CD-05</x:v>
      </x:c>
      <x:c r="B41" s="28" t="str">
        <x:f>VLOOKUP(A41,'Decor Catalog'!$A$5:$X$124,2,FALSE)</x:f>
        <x:v>Painted Pebble Cairn</x:v>
      </x:c>
      <x:c r="C41" s="28" t="str">
        <x:v>Four rounded stones balance in a gently leaning stack, shrinking toward a tiny capstone.</x:v>
      </x:c>
      <x:c r="D41" s="28" t="str">
        <x:v>Slate blue, warm sand, muted turquoise and one terracotta stone.</x:v>
      </x:c>
      <x:c r="E41" s="28" t="str">
        <x:v>Smooth matte stone with restrained mineral-colour blocks rather than painted symbols.</x:v>
      </x:c>
      <x:c r="F41" s="28" t="str">
        <x:f>VLOOKUP(A41,'Decor Catalog'!$A$5:$X$124,17,FALSE)&amp;" | "&amp;TEXT(VLOOKUP(A41,'Decor Catalog'!$A$5:$X$124,15,FALSE),"0.00")&amp;" W x "&amp;TEXT(VLOOKUP(A41,'Decor Catalog'!$A$5:$X$124,16,FALSE),"0.00")&amp;" H U"</x:f>
        <x:v>Medium | 1.10 W x 1.40 H U</x:v>
      </x:c>
      <x:c r="G41" s="28" t="str">
        <x:v>Midground — Stand beside a low moss patch in the lower midground; keep the leaning outline unobscured.</x:v>
      </x:c>
      <x:c r="H41" s="28" t="str">
        <x:v>Static idle. No particles, glow, movement or changing footprint.</x:v>
      </x:c>
      <x:c r="I41" s="28" t="str">
        <x:v>Static</x:v>
      </x:c>
      <x:c r="J41" s="28" t="str">
        <x:v>Use the finished base sprite with no glow or particles.</x:v>
      </x:c>
      <x:c r="K41" s="28" t="str">
        <x:v>A four-stone taper with a warm centre band.</x:v>
      </x:c>
      <x:c r="L41" s="28" t="str">
        <x:v>Single transparent sprite; bottom-centre pivot; separate icon crop.</x:v>
      </x:c>
    </x:row>
    <x:row r="42" ht="126" customHeight="1">
      <x:c r="A42" s="28" t="str">
        <x:v>CD-06</x:v>
      </x:c>
      <x:c r="B42" s="28" t="str">
        <x:f>VLOOKUP(A42,'Decor Catalog'!$A$5:$X$124,2,FALSE)</x:f>
        <x:v>Shell Arch</x:v>
      </x:c>
      <x:c r="C42" s="28" t="str">
        <x:v>Three thick scallop-shell halves lean together to form a small rounded arch with a wide opening.</x:v>
      </x:c>
      <x:c r="D42" s="28" t="str">
        <x:v>Ivory, soft salmon and buttery yellow with lavender inner shadows.</x:v>
      </x:c>
      <x:c r="E42" s="28" t="str">
        <x:v>Matte shell ridges simplified into four broad ribs per half.</x:v>
      </x:c>
      <x:c r="F42" s="28" t="str">
        <x:f>VLOOKUP(A42,'Decor Catalog'!$A$5:$X$124,17,FALSE)&amp;" | "&amp;TEXT(VLOOKUP(A42,'Decor Catalog'!$A$5:$X$124,15,FALSE),"0.00")&amp;" W x "&amp;TEXT(VLOOKUP(A42,'Decor Catalog'!$A$5:$X$124,16,FALSE),"0.00")&amp;" H U"</x:f>
        <x:v>Medium | 1.80 W x 1.30 H U</x:v>
      </x:c>
      <x:c r="G42" s="28" t="str">
        <x:v>Midground — Place against the lower side of the tank; leave the arch opening transparent.</x:v>
      </x:c>
      <x:c r="H42" s="28" t="str">
        <x:v>Static idle. No particles, glow, movement or changing footprint.</x:v>
      </x:c>
      <x:c r="I42" s="28" t="str">
        <x:v>Static</x:v>
      </x:c>
      <x:c r="J42" s="28" t="str">
        <x:v>Use the finished base sprite with no glow or particles.</x:v>
      </x:c>
      <x:c r="K42" s="28" t="str">
        <x:v>Scalloped ribs frame a single clean arch; no fish-path or shelter mechanic.</x:v>
      </x:c>
      <x:c r="L42" s="28" t="str">
        <x:v>Single transparent sprite; bottom-centre pivot; separate icon crop.</x:v>
      </x:c>
    </x:row>
    <x:row r="43" ht="126" customHeight="1">
      <x:c r="A43" s="28" t="str">
        <x:v>CD-07</x:v>
      </x:c>
      <x:c r="B43" s="28" t="str">
        <x:f>VLOOKUP(A43,'Decor Catalog'!$A$5:$X$124,2,FALSE)</x:f>
        <x:v>Peach Coral Cluster</x:v>
      </x:c>
      <x:c r="C43" s="28" t="str">
        <x:v>Five rounded finger-like coral branches rise at uneven heights from one compact low base.</x:v>
      </x:c>
      <x:c r="D43" s="28" t="str">
        <x:v>Peach, apricot and muted pink with deep coral creases.</x:v>
      </x:c>
      <x:c r="E43" s="28" t="str">
        <x:v>Sculpted matte aquarium-safe resin; a few large dimple marks imply coral.</x:v>
      </x:c>
      <x:c r="F43" s="28" t="str">
        <x:f>VLOOKUP(A43,'Decor Catalog'!$A$5:$X$124,17,FALSE)&amp;" | "&amp;TEXT(VLOOKUP(A43,'Decor Catalog'!$A$5:$X$124,15,FALSE),"0.00")&amp;" W x "&amp;TEXT(VLOOKUP(A43,'Decor Catalog'!$A$5:$X$124,16,FALSE),"0.00")&amp;" H U"</x:f>
        <x:v>Medium | 1.50 W x 1.40 H U</x:v>
      </x:c>
      <x:c r="G43" s="28" t="str">
        <x:v>Midground — Anchor beside cool-coloured plants at the front of the midground.</x:v>
      </x:c>
      <x:c r="H43" s="28" t="str">
        <x:v>Static idle. No particles, glow, movement or changing footprint.</x:v>
      </x:c>
      <x:c r="I43" s="28" t="str">
        <x:v>Static</x:v>
      </x:c>
      <x:c r="J43" s="28" t="str">
        <x:v>Use the finished base sprite with no glow or particles.</x:v>
      </x:c>
      <x:c r="K43" s="28" t="str">
        <x:v>Five plump peach fingers form a chunky coral silhouette; not a live animal system.</x:v>
      </x:c>
      <x:c r="L43" s="28" t="str">
        <x:v>Single transparent sprite; bottom-centre pivot; separate icon crop.</x:v>
      </x:c>
    </x:row>
    <x:row r="44" ht="126" customHeight="1">
      <x:c r="A44" s="28" t="str">
        <x:v>CD-08</x:v>
      </x:c>
      <x:c r="B44" s="28" t="str">
        <x:f>VLOOKUP(A44,'Decor Catalog'!$A$5:$X$124,2,FALSE)</x:f>
        <x:v>Sunken Clay Amphora</x:v>
      </x:c>
      <x:c r="C44" s="28" t="str">
        <x:v>A pear-shaped jar leans on its side with two loop handles, a short neck and one broken shoulder.</x:v>
      </x:c>
      <x:c r="D44" s="28" t="str">
        <x:v>Rust clay, sandy cream bands and dark umber inside the mouth.</x:v>
      </x:c>
      <x:c r="E44" s="28" t="str">
        <x:v>Unglazed matte pottery with two broad worn painted bands, no writing.</x:v>
      </x:c>
      <x:c r="F44" s="28" t="str">
        <x:f>VLOOKUP(A44,'Decor Catalog'!$A$5:$X$124,17,FALSE)&amp;" | "&amp;TEXT(VLOOKUP(A44,'Decor Catalog'!$A$5:$X$124,15,FALSE),"0.00")&amp;" W x "&amp;TEXT(VLOOKUP(A44,'Decor Catalog'!$A$5:$X$124,16,FALSE),"0.00")&amp;" H U"</x:f>
        <x:v>Medium | 1.40 W x 1.80 H U</x:v>
      </x:c>
      <x:c r="G44" s="28" t="str">
        <x:v>Midground — Set against a rear-side rock with the handles and broken shoulder visible.</x:v>
      </x:c>
      <x:c r="H44" s="28" t="str">
        <x:v>Static idle. No particles, glow, movement or changing footprint.</x:v>
      </x:c>
      <x:c r="I44" s="28" t="str">
        <x:v>Static</x:v>
      </x:c>
      <x:c r="J44" s="28" t="str">
        <x:v>Use the finished base sprite with no glow or particles.</x:v>
      </x:c>
      <x:c r="K44" s="28" t="str">
        <x:v>Paired loop handles and a wide belly distinguish it from the starter pot.</x:v>
      </x:c>
      <x:c r="L44" s="28" t="str">
        <x:v>Single transparent sprite; bottom-centre pivot; separate icon crop.</x:v>
      </x:c>
    </x:row>
    <x:row r="45" ht="126" customHeight="1">
      <x:c r="A45" s="28" t="str">
        <x:v>CD-09</x:v>
      </x:c>
      <x:c r="B45" s="28" t="str">
        <x:f>VLOOKUP(A45,'Decor Catalog'!$A$5:$X$124,2,FALSE)</x:f>
        <x:v>Smooth Stone Cave</x:v>
      </x:c>
      <x:c r="C45" s="28" t="str">
        <x:v>A rounded low boulder has a large off-centre doorway and a smaller shallow notch on its roof.</x:v>
      </x:c>
      <x:c r="D45" s="28" t="str">
        <x:v>Cool slate, pale blue-grey upper plane and deep teal interior.</x:v>
      </x:c>
      <x:c r="E45" s="28" t="str">
        <x:v>Smooth matte stone with softened edges and two broad cracks.</x:v>
      </x:c>
      <x:c r="F45" s="28" t="str">
        <x:f>VLOOKUP(A45,'Decor Catalog'!$A$5:$X$124,17,FALSE)&amp;" | "&amp;TEXT(VLOOKUP(A45,'Decor Catalog'!$A$5:$X$124,15,FALSE),"0.00")&amp;" W x "&amp;TEXT(VLOOKUP(A45,'Decor Catalog'!$A$5:$X$124,16,FALSE),"0.00")&amp;" H U"</x:f>
        <x:v>Medium | 2.00 W x 1.40 H U</x:v>
      </x:c>
      <x:c r="G45" s="28" t="str">
        <x:v>Midground — Seat at a side of the lower tank; treat the doorway as visual negative space only.</x:v>
      </x:c>
      <x:c r="H45" s="28" t="str">
        <x:v>Static idle. No particles, glow, movement or changing footprint.</x:v>
      </x:c>
      <x:c r="I45" s="28" t="str">
        <x:v>Static</x:v>
      </x:c>
      <x:c r="J45" s="28" t="str">
        <x:v>Use the finished base sprite with no glow or particles.</x:v>
      </x:c>
      <x:c r="K45" s="28" t="str">
        <x:v>One oversized off-centre opening in a soft, squat boulder.</x:v>
      </x:c>
      <x:c r="L45" s="28" t="str">
        <x:v>Single transparent sprite; bottom-centre pivot; separate icon crop.</x:v>
      </x:c>
    </x:row>
    <x:row r="46" ht="126" customHeight="1">
      <x:c r="A46" s="28" t="str">
        <x:v>CD-10</x:v>
      </x:c>
      <x:c r="B46" s="28" t="str">
        <x:f>VLOOKUP(A46,'Decor Catalog'!$A$5:$X$124,2,FALSE)</x:f>
        <x:v>Mini Stone Bridge</x:v>
      </x:c>
      <x:c r="C46" s="28" t="str">
        <x:v>A humpback footbridge has a single arch, three chunky parapet blocks and low rounded end posts.</x:v>
      </x:c>
      <x:c r="D46" s="28" t="str">
        <x:v>Warm sandstone, ivory top faces and desaturated blue-grey joints.</x:v>
      </x:c>
      <x:c r="E46" s="28" t="str">
        <x:v>Carved matte stone with oversized masonry blocks and soft worn edges.</x:v>
      </x:c>
      <x:c r="F46" s="28" t="str">
        <x:f>VLOOKUP(A46,'Decor Catalog'!$A$5:$X$124,17,FALSE)&amp;" | "&amp;TEXT(VLOOKUP(A46,'Decor Catalog'!$A$5:$X$124,15,FALSE),"0.00")&amp;" W x "&amp;TEXT(VLOOKUP(A46,'Decor Catalog'!$A$5:$X$124,16,FALSE),"0.00")&amp;" H U"</x:f>
        <x:v>Large | 2.40 W x 1.40 H U</x:v>
      </x:c>
      <x:c r="G46" s="28" t="str">
        <x:v>Midground — Place along the lower rear-side area; keep both end posts inside the placement footprint.</x:v>
      </x:c>
      <x:c r="H46" s="28" t="str">
        <x:v>Static idle. No particles, glow, movement or changing footprint.</x:v>
      </x:c>
      <x:c r="I46" s="28" t="str">
        <x:v>Static</x:v>
      </x:c>
      <x:c r="J46" s="28" t="str">
        <x:v>Use the finished base sprite with no glow or particles.</x:v>
      </x:c>
      <x:c r="K46" s="28" t="str">
        <x:v>A simple humpback arch with three clear parapet steps.</x:v>
      </x:c>
      <x:c r="L46" s="28" t="str">
        <x:v>Single transparent sprite; bottom-centre pivot; separate icon crop.</x:v>
      </x:c>
    </x:row>
    <x:row r="47" ht="126" customHeight="1">
      <x:c r="A47" s="28" t="str">
        <x:v>CD-11</x:v>
      </x:c>
      <x:c r="B47" s="28" t="str">
        <x:f>VLOOKUP(A47,'Decor Catalog'!$A$5:$X$124,2,FALSE)</x:f>
        <x:v>Sea-glass Mosaic Tile</x:v>
      </x:c>
      <x:c r="C47" s="28" t="str">
        <x:v>A low oval plaque contains five large irregular inlaid pieces arranged like a simple wave.</x:v>
      </x:c>
      <x:c r="D47" s="28" t="str">
        <x:v>Seafoam, turquoise, pale aqua and one amber piece in cream grout.</x:v>
      </x:c>
      <x:c r="E47" s="28" t="str">
        <x:v>Frosted glass-like colours with a matte finish; thick sandy ceramic border.</x:v>
      </x:c>
      <x:c r="F47" s="28" t="str">
        <x:f>VLOOKUP(A47,'Decor Catalog'!$A$5:$X$124,17,FALSE)&amp;" | "&amp;TEXT(VLOOKUP(A47,'Decor Catalog'!$A$5:$X$124,15,FALSE),"0.00")&amp;" W x "&amp;TEXT(VLOOKUP(A47,'Decor Catalog'!$A$5:$X$124,16,FALSE),"0.00")&amp;" H U"</x:f>
        <x:v>Medium | 1.80 W x 0.70 H U</x:v>
      </x:c>
      <x:c r="G47" s="28" t="str">
        <x:v>Foreground — Lay flat on front-side gravel at a shallow three-quarter angle; do not turn it into a full floor skin.</x:v>
      </x:c>
      <x:c r="H47" s="28" t="str">
        <x:v>Static idle. No particles, glow, movement or changing footprint.</x:v>
      </x:c>
      <x:c r="I47" s="28" t="str">
        <x:v>Static</x:v>
      </x:c>
      <x:c r="J47" s="28" t="str">
        <x:v>Use the finished base sprite with no glow or particles.</x:v>
      </x:c>
      <x:c r="K47" s="28" t="str">
        <x:v>Five broad mosaic pieces and an oval outline remain readable on mobile.</x:v>
      </x:c>
      <x:c r="L47" s="28" t="str">
        <x:v>Single transparent sprite; bottom-centre pivot; separate icon crop.</x:v>
      </x:c>
    </x:row>
    <x:row r="48" ht="126" customHeight="1">
      <x:c r="A48" s="28" t="str">
        <x:v>CD-12</x:v>
      </x:c>
      <x:c r="B48" s="28" t="str">
        <x:f>VLOOKUP(A48,'Decor Catalog'!$A$5:$X$124,2,FALSE)</x:f>
        <x:v>Anchor &amp; Rope</x:v>
      </x:c>
      <x:c r="C48" s="28" t="str">
        <x:v>A broad fluked anchor leans slightly right with one thick rope loop draped over its crossbar.</x:v>
      </x:c>
      <x:c r="D48" s="28" t="str">
        <x:v>Muted navy iron, russet corrosion accents and ochre rope.</x:v>
      </x:c>
      <x:c r="E48" s="28" t="str">
        <x:v>Matte worn metal with broad rust patches; rope twist shown in just four large sections.</x:v>
      </x:c>
      <x:c r="F48" s="28" t="str">
        <x:f>VLOOKUP(A48,'Decor Catalog'!$A$5:$X$124,17,FALSE)&amp;" | "&amp;TEXT(VLOOKUP(A48,'Decor Catalog'!$A$5:$X$124,15,FALSE),"0.00")&amp;" W x "&amp;TEXT(VLOOKUP(A48,'Decor Catalog'!$A$5:$X$124,16,FALSE),"0.00")&amp;" H U"</x:f>
        <x:v>Medium | 1.90 W x 2.00 H U</x:v>
      </x:c>
      <x:c r="G48" s="28" t="str">
        <x:v>Midground — Stand at the rear side against a low rock; keep both flukes visible.</x:v>
      </x:c>
      <x:c r="H48" s="28" t="str">
        <x:v>Static idle. No particles, glow, movement or changing footprint.</x:v>
      </x:c>
      <x:c r="I48" s="28" t="str">
        <x:v>Static</x:v>
      </x:c>
      <x:c r="J48" s="28" t="str">
        <x:v>Use the finished base sprite with no glow or particles.</x:v>
      </x:c>
      <x:c r="K48" s="28" t="str">
        <x:v>Heavy anchor silhouette with one clear rope loop, no loose spaghetti strands.</x:v>
      </x:c>
      <x:c r="L48" s="28" t="str">
        <x:v>Single transparent sprite; bottom-centre pivot; separate icon crop.</x:v>
      </x:c>
    </x:row>
    <x:row r="49" ht="126" customHeight="1">
      <x:c r="A49" s="28" t="str">
        <x:v>CD-13</x:v>
      </x:c>
      <x:c r="B49" s="28" t="str">
        <x:f>VLOOKUP(A49,'Decor Catalog'!$A$5:$X$124,2,FALSE)</x:f>
        <x:v>Barrel Hideout</x:v>
      </x:c>
      <x:c r="C49" s="28" t="str">
        <x:v>A squat wooden barrel lies diagonally with one open end and two oversized hoops.</x:v>
      </x:c>
      <x:c r="D49" s="28" t="str">
        <x:v>Chestnut staves, dark blue iron bands and warm beige wood ends.</x:v>
      </x:c>
      <x:c r="E49" s="28" t="str">
        <x:v>Matte plank faces with broad stave divisions; rounded, worn metal edges.</x:v>
      </x:c>
      <x:c r="F49" s="28" t="str">
        <x:f>VLOOKUP(A49,'Decor Catalog'!$A$5:$X$124,17,FALSE)&amp;" | "&amp;TEXT(VLOOKUP(A49,'Decor Catalog'!$A$5:$X$124,15,FALSE),"0.00")&amp;" W x "&amp;TEXT(VLOOKUP(A49,'Decor Catalog'!$A$5:$X$124,16,FALSE),"0.00")&amp;" H U"</x:f>
        <x:v>Medium | 1.80 W x 1.80 H U</x:v>
      </x:c>
      <x:c r="G49" s="28" t="str">
        <x:v>Midground — Place beside side foliage; the opening remains decorative and does not alter fish behaviour.</x:v>
      </x:c>
      <x:c r="H49" s="28" t="str">
        <x:v>Static idle. No particles, glow, movement or changing footprint.</x:v>
      </x:c>
      <x:c r="I49" s="28" t="str">
        <x:v>Static</x:v>
      </x:c>
      <x:c r="J49" s="28" t="str">
        <x:v>Use the finished base sprite with no glow or particles.</x:v>
      </x:c>
      <x:c r="K49" s="28" t="str">
        <x:v>Two large bands and an open oval mouth make a strong icon.</x:v>
      </x:c>
      <x:c r="L49" s="28" t="str">
        <x:v>Single transparent sprite; bottom-centre pivot; separate icon crop.</x:v>
      </x:c>
    </x:row>
    <x:row r="50" ht="126" customHeight="1">
      <x:c r="A50" s="28" t="str">
        <x:v>CD-14</x:v>
      </x:c>
      <x:c r="B50" s="28" t="str">
        <x:f>VLOOKUP(A50,'Decor Catalog'!$A$5:$X$124,2,FALSE)</x:f>
        <x:v>Fan Coral Sculpture</x:v>
      </x:c>
      <x:c r="C50" s="28" t="str">
        <x:v>A scalloped fan rises from a short trunk with five thick branching ribs and generous open gaps.</x:v>
      </x:c>
      <x:c r="D50" s="28" t="str">
        <x:v>Dusty magenta, coral pink and muted violet recesses.</x:v>
      </x:c>
      <x:c r="E50" s="28" t="str">
        <x:v>Matte resin with softened branch edges; no fine lace webbing.</x:v>
      </x:c>
      <x:c r="F50" s="28" t="str">
        <x:f>VLOOKUP(A50,'Decor Catalog'!$A$5:$X$124,17,FALSE)&amp;" | "&amp;TEXT(VLOOKUP(A50,'Decor Catalog'!$A$5:$X$124,15,FALSE),"0.00")&amp;" W x "&amp;TEXT(VLOOKUP(A50,'Decor Catalog'!$A$5:$X$124,16,FALSE),"0.00")&amp;" H U"</x:f>
        <x:v>Large | 2.30 W x 2.70 H U</x:v>
      </x:c>
      <x:c r="G50" s="28" t="str">
        <x:v>Background — Set toward a rear corner where its cutout gaps remain visible against the water.</x:v>
      </x:c>
      <x:c r="H50" s="28" t="str">
        <x:v>Static idle. No particles, glow, movement or changing footprint.</x:v>
      </x:c>
      <x:c r="I50" s="28" t="str">
        <x:v>Static</x:v>
      </x:c>
      <x:c r="J50" s="28" t="str">
        <x:v>Use the finished base sprite with no glow or particles.</x:v>
      </x:c>
      <x:c r="K50" s="28" t="str">
        <x:v>A magenta scalloped fan with five open branch channels.</x:v>
      </x:c>
      <x:c r="L50" s="28" t="str">
        <x:v>Single transparent sprite; bottom-centre pivot; separate icon crop.</x:v>
      </x:c>
    </x:row>
    <x:row r="51" ht="126" customHeight="1">
      <x:c r="A51" s="28" t="str">
        <x:v>CD-15</x:v>
      </x:c>
      <x:c r="B51" s="28" t="str">
        <x:f>VLOOKUP(A51,'Decor Catalog'!$A$5:$X$124,2,FALSE)</x:f>
        <x:v>Bamboo Water Wheel</x:v>
      </x:c>
      <x:c r="C51" s="28" t="str">
        <x:v>A chunky six-spoke wheel sits in a low A-frame, with one short decorative bamboo spout beside it.</x:v>
      </x:c>
      <x:c r="D51" s="28" t="str">
        <x:v>Honey bamboo, moss green binding and dark walnut axle.</x:v>
      </x:c>
      <x:c r="E51" s="28" t="str">
        <x:v>Matte bamboo cylinders with a few broad node rings; carved wood spokes.</x:v>
      </x:c>
      <x:c r="F51" s="28" t="str">
        <x:f>VLOOKUP(A51,'Decor Catalog'!$A$5:$X$124,17,FALSE)&amp;" | "&amp;TEXT(VLOOKUP(A51,'Decor Catalog'!$A$5:$X$124,15,FALSE),"0.00")&amp;" W x "&amp;TEXT(VLOOKUP(A51,'Decor Catalog'!$A$5:$X$124,16,FALSE),"0.00")&amp;" H U"</x:f>
        <x:v>Large | 2.50 W x 2.50 H U</x:v>
      </x:c>
      <x:c r="G51" s="28" t="str">
        <x:v>Midground — Place in a rear-side arrangement; keep the wheel fully visible and entirely underwater.</x:v>
      </x:c>
      <x:c r="H51" s="28" t="str">
        <x:v>Static idle. No particles, glow, movement or changing footprint.</x:v>
      </x:c>
      <x:c r="I51" s="28" t="str">
        <x:v>Static</x:v>
      </x:c>
      <x:c r="J51" s="28" t="str">
        <x:v>Use the finished base sprite with no glow or particles.</x:v>
      </x:c>
      <x:c r="K51" s="28" t="str">
        <x:v>Six broad spokes and bamboo frame; static ornament, not working machinery.</x:v>
      </x:c>
      <x:c r="L51" s="28" t="str">
        <x:v>Single transparent sprite; bottom-centre pivot; separate icon crop.</x:v>
      </x:c>
    </x:row>
    <x:row r="52" ht="126" customHeight="1">
      <x:c r="A52" s="28" t="str">
        <x:v>CD-16</x:v>
      </x:c>
      <x:c r="B52" s="28" t="str">
        <x:f>VLOOKUP(A52,'Decor Catalog'!$A$5:$X$124,2,FALSE)</x:f>
        <x:v>Broken Column Pair</x:v>
      </x:c>
      <x:c r="C52" s="28" t="str">
        <x:v>One tall fluted column stump and one fallen drum sit together, both with rounded chipped edges.</x:v>
      </x:c>
      <x:c r="D52" s="28" t="str">
        <x:v>Warm limestone, pale cream upper planes and sage-grey recesses.</x:v>
      </x:c>
      <x:c r="E52" s="28" t="str">
        <x:v>Matte carved stone with four deep flutes and broad fractured faces.</x:v>
      </x:c>
      <x:c r="F52" s="28" t="str">
        <x:f>VLOOKUP(A52,'Decor Catalog'!$A$5:$X$124,17,FALSE)&amp;" | "&amp;TEXT(VLOOKUP(A52,'Decor Catalog'!$A$5:$X$124,15,FALSE),"0.00")&amp;" W x "&amp;TEXT(VLOOKUP(A52,'Decor Catalog'!$A$5:$X$124,16,FALSE),"0.00")&amp;" H U"</x:f>
        <x:v>Large | 2.50 W x 2.30 H U</x:v>
      </x:c>
      <x:c r="G52" s="28" t="str">
        <x:v>Midground — Place behind a low plant on either side; leave an open gap between the standing and fallen pieces.</x:v>
      </x:c>
      <x:c r="H52" s="28" t="str">
        <x:v>Static idle. No particles, glow, movement or changing footprint.</x:v>
      </x:c>
      <x:c r="I52" s="28" t="str">
        <x:v>Static</x:v>
      </x:c>
      <x:c r="J52" s="28" t="str">
        <x:v>Use the finished base sprite with no glow or particles.</x:v>
      </x:c>
      <x:c r="K52" s="28" t="str">
        <x:v>Standing stump plus horizontal drum create a clear ruin silhouette.</x:v>
      </x:c>
      <x:c r="L52" s="28" t="str">
        <x:v>Single transparent sprite; bottom-centre pivot; separate icon crop.</x:v>
      </x:c>
    </x:row>
    <x:row r="53" ht="126" customHeight="1">
      <x:c r="A53" s="28" t="str">
        <x:v>CD-17</x:v>
      </x:c>
      <x:c r="B53" s="28" t="str">
        <x:f>VLOOKUP(A53,'Decor Catalog'!$A$5:$X$124,2,FALSE)</x:f>
        <x:v>Turtle Garden Statue</x:v>
      </x:c>
      <x:c r="C53" s="28" t="str">
        <x:v>A plump stone turtle rests on a low plinth, with tucked feet, a broad shell and a softly curved neck.</x:v>
      </x:c>
      <x:c r="D53" s="28" t="str">
        <x:v>Sage-grey stone, pale moss accents and dark teal carved grooves.</x:v>
      </x:c>
      <x:c r="E53" s="28" t="str">
        <x:v>Clearly inanimate matte stone; the shell uses five large hexagonal panels.</x:v>
      </x:c>
      <x:c r="F53" s="28" t="str">
        <x:f>VLOOKUP(A53,'Decor Catalog'!$A$5:$X$124,17,FALSE)&amp;" | "&amp;TEXT(VLOOKUP(A53,'Decor Catalog'!$A$5:$X$124,15,FALSE),"0.00")&amp;" W x "&amp;TEXT(VLOOKUP(A53,'Decor Catalog'!$A$5:$X$124,16,FALSE),"0.00")&amp;" H U"</x:f>
        <x:v>Medium | 1.90 W x 1.20 H U</x:v>
      </x:c>
      <x:c r="G53" s="28" t="str">
        <x:v>Foreground — Set near a front-side moss garden; keep it smaller than a living fish focal group.</x:v>
      </x:c>
      <x:c r="H53" s="28" t="str">
        <x:v>Static idle. No particles, glow, movement or changing footprint.</x:v>
      </x:c>
      <x:c r="I53" s="28" t="str">
        <x:v>Static</x:v>
      </x:c>
      <x:c r="J53" s="28" t="str">
        <x:v>Use the finished base sprite with no glow or particles.</x:v>
      </x:c>
      <x:c r="K53" s="28" t="str">
        <x:v>A quiet rounded turtle statue; no eyes blinking or live-creature motion.</x:v>
      </x:c>
      <x:c r="L53" s="28" t="str">
        <x:v>Single transparent sprite; bottom-centre pivot; separate icon crop.</x:v>
      </x:c>
    </x:row>
    <x:row r="54" ht="126" customHeight="1">
      <x:c r="A54" s="28" t="str">
        <x:v>CD-18</x:v>
      </x:c>
      <x:c r="B54" s="28" t="str">
        <x:f>VLOOKUP(A54,'Decor Catalog'!$A$5:$X$124,2,FALSE)</x:f>
        <x:v>Ship's Wheel Stand</x:v>
      </x:c>
      <x:c r="C54" s="28" t="str">
        <x:v>An eight-handled wheel tilts on a short broken post above two compact wooden feet.</x:v>
      </x:c>
      <x:c r="D54" s="28" t="str">
        <x:v>Walnut, warm amber spoke faces and a muted brass centre cap.</x:v>
      </x:c>
      <x:c r="E54" s="28" t="str">
        <x:v>Matte wood and dulled metal; no wet highlights or fine splinters.</x:v>
      </x:c>
      <x:c r="F54" s="28" t="str">
        <x:f>VLOOKUP(A54,'Decor Catalog'!$A$5:$X$124,17,FALSE)&amp;" | "&amp;TEXT(VLOOKUP(A54,'Decor Catalog'!$A$5:$X$124,15,FALSE),"0.00")&amp;" W x "&amp;TEXT(VLOOKUP(A54,'Decor Catalog'!$A$5:$X$124,16,FALSE),"0.00")&amp;" H U"</x:f>
        <x:v>Large | 2.30 W x 2.50 H U</x:v>
      </x:c>
      <x:c r="G54" s="28" t="str">
        <x:v>Midground — Anchor to a rear side with a small plant below; keep all eight handles inside the footprint.</x:v>
      </x:c>
      <x:c r="H54" s="28" t="str">
        <x:v>Static idle. No particles, glow, movement or changing footprint.</x:v>
      </x:c>
      <x:c r="I54" s="28" t="str">
        <x:v>Static</x:v>
      </x:c>
      <x:c r="J54" s="28" t="str">
        <x:v>Use the finished base sprite with no glow or particles.</x:v>
      </x:c>
      <x:c r="K54" s="28" t="str">
        <x:v>Eight thick handles and a tilted circular outline, unlike the bamboo wheel.</x:v>
      </x:c>
      <x:c r="L54" s="28" t="str">
        <x:v>Single transparent sprite; bottom-centre pivot; separate icon crop.</x:v>
      </x:c>
    </x:row>
    <x:row r="55" ht="126" customHeight="1">
      <x:c r="A55" s="28" t="str">
        <x:v>CD-19</x:v>
      </x:c>
      <x:c r="B55" s="28" t="str">
        <x:f>VLOOKUP(A55,'Decor Catalog'!$A$5:$X$124,2,FALSE)</x:f>
        <x:v>Mushroom Cottage</x:v>
      </x:c>
      <x:c r="C55" s="28" t="str">
        <x:v>A squat cottage sits beneath one oversized domed mushroom cap; a round doorway and two small windows face front.</x:v>
      </x:c>
      <x:c r="D55" s="28" t="str">
        <x:v>Toadstool coral cap, cream walls, teal door and a few large pale cap spots.</x:v>
      </x:c>
      <x:c r="E55" s="28" t="str">
        <x:v>Matte sculpted resin with soft rounded edges and simple inset openings.</x:v>
      </x:c>
      <x:c r="F55" s="28" t="str">
        <x:f>VLOOKUP(A55,'Decor Catalog'!$A$5:$X$124,17,FALSE)&amp;" | "&amp;TEXT(VLOOKUP(A55,'Decor Catalog'!$A$5:$X$124,15,FALSE),"0.00")&amp;" W x "&amp;TEXT(VLOOKUP(A55,'Decor Catalog'!$A$5:$X$124,16,FALSE),"0.00")&amp;" H U"</x:f>
        <x:v>Large | 2.30 W x 2.70 H U</x:v>
      </x:c>
      <x:c r="G55" s="28" t="str">
        <x:v>Midground — Place at a side focal point; keep it a single ornament, not a whole village or backdrop.</x:v>
      </x:c>
      <x:c r="H55" s="28" t="str">
        <x:v>Static idle. No particles, glow, movement or changing footprint.</x:v>
      </x:c>
      <x:c r="I55" s="28" t="str">
        <x:v>Static</x:v>
      </x:c>
      <x:c r="J55" s="28" t="str">
        <x:v>Use the finished base sprite with no glow or particles.</x:v>
      </x:c>
      <x:c r="K55" s="28" t="str">
        <x:v>One huge spotted cap over a cream body; no text or embedded characters.</x:v>
      </x:c>
      <x:c r="L55" s="28" t="str">
        <x:v>Single transparent sprite; bottom-centre pivot; separate icon crop.</x:v>
      </x:c>
    </x:row>
    <x:row r="56" ht="126" customHeight="1">
      <x:c r="A56" s="28" t="str">
        <x:v>CD-20</x:v>
      </x:c>
      <x:c r="B56" s="28" t="str">
        <x:f>VLOOKUP(A56,'Decor Catalog'!$A$5:$X$124,2,FALSE)</x:f>
        <x:v>Basalt Stair Terrace</x:v>
      </x:c>
      <x:c r="C56" s="28" t="str">
        <x:v>Five chunky hexagonal basalt columns step upward in a compact crescent with a flat central ledge.</x:v>
      </x:c>
      <x:c r="D56" s="28" t="str">
        <x:v>Charcoal violet, slate blue and cool grey top faces.</x:v>
      </x:c>
      <x:c r="E56" s="28" t="str">
        <x:v>Matte volcanic stone with broad hexagonal planes and softened edges.</x:v>
      </x:c>
      <x:c r="F56" s="28" t="str">
        <x:f>VLOOKUP(A56,'Decor Catalog'!$A$5:$X$124,17,FALSE)&amp;" | "&amp;TEXT(VLOOKUP(A56,'Decor Catalog'!$A$5:$X$124,15,FALSE),"0.00")&amp;" W x "&amp;TEXT(VLOOKUP(A56,'Decor Catalog'!$A$5:$X$124,16,FALSE),"0.00")&amp;" H U"</x:f>
        <x:v>Large | 2.80 W x 2.10 H U</x:v>
      </x:c>
      <x:c r="G56" s="28" t="str">
        <x:v>Midground — Place against a rear-side plant group; use the lower ledge for visual overlap only.</x:v>
      </x:c>
      <x:c r="H56" s="28" t="str">
        <x:v>Static idle. No particles, glow, movement or changing footprint.</x:v>
      </x:c>
      <x:c r="I56" s="28" t="str">
        <x:v>Static</x:v>
      </x:c>
      <x:c r="J56" s="28" t="str">
        <x:v>Use the finished base sprite with no glow or particles.</x:v>
      </x:c>
      <x:c r="K56" s="28" t="str">
        <x:v>A five-column hexagonal staircase without tiny rock rubble.</x:v>
      </x:c>
      <x:c r="L56" s="28" t="str">
        <x:v>Single transparent sprite; bottom-centre pivot; separate icon crop.</x:v>
      </x:c>
    </x:row>
    <x:row r="57" ht="126" customHeight="1">
      <x:c r="A57" s="28" t="str">
        <x:v>CD-21</x:v>
      </x:c>
      <x:c r="B57" s="28" t="str">
        <x:f>VLOOKUP(A57,'Decor Catalog'!$A$5:$X$124,2,FALSE)</x:f>
        <x:v>Nautilus Alcove</x:v>
      </x:c>
      <x:c r="C57" s="28" t="str">
        <x:v>A thick spiral stone frame surrounds a shallow arched niche, standing on a simple two-step base.</x:v>
      </x:c>
      <x:c r="D57" s="28" t="str">
        <x:v>Sandy limestone, muted seafoam inlays and dark blue-grey cavity.</x:v>
      </x:c>
      <x:c r="E57" s="28" t="str">
        <x:v>Matte carved stone with an oversized spiral relief; no glyphs or readable inscription.</x:v>
      </x:c>
      <x:c r="F57" s="28" t="str">
        <x:f>VLOOKUP(A57,'Decor Catalog'!$A$5:$X$124,17,FALSE)&amp;" | "&amp;TEXT(VLOOKUP(A57,'Decor Catalog'!$A$5:$X$124,15,FALSE),"0.00")&amp;" W x "&amp;TEXT(VLOOKUP(A57,'Decor Catalog'!$A$5:$X$124,16,FALSE),"0.00")&amp;" H U"</x:f>
        <x:v>Large | 2.70 W x 2.60 H U</x:v>
      </x:c>
      <x:c r="G57" s="28" t="str">
        <x:v>Midground — Set at a rear side; keep the niche and spiral open to the viewer.</x:v>
      </x:c>
      <x:c r="H57" s="28" t="str">
        <x:v>Static idle. No particles, glow, movement or changing footprint.</x:v>
      </x:c>
      <x:c r="I57" s="28" t="str">
        <x:v>Static</x:v>
      </x:c>
      <x:c r="J57" s="28" t="str">
        <x:v>Use the finished base sprite with no glow or particles.</x:v>
      </x:c>
      <x:c r="K57" s="28" t="str">
        <x:v>Architectural spiral alcove, clearly carved rather than a living shell.</x:v>
      </x:c>
      <x:c r="L57" s="28" t="str">
        <x:v>Single transparent sprite; bottom-centre pivot; separate icon crop.</x:v>
      </x:c>
    </x:row>
    <x:row r="58" ht="126" customHeight="1">
      <x:c r="A58" s="28" t="str">
        <x:v>CD-22</x:v>
      </x:c>
      <x:c r="B58" s="28" t="str">
        <x:f>VLOOKUP(A58,'Decor Catalog'!$A$5:$X$124,2,FALSE)</x:f>
        <x:v>Sunken Teacup</x:v>
      </x:c>
      <x:c r="C58" s="28" t="str">
        <x:v>An oversized tilted teacup rests on a scalloped saucer; its thick loop handle points upward.</x:v>
      </x:c>
      <x:c r="D58" s="28" t="str">
        <x:v>Powder blue ceramic, buttercream bands and a warm apricot interior.</x:v>
      </x:c>
      <x:c r="E58" s="28" t="str">
        <x:v>Matte glazed-ceramic look with restrained cel shading; a single broad chip in the saucer.</x:v>
      </x:c>
      <x:c r="F58" s="28" t="str">
        <x:f>VLOOKUP(A58,'Decor Catalog'!$A$5:$X$124,17,FALSE)&amp;" | "&amp;TEXT(VLOOKUP(A58,'Decor Catalog'!$A$5:$X$124,15,FALSE),"0.00")&amp;" W x "&amp;TEXT(VLOOKUP(A58,'Decor Catalog'!$A$5:$X$124,16,FALSE),"0.00")&amp;" H U"</x:f>
        <x:v>Large | 2.50 W x 1.80 H U</x:v>
      </x:c>
      <x:c r="G58" s="28" t="str">
        <x:v>Midground — Place near side foliage with the handle clear; no tea, fish or plant is baked inside.</x:v>
      </x:c>
      <x:c r="H58" s="28" t="str">
        <x:v>Static idle. No particles, glow, movement or changing footprint.</x:v>
      </x:c>
      <x:c r="I58" s="28" t="str">
        <x:v>Static</x:v>
      </x:c>
      <x:c r="J58" s="28" t="str">
        <x:v>Use the finished base sprite with no glow or particles.</x:v>
      </x:c>
      <x:c r="K58" s="28" t="str">
        <x:v>A huge loop handle and scalloped saucer make a playful collector silhouette.</x:v>
      </x:c>
      <x:c r="L58" s="28" t="str">
        <x:v>Single transparent sprite; bottom-centre pivot; separate icon crop.</x:v>
      </x:c>
    </x:row>
    <x:row r="59" ht="126" customHeight="1">
      <x:c r="A59" s="28" t="str">
        <x:v>CD-23</x:v>
      </x:c>
      <x:c r="B59" s="28" t="str">
        <x:f>VLOOKUP(A59,'Decor Catalog'!$A$5:$X$124,2,FALSE)</x:f>
        <x:v>Ruined Moon Gate</x:v>
      </x:c>
      <x:c r="C59" s="28" t="str">
        <x:v>A circular garden doorway rises from two low stone shoulders, with a missing wedge near the top.</x:v>
      </x:c>
      <x:c r="D59" s="28" t="str">
        <x:v>Pale sand, moss-grey mortar and a dusty turquoise inset rim.</x:v>
      </x:c>
      <x:c r="E59" s="28" t="str">
        <x:v>Matte dressed stone in large blocks, with rounded worn corners.</x:v>
      </x:c>
      <x:c r="F59" s="28" t="str">
        <x:f>VLOOKUP(A59,'Decor Catalog'!$A$5:$X$124,17,FALSE)&amp;" | "&amp;TEXT(VLOOKUP(A59,'Decor Catalog'!$A$5:$X$124,15,FALSE),"0.00")&amp;" W x "&amp;TEXT(VLOOKUP(A59,'Decor Catalog'!$A$5:$X$124,16,FALSE),"0.00")&amp;" H U"</x:f>
        <x:v>Large | 3.00 W x 3.10 H U</x:v>
      </x:c>
      <x:c r="G59" s="28" t="str">
        <x:v>Background — Place near a rear corner and keep the circular opening unobstructed; no collision or pathing effect.</x:v>
      </x:c>
      <x:c r="H59" s="28" t="str">
        <x:v>Static idle. No particles, glow, movement or changing footprint.</x:v>
      </x:c>
      <x:c r="I59" s="28" t="str">
        <x:v>Static</x:v>
      </x:c>
      <x:c r="J59" s="28" t="str">
        <x:v>Use the finished base sprite with no glow or particles.</x:v>
      </x:c>
      <x:c r="K59" s="28" t="str">
        <x:v>A nearly complete circle with one missing top wedge.</x:v>
      </x:c>
      <x:c r="L59" s="28" t="str">
        <x:v>Single transparent sprite; bottom-centre pivot; separate icon crop.</x:v>
      </x:c>
    </x:row>
    <x:row r="60" ht="126" customHeight="1">
      <x:c r="A60" s="28" t="str">
        <x:v>CD-24</x:v>
      </x:c>
      <x:c r="B60" s="28" t="str">
        <x:f>VLOOKUP(A60,'Decor Catalog'!$A$5:$X$124,2,FALSE)</x:f>
        <x:v>Fossil Spiral Slab</x:v>
      </x:c>
      <x:c r="C60" s="28" t="str">
        <x:v>A broad leaning slab holds one large spiral fossil relief, with a small broken corner at its foot.</x:v>
      </x:c>
      <x:c r="D60" s="28" t="str">
        <x:v>Warm ochre stone, cream fossil ridges and muted brown crevices.</x:v>
      </x:c>
      <x:c r="E60" s="28" t="str">
        <x:v>Matte sedimentary stone; fossil chambers are eight large raised segments.</x:v>
      </x:c>
      <x:c r="F60" s="28" t="str">
        <x:f>VLOOKUP(A60,'Decor Catalog'!$A$5:$X$124,17,FALSE)&amp;" | "&amp;TEXT(VLOOKUP(A60,'Decor Catalog'!$A$5:$X$124,15,FALSE),"0.00")&amp;" W x "&amp;TEXT(VLOOKUP(A60,'Decor Catalog'!$A$5:$X$124,16,FALSE),"0.00")&amp;" H U"</x:f>
        <x:v>Large | 2.80 W x 2.40 H U</x:v>
      </x:c>
      <x:c r="G60" s="28" t="str">
        <x:v>Midground — Lean visually against rear-side gravel; keep the spiral facing three-quarter front.</x:v>
      </x:c>
      <x:c r="H60" s="28" t="str">
        <x:v>Static idle. No particles, glow, movement or changing footprint.</x:v>
      </x:c>
      <x:c r="I60" s="28" t="str">
        <x:v>Static</x:v>
      </x:c>
      <x:c r="J60" s="28" t="str">
        <x:v>Use the finished base sprite with no glow or particles.</x:v>
      </x:c>
      <x:c r="K60" s="28" t="str">
        <x:v>One oversized fossil on an angular slab, not a freestanding shell.</x:v>
      </x:c>
      <x:c r="L60" s="28" t="str">
        <x:v>Single transparent sprite; bottom-centre pivot; separate icon crop.</x:v>
      </x:c>
    </x:row>
    <x:row r="61" ht="126" customHeight="1">
      <x:c r="A61" s="28" t="str">
        <x:v>CD-25</x:v>
      </x:c>
      <x:c r="B61" s="28" t="str">
        <x:f>VLOOKUP(A61,'Decor Catalog'!$A$5:$X$124,2,FALSE)</x:f>
        <x:v>Grand Driftwood Arch</x:v>
      </x:c>
      <x:c r="C61" s="28" t="str">
        <x:v>A thick twisted root curves into an asymmetric arch with one forked top and two chunky planted feet.</x:v>
      </x:c>
      <x:c r="D61" s="28" t="str">
        <x:v>Deep chestnut, cinnamon upper ridges and soft grey worn ends.</x:v>
      </x:c>
      <x:c r="E61" s="28" t="str">
        <x:v>Matte weathered timber with three broad grooves and one hollow knot.</x:v>
      </x:c>
      <x:c r="F61" s="28" t="str">
        <x:f>VLOOKUP(A61,'Decor Catalog'!$A$5:$X$124,17,FALSE)&amp;" | "&amp;TEXT(VLOOKUP(A61,'Decor Catalog'!$A$5:$X$124,15,FALSE),"0.00")&amp;" W x "&amp;TEXT(VLOOKUP(A61,'Decor Catalog'!$A$5:$X$124,16,FALSE),"0.00")&amp;" H U"</x:f>
        <x:v>XL | 3.50 W x 2.60 H U</x:v>
      </x:c>
      <x:c r="G61" s="28" t="str">
        <x:v>Background — Anchor along the rear side; keep the arch transparent and leave central fish clear.</x:v>
      </x:c>
      <x:c r="H61" s="28" t="str">
        <x:v>Static idle. No particles, glow, movement or changing footprint.</x:v>
      </x:c>
      <x:c r="I61" s="28" t="str">
        <x:v>Static</x:v>
      </x:c>
      <x:c r="J61" s="28" t="str">
        <x:v>Use the finished base sprite with no glow or particles.</x:v>
      </x:c>
      <x:c r="K61" s="28" t="str">
        <x:v>One big twisted arch with a forked crest; no leaves baked in.</x:v>
      </x:c>
      <x:c r="L61" s="28" t="str">
        <x:v>Single transparent sprite; bottom-centre pivot; separate icon crop.</x:v>
      </x:c>
    </x:row>
    <x:row r="62" ht="126" customHeight="1">
      <x:c r="A62" s="28" t="str">
        <x:v>CD-26</x:v>
      </x:c>
      <x:c r="B62" s="28" t="str">
        <x:f>VLOOKUP(A62,'Decor Catalog'!$A$5:$X$124,2,FALSE)</x:f>
        <x:v>Star Crystal Cluster</x:v>
      </x:c>
      <x:c r="C62" s="28" t="str">
        <x:v>Five blunt crystals radiate from a low star-shaped base, with a tall centre shard and two tilted side shards.</x:v>
      </x:c>
      <x:c r="D62" s="28" t="str">
        <x:v>Lavender, pale aqua and muted periwinkle facets with deep indigo gaps.</x:v>
      </x:c>
      <x:c r="E62" s="28" t="str">
        <x:v>Opaque matte crystal planes; no real refraction, white glints or emitted light.</x:v>
      </x:c>
      <x:c r="F62" s="28" t="str">
        <x:f>VLOOKUP(A62,'Decor Catalog'!$A$5:$X$124,17,FALSE)&amp;" | "&amp;TEXT(VLOOKUP(A62,'Decor Catalog'!$A$5:$X$124,15,FALSE),"0.00")&amp;" W x "&amp;TEXT(VLOOKUP(A62,'Decor Catalog'!$A$5:$X$124,16,FALSE),"0.00")&amp;" H U"</x:f>
        <x:v>Large | 2.80 W x 3.00 H U</x:v>
      </x:c>
      <x:c r="G62" s="28" t="str">
        <x:v>Midground — Place beside dark rear-side foliage to show the faceted outline.</x:v>
      </x:c>
      <x:c r="H62" s="28" t="str">
        <x:v>Static idle. No particles, glow, movement or changing footprint.</x:v>
      </x:c>
      <x:c r="I62" s="28" t="str">
        <x:v>Static</x:v>
      </x:c>
      <x:c r="J62" s="28" t="str">
        <x:v>Use the finished base sprite with no glow or particles.</x:v>
      </x:c>
      <x:c r="K62" s="28" t="str">
        <x:v>Blunt starburst crystal geometry; static and clearly distinct from glowing premium crystals.</x:v>
      </x:c>
      <x:c r="L62" s="28" t="str">
        <x:v>Single transparent sprite; bottom-centre pivot; separate icon crop.</x:v>
      </x:c>
    </x:row>
    <x:row r="63" ht="126" customHeight="1">
      <x:c r="A63" s="28" t="str">
        <x:v>CD-27</x:v>
      </x:c>
      <x:c r="B63" s="28" t="str">
        <x:f>VLOOKUP(A63,'Decor Catalog'!$A$5:$X$124,2,FALSE)</x:f>
        <x:v>Sandstone Palace Ruin</x:v>
      </x:c>
      <x:c r="C63" s="28" t="str">
        <x:v>A compact ruin has two unequal domed towers joined by a single wide arch and a broken parapet.</x:v>
      </x:c>
      <x:c r="D63" s="28" t="str">
        <x:v>Golden sandstone, pale peach faces and turquoise ceramic accent bands.</x:v>
      </x:c>
      <x:c r="E63" s="28" t="str">
        <x:v>Matte carved stone with broad block joints and dulled ceramic inlays.</x:v>
      </x:c>
      <x:c r="F63" s="28" t="str">
        <x:f>VLOOKUP(A63,'Decor Catalog'!$A$5:$X$124,17,FALSE)&amp;" | "&amp;TEXT(VLOOKUP(A63,'Decor Catalog'!$A$5:$X$124,15,FALSE),"0.00")&amp;" W x "&amp;TEXT(VLOOKUP(A63,'Decor Catalog'!$A$5:$X$124,16,FALSE),"0.00")&amp;" H U"</x:f>
        <x:v>XL | 3.60 W x 3.40 H U</x:v>
      </x:c>
      <x:c r="G63" s="28" t="str">
        <x:v>Background — Use as one rear-corner landmark; the arch stays transparent and the centre lane stays open.</x:v>
      </x:c>
      <x:c r="H63" s="28" t="str">
        <x:v>Static idle. No particles, glow, movement or changing footprint.</x:v>
      </x:c>
      <x:c r="I63" s="28" t="str">
        <x:v>Static</x:v>
      </x:c>
      <x:c r="J63" s="28" t="str">
        <x:v>Use the finished base sprite with no glow or particles.</x:v>
      </x:c>
      <x:c r="K63" s="28" t="str">
        <x:v>Two unequal domes and one arch, not a tank-wide city scene.</x:v>
      </x:c>
      <x:c r="L63" s="28" t="str">
        <x:v>Single transparent sprite; bottom-centre pivot; separate icon crop.</x:v>
      </x:c>
    </x:row>
    <x:row r="64" ht="126" customHeight="1">
      <x:c r="A64" s="28" t="str">
        <x:v>CD-28</x:v>
      </x:c>
      <x:c r="B64" s="28" t="str">
        <x:f>VLOOKUP(A64,'Decor Catalog'!$A$5:$X$124,2,FALSE)</x:f>
        <x:v>Shipwreck Bow</x:v>
      </x:c>
      <x:c r="C64" s="28" t="str">
        <x:v>The front section of a small ship tilts upward, with a curved prow, broken deck edge and one short mast stump.</x:v>
      </x:c>
      <x:c r="D64" s="28" t="str">
        <x:v>Walnut planks, dark blue ribs and muted ochre rail details.</x:v>
      </x:c>
      <x:c r="E64" s="28" t="str">
        <x:v>Matte weathered wood; plank breaks are chunky, with no sharp splinter clutter.</x:v>
      </x:c>
      <x:c r="F64" s="28" t="str">
        <x:f>VLOOKUP(A64,'Decor Catalog'!$A$5:$X$124,17,FALSE)&amp;" | "&amp;TEXT(VLOOKUP(A64,'Decor Catalog'!$A$5:$X$124,15,FALSE),"0.00")&amp;" W x "&amp;TEXT(VLOOKUP(A64,'Decor Catalog'!$A$5:$X$124,16,FALSE),"0.00")&amp;" H U"</x:f>
        <x:v>XL | 3.90 W x 3.00 H U</x:v>
      </x:c>
      <x:c r="G64" s="28" t="str">
        <x:v>Background — Anchor against the rear-left or rear-right gravel; keep only a compact bow section, not a whole vessel.</x:v>
      </x:c>
      <x:c r="H64" s="28" t="str">
        <x:v>Static idle. No particles, glow, movement or changing footprint.</x:v>
      </x:c>
      <x:c r="I64" s="28" t="str">
        <x:v>Static</x:v>
      </x:c>
      <x:c r="J64" s="28" t="str">
        <x:v>Use the finished base sprite with no glow or particles.</x:v>
      </x:c>
      <x:c r="K64" s="28" t="str">
        <x:v>A rising curved prow with exposed ribs creates a readable shipwreck icon.</x:v>
      </x:c>
      <x:c r="L64" s="28" t="str">
        <x:v>Single transparent sprite; bottom-centre pivot; separate icon crop.</x:v>
      </x:c>
    </x:row>
    <x:row r="65" ht="126" customHeight="1">
      <x:c r="A65" s="28" t="str">
        <x:v>CD-29</x:v>
      </x:c>
      <x:c r="B65" s="28" t="str">
        <x:f>VLOOKUP(A65,'Decor Catalog'!$A$5:$X$124,2,FALSE)</x:f>
        <x:v>Overgrown Observatory</x:v>
      </x:c>
      <x:c r="C65" s="28" t="str">
        <x:v>A round tower stump carries an open crescent roof frame and a short fixed telescope-like stone tube.</x:v>
      </x:c>
      <x:c r="D65" s="28" t="str">
        <x:v>Sage-grey stone, dusty bronze frame and small moss-green caps.</x:v>
      </x:c>
      <x:c r="E65" s="28" t="str">
        <x:v>Matte carved stone and aged metal, with moss restricted to three broad patches.</x:v>
      </x:c>
      <x:c r="F65" s="28" t="str">
        <x:f>VLOOKUP(A65,'Decor Catalog'!$A$5:$X$124,17,FALSE)&amp;" | "&amp;TEXT(VLOOKUP(A65,'Decor Catalog'!$A$5:$X$124,15,FALSE),"0.00")&amp;" W x "&amp;TEXT(VLOOKUP(A65,'Decor Catalog'!$A$5:$X$124,16,FALSE),"0.00")&amp;" H U"</x:f>
        <x:v>XL | 3.40 W x 3.80 H U</x:v>
      </x:c>
      <x:c r="G65" s="28" t="str">
        <x:v>Background — Place in a rear corner; aim the fixed tube outward so it does not overlap the main swim area.</x:v>
      </x:c>
      <x:c r="H65" s="28" t="str">
        <x:v>Static idle. No particles, glow, movement or changing footprint.</x:v>
      </x:c>
      <x:c r="I65" s="28" t="str">
        <x:v>Static</x:v>
      </x:c>
      <x:c r="J65" s="28" t="str">
        <x:v>Use the finished base sprite with no glow or particles.</x:v>
      </x:c>
      <x:c r="K65" s="28" t="str">
        <x:v>Round tower, open crescent roof and outward tube create one strong silhouette.</x:v>
      </x:c>
      <x:c r="L65" s="28" t="str">
        <x:v>Single transparent sprite; bottom-centre pivot; separate icon crop.</x:v>
      </x:c>
    </x:row>
    <x:row r="66" ht="126" customHeight="1">
      <x:c r="A66" s="28" t="str">
        <x:v>CD-30</x:v>
      </x:c>
      <x:c r="B66" s="28" t="str">
        <x:f>VLOOKUP(A66,'Decor Catalog'!$A$5:$X$124,2,FALSE)</x:f>
        <x:v>Giant Conch Pavilion</x:v>
      </x:c>
      <x:c r="C66" s="28" t="str">
        <x:v>A monumental conch shell stands on its side with a broad flared opening and three rounded spires.</x:v>
      </x:c>
      <x:c r="D66" s="28" t="str">
        <x:v>Ivory, soft peach, rose interior and subdued turquoise mineral bands.</x:v>
      </x:c>
      <x:c r="E66" s="28" t="str">
        <x:v>Matte shell with broad curved ridges; the interior is a simple dark-to-light cel-shaded cavity.</x:v>
      </x:c>
      <x:c r="F66" s="28" t="str">
        <x:f>VLOOKUP(A66,'Decor Catalog'!$A$5:$X$124,17,FALSE)&amp;" | "&amp;TEXT(VLOOKUP(A66,'Decor Catalog'!$A$5:$X$124,15,FALSE),"0.00")&amp;" W x "&amp;TEXT(VLOOKUP(A66,'Decor Catalog'!$A$5:$X$124,16,FALSE),"0.00")&amp;" H U"</x:f>
        <x:v>XL | 4.00 W x 3.40 H U</x:v>
      </x:c>
      <x:c r="G66" s="28" t="str">
        <x:v>Background — Use as a rear-side landmark, opening toward the middle but not covering it.</x:v>
      </x:c>
      <x:c r="H66" s="28" t="str">
        <x:v>Static idle. No particles, glow, movement or changing footprint.</x:v>
      </x:c>
      <x:c r="I66" s="28" t="str">
        <x:v>Static</x:v>
      </x:c>
      <x:c r="J66" s="28" t="str">
        <x:v>Use the finished base sprite with no glow or particles.</x:v>
      </x:c>
      <x:c r="K66" s="28" t="str">
        <x:v>Three soft spires and one huge rose opening; remains a static ornament.</x:v>
      </x:c>
      <x:c r="L66" s="28" t="str">
        <x:v>Single transparent sprite; bottom-centre pivot; separate icon crop.</x:v>
      </x:c>
    </x:row>
    <x:row r="67" ht="126" customHeight="1">
      <x:c r="A67" s="28" t="str">
        <x:v>CD-31</x:v>
      </x:c>
      <x:c r="B67" s="28" t="str">
        <x:f>VLOOKUP(A67,'Decor Catalog'!$A$5:$X$124,2,FALSE)</x:f>
        <x:v>Deep-sea Monolith</x:v>
      </x:c>
      <x:c r="C67" s="28" t="str">
        <x:v>A tapered stone pillar has a floating-looking but attached ring carved around its upper third and a broad split base.</x:v>
      </x:c>
      <x:c r="D67" s="28" t="str">
        <x:v>Midnight teal, slate indigo and muted cyan engraved channels.</x:v>
      </x:c>
      <x:c r="E67" s="28" t="str">
        <x:v>Matte basalt; the ring is visibly supported by two stone bridges, with no hovering animation.</x:v>
      </x:c>
      <x:c r="F67" s="28" t="str">
        <x:f>VLOOKUP(A67,'Decor Catalog'!$A$5:$X$124,17,FALSE)&amp;" | "&amp;TEXT(VLOOKUP(A67,'Decor Catalog'!$A$5:$X$124,15,FALSE),"0.00")&amp;" W x "&amp;TEXT(VLOOKUP(A67,'Decor Catalog'!$A$5:$X$124,16,FALSE),"0.00")&amp;" H U"</x:f>
        <x:v>XL | 2.60 W x 4.00 H U</x:v>
      </x:c>
      <x:c r="G67" s="28" t="str">
        <x:v>Background — Stand at the extreme rear side; preserve open water around the ring and below its upper section.</x:v>
      </x:c>
      <x:c r="H67" s="28" t="str">
        <x:v>Static idle. No particles, glow, movement or changing footprint.</x:v>
      </x:c>
      <x:c r="I67" s="28" t="str">
        <x:v>Static</x:v>
      </x:c>
      <x:c r="J67" s="28" t="str">
        <x:v>Use the finished base sprite with no glow or particles.</x:v>
      </x:c>
      <x:c r="K67" s="28" t="str">
        <x:v>A tall tapered pillar with an attached carved ring; no glowing glyphs.</x:v>
      </x:c>
      <x:c r="L67" s="28" t="str">
        <x:v>Single transparent sprite; bottom-centre pivot; separate icon crop.</x:v>
      </x:c>
    </x:row>
    <x:row r="68" ht="126" customHeight="1">
      <x:c r="A68" s="28" t="str">
        <x:v>CD-32</x:v>
      </x:c>
      <x:c r="B68" s="28" t="str">
        <x:f>VLOOKUP(A68,'Decor Catalog'!$A$5:$X$124,2,FALSE)</x:f>
        <x:v>Coral Crown Castle</x:v>
      </x:c>
      <x:c r="C68" s="28" t="str">
        <x:v>A compact coral-inspired castle has three rounded turrets, scalloped battlements and one central arched doorway.</x:v>
      </x:c>
      <x:c r="D68" s="28" t="str">
        <x:v>Warm coral pink, buttercream towers, lilac recesses and a restrained teal door rim.</x:v>
      </x:c>
      <x:c r="E68" s="28" t="str">
        <x:v>Matte sculpted resin shaped like coral and stone; no live polyps or tiny windows.</x:v>
      </x:c>
      <x:c r="F68" s="28" t="str">
        <x:f>VLOOKUP(A68,'Decor Catalog'!$A$5:$X$124,17,FALSE)&amp;" | "&amp;TEXT(VLOOKUP(A68,'Decor Catalog'!$A$5:$X$124,15,FALSE),"0.00")&amp;" W x "&amp;TEXT(VLOOKUP(A68,'Decor Catalog'!$A$5:$X$124,16,FALSE),"0.00")&amp;" H U"</x:f>
        <x:v>XL | 4.20 W x 4.10 H U</x:v>
      </x:c>
      <x:c r="G68" s="28" t="str">
        <x:v>Background — Reserve one rear corner for this capstone; keep the asset at roughly one-third of the reference tank width.</x:v>
      </x:c>
      <x:c r="H68" s="28" t="str">
        <x:v>Static idle. No particles, glow, movement or changing footprint.</x:v>
      </x:c>
      <x:c r="I68" s="28" t="str">
        <x:v>Static</x:v>
      </x:c>
      <x:c r="J68" s="28" t="str">
        <x:v>Use the finished base sprite with no glow or particles.</x:v>
      </x:c>
      <x:c r="K68" s="28" t="str">
        <x:v>Three rounded turrets and scalloped crown silhouette; no surrounding scenery.</x:v>
      </x:c>
      <x:c r="L68" s="28" t="str">
        <x:v>Single transparent sprite; bottom-centre pivot; separate icon crop.</x:v>
      </x:c>
    </x:row>
    <x:row r="69" ht="126" customHeight="1">
      <x:c r="A69" s="28" t="str">
        <x:v>PP-01</x:v>
      </x:c>
      <x:c r="B69" s="28" t="str">
        <x:f>VLOOKUP(A69,'Decor Catalog'!$A$5:$X$124,2,FALSE)</x:f>
        <x:v>Moon-tip Anubias</x:v>
      </x:c>
      <x:c r="C69" s="28" t="str">
        <x:v>Five thick heart leaves cradle one new curled shoot; the upper three tips point in different directions.</x:v>
      </x:c>
      <x:c r="D69" s="28" t="str">
        <x:v>Deep jade leaves, powder-mint tips and soft lilac undersides.</x:v>
      </x:c>
      <x:c r="E69" s="28" t="str">
        <x:v>Velvety matte leaves with pale tip inlays; light stays on the painted tips, not as an outer halo.</x:v>
      </x:c>
      <x:c r="F69" s="28" t="str">
        <x:f>VLOOKUP(A69,'Decor Catalog'!$A$5:$X$124,17,FALSE)&amp;" | "&amp;TEXT(VLOOKUP(A69,'Decor Catalog'!$A$5:$X$124,15,FALSE),"0.00")&amp;" W x "&amp;TEXT(VLOOKUP(A69,'Decor Catalog'!$A$5:$X$124,16,FALSE),"0.00")&amp;" H U"</x:f>
        <x:v>Medium | 1.50 W x 1.40 H U</x:v>
      </x:c>
      <x:c r="G69" s="28" t="str">
        <x:v>Midground — Anchor beside a pale lower-side stone; leave the three luminous tips unobscured.</x:v>
      </x:c>
      <x:c r="H69" s="28" t="str">
        <x:v>Upper leaves sway ±2° on a 7 s offset loop; three tip masks brighten softly by 12% over 9 s. No particles.</x:v>
      </x:c>
      <x:c r="I69" s="28" t="str">
        <x:v>Ambient</x:v>
      </x:c>
      <x:c r="J69" s="28" t="str">
        <x:v>Rest with leaves fanned apart and tips at their dim mint colour.</x:v>
      </x:c>
      <x:c r="K69" s="28" t="str">
        <x:v>Three pale heart-leaf tips above a dark low rosette.</x:v>
      </x:c>
      <x:c r="L69" s="28" t="str">
        <x:v>Base/rhizome + three grouped leaf sprites + one tip mask; root pivots stay fixed.</x:v>
      </x:c>
    </x:row>
    <x:row r="70" ht="126" customHeight="1">
      <x:c r="A70" s="28" t="str">
        <x:v>PP-02</x:v>
      </x:c>
      <x:c r="B70" s="28" t="str">
        <x:f>VLOOKUP(A70,'Decor Catalog'!$A$5:$X$124,2,FALSE)</x:f>
        <x:v>Silken Ribbon Fern</x:v>
      </x:c>
      <x:c r="C70" s="28" t="str">
        <x:v>Four wide ribbons rise in elegant C-curves, with folded split tips and one low curled leaf.</x:v>
      </x:c>
      <x:c r="D70" s="28" t="str">
        <x:v>Aqua faces, dusty lavender backs and pale celadon folds.</x:v>
      </x:c>
      <x:c r="E70" s="28" t="str">
        <x:v>Silk-like leaf folds expressed through matte two-tone shading; no glossy cloth shine.</x:v>
      </x:c>
      <x:c r="F70" s="28" t="str">
        <x:f>VLOOKUP(A70,'Decor Catalog'!$A$5:$X$124,17,FALSE)&amp;" | "&amp;TEXT(VLOOKUP(A70,'Decor Catalog'!$A$5:$X$124,15,FALSE),"0.00")&amp;" W x "&amp;TEXT(VLOOKUP(A70,'Decor Catalog'!$A$5:$X$124,16,FALSE),"0.00")&amp;" H U"</x:f>
        <x:v>Large | 1.40 W x 2.30 H U</x:v>
      </x:c>
      <x:c r="G70" s="28" t="str">
        <x:v>Background — Place at a rear side with the ribbons bending outward from the centre lane.</x:v>
      </x:c>
      <x:c r="H70" s="28" t="str">
        <x:v>Three leaf groups bend ±3° in a slow 8 s staggered loop; the low curl follows half a second later. No glow or particles.</x:v>
      </x:c>
      <x:c r="I70" s="28" t="str">
        <x:v>Ambient</x:v>
      </x:c>
      <x:c r="J70" s="28" t="str">
        <x:v>Keep the ribbons in their open C-curves with no additional effects.</x:v>
      </x:c>
      <x:c r="K70" s="28" t="str">
        <x:v>Four broad folded ribbons, distinct from thin spirals or grass blades.</x:v>
      </x:c>
      <x:c r="L70" s="28" t="str">
        <x:v>Static root + three leaf groups; simple two-joint bend per group, not a full simulation.</x:v>
      </x:c>
    </x:row>
    <x:row r="71" ht="126" customHeight="1">
      <x:c r="A71" s="28" t="str">
        <x:v>PP-03</x:v>
      </x:c>
      <x:c r="B71" s="28" t="str">
        <x:f>VLOOKUP(A71,'Decor Catalog'!$A$5:$X$124,2,FALSE)</x:f>
        <x:v>Lantern Bud Stem</x:v>
      </x:c>
      <x:c r="C71" s="28" t="str">
        <x:v>A forked stem carries three downward bell buds above two broad protective leaves.</x:v>
      </x:c>
      <x:c r="D71" s="28" t="str">
        <x:v>Moss-green stem, buttery yellow buds and peach-orange bud rims.</x:v>
      </x:c>
      <x:c r="E71" s="28" t="str">
        <x:v>Papery matte petals shaped like tiny closed lanterns; soft colour fill inside each bud.</x:v>
      </x:c>
      <x:c r="F71" s="28" t="str">
        <x:f>VLOOKUP(A71,'Decor Catalog'!$A$5:$X$124,17,FALSE)&amp;" | "&amp;TEXT(VLOOKUP(A71,'Decor Catalog'!$A$5:$X$124,15,FALSE),"0.00")&amp;" W x "&amp;TEXT(VLOOKUP(A71,'Decor Catalog'!$A$5:$X$124,16,FALSE),"0.00")&amp;" H U"</x:f>
        <x:v>Large | 1.60 W x 2.20 H U</x:v>
      </x:c>
      <x:c r="G71" s="28" t="str">
        <x:v>Midground — Set at a side focal point where all three hanging bells can be seen separately.</x:v>
      </x:c>
      <x:c r="H71" s="28" t="str">
        <x:v>Buds rock ±2° over 6 s; their inner colour warms by 10% over 10 s, out of phase. Buds never detach.</x:v>
      </x:c>
      <x:c r="I71" s="28" t="str">
        <x:v>Ambient</x:v>
      </x:c>
      <x:c r="J71" s="28" t="str">
        <x:v>Show buds slightly angled outward with a constant muted yellow interior.</x:v>
      </x:c>
      <x:c r="K71" s="28" t="str">
        <x:v>Three hanging yellow bells over two broad green leaves.</x:v>
      </x:c>
      <x:c r="L71" s="28" t="str">
        <x:v>Stem/leaves + three bud sprites + one shared interior light mask.</x:v>
      </x:c>
    </x:row>
    <x:row r="72" ht="126" customHeight="1">
      <x:c r="A72" s="28" t="str">
        <x:v>PP-04</x:v>
      </x:c>
      <x:c r="B72" s="28" t="str">
        <x:f>VLOOKUP(A72,'Decor Catalog'!$A$5:$X$124,2,FALSE)</x:f>
        <x:v>Pearldrop Lotus</x:v>
      </x:c>
      <x:c r="C72" s="28" t="str">
        <x:v>Two notched round leaves support a layered cup flower with one small pearl-like ceramic bead at its centre.</x:v>
      </x:c>
      <x:c r="D72" s="28" t="str">
        <x:v>Rose pink petals, cream centre bead, sage leaves and muted plum recesses.</x:v>
      </x:c>
      <x:c r="E72" s="28" t="str">
        <x:v>Soft matte petals and leaves; the decorative bead has a broad pale plane rather than a shiny currency icon.</x:v>
      </x:c>
      <x:c r="F72" s="28" t="str">
        <x:f>VLOOKUP(A72,'Decor Catalog'!$A$5:$X$124,17,FALSE)&amp;" | "&amp;TEXT(VLOOKUP(A72,'Decor Catalog'!$A$5:$X$124,15,FALSE),"0.00")&amp;" W x "&amp;TEXT(VLOOKUP(A72,'Decor Catalog'!$A$5:$X$124,16,FALSE),"0.00")&amp;" H U"</x:f>
        <x:v>Medium | 2.00 W x 2.00 H U</x:v>
      </x:c>
      <x:c r="G72" s="28" t="str">
        <x:v>Midground — Place just off-centre at the lower side; keep the cup open toward the viewer.</x:v>
      </x:c>
      <x:c r="H72" s="28" t="str">
        <x:v>Flower opens 6° wider for 2 s every 18–24 s, then closes to its half-open rest; leaves rock ±1°. No collectible pearl spawns.</x:v>
      </x:c>
      <x:c r="I72" s="28" t="str">
        <x:v>Ambient</x:v>
      </x:c>
      <x:c r="J72" s="28" t="str">
        <x:v>Use the half-open flower with a fixed cream centre bead.</x:v>
      </x:c>
      <x:c r="K72" s="28" t="str">
        <x:v>One pink cup flower and two notched green discs.</x:v>
      </x:c>
      <x:c r="L72" s="28" t="str">
        <x:v>Leaf/base sprite + three petal groups + fixed bead; petal hinges hidden inside cup.</x:v>
      </x:c>
    </x:row>
    <x:row r="73" ht="126" customHeight="1">
      <x:c r="A73" s="28" t="str">
        <x:v>PP-05</x:v>
      </x:c>
      <x:c r="B73" s="28" t="str">
        <x:f>VLOOKUP(A73,'Decor Catalog'!$A$5:$X$124,2,FALSE)</x:f>
        <x:v>Aurora Rotala</x:v>
      </x:c>
      <x:c r="C73" s="28" t="str">
        <x:v>Five arcing stems form a feathered plume, with large paired leaves grouped into three clear crowns.</x:v>
      </x:c>
      <x:c r="D73" s="28" t="str">
        <x:v>Mint lower leaves, mauve middle leaves and apricot tips; dark violet stems.</x:v>
      </x:c>
      <x:c r="E73" s="28" t="str">
        <x:v>Smooth matte leaves with stable colour bands; effects add only a gentle local luminance change.</x:v>
      </x:c>
      <x:c r="F73" s="28" t="str">
        <x:f>VLOOKUP(A73,'Decor Catalog'!$A$5:$X$124,17,FALSE)&amp;" | "&amp;TEXT(VLOOKUP(A73,'Decor Catalog'!$A$5:$X$124,15,FALSE),"0.00")&amp;" W x "&amp;TEXT(VLOOKUP(A73,'Decor Catalog'!$A$5:$X$124,16,FALSE),"0.00")&amp;" H U"</x:f>
        <x:v>Large | 1.80 W x 2.60 H U</x:v>
      </x:c>
      <x:c r="G73" s="28" t="str">
        <x:v>Background — Set behind a low cool-coloured ornament on a side; leave gaps between the three crowns.</x:v>
      </x:c>
      <x:c r="H73" s="28" t="str">
        <x:v>Three crowns sway ±2° on a 9 s loop; a very soft brightness wave passes up the tips every 14 s. No hue cycling.</x:v>
      </x:c>
      <x:c r="I73" s="28" t="str">
        <x:v>Ambient</x:v>
      </x:c>
      <x:c r="J73" s="28" t="str">
        <x:v>Hold the crowns open with the original fixed mint–mauve–apricot palette.</x:v>
      </x:c>
      <x:c r="K73" s="28" t="str">
        <x:v>A three-crown pastel plume with a visible warm-to-cool gradient.</x:v>
      </x:c>
      <x:c r="L73" s="28" t="str">
        <x:v>Static roots/stems + three crown groups + one soft tip mask.</x:v>
      </x:c>
    </x:row>
    <x:row r="74" ht="126" customHeight="1">
      <x:c r="A74" s="28" t="str">
        <x:v>PP-06</x:v>
      </x:c>
      <x:c r="B74" s="28" t="str">
        <x:f>VLOOKUP(A74,'Decor Catalog'!$A$5:$X$124,2,FALSE)</x:f>
        <x:v>Firefly Moss Cushion</x:v>
      </x:c>
      <x:c r="C74" s="28" t="str">
        <x:v>A low oval moss pillow has three raised lobes and three embedded seed-like light nodes.</x:v>
      </x:c>
      <x:c r="D74" s="28" t="str">
        <x:v>Forest green, muted teal shadows and pale yellow-green nodes.</x:v>
      </x:c>
      <x:c r="E74" s="28" t="str">
        <x:v>Velvety matte moss; the nodes look like smooth botanical seeds, not loose insects or currency.</x:v>
      </x:c>
      <x:c r="F74" s="28" t="str">
        <x:f>VLOOKUP(A74,'Decor Catalog'!$A$5:$X$124,17,FALSE)&amp;" | "&amp;TEXT(VLOOKUP(A74,'Decor Catalog'!$A$5:$X$124,15,FALSE),"0.00")&amp;" W x "&amp;TEXT(VLOOKUP(A74,'Decor Catalog'!$A$5:$X$124,16,FALSE),"0.00")&amp;" H U"</x:f>
        <x:v>Medium | 1.80 W x 1.00 H U</x:v>
      </x:c>
      <x:c r="G74" s="28" t="str">
        <x:v>Foreground — Place at a front-side edge away from HUD buttons; keep all three seed nodes inside the moss outline.</x:v>
      </x:c>
      <x:c r="H74" s="28" t="str">
        <x:v>Three fixed nodes brighten gently in a staggered 11 s sequence, maximum 15% change; moss itself stays still. Nothing flies out.</x:v>
      </x:c>
      <x:c r="I74" s="28" t="str">
        <x:v>Ambient</x:v>
      </x:c>
      <x:c r="J74" s="28" t="str">
        <x:v>Show the moss pillow with three muted lime seed spots and no halo.</x:v>
      </x:c>
      <x:c r="K74" s="28" t="str">
        <x:v>Three large seed lights on a dark, low moss cushion.</x:v>
      </x:c>
      <x:c r="L74" s="28" t="str">
        <x:v>Single moss sprite + one three-node emissive mask; no particle system.</x:v>
      </x:c>
    </x:row>
    <x:row r="75" ht="126" customHeight="1">
      <x:c r="A75" s="28" t="str">
        <x:v>PP-07</x:v>
      </x:c>
      <x:c r="B75" s="28" t="str">
        <x:f>VLOOKUP(A75,'Decor Catalog'!$A$5:$X$124,2,FALSE)</x:f>
        <x:v>Crystal-tip Seagrass</x:v>
      </x:c>
      <x:c r="C75" s="28" t="str">
        <x:v>Five narrow leaves arc from a tight root fan and end in blunt diamond-shaped tips.</x:v>
      </x:c>
      <x:c r="D75" s="28" t="str">
        <x:v>Teal blades, ice-blue tip facets and restrained lilac undersides.</x:v>
      </x:c>
      <x:c r="E75" s="28" t="str">
        <x:v>Flexible matte leaves with rigid crystal-like caps; opaque facets avoid glass reflection noise.</x:v>
      </x:c>
      <x:c r="F75" s="28" t="str">
        <x:f>VLOOKUP(A75,'Decor Catalog'!$A$5:$X$124,17,FALSE)&amp;" | "&amp;TEXT(VLOOKUP(A75,'Decor Catalog'!$A$5:$X$124,15,FALSE),"0.00")&amp;" W x "&amp;TEXT(VLOOKUP(A75,'Decor Catalog'!$A$5:$X$124,16,FALSE),"0.00")&amp;" H U"</x:f>
        <x:v>Large | 1.60 W x 2.70 H U</x:v>
      </x:c>
      <x:c r="G75" s="28" t="str">
        <x:v>Background — Root beside a dark rear-side stone; keep the five diamond tips separated.</x:v>
      </x:c>
      <x:c r="H75" s="28" t="str">
        <x:v>Leaves sway ±2° over 8 s; two tip facets brighten in sequence every 12–16 s. No sparkle bursts or moving glints.</x:v>
      </x:c>
      <x:c r="I75" s="28" t="str">
        <x:v>Ambient</x:v>
      </x:c>
      <x:c r="J75" s="28" t="str">
        <x:v>Keep tips in their normal ice-blue facet colours with leaves evenly spaced.</x:v>
      </x:c>
      <x:c r="K75" s="28" t="str">
        <x:v>A grass fan capped by five large icy diamonds.</x:v>
      </x:c>
      <x:c r="L75" s="28" t="str">
        <x:v>Root + three grouped blade sprites + one tip-facet mask.</x:v>
      </x:c>
    </x:row>
    <x:row r="76" ht="126" customHeight="1">
      <x:c r="A76" s="28" t="str">
        <x:v>PP-08</x:v>
      </x:c>
      <x:c r="B76" s="28" t="str">
        <x:f>VLOOKUP(A76,'Decor Catalog'!$A$5:$X$124,2,FALSE)</x:f>
        <x:v>Coral Bells Vine</x:v>
      </x:c>
      <x:c r="C76" s="28" t="str">
        <x:v>A single rooted vine forms a broad hook, carrying four hanging trumpet flowers and two large arrow leaves.</x:v>
      </x:c>
      <x:c r="D76" s="28" t="str">
        <x:v>Coral-pink blooms, apricot mouths and deep turquoise foliage.</x:v>
      </x:c>
      <x:c r="E76" s="28" t="str">
        <x:v>Soft matte tubular petals and rounded vine segments; no thin tangled tendrils.</x:v>
      </x:c>
      <x:c r="F76" s="28" t="str">
        <x:f>VLOOKUP(A76,'Decor Catalog'!$A$5:$X$124,17,FALSE)&amp;" | "&amp;TEXT(VLOOKUP(A76,'Decor Catalog'!$A$5:$X$124,15,FALSE),"0.00")&amp;" W x "&amp;TEXT(VLOOKUP(A76,'Decor Catalog'!$A$5:$X$124,16,FALSE),"0.00")&amp;" H U"</x:f>
        <x:v>Large | 2.50 W x 2.60 H U</x:v>
      </x:c>
      <x:c r="G76" s="28" t="str">
        <x:v>Midground — Place on a rear-side arc with the hanging flowers inside the play area and the centre left open.</x:v>
      </x:c>
      <x:c r="H76" s="28" t="str">
        <x:v>Two paired flower groups nod ±3° on alternating 7 s loops; the hook flexes only at its upper bend. No emitted particles.</x:v>
      </x:c>
      <x:c r="I76" s="28" t="str">
        <x:v>Ambient</x:v>
      </x:c>
      <x:c r="J76" s="28" t="str">
        <x:v>Hold trumpets at slightly different natural angles; no changing light.</x:v>
      </x:c>
      <x:c r="K76" s="28" t="str">
        <x:v>A hooked vine with four clear pink trumpets.</x:v>
      </x:c>
      <x:c r="L76" s="28" t="str">
        <x:v>Rooted vine/leaf base + upper bend + two paired flower groups.</x:v>
      </x:c>
    </x:row>
    <x:row r="77" ht="126" customHeight="1">
      <x:c r="A77" s="28" t="str">
        <x:v>PP-09</x:v>
      </x:c>
      <x:c r="B77" s="28" t="str">
        <x:f>VLOOKUP(A77,'Decor Catalog'!$A$5:$X$124,2,FALSE)</x:f>
        <x:v>Starlight Lace Fern</x:v>
      </x:c>
      <x:c r="C77" s="28" t="str">
        <x:v>Three arching fern fronds contain broad star-like cutouts between thick leaf lobes.</x:v>
      </x:c>
      <x:c r="D77" s="28" t="str">
        <x:v>Midnight teal leaves, silver-sage borders and faint periwinkle tips.</x:v>
      </x:c>
      <x:c r="E77" s="28" t="str">
        <x:v>Matte leathery fronds with clean transparent cutouts; pale edges are painted, not a sticker border.</x:v>
      </x:c>
      <x:c r="F77" s="28" t="str">
        <x:f>VLOOKUP(A77,'Decor Catalog'!$A$5:$X$124,17,FALSE)&amp;" | "&amp;TEXT(VLOOKUP(A77,'Decor Catalog'!$A$5:$X$124,15,FALSE),"0.00")&amp;" W x "&amp;TEXT(VLOOKUP(A77,'Decor Catalog'!$A$5:$X$124,16,FALSE),"0.00")&amp;" H U"</x:f>
        <x:v>Large | 2.60 W x 3.00 H U</x:v>
      </x:c>
      <x:c r="G77" s="28" t="str">
        <x:v>Background — Use against a darker rear-side background so the large openings and pale edges remain visible.</x:v>
      </x:c>
      <x:c r="H77" s="28" t="str">
        <x:v>Fronds sway ±1.5° on 10 s phase-offset loops; only the terminal tips warm by 10% once every 14 s.</x:v>
      </x:c>
      <x:c r="I77" s="28" t="str">
        <x:v>Ambient</x:v>
      </x:c>
      <x:c r="J77" s="28" t="str">
        <x:v>Use three open fronds with fixed silver-sage edge colours.</x:v>
      </x:c>
      <x:c r="K77" s="28" t="str">
        <x:v>Three airy fronds with broad star-shaped negative spaces.</x:v>
      </x:c>
      <x:c r="L77" s="28" t="str">
        <x:v>Root + three frond groups + one local tip mask; preserve transparent cutouts.</x:v>
      </x:c>
    </x:row>
    <x:row r="78" ht="126" customHeight="1">
      <x:c r="A78" s="28" t="str">
        <x:v>PP-10</x:v>
      </x:c>
      <x:c r="B78" s="28" t="str">
        <x:f>VLOOKUP(A78,'Decor Catalog'!$A$5:$X$124,2,FALSE)</x:f>
        <x:v>Velvet Fan Bloom</x:v>
      </x:c>
      <x:c r="C78" s="28" t="str">
        <x:v>A wide scalloped flower fan opens above three curled spoon leaves, with a small folded bud at one side.</x:v>
      </x:c>
      <x:c r="D78" s="28" t="str">
        <x:v>Dusty plum, magenta inner folds, muted peach edges and petrol-green leaves.</x:v>
      </x:c>
      <x:c r="E78" s="28" t="str">
        <x:v>Velvety matte petals with four bold radiating folds; thick softly curled leaves.</x:v>
      </x:c>
      <x:c r="F78" s="28" t="str">
        <x:f>VLOOKUP(A78,'Decor Catalog'!$A$5:$X$124,17,FALSE)&amp;" | "&amp;TEXT(VLOOKUP(A78,'Decor Catalog'!$A$5:$X$124,15,FALSE),"0.00")&amp;" W x "&amp;TEXT(VLOOKUP(A78,'Decor Catalog'!$A$5:$X$124,16,FALSE),"0.00")&amp;" H U"</x:f>
        <x:v>Large | 2.80 W x 2.60 H U</x:v>
      </x:c>
      <x:c r="G78" s="28" t="str">
        <x:v>Midground — Set at a side focal point with dark space behind the peach-edged fan.</x:v>
      </x:c>
      <x:c r="H78" s="28" t="str">
        <x:v>Main fan opens by 5° and relaxes every 16 s; the side bud rocks ±2° over 8 s. No glow.</x:v>
      </x:c>
      <x:c r="I78" s="28" t="str">
        <x:v>Ambient</x:v>
      </x:c>
      <x:c r="J78" s="28" t="str">
        <x:v>Show the fan at its broad half-open pose and the bud tilted outward.</x:v>
      </x:c>
      <x:c r="K78" s="28" t="str">
        <x:v>One oversized scalloped purple fan and a separate folded side bud.</x:v>
      </x:c>
      <x:c r="L78" s="28" t="str">
        <x:v>Static leaves + three petal fan sections + one bud sprite.</x:v>
      </x:c>
    </x:row>
    <x:row r="79" ht="126" customHeight="1">
      <x:c r="A79" s="28" t="str">
        <x:v>PP-11</x:v>
      </x:c>
      <x:c r="B79" s="28" t="str">
        <x:f>VLOOKUP(A79,'Decor Catalog'!$A$5:$X$124,2,FALSE)</x:f>
        <x:v>Opal Lotus Bouquet</x:v>
      </x:c>
      <x:c r="C79" s="28" t="str">
        <x:v>Three cup flowers of descending heights rise above overlapping round leaves; the centre flower is the broadest.</x:v>
      </x:c>
      <x:c r="D79" s="28" t="str">
        <x:v>Ivory petals with pale peach, mint and lavender planes; jade leaf discs.</x:v>
      </x:c>
      <x:c r="E79" s="28" t="str">
        <x:v>Matte opal-like colour facets on soft petals; no mirror sheen or rainbow shimmer across the tank.</x:v>
      </x:c>
      <x:c r="F79" s="28" t="str">
        <x:f>VLOOKUP(A79,'Decor Catalog'!$A$5:$X$124,17,FALSE)&amp;" | "&amp;TEXT(VLOOKUP(A79,'Decor Catalog'!$A$5:$X$124,15,FALSE),"0.00")&amp;" W x "&amp;TEXT(VLOOKUP(A79,'Decor Catalog'!$A$5:$X$124,16,FALSE),"0.00")&amp;" H U"</x:f>
        <x:v>Large | 3.20 W x 3.20 H U</x:v>
      </x:c>
      <x:c r="G79" s="28" t="str">
        <x:v>Background — Anchor near a rear corner and turn the smallest bloom toward the centre without blocking it.</x:v>
      </x:c>
      <x:c r="H79" s="28" t="str">
        <x:v>Flowers sway ±1° over 10 s; the centre flower opens 4° for 3 s every 22 s. A petal mask shifts brightness by at most 8%.</x:v>
      </x:c>
      <x:c r="I79" s="28" t="str">
        <x:v>Ambient</x:v>
      </x:c>
      <x:c r="J79" s="28" t="str">
        <x:v>Keep all three cups half-open with fixed pastel petal planes.</x:v>
      </x:c>
      <x:c r="K79" s="28" t="str">
        <x:v>A three-height bouquet of pale cups over bold green discs.</x:v>
      </x:c>
      <x:c r="L79" s="28" t="str">
        <x:v>Leaf/base sprite + three flower groups + one centre petal group + one mask.</x:v>
      </x:c>
    </x:row>
    <x:row r="80" ht="126" customHeight="1">
      <x:c r="A80" s="28" t="str">
        <x:v>PP-12</x:v>
      </x:c>
      <x:c r="B80" s="28" t="str">
        <x:f>VLOOKUP(A80,'Decor Catalog'!$A$5:$X$124,2,FALSE)</x:f>
        <x:v>Moonbell Root Tree</x:v>
      </x:c>
      <x:c r="C80" s="28" t="str">
        <x:v>An arching root trunk splits into two rounded leaf crowns with three large bell-shaped flowers hanging below.</x:v>
      </x:c>
      <x:c r="D80" s="28" t="str">
        <x:v>Walnut and dusty violet trunk, blue-green leaves and soft cream bells.</x:v>
      </x:c>
      <x:c r="E80" s="28" t="str">
        <x:v>Matte knotted wood with compact leathery leaf masses and papery flower cups.</x:v>
      </x:c>
      <x:c r="F80" s="28" t="str">
        <x:f>VLOOKUP(A80,'Decor Catalog'!$A$5:$X$124,17,FALSE)&amp;" | "&amp;TEXT(VLOOKUP(A80,'Decor Catalog'!$A$5:$X$124,15,FALSE),"0.00")&amp;" W x "&amp;TEXT(VLOOKUP(A80,'Decor Catalog'!$A$5:$X$124,16,FALSE),"0.00")&amp;" H U"</x:f>
        <x:v>XL | 2.90 W x 3.70 H U</x:v>
      </x:c>
      <x:c r="G80" s="28" t="str">
        <x:v>Background — Place in a back corner; use the trunk arch as visual negative space and keep the bells out of the central lane.</x:v>
      </x:c>
      <x:c r="H80" s="28" t="str">
        <x:v>Two crown groups sway ±1° on a 12 s loop; bell group follows ±2° with a short delay. Bells warm gently once every 18 s.</x:v>
      </x:c>
      <x:c r="I80" s="28" t="str">
        <x:v>Ambient</x:v>
      </x:c>
      <x:c r="J80" s="28" t="str">
        <x:v>Show the bells as pale cream cups without emitted light.</x:v>
      </x:c>
      <x:c r="K80" s="28" t="str">
        <x:v>An open rooted arch below two crowns and three hanging cream bells.</x:v>
      </x:c>
      <x:c r="L80" s="28" t="str">
        <x:v>Root/trunk + two crowns + two bell groups + one local bell mask.</x:v>
      </x:c>
    </x:row>
    <x:row r="81" ht="126" customHeight="1">
      <x:c r="A81" s="28" t="str">
        <x:v>PP-13</x:v>
      </x:c>
      <x:c r="B81" s="28" t="str">
        <x:f>VLOOKUP(A81,'Decor Catalog'!$A$5:$X$124,2,FALSE)</x:f>
        <x:v>Glowing Kelp Spiral</x:v>
      </x:c>
      <x:c r="C81" s="28" t="str">
        <x:v>A thick ribbon stem curls upward in two open turns, with four broad leaf paddles attached on the outside.</x:v>
      </x:c>
      <x:c r="D81" s="28" t="str">
        <x:v>Dark turquoise, cobalt shaded backs and pale cyan leaf-tip bands.</x:v>
      </x:c>
      <x:c r="E81" s="28" t="str">
        <x:v>Rubbery matte kelp forms with softly rounded edges; glow is confined to terminal leaf bands.</x:v>
      </x:c>
      <x:c r="F81" s="28" t="str">
        <x:f>VLOOKUP(A81,'Decor Catalog'!$A$5:$X$124,17,FALSE)&amp;" | "&amp;TEXT(VLOOKUP(A81,'Decor Catalog'!$A$5:$X$124,15,FALSE),"0.00")&amp;" W x "&amp;TEXT(VLOOKUP(A81,'Decor Catalog'!$A$5:$X$124,16,FALSE),"0.00")&amp;" H U"</x:f>
        <x:v>XL | 2.30 W x 3.80 H U</x:v>
      </x:c>
      <x:c r="G81" s="28" t="str">
        <x:v>Background — Root at the extreme rear side so the tall coil frames rather than covers swimming fish.</x:v>
      </x:c>
      <x:c r="H81" s="28" t="str">
        <x:v>Upper coil bends ±1.5° over 12 s; tip bands brighten sequentially every 16 s, no travelling particle or full-body neon outline.</x:v>
      </x:c>
      <x:c r="I81" s="28" t="str">
        <x:v>Ambient</x:v>
      </x:c>
      <x:c r="J81" s="28" t="str">
        <x:v>Use the open spiral with tips at their dim cyan rest colour.</x:v>
      </x:c>
      <x:c r="K81" s="28" t="str">
        <x:v>Two broad open kelp turns with four outer paddles.</x:v>
      </x:c>
      <x:c r="L81" s="28" t="str">
        <x:v>Static root/lower coil + upper coil + two leaf groups + one tip mask.</x:v>
      </x:c>
    </x:row>
    <x:row r="82" ht="126" customHeight="1">
      <x:c r="A82" s="28" t="str">
        <x:v>PP-14</x:v>
      </x:c>
      <x:c r="B82" s="28" t="str">
        <x:f>VLOOKUP(A82,'Decor Catalog'!$A$5:$X$124,2,FALSE)</x:f>
        <x:v>Jade Dragonleaf</x:v>
      </x:c>
      <x:c r="C82" s="28" t="str">
        <x:v>Three broad serpentine leaves curve upward with rounded serrated crests, framing one rolled central shoot.</x:v>
      </x:c>
      <x:c r="D82" s="28" t="str">
        <x:v>Imperial jade, blue-green shaded folds and muted gold-green crest tips.</x:v>
      </x:c>
      <x:c r="E82" s="28" t="str">
        <x:v>Thick matte botanical leaves; dragon-like shapes stay abstract, with no face or animal anatomy.</x:v>
      </x:c>
      <x:c r="F82" s="28" t="str">
        <x:f>VLOOKUP(A82,'Decor Catalog'!$A$5:$X$124,17,FALSE)&amp;" | "&amp;TEXT(VLOOKUP(A82,'Decor Catalog'!$A$5:$X$124,15,FALSE),"0.00")&amp;" W x "&amp;TEXT(VLOOKUP(A82,'Decor Catalog'!$A$5:$X$124,16,FALSE),"0.00")&amp;" H U"</x:f>
        <x:v>XL | 3.30 W x 3.60 H U</x:v>
      </x:c>
      <x:c r="G82" s="28" t="str">
        <x:v>Background — Place as a back-side statement plant; leave the central opening between the three leaves visible.</x:v>
      </x:c>
      <x:c r="H82" s="28" t="str">
        <x:v>Leaves breathe outward by 2° on a 12 s loop; the rolled shoot unfurls a few degrees every 24 s, then returns. No particles.</x:v>
      </x:c>
      <x:c r="I82" s="28" t="str">
        <x:v>Ambient</x:v>
      </x:c>
      <x:c r="J82" s="28" t="str">
        <x:v>Keep the three leaves open and the centre shoot rolled.</x:v>
      </x:c>
      <x:c r="K82" s="28" t="str">
        <x:v>Three crest-edged S-leaves encircle one rolled shoot.</x:v>
      </x:c>
      <x:c r="L82" s="28" t="str">
        <x:v>Root base + three large leaves + one central shoot; single-joint leaf bends.</x:v>
      </x:c>
    </x:row>
    <x:row r="83" ht="126" customHeight="1">
      <x:c r="A83" s="28" t="str">
        <x:v>PP-15</x:v>
      </x:c>
      <x:c r="B83" s="28" t="str">
        <x:f>VLOOKUP(A83,'Decor Catalog'!$A$5:$X$124,2,FALSE)</x:f>
        <x:v>Celestial Lily Crown</x:v>
      </x:c>
      <x:c r="C83" s="28" t="str">
        <x:v>Five broad pointed petals form a crown-shaped lily above three long arching leaves and a stout stem.</x:v>
      </x:c>
      <x:c r="D83" s="28" t="str">
        <x:v>Periwinkle, powder blue and cream petal centres; deep indigo-green foliage.</x:v>
      </x:c>
      <x:c r="E83" s="28" t="str">
        <x:v>Matte satiny petal planes with gentle central colour fill; no sharp white glints.</x:v>
      </x:c>
      <x:c r="F83" s="28" t="str">
        <x:f>VLOOKUP(A83,'Decor Catalog'!$A$5:$X$124,17,FALSE)&amp;" | "&amp;TEXT(VLOOKUP(A83,'Decor Catalog'!$A$5:$X$124,15,FALSE),"0.00")&amp;" W x "&amp;TEXT(VLOOKUP(A83,'Decor Catalog'!$A$5:$X$124,16,FALSE),"0.00")&amp;" H U"</x:f>
        <x:v>XL | 3.60 W x 3.80 H U</x:v>
      </x:c>
      <x:c r="G83" s="28" t="str">
        <x:v>Background — Use as a single rear-side floral landmark; keep the crown within the upper safe margin.</x:v>
      </x:c>
      <x:c r="H83" s="28" t="str">
        <x:v>Petal crown opens by 4° on a 16 s loop; centre brightness rises by 10% for 2 s every 24 s. Leaves rock no more than 1°.</x:v>
      </x:c>
      <x:c r="I83" s="28" t="str">
        <x:v>Ambient</x:v>
      </x:c>
      <x:c r="J83" s="28" t="str">
        <x:v>Hold the flower half-open with its centre at a fixed cream tone.</x:v>
      </x:c>
      <x:c r="K83" s="28" t="str">
        <x:v>A five-point lily crown with a clear cream centre and three arched leaves.</x:v>
      </x:c>
      <x:c r="L83" s="28" t="str">
        <x:v>Stem/leaves + three paired/single petal groups + centre mask; maximum five moving groups.</x:v>
      </x:c>
    </x:row>
    <x:row r="84" ht="126" customHeight="1">
      <x:c r="A84" s="28" t="str">
        <x:v>PP-16</x:v>
      </x:c>
      <x:c r="B84" s="28" t="str">
        <x:f>VLOOKUP(A84,'Decor Catalog'!$A$5:$X$124,2,FALSE)</x:f>
        <x:v>Aurora Worldroot</x:v>
      </x:c>
      <x:c r="C84" s="28" t="str">
        <x:v>A sculptural hollow root trunk supports three sweeping canopies of broad ribbon leaves with open space between each tier.</x:v>
      </x:c>
      <x:c r="D84" s="28" t="str">
        <x:v>Warm umber roots, mint lower crown, lavender middle crown and coral-peach upper crown.</x:v>
      </x:c>
      <x:c r="E84" s="28" t="str">
        <x:v>Matte old wood and soft ribbon leaves; three controlled pastel masses, no glitter texture.</x:v>
      </x:c>
      <x:c r="F84" s="28" t="str">
        <x:f>VLOOKUP(A84,'Decor Catalog'!$A$5:$X$124,17,FALSE)&amp;" | "&amp;TEXT(VLOOKUP(A84,'Decor Catalog'!$A$5:$X$124,15,FALSE),"0.00")&amp;" W x "&amp;TEXT(VLOOKUP(A84,'Decor Catalog'!$A$5:$X$124,16,FALSE),"0.00")&amp;" H U"</x:f>
        <x:v>XL | 4.00 W x 4.20 H U</x:v>
      </x:c>
      <x:c r="G84" s="28" t="str">
        <x:v>Background — Reserve one rear corner; retain a wide open root arch and keep the centre swim lane unobstructed.</x:v>
      </x:c>
      <x:c r="H84" s="28" t="str">
        <x:v>Three canopy groups sway ±1° in a 14 s staggered loop; a local tip mask brightens by 8% every 20 s. No leaves detach.</x:v>
      </x:c>
      <x:c r="I84" s="28" t="str">
        <x:v>Ambient</x:v>
      </x:c>
      <x:c r="J84" s="28" t="str">
        <x:v>Use the open three-tier canopy with its fixed pastel palette and no glow.</x:v>
      </x:c>
      <x:c r="K84" s="28" t="str">
        <x:v>An open root arch under three separated pastel canopy tiers.</x:v>
      </x:c>
      <x:c r="L84" s="28" t="str">
        <x:v>Root/trunk + three canopy groups + one tip mask; maximum four animated layers.</x:v>
      </x:c>
    </x:row>
    <x:row r="85" ht="126" customHeight="1">
      <x:c r="A85" s="28" t="str">
        <x:v>PD-01</x:v>
      </x:c>
      <x:c r="B85" s="28" t="str">
        <x:f>VLOOKUP(A85,'Decor Catalog'!$A$5:$X$124,2,FALSE)</x:f>
        <x:v>Pearl Cradle Clam</x:v>
      </x:c>
      <x:c r="C85" s="28" t="str">
        <x:v>A plump scallop shell opens like a small cradle around one fixed oversized decorative bead.</x:v>
      </x:c>
      <x:c r="D85" s="28" t="str">
        <x:v>Soft peach shell, lavender lining and cream bead with a pale mint shaded plane.</x:v>
      </x:c>
      <x:c r="E85" s="28" t="str">
        <x:v>Matte shell with five broad ribs; centre bead is softly cel-shaded, not a shiny currency pickup.</x:v>
      </x:c>
      <x:c r="F85" s="28" t="str">
        <x:f>VLOOKUP(A85,'Decor Catalog'!$A$5:$X$124,17,FALSE)&amp;" | "&amp;TEXT(VLOOKUP(A85,'Decor Catalog'!$A$5:$X$124,15,FALSE),"0.00")&amp;" W x "&amp;TEXT(VLOOKUP(A85,'Decor Catalog'!$A$5:$X$124,16,FALSE),"0.00")&amp;" H U"</x:f>
        <x:v>Medium | 1.60 W x 1.20 H U</x:v>
      </x:c>
      <x:c r="G85" s="28" t="str">
        <x:v>Foreground — Place on front-side gravel with the hinge behind; leave room above for the lid's full open pose.</x:v>
      </x:c>
      <x:c r="H85" s="28" t="str">
        <x:v>Lid opens from 12° to 32° for 2 s every 18–24 s, then eases shut. Bead stays fixed; no rewards or particles.</x:v>
      </x:c>
      <x:c r="I85" s="28" t="str">
        <x:v>Feature</x:v>
      </x:c>
      <x:c r="J85" s="28" t="str">
        <x:v>Show shell half-open at 20° with a fixed bead.</x:v>
      </x:c>
      <x:c r="K85" s="28" t="str">
        <x:v>A peach scallop cradle with one cream centre bead.</x:v>
      </x:c>
      <x:c r="L85" s="28" t="str">
        <x:v>Lower shell + hinged lid + fixed bead; placement bounds include the maximum opening.</x:v>
      </x:c>
    </x:row>
    <x:row r="86" ht="126" customHeight="1">
      <x:c r="A86" s="28" t="str">
        <x:v>PD-02</x:v>
      </x:c>
      <x:c r="B86" s="28" t="str">
        <x:f>VLOOKUP(A86,'Decor Catalog'!$A$5:$X$124,2,FALSE)</x:f>
        <x:v>Breathing Shell Lantern</x:v>
      </x:c>
      <x:c r="C86" s="28" t="str">
        <x:v>A tall spiral shell sits upright on a low three-foot stand, with a single rounded window cut into its side.</x:v>
      </x:c>
      <x:c r="D86" s="28" t="str">
        <x:v>Cream shell, muted peach bands, teal stand and honey-yellow window.</x:v>
      </x:c>
      <x:c r="E86" s="28" t="str">
        <x:v>Matte carved shell and aged ceramic stand; window is a local colour panel, not a real lamp beam.</x:v>
      </x:c>
      <x:c r="F86" s="28" t="str">
        <x:f>VLOOKUP(A86,'Decor Catalog'!$A$5:$X$124,17,FALSE)&amp;" | "&amp;TEXT(VLOOKUP(A86,'Decor Catalog'!$A$5:$X$124,15,FALSE),"0.00")&amp;" W x "&amp;TEXT(VLOOKUP(A86,'Decor Catalog'!$A$5:$X$124,16,FALSE),"0.00")&amp;" H U"</x:f>
        <x:v>Medium | 1.50 W x 1.80 H U</x:v>
      </x:c>
      <x:c r="G86" s="28" t="str">
        <x:v>Midground — Set against a darker side area where the window and spiral remain visible.</x:v>
      </x:c>
      <x:c r="H86" s="28" t="str">
        <x:v>Window brightness rises and falls by 15% on a slow 9 s breath; shell remains still. No halo or screen lighting.</x:v>
      </x:c>
      <x:c r="I86" s="28" t="str">
        <x:v>Feature</x:v>
      </x:c>
      <x:c r="J86" s="28" t="str">
        <x:v>Use a fixed muted honey window on the static shell.</x:v>
      </x:c>
      <x:c r="K86" s="28" t="str">
        <x:v>An upright cream shell with one warm oval window.</x:v>
      </x:c>
      <x:c r="L86" s="28" t="str">
        <x:v>Shell/stand sprite + one masked window glow layer.</x:v>
      </x:c>
    </x:row>
    <x:row r="87" ht="126" customHeight="1">
      <x:c r="A87" s="28" t="str">
        <x:v>PD-03</x:v>
      </x:c>
      <x:c r="B87" s="28" t="str">
        <x:f>VLOOKUP(A87,'Decor Catalog'!$A$5:$X$124,2,FALSE)</x:f>
        <x:v>Bubble Chimney Rock</x:v>
      </x:c>
      <x:c r="C87" s="28" t="str">
        <x:v>A rounded dark rock stack has one crooked chimney and two short side vents, all with soft thick rims.</x:v>
      </x:c>
      <x:c r="D87" s="28" t="str">
        <x:v>Slate blue, charcoal teal and warm grey rim faces.</x:v>
      </x:c>
      <x:c r="E87" s="28" t="str">
        <x:v>Matte volcanic rock with broad planes; vent interiors are dark, not bright machinery.</x:v>
      </x:c>
      <x:c r="F87" s="28" t="str">
        <x:f>VLOOKUP(A87,'Decor Catalog'!$A$5:$X$124,17,FALSE)&amp;" | "&amp;TEXT(VLOOKUP(A87,'Decor Catalog'!$A$5:$X$124,15,FALSE),"0.00")&amp;" W x "&amp;TEXT(VLOOKUP(A87,'Decor Catalog'!$A$5:$X$124,16,FALSE),"0.00")&amp;" H U"</x:f>
        <x:v>Large | 1.70 W x 2.10 H U</x:v>
      </x:c>
      <x:c r="G87" s="28" t="str">
        <x:v>Midground — Anchor at a rear side; reserve a narrow vertical FX lane directly above the chimney.</x:v>
      </x:c>
      <x:c r="H87" s="28" t="str">
        <x:v>Emit one small translucent bubble every 14–20 s; it rises at most 0.7 U and fades. At most two live bubbles; no oxygen effect.</x:v>
      </x:c>
      <x:c r="I87" s="28" t="str">
        <x:v>Feature</x:v>
      </x:c>
      <x:c r="J87" s="28" t="str">
        <x:v>Show empty dark vents with no bubbles.</x:v>
      </x:c>
      <x:c r="K87" s="28" t="str">
        <x:v>One bent chimney above two low vents, distinct from a cave.</x:v>
      </x:c>
      <x:c r="L87" s="28" t="str">
        <x:v>Single rock sprite + one runtime bubble emitter; bubble art is separate and not baked in.</x:v>
      </x:c>
    </x:row>
    <x:row r="88" ht="126" customHeight="1">
      <x:c r="A88" s="28" t="str">
        <x:v>PD-04</x:v>
      </x:c>
      <x:c r="B88" s="28" t="str">
        <x:f>VLOOKUP(A88,'Decor Catalog'!$A$5:$X$124,2,FALSE)</x:f>
        <x:v>Clockwork Crab Ornament</x:v>
      </x:c>
      <x:c r="C88" s="28" t="str">
        <x:v>A round toy crab has two oversized pincers, four stubby visible legs and a clearly visible winding key on its back.</x:v>
      </x:c>
      <x:c r="D88" s="28" t="str">
        <x:v>Muted coral enamel, buttercream joints and dull brass key.</x:v>
      </x:c>
      <x:c r="E88" s="28" t="str">
        <x:v>Matte painted metal with broad panel seams; deliberately toy-like and permanently anchored.</x:v>
      </x:c>
      <x:c r="F88" s="28" t="str">
        <x:f>VLOOKUP(A88,'Decor Catalog'!$A$5:$X$124,17,FALSE)&amp;" | "&amp;TEXT(VLOOKUP(A88,'Decor Catalog'!$A$5:$X$124,15,FALSE),"0.00")&amp;" W x "&amp;TEXT(VLOOKUP(A88,'Decor Catalog'!$A$5:$X$124,16,FALSE),"0.00")&amp;" H U"</x:f>
        <x:v>Medium | 1.90 W x 1.50 H U</x:v>
      </x:c>
      <x:c r="G88" s="28" t="str">
        <x:v>Foreground — Sit at a front-side edge with the winding key clear; never let the ornament wander.</x:v>
      </x:c>
      <x:c r="H88" s="28" t="str">
        <x:v>One pincer lifts 8° and lowers every 18–26 s; key turns a quarter turn on the same beat. Body and legs stay fixed.</x:v>
      </x:c>
      <x:c r="I88" s="28" t="str">
        <x:v>Feature</x:v>
      </x:c>
      <x:c r="J88" s="28" t="str">
        <x:v>Hold both pincers low with the key upright.</x:v>
      </x:c>
      <x:c r="K88" s="28" t="str">
        <x:v>A wind-up key makes the crab unmistakably decorative, not a new living creature.</x:v>
      </x:c>
      <x:c r="L88" s="28" t="str">
        <x:v>Body/legs + two pincers + winding key; no movement across the tank.</x:v>
      </x:c>
    </x:row>
    <x:row r="89" ht="126" customHeight="1">
      <x:c r="A89" s="28" t="str">
        <x:v>PD-05</x:v>
      </x:c>
      <x:c r="B89" s="28" t="str">
        <x:f>VLOOKUP(A89,'Decor Catalog'!$A$5:$X$124,2,FALSE)</x:f>
        <x:v>Crystal Chime Arch</x:v>
      </x:c>
      <x:c r="C89" s="28" t="str">
        <x:v>Two rounded stone posts carry a shallow arch with three unequal blunt crystal pendants hanging inside.</x:v>
      </x:c>
      <x:c r="D89" s="28" t="str">
        <x:v>Pale grey stone, lavender and aqua crystals with muted peach cord loops.</x:v>
      </x:c>
      <x:c r="E89" s="28" t="str">
        <x:v>Matte stone and opaque faceted crystals; cords are thick simplified arcs.</x:v>
      </x:c>
      <x:c r="F89" s="28" t="str">
        <x:f>VLOOKUP(A89,'Decor Catalog'!$A$5:$X$124,17,FALSE)&amp;" | "&amp;TEXT(VLOOKUP(A89,'Decor Catalog'!$A$5:$X$124,15,FALSE),"0.00")&amp;" W x "&amp;TEXT(VLOOKUP(A89,'Decor Catalog'!$A$5:$X$124,16,FALSE),"0.00")&amp;" H U"</x:f>
        <x:v>Large | 2.30 W x 2.60 H U</x:v>
      </x:c>
      <x:c r="G89" s="28" t="str">
        <x:v>Midground — Place toward a rear side so the open arch and three hanging pendants stay distinct.</x:v>
      </x:c>
      <x:c r="H89" s="28" t="str">
        <x:v>Pendents swing ±2° on three offset 8–11 s loops; occasional local facet brightening stays below 10%. Silent.</x:v>
      </x:c>
      <x:c r="I89" s="28" t="str">
        <x:v>Feature</x:v>
      </x:c>
      <x:c r="J89" s="28" t="str">
        <x:v>Hang the three crystals at slightly different fixed angles.</x:v>
      </x:c>
      <x:c r="K89" s="28" t="str">
        <x:v>Three unequal crystal drops beneath one low arch.</x:v>
      </x:c>
      <x:c r="L89" s="28" t="str">
        <x:v>Arch/base + three pendant sprites + one small facet mask; no sound trigger.</x:v>
      </x:c>
    </x:row>
    <x:row r="90" ht="126" customHeight="1">
      <x:c r="A90" s="28" t="str">
        <x:v>PD-06</x:v>
      </x:c>
      <x:c r="B90" s="28" t="str">
        <x:f>VLOOKUP(A90,'Decor Catalog'!$A$5:$X$124,2,FALSE)</x:f>
        <x:v>Kelp-sail Boat</x:v>
      </x:c>
      <x:c r="C90" s="28" t="str">
        <x:v>A tiny wooden skiff is anchored to a low pebble base and carries one broad curled leaf sail on a short mast.</x:v>
      </x:c>
      <x:c r="D90" s="28" t="str">
        <x:v>Walnut hull, pale sand gunwale and jade sail with a yellow-green edge.</x:v>
      </x:c>
      <x:c r="E90" s="28" t="str">
        <x:v>Matte carved timber, rope loops and a leathery leaf sail with one central fold.</x:v>
      </x:c>
      <x:c r="F90" s="28" t="str">
        <x:f>VLOOKUP(A90,'Decor Catalog'!$A$5:$X$124,17,FALSE)&amp;" | "&amp;TEXT(VLOOKUP(A90,'Decor Catalog'!$A$5:$X$124,15,FALSE),"0.00")&amp;" W x "&amp;TEXT(VLOOKUP(A90,'Decor Catalog'!$A$5:$X$124,16,FALSE),"0.00")&amp;" H U"</x:f>
        <x:v>Large | 2.50 W x 2.10 H U</x:v>
      </x:c>
      <x:c r="G90" s="28" t="str">
        <x:v>Midground — Set along a rear-side gravel ledge; keep the mast and sail below the upper fish route.</x:v>
      </x:c>
      <x:c r="H90" s="28" t="str">
        <x:v>Leaf sail flexes ±3° over 7 s; a short pennant nods slightly. Hull and anchor base never float or move.</x:v>
      </x:c>
      <x:c r="I90" s="28" t="str">
        <x:v>Feature</x:v>
      </x:c>
      <x:c r="J90" s="28" t="str">
        <x:v>Use the sail in its open curved pose with the hull fixed to its base.</x:v>
      </x:c>
      <x:c r="K90" s="28" t="str">
        <x:v>One oversized curled green sail above a chunky wooden hull.</x:v>
      </x:c>
      <x:c r="L90" s="28" t="str">
        <x:v>Hull/mast/base + two sail sections + small pennant; no buoyancy simulation.</x:v>
      </x:c>
    </x:row>
    <x:row r="91" ht="126" customHeight="1">
      <x:c r="A91" s="28" t="str">
        <x:v>PD-07</x:v>
      </x:c>
      <x:c r="B91" s="28" t="str">
        <x:f>VLOOKUP(A91,'Decor Catalog'!$A$5:$X$124,2,FALSE)</x:f>
        <x:v>Seahorse Carousel</x:v>
      </x:c>
      <x:c r="C91" s="28" t="str">
        <x:v>A small domed carousel has a scalloped roof, one central post and three carved seahorse plaques on fixed outer supports.</x:v>
      </x:c>
      <x:c r="D91" s="28" t="str">
        <x:v>Cream and dusty rose roof, muted turquoise plaques and dulled gold trim.</x:v>
      </x:c>
      <x:c r="E91" s="28" t="str">
        <x:v>Matte painted wood and ceramic; seahorses are flat rigid carvings, not living fish.</x:v>
      </x:c>
      <x:c r="F91" s="28" t="str">
        <x:f>VLOOKUP(A91,'Decor Catalog'!$A$5:$X$124,17,FALSE)&amp;" | "&amp;TEXT(VLOOKUP(A91,'Decor Catalog'!$A$5:$X$124,15,FALSE),"0.00")&amp;" W x "&amp;TEXT(VLOOKUP(A91,'Decor Catalog'!$A$5:$X$124,16,FALSE),"0.00")&amp;" H U"</x:f>
        <x:v>Large | 2.50 W x 2.80 H U</x:v>
      </x:c>
      <x:c r="G91" s="28" t="str">
        <x:v>Midground — Place at a rear-side focal point; keep the base compact and roof silhouette clear.</x:v>
      </x:c>
      <x:c r="H91" s="28" t="str">
        <x:v>Roof rocks ±2° over 10 s; plaques bob 0.03 U on staggered 9 s loops. No full rotation, sound or free-swimming figures.</x:v>
      </x:c>
      <x:c r="I91" s="28" t="str">
        <x:v>Feature</x:v>
      </x:c>
      <x:c r="J91" s="28" t="str">
        <x:v>Hold roof level and the three carvings at their middle positions.</x:v>
      </x:c>
      <x:c r="K91" s="28" t="str">
        <x:v>A scalloped toy carousel with three rigid seahorse carvings.</x:v>
      </x:c>
      <x:c r="L91" s="28" t="str">
        <x:v>Base/post + roof + three plaque groups; five layers total.</x:v>
      </x:c>
    </x:row>
    <x:row r="92" ht="126" customHeight="1">
      <x:c r="A92" s="28" t="str">
        <x:v>PD-08</x:v>
      </x:c>
      <x:c r="B92" s="28" t="str">
        <x:f>VLOOKUP(A92,'Decor Catalog'!$A$5:$X$124,2,FALSE)</x:f>
        <x:v>Sleeping Volcano</x:v>
      </x:c>
      <x:c r="C92" s="28" t="str">
        <x:v>A broad friendly volcanic cone has a tilted crater rim and two large shallow channels down its sides.</x:v>
      </x:c>
      <x:c r="D92" s="28" t="str">
        <x:v>Charcoal violet stone, warm coral crater and muted amber channel insets.</x:v>
      </x:c>
      <x:c r="E92" s="28" t="str">
        <x:v>Matte basalt with soft edges; crater colour suggests warmth without realistic fire or lava.</x:v>
      </x:c>
      <x:c r="F92" s="28" t="str">
        <x:f>VLOOKUP(A92,'Decor Catalog'!$A$5:$X$124,17,FALSE)&amp;" | "&amp;TEXT(VLOOKUP(A92,'Decor Catalog'!$A$5:$X$124,15,FALSE),"0.00")&amp;" W x "&amp;TEXT(VLOOKUP(A92,'Decor Catalog'!$A$5:$X$124,16,FALSE),"0.00")&amp;" H U"</x:f>
        <x:v>Large | 2.50 W x 2.30 H U</x:v>
      </x:c>
      <x:c r="G92" s="28" t="str">
        <x:v>Midground — Place at a rear side with space for a short optional bubble path above the crater.</x:v>
      </x:c>
      <x:c r="H92" s="28" t="str">
        <x:v>Crater light breathes by 12% over 12 s; one small bubble may rise 0.5 U every 25–35 s. No lava, smoke or fish effects.</x:v>
      </x:c>
      <x:c r="I92" s="28" t="str">
        <x:v>Feature</x:v>
      </x:c>
      <x:c r="J92" s="28" t="str">
        <x:v>Keep crater muted coral with all FX off.</x:v>
      </x:c>
      <x:c r="K92" s="28" t="str">
        <x:v>A tilted warm crater on a soft dark cone, never a dangerous eruption.</x:v>
      </x:c>
      <x:c r="L92" s="28" t="str">
        <x:v>Volcano sprite + crater mask + one low-rate bubble emitter; maximum one live bubble.</x:v>
      </x:c>
    </x:row>
    <x:row r="93" ht="126" customHeight="1">
      <x:c r="A93" s="28" t="str">
        <x:v>PD-09</x:v>
      </x:c>
      <x:c r="B93" s="28" t="str">
        <x:f>VLOOKUP(A93,'Decor Catalog'!$A$5:$X$124,2,FALSE)</x:f>
        <x:v>Moonstone Grotto</x:v>
      </x:c>
      <x:c r="C93" s="28" t="str">
        <x:v>A pale rounded grotto has a crescent opening, three blunt crystal buds inside and one low step outside.</x:v>
      </x:c>
      <x:c r="D93" s="28" t="str">
        <x:v>Moonstone grey, periwinkle inner shadows and soft mint crystal faces.</x:v>
      </x:c>
      <x:c r="E93" s="28" t="str">
        <x:v>Matte pale stone and opaque crystal facets; no glass caustics or cast glow.</x:v>
      </x:c>
      <x:c r="F93" s="28" t="str">
        <x:f>VLOOKUP(A93,'Decor Catalog'!$A$5:$X$124,17,FALSE)&amp;" | "&amp;TEXT(VLOOKUP(A93,'Decor Catalog'!$A$5:$X$124,15,FALSE),"0.00")&amp;" W x "&amp;TEXT(VLOOKUP(A93,'Decor Catalog'!$A$5:$X$124,16,FALSE),"0.00")&amp;" H U"</x:f>
        <x:v>Large | 2.80 W x 2.80 H U</x:v>
      </x:c>
      <x:c r="G93" s="28" t="str">
        <x:v>Midground — Place against a dark rear-side area; keep the crescent entrance transparent around the crystals.</x:v>
      </x:c>
      <x:c r="H93" s="28" t="str">
        <x:v>Three crystal masks brighten sequentially by 12% over 15 s; stone and crystals stay completely still.</x:v>
      </x:c>
      <x:c r="I93" s="28" t="str">
        <x:v>Feature</x:v>
      </x:c>
      <x:c r="J93" s="28" t="str">
        <x:v>Use static mint crystal faces at their dim rest colour.</x:v>
      </x:c>
      <x:c r="K93" s="28" t="str">
        <x:v>A crescent cave containing three short mint crystals.</x:v>
      </x:c>
      <x:c r="L93" s="28" t="str">
        <x:v>Stone/crystals base + one segmented crystal light mask.</x:v>
      </x:c>
    </x:row>
    <x:row r="94" ht="126" customHeight="1">
      <x:c r="A94" s="28" t="str">
        <x:v>PD-10</x:v>
      </x:c>
      <x:c r="B94" s="28" t="str">
        <x:f>VLOOKUP(A94,'Decor Catalog'!$A$5:$X$124,2,FALSE)</x:f>
        <x:v>Sunken Music Box</x:v>
      </x:c>
      <x:c r="C94" s="28" t="str">
        <x:v>A rounded rectangular music box has a hinged scallop-shaped lid and a small fixed shell emblem on an inner pedestal.</x:v>
      </x:c>
      <x:c r="D94" s="28" t="str">
        <x:v>Dusty blue box, cream trim, warm peach interior and a muted brass hinge.</x:v>
      </x:c>
      <x:c r="E94" s="28" t="str">
        <x:v>Matte painted wood with large inset panels; shell emblem is ceramic, not a pearl reward.</x:v>
      </x:c>
      <x:c r="F94" s="28" t="str">
        <x:f>VLOOKUP(A94,'Decor Catalog'!$A$5:$X$124,17,FALSE)&amp;" | "&amp;TEXT(VLOOKUP(A94,'Decor Catalog'!$A$5:$X$124,15,FALSE),"0.00")&amp;" W x "&amp;TEXT(VLOOKUP(A94,'Decor Catalog'!$A$5:$X$124,16,FALSE),"0.00")&amp;" H U"</x:f>
        <x:v>Large | 2.70 W x 2.30 H U</x:v>
      </x:c>
      <x:c r="G94" s="28" t="str">
        <x:v>Midground — Place near a rear-side plant group; include lid movement in the item bounds.</x:v>
      </x:c>
      <x:c r="H94" s="28" t="str">
        <x:v>Lid opens 10° wider for 3 s every 24–30 s; inner shell turns ±6° while open. Silent by default; no floating music notes.</x:v>
      </x:c>
      <x:c r="I94" s="28" t="str">
        <x:v>Feature</x:v>
      </x:c>
      <x:c r="J94" s="28" t="str">
        <x:v>Use lid half-open and the shell facing front.</x:v>
      </x:c>
      <x:c r="K94" s="28" t="str">
        <x:v>A scalloped lid over a blue box and one fixed shell emblem.</x:v>
      </x:c>
      <x:c r="L94" s="28" t="str">
        <x:v>Box/base + lid + inner shell; maximum open pose remains inside bounds.</x:v>
      </x:c>
    </x:row>
    <x:row r="95" ht="126" customHeight="1">
      <x:c r="A95" s="28" t="str">
        <x:v>PD-11</x:v>
      </x:c>
      <x:c r="B95" s="28" t="str">
        <x:f>VLOOKUP(A95,'Decor Catalog'!$A$5:$X$124,2,FALSE)</x:f>
        <x:v>Jelly Lantern Pavilion</x:v>
      </x:c>
      <x:c r="C95" s="28" t="str">
        <x:v>A bell-shaped pavilion roof rests on three curved pillars, with four short tassel-like ceramic drops under its rim.</x:v>
      </x:c>
      <x:c r="D95" s="28" t="str">
        <x:v>Pastel lilac roof, pale aqua pillars and a soft cream interior.</x:v>
      </x:c>
      <x:c r="E95" s="28" t="str">
        <x:v>Matte ceramic architecture; the jelly-inspired roof is clearly a fixed ornament, not an animal.</x:v>
      </x:c>
      <x:c r="F95" s="28" t="str">
        <x:f>VLOOKUP(A95,'Decor Catalog'!$A$5:$X$124,17,FALSE)&amp;" | "&amp;TEXT(VLOOKUP(A95,'Decor Catalog'!$A$5:$X$124,15,FALSE),"0.00")&amp;" W x "&amp;TEXT(VLOOKUP(A95,'Decor Catalog'!$A$5:$X$124,16,FALSE),"0.00")&amp;" H U"</x:f>
        <x:v>Large | 3.00 W x 3.00 H U</x:v>
      </x:c>
      <x:c r="G95" s="28" t="str">
        <x:v>Background — Stand in a rear corner; keep the central opening and pillar gaps clear.</x:v>
      </x:c>
      <x:c r="H95" s="28" t="str">
        <x:v>Four drops sway as two groups ±2° on 10 s loops; inner ceiling light breathes by 8% over 14 s. Roof stays fixed.</x:v>
      </x:c>
      <x:c r="I95" s="28" t="str">
        <x:v>Feature</x:v>
      </x:c>
      <x:c r="J95" s="28" t="str">
        <x:v>Keep the pavilion fully static with a pale cream ceiling.</x:v>
      </x:c>
      <x:c r="K95" s="28" t="str">
        <x:v>A lilac bell roof on three curved legs with four short drops.</x:v>
      </x:c>
      <x:c r="L95" s="28" t="str">
        <x:v>Pavilion body + two drop groups + one ceiling light mask.</x:v>
      </x:c>
    </x:row>
    <x:row r="96" ht="126" customHeight="1">
      <x:c r="A96" s="28" t="str">
        <x:v>PD-12</x:v>
      </x:c>
      <x:c r="B96" s="28" t="str">
        <x:f>VLOOKUP(A96,'Decor Catalog'!$A$5:$X$124,2,FALSE)</x:f>
        <x:v>Tideglass Hourglass</x:v>
      </x:c>
      <x:c r="C96" s="28" t="str">
        <x:v>A stout hourglass has two rounded chambers, a narrow centre and a heavy curved frame on a wide base.</x:v>
      </x:c>
      <x:c r="D96" s="28" t="str">
        <x:v>Frosted aqua chambers, warm ivory frame and a few pale lavender bubble shapes.</x:v>
      </x:c>
      <x:c r="E96" s="28" t="str">
        <x:v>Glass is stylised as a translucent fill with matte outlines, not reflective photoreal glass.</x:v>
      </x:c>
      <x:c r="F96" s="28" t="str">
        <x:f>VLOOKUP(A96,'Decor Catalog'!$A$5:$X$124,17,FALSE)&amp;" | "&amp;TEXT(VLOOKUP(A96,'Decor Catalog'!$A$5:$X$124,15,FALSE),"0.00")&amp;" W x "&amp;TEXT(VLOOKUP(A96,'Decor Catalog'!$A$5:$X$124,16,FALSE),"0.00")&amp;" H U"</x:f>
        <x:v>XL | 2.30 W x 3.40 H U</x:v>
      </x:c>
      <x:c r="G96" s="28" t="str">
        <x:v>Background — Anchor to a rear side; keep its middle neck unobscured and its entire height inside the safe margin.</x:v>
      </x:c>
      <x:c r="H96" s="28" t="str">
        <x:v>One or two bubbles drift upward inside the sealed hourglass on a 14 s loop; all movement is clipped to the chambers. It tracks no game time.</x:v>
      </x:c>
      <x:c r="I96" s="28" t="str">
        <x:v>Feature</x:v>
      </x:c>
      <x:c r="J96" s="28" t="str">
        <x:v>Show one small fixed bubble in each chamber; no animated contents.</x:v>
      </x:c>
      <x:c r="K96" s="28" t="str">
        <x:v>Two aqua lobes in a thick ivory frame; no timer digits.</x:v>
      </x:c>
      <x:c r="L96" s="28" t="str">
        <x:v>Frame + chamber fill/mask + two reusable bubble sprites; no external particles.</x:v>
      </x:c>
    </x:row>
    <x:row r="97" ht="126" customHeight="1">
      <x:c r="A97" s="28" t="str">
        <x:v>PD-13</x:v>
      </x:c>
      <x:c r="B97" s="28" t="str">
        <x:f>VLOOKUP(A97,'Decor Catalog'!$A$5:$X$124,2,FALSE)</x:f>
        <x:v>Opal Treasure Chest</x:v>
      </x:c>
      <x:c r="C97" s="28" t="str">
        <x:v>A domed chest has chunky corner bands, a shell-shaped latch and three fixed irregular stones visible under a slightly open lid.</x:v>
      </x:c>
      <x:c r="D97" s="28" t="str">
        <x:v>Deep turquoise wood, muted copper bands and pale opal-pink stones.</x:v>
      </x:c>
      <x:c r="E97" s="28" t="str">
        <x:v>Matte painted timber and dulled metal; decorative stones have flat facets, not coin or pearl currency symbols.</x:v>
      </x:c>
      <x:c r="F97" s="28" t="str">
        <x:f>VLOOKUP(A97,'Decor Catalog'!$A$5:$X$124,17,FALSE)&amp;" | "&amp;TEXT(VLOOKUP(A97,'Decor Catalog'!$A$5:$X$124,15,FALSE),"0.00")&amp;" W x "&amp;TEXT(VLOOKUP(A97,'Decor Catalog'!$A$5:$X$124,16,FALSE),"0.00")&amp;" H U"</x:f>
        <x:v>Large | 3.00 W x 2.40 H U</x:v>
      </x:c>
      <x:c r="G97" s="28" t="str">
        <x:v>Midground — Place at a rear-side focal point and reserve clear space above the lid.</x:v>
      </x:c>
      <x:c r="H97" s="28" t="str">
        <x:v>Lid lifts 12° every 22–30 s; one inner stone facet brightens by 10% while open. No coins, rewards or treasure spill.</x:v>
      </x:c>
      <x:c r="I97" s="28" t="str">
        <x:v>Feature</x:v>
      </x:c>
      <x:c r="J97" s="28" t="str">
        <x:v>Keep the lid slightly open with stationary pastel stones.</x:v>
      </x:c>
      <x:c r="K97" s="28" t="str">
        <x:v>A teal domed chest with a shell latch and three fixed opal stones.</x:v>
      </x:c>
      <x:c r="L97" s="28" t="str">
        <x:v>Chest/base/stones + lid + one small stone mask; two moving/effect layers.</x:v>
      </x:c>
    </x:row>
    <x:row r="98" ht="126" customHeight="1">
      <x:c r="A98" s="28" t="str">
        <x:v>PD-14</x:v>
      </x:c>
      <x:c r="B98" s="28" t="str">
        <x:f>VLOOKUP(A98,'Decor Catalog'!$A$5:$X$124,2,FALSE)</x:f>
        <x:v>Lunar Ring Portal</x:v>
      </x:c>
      <x:c r="C98" s="28" t="str">
        <x:v>A broad crescent frame cradles an incomplete circular ring above a squat stone pedestal.</x:v>
      </x:c>
      <x:c r="D98" s="28" t="str">
        <x:v>Pale ivory crescent, slate-blue ring and muted cyan inset segments.</x:v>
      </x:c>
      <x:c r="E98" s="28" t="str">
        <x:v>Matte carved moonstone and opaque ceramic; the central opening remains transparent.</x:v>
      </x:c>
      <x:c r="F98" s="28" t="str">
        <x:f>VLOOKUP(A98,'Decor Catalog'!$A$5:$X$124,17,FALSE)&amp;" | "&amp;TEXT(VLOOKUP(A98,'Decor Catalog'!$A$5:$X$124,15,FALSE),"0.00")&amp;" W x "&amp;TEXT(VLOOKUP(A98,'Decor Catalog'!$A$5:$X$124,16,FALSE),"0.00")&amp;" H U"</x:f>
        <x:v>XL | 3.20 W x 3.60 H U</x:v>
      </x:c>
      <x:c r="G98" s="28" t="str">
        <x:v>Background — Use against a rear corner with the opening facing front; never place it over feeding targets.</x:v>
      </x:c>
      <x:c r="H98" s="28" t="str">
        <x:v>Inner ring rocks ±4° over 18 s; four inset segments brighten softly in sequence. No teleportation, distortion or fish interaction.</x:v>
      </x:c>
      <x:c r="I98" s="28" t="str">
        <x:v>Feature</x:v>
      </x:c>
      <x:c r="J98" s="28" t="str">
        <x:v>Hold the ring slightly tilted with fixed cyan insets.</x:v>
      </x:c>
      <x:c r="K98" s="28" t="str">
        <x:v>A crescent enclosing one incomplete ring, not a bright full-screen vortex.</x:v>
      </x:c>
      <x:c r="L98" s="28" t="str">
        <x:v>Pedestal/crescent + ring + inset light mask; no portal shader.</x:v>
      </x:c>
    </x:row>
    <x:row r="99" ht="126" customHeight="1">
      <x:c r="A99" s="28" t="str">
        <x:v>PD-15</x:v>
      </x:c>
      <x:c r="B99" s="28" t="str">
        <x:f>VLOOKUP(A99,'Decor Catalog'!$A$5:$X$124,2,FALSE)</x:f>
        <x:v>Crown of Atlantis</x:v>
      </x:c>
      <x:c r="C99" s="28" t="str">
        <x:v>Three tall rounded crown points rise above an arched stone dais, with a large oval inset at the centre.</x:v>
      </x:c>
      <x:c r="D99" s="28" t="str">
        <x:v>Aged gold-ochre stone, turquoise ceramic bands and a pale seafoam centre.</x:v>
      </x:c>
      <x:c r="E99" s="28" t="str">
        <x:v>Matte carved stone with dulled metallic pigment; no polished gold outline or tiny jewel clutter.</x:v>
      </x:c>
      <x:c r="F99" s="28" t="str">
        <x:f>VLOOKUP(A99,'Decor Catalog'!$A$5:$X$124,17,FALSE)&amp;" | "&amp;TEXT(VLOOKUP(A99,'Decor Catalog'!$A$5:$X$124,15,FALSE),"0.00")&amp;" W x "&amp;TEXT(VLOOKUP(A99,'Decor Catalog'!$A$5:$X$124,16,FALSE),"0.00")&amp;" H U"</x:f>
        <x:v>XL | 3.80 W x 4.00 H U</x:v>
      </x:c>
      <x:c r="G99" s="28" t="str">
        <x:v>Background — Reserve one rear corner; retain the open arch beneath the crown and ample central water.</x:v>
      </x:c>
      <x:c r="H99" s="28" t="str">
        <x:v>Centre inset brightens by 10% over a 16 s breath; two short ceramic pendants sway ±1.5°. Crown and dais stay fixed.</x:v>
      </x:c>
      <x:c r="I99" s="28" t="str">
        <x:v>Feature</x:v>
      </x:c>
      <x:c r="J99" s="28" t="str">
        <x:v>Use the centre inset at a constant pale seafoam colour with pendants at rest.</x:v>
      </x:c>
      <x:c r="K99" s="28" t="str">
        <x:v>Three large crown points and one broad oval inset.</x:v>
      </x:c>
      <x:c r="L99" s="28" t="str">
        <x:v>Crown/dais + two pendant sprites + one local inset mask.</x:v>
      </x:c>
    </x:row>
    <x:row r="100" ht="126" customHeight="1">
      <x:c r="A100" s="28" t="str">
        <x:v>PD-16</x:v>
      </x:c>
      <x:c r="B100" s="28" t="str">
        <x:f>VLOOKUP(A100,'Decor Catalog'!$A$5:$X$124,2,FALSE)</x:f>
        <x:v>Starfall Lighthouse</x:v>
      </x:c>
      <x:c r="C100" s="28" t="str">
        <x:v>A tapered lighthouse tower has three wide bands, a small open balcony and a star-shaped lamp housing under a rounded cap.</x:v>
      </x:c>
      <x:c r="D100" s="28" t="str">
        <x:v>Cream tower, dusty coral bands, deep teal balcony and soft amber lamp.</x:v>
      </x:c>
      <x:c r="E100" s="28" t="str">
        <x:v>Matte painted stone and dulled metal; lamp is a contained colour window, not a sweeping beam.</x:v>
      </x:c>
      <x:c r="F100" s="28" t="str">
        <x:f>VLOOKUP(A100,'Decor Catalog'!$A$5:$X$124,17,FALSE)&amp;" | "&amp;TEXT(VLOOKUP(A100,'Decor Catalog'!$A$5:$X$124,15,FALSE),"0.00")&amp;" W x "&amp;TEXT(VLOOKUP(A100,'Decor Catalog'!$A$5:$X$124,16,FALSE),"0.00")&amp;" H U"</x:f>
        <x:v>XL | 3.00 W x 4.20 H U</x:v>
      </x:c>
      <x:c r="G100" s="28" t="str">
        <x:v>Background — Place at the extreme rear side with the cap inside the top safe margin.</x:v>
      </x:c>
      <x:c r="H100" s="28" t="str">
        <x:v>A small lamp highlight turns slowly within the housing over 18 s; window brightness varies by at most 10%. No beam sweeps across fish.</x:v>
      </x:c>
      <x:c r="I100" s="28" t="str">
        <x:v>Feature</x:v>
      </x:c>
      <x:c r="J100" s="28" t="str">
        <x:v>Keep one warm amber lamp window facing front with no animated light.</x:v>
      </x:c>
      <x:c r="K100" s="28" t="str">
        <x:v>A banded tower topped by one chunky star lamp; no coastal background.</x:v>
      </x:c>
      <x:c r="L100" s="28" t="str">
        <x:v>Tower/cap + lamp interior + clipped lamp mask; no external light cone.</x:v>
      </x:c>
    </x:row>
    <x:row r="101" ht="126" customHeight="1">
      <x:c r="A101" s="28" t="str">
        <x:v>CL-01</x:v>
      </x:c>
      <x:c r="B101" s="28" t="str">
        <x:f>VLOOKUP(A101,'Decor Catalog'!$A$5:$X$124,2,FALSE)</x:f>
        <x:v>Lucky Bamboo Knot</x:v>
      </x:c>
      <x:c r="C101" s="28" t="str">
        <x:v>Three jointed bamboo-like stalks rise from a compact root knot; two broad leaf fans sweep outward.</x:v>
      </x:c>
      <x:c r="D101" s="28" t="str">
        <x:v>Fresh jade, pale lime nodes and one small vermilion ceramic tie.</x:v>
      </x:c>
      <x:c r="E101" s="28" t="str">
        <x:v>Matte green stems and soft leaves; the tie is a broad sculpted band without text.</x:v>
      </x:c>
      <x:c r="F101" s="28" t="str">
        <x:f>VLOOKUP(A101,'Decor Catalog'!$A$5:$X$124,17,FALSE)&amp;" | "&amp;TEXT(VLOOKUP(A101,'Decor Catalog'!$A$5:$X$124,15,FALSE),"0.00")&amp;" W x "&amp;TEXT(VLOOKUP(A101,'Decor Catalog'!$A$5:$X$124,16,FALSE),"0.00")&amp;" H U"</x:f>
        <x:v>Large | 1.70 W x 2.30 H U</x:v>
      </x:c>
      <x:c r="G101" s="28" t="str">
        <x:v>Midground — Anchor at a rear side with the two leaf fans clearly separated.</x:v>
      </x:c>
      <x:c r="H101" s="28" t="str">
        <x:v>Static idle. No particles, glow, movement or changing footprint.</x:v>
      </x:c>
      <x:c r="I101" s="28" t="str">
        <x:v>Static</x:v>
      </x:c>
      <x:c r="J101" s="28" t="str">
        <x:v>Use the finished base sprite with no glow or particles.</x:v>
      </x:c>
      <x:c r="K101" s="28" t="str">
        <x:v>Three jointed stalks and one red knot define the New Year motif.</x:v>
      </x:c>
      <x:c r="L101" s="28" t="str">
        <x:v>Single transparent sprite; bottom-centre pivot; separate icon crop.</x:v>
      </x:c>
    </x:row>
    <x:row r="102" ht="126" customHeight="1">
      <x:c r="A102" s="28" t="str">
        <x:v>PL-01</x:v>
      </x:c>
      <x:c r="B102" s="28" t="str">
        <x:f>VLOOKUP(A102,'Decor Catalog'!$A$5:$X$124,2,FALSE)</x:f>
        <x:v>Festival Lantern Arch</x:v>
      </x:c>
      <x:c r="C102" s="28" t="str">
        <x:v>A curved arch on two low posts supports three plump lantern-shaped ceramic pendants and a simple tied crest.</x:v>
      </x:c>
      <x:c r="D102" s="28" t="str">
        <x:v>Vermilion, warm cream, muted ochre and deep teal post bases.</x:v>
      </x:c>
      <x:c r="E102" s="28" t="str">
        <x:v>Matte lacquer-colour ceramic and dulled metal; all cords are thick and compact.</x:v>
      </x:c>
      <x:c r="F102" s="28" t="str">
        <x:f>VLOOKUP(A102,'Decor Catalog'!$A$5:$X$124,17,FALSE)&amp;" | "&amp;TEXT(VLOOKUP(A102,'Decor Catalog'!$A$5:$X$124,15,FALSE),"0.00")&amp;" W x "&amp;TEXT(VLOOKUP(A102,'Decor Catalog'!$A$5:$X$124,16,FALSE),"0.00")&amp;" H U"</x:f>
        <x:v>Large | 2.50 W x 2.70 H U</x:v>
      </x:c>
      <x:c r="G102" s="28" t="str">
        <x:v>Midground — Stand near a rear corner with the lanterns separated by open water.</x:v>
      </x:c>
      <x:c r="H102" s="28" t="str">
        <x:v>Lantern group sways ±2° over 10 s; inner windows warm by 10% in sequence every 16 s. No sparks or falling confetti.</x:v>
      </x:c>
      <x:c r="I102" s="28" t="str">
        <x:v>Feature</x:v>
      </x:c>
      <x:c r="J102" s="28" t="str">
        <x:v>Hold the pendants still with fixed warm cream windows.</x:v>
      </x:c>
      <x:c r="K102" s="28" t="str">
        <x:v>Three round red lanterns suspended beneath one broad curved arch.</x:v>
      </x:c>
      <x:c r="L102" s="28" t="str">
        <x:v>Arch/posts + three lantern sprites + one window mask.</x:v>
      </x:c>
    </x:row>
    <x:row r="103" ht="126" customHeight="1">
      <x:c r="A103" s="28" t="str">
        <x:v>CL-02</x:v>
      </x:c>
      <x:c r="B103" s="28" t="str">
        <x:f>VLOOKUP(A103,'Decor Catalog'!$A$5:$X$124,2,FALSE)</x:f>
        <x:v>Heart Pebble Bench</x:v>
      </x:c>
      <x:c r="C103" s="28" t="str">
        <x:v>A low curved bench rests on two pebble feet, with a single heart-shaped opening in its broad back.</x:v>
      </x:c>
      <x:c r="D103" s="28" t="str">
        <x:v>Dusty rose stone, warm cream seat and muted mauve inner edges.</x:v>
      </x:c>
      <x:c r="E103" s="28" t="str">
        <x:v>Matte carved stone with rounded edges and no inscription.</x:v>
      </x:c>
      <x:c r="F103" s="28" t="str">
        <x:f>VLOOKUP(A103,'Decor Catalog'!$A$5:$X$124,17,FALSE)&amp;" | "&amp;TEXT(VLOOKUP(A103,'Decor Catalog'!$A$5:$X$124,15,FALSE),"0.00")&amp;" W x "&amp;TEXT(VLOOKUP(A103,'Decor Catalog'!$A$5:$X$124,16,FALSE),"0.00")&amp;" H U"</x:f>
        <x:v>Medium | 1.80 W x 1.00 H U</x:v>
      </x:c>
      <x:c r="G103" s="28" t="str">
        <x:v>Foreground — Set at a front-side garden edge with the heart opening visible.</x:v>
      </x:c>
      <x:c r="H103" s="28" t="str">
        <x:v>Static idle. No particles, glow, movement or changing footprint.</x:v>
      </x:c>
      <x:c r="I103" s="28" t="str">
        <x:v>Static</x:v>
      </x:c>
      <x:c r="J103" s="28" t="str">
        <x:v>Use the finished base sprite with no glow or particles.</x:v>
      </x:c>
      <x:c r="K103" s="28" t="str">
        <x:v>A compact bench with one large heart cutout, not scattered hearts.</x:v>
      </x:c>
      <x:c r="L103" s="28" t="str">
        <x:v>Single transparent sprite; bottom-centre pivot; separate icon crop.</x:v>
      </x:c>
    </x:row>
    <x:row r="104" ht="126" customHeight="1">
      <x:c r="A104" s="28" t="str">
        <x:v>PL-02</x:v>
      </x:c>
      <x:c r="B104" s="28" t="str">
        <x:f>VLOOKUP(A104,'Decor Catalog'!$A$5:$X$124,2,FALSE)</x:f>
        <x:v>Sweetheart Bloom</x:v>
      </x:c>
      <x:c r="C104" s="28" t="str">
        <x:v>Two heart-shaped petal cups face slightly toward each other above three broad round leaves.</x:v>
      </x:c>
      <x:c r="D104" s="28" t="str">
        <x:v>Rose pink, cream inner petals and soft jade leaves with plum shadows.</x:v>
      </x:c>
      <x:c r="E104" s="28" t="str">
        <x:v>Matte fleshy petals with one rounded fold each; no text, faces or floating heart particles.</x:v>
      </x:c>
      <x:c r="F104" s="28" t="str">
        <x:f>VLOOKUP(A104,'Decor Catalog'!$A$5:$X$124,17,FALSE)&amp;" | "&amp;TEXT(VLOOKUP(A104,'Decor Catalog'!$A$5:$X$124,15,FALSE),"0.00")&amp;" W x "&amp;TEXT(VLOOKUP(A104,'Decor Catalog'!$A$5:$X$124,16,FALSE),"0.00")&amp;" H U"</x:f>
        <x:v>Medium | 1.80 W x 2.00 H U</x:v>
      </x:c>
      <x:c r="G104" s="28" t="str">
        <x:v>Midground — Place at a lower-side focal point with both heart cups fully visible.</x:v>
      </x:c>
      <x:c r="H104" s="28" t="str">
        <x:v>Two cups nod inward by 2° and relax on an 11 s loop; centres brighten by 8% once every 18 s.</x:v>
      </x:c>
      <x:c r="I104" s="28" t="str">
        <x:v>Ambient</x:v>
      </x:c>
      <x:c r="J104" s="28" t="str">
        <x:v>Keep the cups turned slightly toward each other with no glow.</x:v>
      </x:c>
      <x:c r="K104" s="28" t="str">
        <x:v>A paired heart-cup silhouette, not a recolour of a standard single lotus.</x:v>
      </x:c>
      <x:c r="L104" s="28" t="str">
        <x:v>Leaf/base + two flower cups + one local centre mask.</x:v>
      </x:c>
    </x:row>
    <x:row r="105" ht="126" customHeight="1">
      <x:c r="A105" s="28" t="str">
        <x:v>CL-03</x:v>
      </x:c>
      <x:c r="B105" s="28" t="str">
        <x:f>VLOOKUP(A105,'Decor Catalog'!$A$5:$X$124,2,FALSE)</x:f>
        <x:v>Cloverleaf Carpet</x:v>
      </x:c>
      <x:c r="C105" s="28" t="str">
        <x:v>Three clusters of oversized clover-like leaves grow on short bent stems from a low oval root mat.</x:v>
      </x:c>
      <x:c r="D105" s="28" t="str">
        <x:v>Emerald, spring green and pale yellow-green centre folds.</x:v>
      </x:c>
      <x:c r="E105" s="28" t="str">
        <x:v>Matte heart-shaped leaf lobes grouped into bold three-leaf fans; stylised fantasy aquarium foliage.</x:v>
      </x:c>
      <x:c r="F105" s="28" t="str">
        <x:f>VLOOKUP(A105,'Decor Catalog'!$A$5:$X$124,17,FALSE)&amp;" | "&amp;TEXT(VLOOKUP(A105,'Decor Catalog'!$A$5:$X$124,15,FALSE),"0.00")&amp;" W x "&amp;TEXT(VLOOKUP(A105,'Decor Catalog'!$A$5:$X$124,16,FALSE),"0.00")&amp;" H U"</x:f>
        <x:v>Medium | 1.90 W x 1.20 H U</x:v>
      </x:c>
      <x:c r="G105" s="28" t="str">
        <x:v>Foreground — Place along a front-side edge and separate it from taller leaf masses.</x:v>
      </x:c>
      <x:c r="H105" s="28" t="str">
        <x:v>Static idle. No particles, glow, movement or changing footprint.</x:v>
      </x:c>
      <x:c r="I105" s="28" t="str">
        <x:v>Static</x:v>
      </x:c>
      <x:c r="J105" s="28" t="str">
        <x:v>Use the finished base sprite with no glow or particles.</x:v>
      </x:c>
      <x:c r="K105" s="28" t="str">
        <x:v>Three big clover fans keep the seasonal motif clear at thumbnail size.</x:v>
      </x:c>
      <x:c r="L105" s="28" t="str">
        <x:v>Single transparent sprite; bottom-centre pivot; separate icon crop.</x:v>
      </x:c>
    </x:row>
    <x:row r="106" ht="126" customHeight="1">
      <x:c r="A106" s="28" t="str">
        <x:v>PL-03</x:v>
      </x:c>
      <x:c r="B106" s="28" t="str">
        <x:f>VLOOKUP(A106,'Decor Catalog'!$A$5:$X$124,2,FALSE)</x:f>
        <x:v>Emerald Wishing Well</x:v>
      </x:c>
      <x:c r="C106" s="28" t="str">
        <x:v>A low circular well has a thick arching handle, one clover-shaped ceramic inset and an empty hanging bucket.</x:v>
      </x:c>
      <x:c r="D106" s="28" t="str">
        <x:v>Sage stone, deep emerald inset and honey-brown handle and bucket.</x:v>
      </x:c>
      <x:c r="E106" s="28" t="str">
        <x:v>Matte carved stone and painted wood; the inset is a flat ceramic motif, not a currency gem.</x:v>
      </x:c>
      <x:c r="F106" s="28" t="str">
        <x:f>VLOOKUP(A106,'Decor Catalog'!$A$5:$X$124,17,FALSE)&amp;" | "&amp;TEXT(VLOOKUP(A106,'Decor Catalog'!$A$5:$X$124,15,FALSE),"0.00")&amp;" W x "&amp;TEXT(VLOOKUP(A106,'Decor Catalog'!$A$5:$X$124,16,FALSE),"0.00")&amp;" H U"</x:f>
        <x:v>Large | 2.00 W x 2.10 H U</x:v>
      </x:c>
      <x:c r="G106" s="28" t="str">
        <x:v>Midground — Place at a rear side with the empty bucket clearly visible over the well opening.</x:v>
      </x:c>
      <x:c r="H106" s="28" t="str">
        <x:v>Bucket sways ±3° for 4 s every 20–28 s; clover inset briefly warms by 10%. No coins, prizes or interactive wishing system.</x:v>
      </x:c>
      <x:c r="I106" s="28" t="str">
        <x:v>Feature</x:v>
      </x:c>
      <x:c r="J106" s="28" t="str">
        <x:v>Hang the empty bucket slightly off-centre with a fixed emerald inset.</x:v>
      </x:c>
      <x:c r="K106" s="28" t="str">
        <x:v>A clover-fronted well with one empty bucket.</x:v>
      </x:c>
      <x:c r="L106" s="28" t="str">
        <x:v>Well/handle + bucket + one clover mask.</x:v>
      </x:c>
    </x:row>
    <x:row r="107" ht="126" customHeight="1">
      <x:c r="A107" s="28" t="str">
        <x:v>CL-04</x:v>
      </x:c>
      <x:c r="B107" s="28" t="str">
        <x:f>VLOOKUP(A107,'Decor Catalog'!$A$5:$X$124,2,FALSE)</x:f>
        <x:v>Sakura Stone Lantern</x:v>
      </x:c>
      <x:c r="C107" s="28" t="str">
        <x:v>A squat stone lantern has a wide curved roof, one flower-shaped unlit opening and a short pedestal.</x:v>
      </x:c>
      <x:c r="D107" s="28" t="str">
        <x:v>Warm cream stone, dusty pink roof edges and sage-grey shadows.</x:v>
      </x:c>
      <x:c r="E107" s="28" t="str">
        <x:v>Matte carved stone; a five-petal recess provides the blossom motif without floating petals.</x:v>
      </x:c>
      <x:c r="F107" s="28" t="str">
        <x:f>VLOOKUP(A107,'Decor Catalog'!$A$5:$X$124,17,FALSE)&amp;" | "&amp;TEXT(VLOOKUP(A107,'Decor Catalog'!$A$5:$X$124,15,FALSE),"0.00")&amp;" W x "&amp;TEXT(VLOOKUP(A107,'Decor Catalog'!$A$5:$X$124,16,FALSE),"0.00")&amp;" H U"</x:f>
        <x:v>Medium | 1.40 W x 1.80 H U</x:v>
      </x:c>
      <x:c r="G107" s="28" t="str">
        <x:v>Midground — Set beside a low plant at the side; the lantern is static and contains no flame.</x:v>
      </x:c>
      <x:c r="H107" s="28" t="str">
        <x:v>Static idle. No particles, glow, movement or changing footprint.</x:v>
      </x:c>
      <x:c r="I107" s="28" t="str">
        <x:v>Static</x:v>
      </x:c>
      <x:c r="J107" s="28" t="str">
        <x:v>Use the finished base sprite with no glow or particles.</x:v>
      </x:c>
      <x:c r="K107" s="28" t="str">
        <x:v>A five-petal window under one broad pink-edged roof.</x:v>
      </x:c>
      <x:c r="L107" s="28" t="str">
        <x:v>Single transparent sprite; bottom-centre pivot; separate icon crop.</x:v>
      </x:c>
    </x:row>
    <x:row r="108" ht="126" customHeight="1">
      <x:c r="A108" s="28" t="str">
        <x:v>PL-04</x:v>
      </x:c>
      <x:c r="B108" s="28" t="str">
        <x:f>VLOOKUP(A108,'Decor Catalog'!$A$5:$X$124,2,FALSE)</x:f>
        <x:v>Blossom Ribbon Tree</x:v>
      </x:c>
      <x:c r="C108" s="28" t="str">
        <x:v>A short curved trunk carries two open ribbon-leaf crowns and three large five-petal blossoms at the tips.</x:v>
      </x:c>
      <x:c r="D108" s="28" t="str">
        <x:v>Dusty cocoa trunk, pale pink blossoms, cream centres and soft mint leaves.</x:v>
      </x:c>
      <x:c r="E108" s="28" t="str">
        <x:v>Matte wood, broad papery petals and smooth ribbon leaves; blossoms stay permanently attached.</x:v>
      </x:c>
      <x:c r="F108" s="28" t="str">
        <x:f>VLOOKUP(A108,'Decor Catalog'!$A$5:$X$124,17,FALSE)&amp;" | "&amp;TEXT(VLOOKUP(A108,'Decor Catalog'!$A$5:$X$124,15,FALSE),"0.00")&amp;" W x "&amp;TEXT(VLOOKUP(A108,'Decor Catalog'!$A$5:$X$124,16,FALSE),"0.00")&amp;" H U"</x:f>
        <x:v>Large | 2.40 W x 2.80 H U</x:v>
      </x:c>
      <x:c r="G108" s="28" t="str">
        <x:v>Background — Root near a back corner and angle the taller branch outward.</x:v>
      </x:c>
      <x:c r="H108" s="28" t="str">
        <x:v>Two crown groups sway ±1.5° on a 12 s loop; blossoms rock slightly with the branches. No falling petals.</x:v>
      </x:c>
      <x:c r="I108" s="28" t="str">
        <x:v>Ambient</x:v>
      </x:c>
      <x:c r="J108" s="28" t="str">
        <x:v>Hold the three blossoms open in a fixed spring pose.</x:v>
      </x:c>
      <x:c r="K108" s="28" t="str">
        <x:v>Three large pink blossoms sit at the ends of two airy branches.</x:v>
      </x:c>
      <x:c r="L108" s="28" t="str">
        <x:v>Trunk/root + two branch/crown groups + two grouped blossom layers.</x:v>
      </x:c>
    </x:row>
    <x:row r="109" ht="126" customHeight="1">
      <x:c r="A109" s="28" t="str">
        <x:v>CL-05</x:v>
      </x:c>
      <x:c r="B109" s="28" t="str">
        <x:f>VLOOKUP(A109,'Decor Catalog'!$A$5:$X$124,2,FALSE)</x:f>
        <x:v>River Reeds Basket</x:v>
      </x:c>
      <x:c r="C109" s="28" t="str">
        <x:v>A low woven-look basket holds five broad reeds and two rolled young leaf shoots.</x:v>
      </x:c>
      <x:c r="D109" s="28" t="str">
        <x:v>Willow-brown basket, soft olive reeds and bright mint shoot tips.</x:v>
      </x:c>
      <x:c r="E109" s="28" t="str">
        <x:v>Matte sculpted basket with four broad weave bands; flat-ribbon leaves and rounded reed stems.</x:v>
      </x:c>
      <x:c r="F109" s="28" t="str">
        <x:f>VLOOKUP(A109,'Decor Catalog'!$A$5:$X$124,17,FALSE)&amp;" | "&amp;TEXT(VLOOKUP(A109,'Decor Catalog'!$A$5:$X$124,15,FALSE),"0.00")&amp;" W x "&amp;TEXT(VLOOKUP(A109,'Decor Catalog'!$A$5:$X$124,16,FALSE),"0.00")&amp;" H U"</x:f>
        <x:v>Large | 1.80 W x 2.40 H U</x:v>
      </x:c>
      <x:c r="G109" s="28" t="str">
        <x:v>Midground — Place at a rear-side garden edge; keep the basket visible below the reeds.</x:v>
      </x:c>
      <x:c r="H109" s="28" t="str">
        <x:v>Static idle. No particles, glow, movement or changing footprint.</x:v>
      </x:c>
      <x:c r="I109" s="28" t="str">
        <x:v>Static</x:v>
      </x:c>
      <x:c r="J109" s="28" t="str">
        <x:v>Use the finished base sprite with no glow or particles.</x:v>
      </x:c>
      <x:c r="K109" s="28" t="str">
        <x:v>Five reeds in one chunky woven planter, distinct from loose reeds.</x:v>
      </x:c>
      <x:c r="L109" s="28" t="str">
        <x:v>Single transparent sprite; bottom-centre pivot; separate icon crop.</x:v>
      </x:c>
    </x:row>
    <x:row r="110" ht="126" customHeight="1">
      <x:c r="A110" s="28" t="str">
        <x:v>PL-05</x:v>
      </x:c>
      <x:c r="B110" s="28" t="str">
        <x:f>VLOOKUP(A110,'Decor Catalog'!$A$5:$X$124,2,FALSE)</x:f>
        <x:v>Raincloud Watering Can</x:v>
      </x:c>
      <x:c r="C110" s="28" t="str">
        <x:v>A squat watering can has a curled spout, oversized loop handle and a small cloud-shaped crest fixed to its lid.</x:v>
      </x:c>
      <x:c r="D110" s="28" t="str">
        <x:v>Powder blue body, pale cream cloud and muted apricot trim.</x:v>
      </x:c>
      <x:c r="E110" s="28" t="str">
        <x:v>Matte enamelled-metal look with chunky rolled edges; no realistic water inside.</x:v>
      </x:c>
      <x:c r="F110" s="28" t="str">
        <x:f>VLOOKUP(A110,'Decor Catalog'!$A$5:$X$124,17,FALSE)&amp;" | "&amp;TEXT(VLOOKUP(A110,'Decor Catalog'!$A$5:$X$124,15,FALSE),"0.00")&amp;" W x "&amp;TEXT(VLOOKUP(A110,'Decor Catalog'!$A$5:$X$124,16,FALSE),"0.00")&amp;" H U"</x:f>
        <x:v>Large | 2.20 W x 1.90 H U</x:v>
      </x:c>
      <x:c r="G110" s="28" t="str">
        <x:v>Midground — Place at a side with clear space above the short spout; never point it at a fish.</x:v>
      </x:c>
      <x:c r="H110" s="28" t="str">
        <x:v>One small bubble leaves the spout every 18–26 s and fades within 0.5 U; cloud crest rocks ±2°. No watering or growth effect.</x:v>
      </x:c>
      <x:c r="I110" s="28" t="str">
        <x:v>Feature</x:v>
      </x:c>
      <x:c r="J110" s="28" t="str">
        <x:v>Use an empty spout and a still cloud crest.</x:v>
      </x:c>
      <x:c r="K110" s="28" t="str">
        <x:v>Blue can, high loop handle and a fixed cream cloud crest.</x:v>
      </x:c>
      <x:c r="L110" s="28" t="str">
        <x:v>Can/body + cloud crest + one low-rate bubble emitter; maximum one bubble.</x:v>
      </x:c>
    </x:row>
    <x:row r="111" ht="126" customHeight="1">
      <x:c r="A111" s="28" t="str">
        <x:v>CL-06</x:v>
      </x:c>
      <x:c r="B111" s="28" t="str">
        <x:f>VLOOKUP(A111,'Decor Catalog'!$A$5:$X$124,2,FALSE)</x:f>
        <x:v>Reef Rescue Plaque</x:v>
      </x:c>
      <x:c r="C111" s="28" t="str">
        <x:v>An irregular oval stone plaque holds a raised wave and one broad five-armed sea-star relief.</x:v>
      </x:c>
      <x:c r="D111" s="28" t="str">
        <x:v>Ocean blue wave, cream stone, muted coral star and teal recesses.</x:v>
      </x:c>
      <x:c r="E111" s="28" t="str">
        <x:v>Matte ceramic relief; no lettering, real logos or charity badges.</x:v>
      </x:c>
      <x:c r="F111" s="28" t="str">
        <x:f>VLOOKUP(A111,'Decor Catalog'!$A$5:$X$124,17,FALSE)&amp;" | "&amp;TEXT(VLOOKUP(A111,'Decor Catalog'!$A$5:$X$124,15,FALSE),"0.00")&amp;" W x "&amp;TEXT(VLOOKUP(A111,'Decor Catalog'!$A$5:$X$124,16,FALSE),"0.00")&amp;" H U"</x:f>
        <x:v>Medium | 1.90 W x 1.40 H U</x:v>
      </x:c>
      <x:c r="G111" s="28" t="str">
        <x:v>Foreground — Lean slightly on front-side gravel so both wave and star read from the viewing angle.</x:v>
      </x:c>
      <x:c r="H111" s="28" t="str">
        <x:v>Static idle. No particles, glow, movement or changing footprint.</x:v>
      </x:c>
      <x:c r="I111" s="28" t="str">
        <x:v>Static</x:v>
      </x:c>
      <x:c r="J111" s="28" t="str">
        <x:v>Use the finished base sprite with no glow or particles.</x:v>
      </x:c>
      <x:c r="K111" s="28" t="str">
        <x:v>A wave-and-star relief on one oval plaque; no living sea star.</x:v>
      </x:c>
      <x:c r="L111" s="28" t="str">
        <x:v>Single transparent sprite; bottom-centre pivot; separate icon crop.</x:v>
      </x:c>
    </x:row>
    <x:row r="112" ht="126" customHeight="1">
      <x:c r="A112" s="28" t="str">
        <x:v>PL-06</x:v>
      </x:c>
      <x:c r="B112" s="28" t="str">
        <x:f>VLOOKUP(A112,'Decor Catalog'!$A$5:$X$124,2,FALSE)</x:f>
        <x:v>Coral-pink Seagrass Fan</x:v>
      </x:c>
      <x:c r="C112" s="28" t="str">
        <x:v>Six broad seagrass blades spread like a fan, each with a curved spoon tip and a compact rounded base.</x:v>
      </x:c>
      <x:c r="D112" s="28" t="str">
        <x:v>Coral-pink faces, seafoam backs and pale peach terminal bands.</x:v>
      </x:c>
      <x:c r="E112" s="28" t="str">
        <x:v>Matte leathery fantasy leaves; the shape is botanical, not a live coral colony.</x:v>
      </x:c>
      <x:c r="F112" s="28" t="str">
        <x:f>VLOOKUP(A112,'Decor Catalog'!$A$5:$X$124,17,FALSE)&amp;" | "&amp;TEXT(VLOOKUP(A112,'Decor Catalog'!$A$5:$X$124,15,FALSE),"0.00")&amp;" W x "&amp;TEXT(VLOOKUP(A112,'Decor Catalog'!$A$5:$X$124,16,FALSE),"0.00")&amp;" H U"</x:f>
        <x:v>Large | 2.20 W x 2.80 H U</x:v>
      </x:c>
      <x:c r="G112" s="28" t="str">
        <x:v>Background — Anchor at a back side beside cool rocks, with the broad tips fanned apart.</x:v>
      </x:c>
      <x:c r="H112" s="28" t="str">
        <x:v>Three grouped blades sway ±2° on a 9 s loop; tip bands softly brighten by 10% every 15 s. No particle trail.</x:v>
      </x:c>
      <x:c r="I112" s="28" t="str">
        <x:v>Ambient</x:v>
      </x:c>
      <x:c r="J112" s="28" t="str">
        <x:v>Keep the fan evenly open with its fixed pink and seafoam palette.</x:v>
      </x:c>
      <x:c r="K112" s="28" t="str">
        <x:v>Six pink spoon-tip blades with seafoam undersides.</x:v>
      </x:c>
      <x:c r="L112" s="28" t="str">
        <x:v>Root/base + three blade groups + one tip mask.</x:v>
      </x:c>
    </x:row>
    <x:row r="113" ht="126" customHeight="1">
      <x:c r="A113" s="28" t="str">
        <x:v>CL-07</x:v>
      </x:c>
      <x:c r="B113" s="28" t="str">
        <x:f>VLOOKUP(A113,'Decor Catalog'!$A$5:$X$124,2,FALSE)</x:f>
        <x:v>Sunburst Reed Rosette</x:v>
      </x:c>
      <x:c r="C113" s="28" t="str">
        <x:v>Six broad reed leaves spread radially like a small sun, with three shorter curled leaves near the centre.</x:v>
      </x:c>
      <x:c r="D113" s="28" t="str">
        <x:v>Golden lime, honey yellow tips and deep olive folds.</x:v>
      </x:c>
      <x:c r="E113" s="28" t="str">
        <x:v>Matte leathery leaves with large central creases; warm colours are painted, not emitted light.</x:v>
      </x:c>
      <x:c r="F113" s="28" t="str">
        <x:f>VLOOKUP(A113,'Decor Catalog'!$A$5:$X$124,17,FALSE)&amp;" | "&amp;TEXT(VLOOKUP(A113,'Decor Catalog'!$A$5:$X$124,15,FALSE),"0.00")&amp;" W x "&amp;TEXT(VLOOKUP(A113,'Decor Catalog'!$A$5:$X$124,16,FALSE),"0.00")&amp;" H U"</x:f>
        <x:v>Medium | 2.00 W x 1.80 H U</x:v>
      </x:c>
      <x:c r="G113" s="28" t="str">
        <x:v>Midground — Plant at a side focal point beside cooler foliage; retain all six rays in the silhouette.</x:v>
      </x:c>
      <x:c r="H113" s="28" t="str">
        <x:v>Static idle. No particles, glow, movement or changing footprint.</x:v>
      </x:c>
      <x:c r="I113" s="28" t="str">
        <x:v>Static</x:v>
      </x:c>
      <x:c r="J113" s="28" t="str">
        <x:v>Use the finished base sprite with no glow or particles.</x:v>
      </x:c>
      <x:c r="K113" s="28" t="str">
        <x:v>A six-ray golden leaf rosette rather than a flower or fireworks icon.</x:v>
      </x:c>
      <x:c r="L113" s="28" t="str">
        <x:v>Single transparent sprite; bottom-centre pivot; separate icon crop.</x:v>
      </x:c>
    </x:row>
    <x:row r="114" ht="126" customHeight="1">
      <x:c r="A114" s="28" t="str">
        <x:v>PL-07</x:v>
      </x:c>
      <x:c r="B114" s="28" t="str">
        <x:f>VLOOKUP(A114,'Decor Catalog'!$A$5:$X$124,2,FALSE)</x:f>
        <x:v>Festival Pinwheel</x:v>
      </x:c>
      <x:c r="C114" s="28" t="str">
        <x:v>A four-blade folded pinwheel sits on a short curved pole with a compact shell-shaped foot.</x:v>
      </x:c>
      <x:c r="D114" s="28" t="str">
        <x:v>Coral, butter yellow, turquoise and lavender blades; muted blue pole.</x:v>
      </x:c>
      <x:c r="E114" s="28" t="str">
        <x:v>Matte folded ceramic or painted toy metal; a large cream hub covers the blade joins.</x:v>
      </x:c>
      <x:c r="F114" s="28" t="str">
        <x:f>VLOOKUP(A114,'Decor Catalog'!$A$5:$X$124,17,FALSE)&amp;" | "&amp;TEXT(VLOOKUP(A114,'Decor Catalog'!$A$5:$X$124,15,FALSE),"0.00")&amp;" W x "&amp;TEXT(VLOOKUP(A114,'Decor Catalog'!$A$5:$X$124,16,FALSE),"0.00")&amp;" H U"</x:f>
        <x:v>Large | 1.90 W x 2.50 H U</x:v>
      </x:c>
      <x:c r="G114" s="28" t="str">
        <x:v>Midground — Place near a rear side and leave a clear circular motion envelope around the blades.</x:v>
      </x:c>
      <x:c r="H114" s="28" t="str">
        <x:v>Pinwheel turns one slow revolution every 18 s with smooth steady motion; no sparkle, flash, confetti or sound.</x:v>
      </x:c>
      <x:c r="I114" s="28" t="str">
        <x:v>Feature</x:v>
      </x:c>
      <x:c r="J114" s="28" t="str">
        <x:v>Hold the wheel at a diagonal four-point pose.</x:v>
      </x:c>
      <x:c r="K114" s="28" t="str">
        <x:v>Four big pastel folded blades, not an explosion or firework graphic.</x:v>
      </x:c>
      <x:c r="L114" s="28" t="str">
        <x:v>Pole/base + one rotating wheel + fixed hub; pivot exactly at wheel centre.</x:v>
      </x:c>
    </x:row>
    <x:row r="115" ht="126" customHeight="1">
      <x:c r="A115" s="28" t="str">
        <x:v>CL-08</x:v>
      </x:c>
      <x:c r="B115" s="28" t="str">
        <x:f>VLOOKUP(A115,'Decor Catalog'!$A$5:$X$124,2,FALSE)</x:f>
        <x:v>Monsoon Frog Pot</x:v>
      </x:c>
      <x:c r="C115" s="28" t="str">
        <x:v>A rounded frog-shaped empty planter has two raised eye bumps, a wide oval opening and squat feet.</x:v>
      </x:c>
      <x:c r="D115" s="28" t="str">
        <x:v>Sage ceramic, pale cream belly panel and teal inner cavity.</x:v>
      </x:c>
      <x:c r="E115" s="28" t="str">
        <x:v>Matte ceramic with broad sculpted seams; clearly an inanimate empty pot.</x:v>
      </x:c>
      <x:c r="F115" s="28" t="str">
        <x:f>VLOOKUP(A115,'Decor Catalog'!$A$5:$X$124,17,FALSE)&amp;" | "&amp;TEXT(VLOOKUP(A115,'Decor Catalog'!$A$5:$X$124,15,FALSE),"0.00")&amp;" W x "&amp;TEXT(VLOOKUP(A115,'Decor Catalog'!$A$5:$X$124,16,FALSE),"0.00")&amp;" H U"</x:f>
        <x:v>Medium | 1.80 W x 1.60 H U</x:v>
      </x:c>
      <x:c r="G115" s="28" t="str">
        <x:v>Midground — Set at a lower-side garden edge; leave the opening empty so plants can be placed separately.</x:v>
      </x:c>
      <x:c r="H115" s="28" t="str">
        <x:v>Static idle. No particles, glow, movement or changing footprint.</x:v>
      </x:c>
      <x:c r="I115" s="28" t="str">
        <x:v>Static</x:v>
      </x:c>
      <x:c r="J115" s="28" t="str">
        <x:v>Use the finished base sprite with no glow or particles.</x:v>
      </x:c>
      <x:c r="K115" s="28" t="str">
        <x:v>A friendly frog-shaped pot with an empty top, not a living animal.</x:v>
      </x:c>
      <x:c r="L115" s="28" t="str">
        <x:v>Single transparent sprite; bottom-centre pivot; separate icon crop.</x:v>
      </x:c>
    </x:row>
    <x:row r="116" ht="126" customHeight="1">
      <x:c r="A116" s="28" t="str">
        <x:v>PL-08</x:v>
      </x:c>
      <x:c r="B116" s="28" t="str">
        <x:f>VLOOKUP(A116,'Decor Catalog'!$A$5:$X$124,2,FALSE)</x:f>
        <x:v>Raindrop Lotus</x:v>
      </x:c>
      <x:c r="C116" s="28" t="str">
        <x:v>A broad lotus cup sits above two round leaves; three large teardrop-shaped petal tips curve inward around its centre.</x:v>
      </x:c>
      <x:c r="D116" s="28" t="str">
        <x:v>Dusty lavender, pale sky blue tips and deep jade leaves.</x:v>
      </x:c>
      <x:c r="E116" s="28" t="str">
        <x:v>Matte petals with a few broad water-drop-shaped colour patches, not glossy droplets.</x:v>
      </x:c>
      <x:c r="F116" s="28" t="str">
        <x:f>VLOOKUP(A116,'Decor Catalog'!$A$5:$X$124,17,FALSE)&amp;" | "&amp;TEXT(VLOOKUP(A116,'Decor Catalog'!$A$5:$X$124,15,FALSE),"0.00")&amp;" W x "&amp;TEXT(VLOOKUP(A116,'Decor Catalog'!$A$5:$X$124,16,FALSE),"0.00")&amp;" H U"</x:f>
        <x:v>Large | 2.20 W x 2.30 H U</x:v>
      </x:c>
      <x:c r="G116" s="28" t="str">
        <x:v>Midground — Set at a lower-side focal point with the three inward-curving tips clearly visible.</x:v>
      </x:c>
      <x:c r="H116" s="28" t="str">
        <x:v>Petal cup opens 5° on a 14 s loop; the three tip masks brighten gently in a staggered pattern. No rain particles.</x:v>
      </x:c>
      <x:c r="I116" s="28" t="str">
        <x:v>Ambient</x:v>
      </x:c>
      <x:c r="J116" s="28" t="str">
        <x:v>Show the cup half-open with static pale blue tips.</x:v>
      </x:c>
      <x:c r="K116" s="28" t="str">
        <x:v>A lavender cup with three pale teardrop petal tips.</x:v>
      </x:c>
      <x:c r="L116" s="28" t="str">
        <x:v>Leaf/base + three petal groups + one tip mask.</x:v>
      </x:c>
    </x:row>
    <x:row r="117" ht="126" customHeight="1">
      <x:c r="A117" s="28" t="str">
        <x:v>CL-09</x:v>
      </x:c>
      <x:c r="B117" s="28" t="str">
        <x:f>VLOOKUP(A117,'Decor Catalog'!$A$5:$X$124,2,FALSE)</x:f>
        <x:v>Amber Seed Wreath</x:v>
      </x:c>
      <x:c r="C117" s="28" t="str">
        <x:v>Two rooted stems curve into an open circular wreath carrying five large seed pods and three broad leaves.</x:v>
      </x:c>
      <x:c r="D117" s="28" t="str">
        <x:v>Honey amber pods, russet stems and muted sage foliage.</x:v>
      </x:c>
      <x:c r="E117" s="28" t="str">
        <x:v>Matte papery seed pods with broad segments; round stems form a clean open centre.</x:v>
      </x:c>
      <x:c r="F117" s="28" t="str">
        <x:f>VLOOKUP(A117,'Decor Catalog'!$A$5:$X$124,17,FALSE)&amp;" | "&amp;TEXT(VLOOKUP(A117,'Decor Catalog'!$A$5:$X$124,15,FALSE),"0.00")&amp;" W x "&amp;TEXT(VLOOKUP(A117,'Decor Catalog'!$A$5:$X$124,16,FALSE),"0.00")&amp;" H U"</x:f>
        <x:v>Large | 2.20 W x 2.20 H U</x:v>
      </x:c>
      <x:c r="G117" s="28" t="str">
        <x:v>Midground — Root at a rear side with the circular opening transparent and clear of other decor.</x:v>
      </x:c>
      <x:c r="H117" s="28" t="str">
        <x:v>Static idle. No particles, glow, movement or changing footprint.</x:v>
      </x:c>
      <x:c r="I117" s="28" t="str">
        <x:v>Static</x:v>
      </x:c>
      <x:c r="J117" s="28" t="str">
        <x:v>Use the finished base sprite with no glow or particles.</x:v>
      </x:c>
      <x:c r="K117" s="28" t="str">
        <x:v>Five amber pods on an open living wreath; no harvest basket clutter.</x:v>
      </x:c>
      <x:c r="L117" s="28" t="str">
        <x:v>Single transparent sprite; bottom-centre pivot; separate icon crop.</x:v>
      </x:c>
    </x:row>
    <x:row r="118" ht="126" customHeight="1">
      <x:c r="A118" s="28" t="str">
        <x:v>PL-09</x:v>
      </x:c>
      <x:c r="B118" s="28" t="str">
        <x:f>VLOOKUP(A118,'Decor Catalog'!$A$5:$X$124,2,FALSE)</x:f>
        <x:v>Harvest Moon Arch</x:v>
      </x:c>
      <x:c r="C118" s="28" t="str">
        <x:v>A thick amber crescent rises from two low stone feet with three short seed-pod pendants inside its arc.</x:v>
      </x:c>
      <x:c r="D118" s="28" t="str">
        <x:v>Muted ochre crescent, cream inner rim and russet pods with sage ties.</x:v>
      </x:c>
      <x:c r="E118" s="28" t="str">
        <x:v>Matte carved ceramic and papery-looking pod casings; no polished gold or lunar landscape.</x:v>
      </x:c>
      <x:c r="F118" s="28" t="str">
        <x:f>VLOOKUP(A118,'Decor Catalog'!$A$5:$X$124,17,FALSE)&amp;" | "&amp;TEXT(VLOOKUP(A118,'Decor Catalog'!$A$5:$X$124,15,FALSE),"0.00")&amp;" W x "&amp;TEXT(VLOOKUP(A118,'Decor Catalog'!$A$5:$X$124,16,FALSE),"0.00")&amp;" H U"</x:f>
        <x:v>Large | 2.80 W x 2.90 H U</x:v>
      </x:c>
      <x:c r="G118" s="28" t="str">
        <x:v>Background — Anchor at a rear side with the crescent opening unobstructed.</x:v>
      </x:c>
      <x:c r="H118" s="28" t="str">
        <x:v>Pods swing ±2° on offset 10 s loops; the inner rim warms by 8% over 16 s. No falling leaves.</x:v>
      </x:c>
      <x:c r="I118" s="28" t="str">
        <x:v>Feature</x:v>
      </x:c>
      <x:c r="J118" s="28" t="str">
        <x:v>Hang pods still within a fixed amber crescent.</x:v>
      </x:c>
      <x:c r="K118" s="28" t="str">
        <x:v>A warm crescent holding three hanging seed pods.</x:v>
      </x:c>
      <x:c r="L118" s="28" t="str">
        <x:v>Crescent/base + three pod sprites + one subtle rim mask.</x:v>
      </x:c>
    </x:row>
    <x:row r="119" ht="126" customHeight="1">
      <x:c r="A119" s="28" t="str">
        <x:v>CL-10</x:v>
      </x:c>
      <x:c r="B119" s="28" t="str">
        <x:f>VLOOKUP(A119,'Decor Catalog'!$A$5:$X$124,2,FALSE)</x:f>
        <x:v>Pumpkin Shell House</x:v>
      </x:c>
      <x:c r="C119" s="28" t="str">
        <x:v>A squat pumpkin-shaped shell cottage has five broad ribs, a curled stem roof and one round doorway.</x:v>
      </x:c>
      <x:c r="D119" s="28" t="str">
        <x:v>Soft orange, pale apricot ridges, plum doorway and muted olive stem.</x:v>
      </x:c>
      <x:c r="E119" s="28" t="str">
        <x:v>Matte carved resin with rounded friendly forms; no carved frightening face.</x:v>
      </x:c>
      <x:c r="F119" s="28" t="str">
        <x:f>VLOOKUP(A119,'Decor Catalog'!$A$5:$X$124,17,FALSE)&amp;" | "&amp;TEXT(VLOOKUP(A119,'Decor Catalog'!$A$5:$X$124,15,FALSE),"0.00")&amp;" W x "&amp;TEXT(VLOOKUP(A119,'Decor Catalog'!$A$5:$X$124,16,FALSE),"0.00")&amp;" H U"</x:f>
        <x:v>Medium | 1.90 W x 1.80 H U</x:v>
      </x:c>
      <x:c r="G119" s="28" t="str">
        <x:v>Midground — Place at a side focal point beside low plants; keep the doorway and curl clearly visible.</x:v>
      </x:c>
      <x:c r="H119" s="28" t="str">
        <x:v>Static idle. No particles, glow, movement or changing footprint.</x:v>
      </x:c>
      <x:c r="I119" s="28" t="str">
        <x:v>Static</x:v>
      </x:c>
      <x:c r="J119" s="28" t="str">
        <x:v>Use the finished base sprite with no glow or particles.</x:v>
      </x:c>
      <x:c r="K119" s="28" t="str">
        <x:v>A pumpkin cottage with a round door and no horror features.</x:v>
      </x:c>
      <x:c r="L119" s="28" t="str">
        <x:v>Single transparent sprite; bottom-centre pivot; separate icon crop.</x:v>
      </x:c>
    </x:row>
    <x:row r="120" ht="126" customHeight="1">
      <x:c r="A120" s="28" t="str">
        <x:v>PL-10</x:v>
      </x:c>
      <x:c r="B120" s="28" t="str">
        <x:f>VLOOKUP(A120,'Decor Catalog'!$A$5:$X$124,2,FALSE)</x:f>
        <x:v>Mooncap Bloom</x:v>
      </x:c>
      <x:c r="C120" s="28" t="str">
        <x:v>Three bell flowers shaped like soft curled caps rise above broad scalloped leaves; the middle bloom is tallest.</x:v>
      </x:c>
      <x:c r="D120" s="28" t="str">
        <x:v>Muted violet caps, pale amber throats and dark teal leaves.</x:v>
      </x:c>
      <x:c r="E120" s="28" t="str">
        <x:v>Matte papery flower bells and leathery leaves; flower stems make it botanical rather than a mushroom creature.</x:v>
      </x:c>
      <x:c r="F120" s="28" t="str">
        <x:f>VLOOKUP(A120,'Decor Catalog'!$A$5:$X$124,17,FALSE)&amp;" | "&amp;TEXT(VLOOKUP(A120,'Decor Catalog'!$A$5:$X$124,15,FALSE),"0.00")&amp;" W x "&amp;TEXT(VLOOKUP(A120,'Decor Catalog'!$A$5:$X$124,16,FALSE),"0.00")&amp;" H U"</x:f>
        <x:v>Large | 2.00 W x 2.30 H U</x:v>
      </x:c>
      <x:c r="G120" s="28" t="str">
        <x:v>Midground — Place at a side focal point with all three warm flower throats facing partly forward.</x:v>
      </x:c>
      <x:c r="H120" s="28" t="str">
        <x:v>Flower heads nod ±2° over 10 s; throats warm gently by 12% every 17 s. No eyes, jumpscares or mist.</x:v>
      </x:c>
      <x:c r="I120" s="28" t="str">
        <x:v>Ambient</x:v>
      </x:c>
      <x:c r="J120" s="28" t="str">
        <x:v>Keep the three caps at different calm angles with fixed amber throats.</x:v>
      </x:c>
      <x:c r="K120" s="28" t="str">
        <x:v>Three curled violet caps with warm interiors; friendly, not spooky faces.</x:v>
      </x:c>
      <x:c r="L120" s="28" t="str">
        <x:v>Leaf/stem base + three flowers + one throat mask.</x:v>
      </x:c>
    </x:row>
    <x:row r="121" ht="126" customHeight="1">
      <x:c r="A121" s="28" t="str">
        <x:v>CL-11</x:v>
      </x:c>
      <x:c r="B121" s="28" t="str">
        <x:f>VLOOKUP(A121,'Decor Catalog'!$A$5:$X$124,2,FALSE)</x:f>
        <x:v>Frost Fern</x:v>
      </x:c>
      <x:c r="C121" s="28" t="str">
        <x:v>Three thick fern fronds fan outward with broad paired lobes and blunt frosted tips.</x:v>
      </x:c>
      <x:c r="D121" s="28" t="str">
        <x:v>Blue spruce, pale mint tip bands and muted slate undersides.</x:v>
      </x:c>
      <x:c r="E121" s="28" t="str">
        <x:v>Matte leathery leaves with painted frost-colour caps; no loose snow or ice particles.</x:v>
      </x:c>
      <x:c r="F121" s="28" t="str">
        <x:f>VLOOKUP(A121,'Decor Catalog'!$A$5:$X$124,17,FALSE)&amp;" | "&amp;TEXT(VLOOKUP(A121,'Decor Catalog'!$A$5:$X$124,15,FALSE),"0.00")&amp;" W x "&amp;TEXT(VLOOKUP(A121,'Decor Catalog'!$A$5:$X$124,16,FALSE),"0.00")&amp;" H U"</x:f>
        <x:v>Medium | 1.60 W x 1.80 H U</x:v>
      </x:c>
      <x:c r="G121" s="28" t="str">
        <x:v>Midground — Place beside warmer stone on a lower rear side; keep the three fronds separate.</x:v>
      </x:c>
      <x:c r="H121" s="28" t="str">
        <x:v>Static idle. No particles, glow, movement or changing footprint.</x:v>
      </x:c>
      <x:c r="I121" s="28" t="str">
        <x:v>Static</x:v>
      </x:c>
      <x:c r="J121" s="28" t="str">
        <x:v>Use the finished base sprite with no glow or particles.</x:v>
      </x:c>
      <x:c r="K121" s="28" t="str">
        <x:v>Three blue-green fronds with pale broad tips, not white glitter.</x:v>
      </x:c>
      <x:c r="L121" s="28" t="str">
        <x:v>Single transparent sprite; bottom-centre pivot; separate icon crop.</x:v>
      </x:c>
    </x:row>
    <x:row r="122" ht="126" customHeight="1">
      <x:c r="A122" s="28" t="str">
        <x:v>PL-11</x:v>
      </x:c>
      <x:c r="B122" s="28" t="str">
        <x:f>VLOOKUP(A122,'Decor Catalog'!$A$5:$X$124,2,FALSE)</x:f>
        <x:v>Snowglobe Grotto</x:v>
      </x:c>
      <x:c r="C122" s="28" t="str">
        <x:v>A stout clear-look dome on a scalloped base encloses one miniature stone arch and three small snowflake-shaped chips.</x:v>
      </x:c>
      <x:c r="D122" s="28" t="str">
        <x:v>Frosted pale aqua dome, cream arch, dusty blue base and muted lilac chips.</x:v>
      </x:c>
      <x:c r="E122" s="28" t="str">
        <x:v>Stylised translucent dome with a matte rim; solid ceramic interior and flat graphic chips, no mirror reflections.</x:v>
      </x:c>
      <x:c r="F122" s="28" t="str">
        <x:f>VLOOKUP(A122,'Decor Catalog'!$A$5:$X$124,17,FALSE)&amp;" | "&amp;TEXT(VLOOKUP(A122,'Decor Catalog'!$A$5:$X$124,15,FALSE),"0.00")&amp;" W x "&amp;TEXT(VLOOKUP(A122,'Decor Catalog'!$A$5:$X$124,16,FALSE),"0.00")&amp;" H U"</x:f>
        <x:v>Large | 2.30 W x 2.60 H U</x:v>
      </x:c>
      <x:c r="G122" s="28" t="str">
        <x:v>Midground — Place at a rear side where the enclosed arch is readable; keep all drifting details inside the dome.</x:v>
      </x:c>
      <x:c r="H122" s="28" t="str">
        <x:v>Three chips drift in short 0.15 U loops inside a clipped dome over 12 s. No external snow and no continuous particle emitter.</x:v>
      </x:c>
      <x:c r="I122" s="28" t="str">
        <x:v>Feature</x:v>
      </x:c>
      <x:c r="J122" s="28" t="str">
        <x:v>Hold three chips at fixed positions inside the dome.</x:v>
      </x:c>
      <x:c r="K122" s="28" t="str">
        <x:v>One miniature arch inside a squat aqua dome, without a snow-filled environment.</x:v>
      </x:c>
      <x:c r="L122" s="28" t="str">
        <x:v>Base/interior + dome rim/fill + clipping mask + three reusable chip sprites.</x:v>
      </x:c>
    </x:row>
    <x:row r="123" ht="126" customHeight="1">
      <x:c r="A123" s="28" t="str">
        <x:v>CL-12</x:v>
      </x:c>
      <x:c r="B123" s="28" t="str">
        <x:f>VLOOKUP(A123,'Decor Catalog'!$A$5:$X$124,2,FALSE)</x:f>
        <x:v>Founder's Shell Plinth</x:v>
      </x:c>
      <x:c r="C123" s="28" t="str">
        <x:v>A thick scallop emblem stands on a low rounded two-step plinth with a small recessed wave stripe.</x:v>
      </x:c>
      <x:c r="D123" s="28" t="str">
        <x:v>Warm cream shell, dusty turquoise base and a muted coral stripe.</x:v>
      </x:c>
      <x:c r="E123" s="28" t="str">
        <x:v>Matte carved ceramic; no year stamp, readable text or premium-looking gold border.</x:v>
      </x:c>
      <x:c r="F123" s="28" t="str">
        <x:f>VLOOKUP(A123,'Decor Catalog'!$A$5:$X$124,17,FALSE)&amp;" | "&amp;TEXT(VLOOKUP(A123,'Decor Catalog'!$A$5:$X$124,15,FALSE),"0.00")&amp;" W x "&amp;TEXT(VLOOKUP(A123,'Decor Catalog'!$A$5:$X$124,16,FALSE),"0.00")&amp;" H U"</x:f>
        <x:v>Medium | 1.40 W x 1.30 H U</x:v>
      </x:c>
      <x:c r="G123" s="28" t="str">
        <x:v>Foreground — Set at a front-side edge after onboarding; keep it a small optional commemorative piece.</x:v>
      </x:c>
      <x:c r="H123" s="28" t="str">
        <x:v>Static idle. No particles, glow, movement or changing footprint.</x:v>
      </x:c>
      <x:c r="I123" s="28" t="str">
        <x:v>Static</x:v>
      </x:c>
      <x:c r="J123" s="28" t="str">
        <x:v>Use the finished base sprite with no glow or particles.</x:v>
      </x:c>
      <x:c r="K123" s="28" t="str">
        <x:v>A single scallop on a teal two-step base; collection recognition without power.</x:v>
      </x:c>
      <x:c r="L123" s="28" t="str">
        <x:v>Single transparent sprite; bottom-centre pivot; separate icon crop.</x:v>
      </x:c>
    </x:row>
    <x:row r="124" ht="126" customHeight="1">
      <x:c r="A124" s="28" t="str">
        <x:v>PL-12</x:v>
      </x:c>
      <x:c r="B124" s="28" t="str">
        <x:f>VLOOKUP(A124,'Decor Catalog'!$A$5:$X$124,2,FALSE)</x:f>
        <x:v>Celebration Lotus</x:v>
      </x:c>
      <x:c r="C124" s="28" t="str">
        <x:v>A wide lotus crown has five rounded pastel petals and a compact central cluster of three short seed stalks.</x:v>
      </x:c>
      <x:c r="D124" s="28" t="str">
        <x:v>Cream, apricot, soft coral, aqua and lavender petals over jade leaves.</x:v>
      </x:c>
      <x:c r="E124" s="28" t="str">
        <x:v>Matte petal colour blocks and soft botanical seed tips; no candle flames, badges or written year.</x:v>
      </x:c>
      <x:c r="F124" s="28" t="str">
        <x:f>VLOOKUP(A124,'Decor Catalog'!$A$5:$X$124,17,FALSE)&amp;" | "&amp;TEXT(VLOOKUP(A124,'Decor Catalog'!$A$5:$X$124,15,FALSE),"0.00")&amp;" W x "&amp;TEXT(VLOOKUP(A124,'Decor Catalog'!$A$5:$X$124,16,FALSE),"0.00")&amp;" H U"</x:f>
        <x:v>Large | 2.20 W x 2.20 H U</x:v>
      </x:c>
      <x:c r="G124" s="28" t="str">
        <x:v>Midground — Place at a side focal point after onboarding; keep the central seed cluster visible.</x:v>
      </x:c>
      <x:c r="H124" s="28" t="str">
        <x:v>Petals open 4° for 3 s every 20 s; seed tips brighten one after another by 10%. No confetti or rewards.</x:v>
      </x:c>
      <x:c r="I124" s="28" t="str">
        <x:v>Ambient</x:v>
      </x:c>
      <x:c r="J124" s="28" t="str">
        <x:v>Use the flower half-open with fixed pastel petals and quiet seed tips.</x:v>
      </x:c>
      <x:c r="K124" s="28" t="str">
        <x:v>A five-colour lotus crown with three upright seed stalks.</x:v>
      </x:c>
      <x:c r="L124" s="28" t="str">
        <x:v>Leaf/base + three petal groups + one central seed-tip mask.</x:v>
      </x:c>
    </x:row>
  </x:sheetData>
  <x:mergeCells>
    <x:mergeCell ref="A1:L1"/>
    <x:mergeCell ref="A2:L2"/>
  </x:mergeCells>
  <x:pageMargins left="0.7" right="0.7" top="0.75" bottom="0.75" header="0.3" footer="0.3"/>
  <x:tableParts count="1">
    <x:tablePart xmlns:r="http://schemas.openxmlformats.org/officeDocument/2006/relationships" r:id="Rc9be6cde28ab44bd"/>
  </x:tableParts>
</x:worksheet>
</file>

<file path=xl/worksheets/sheet22.xml><?xml version="1.0" encoding="utf-8"?>
<x:worksheet xmlns:x="http://schemas.openxmlformats.org/spreadsheetml/2006/main">
  <x:sheetFormatPr defaultRowHeight="15"/>
  <x:cols>
    <x:col min="1" max="1" width="12" hidden="0" customWidth="1"/>
    <x:col min="2" max="2" width="28" hidden="0" customWidth="1"/>
    <x:col min="3" max="3" width="95" hidden="0" customWidth="1"/>
    <x:col min="4" max="4" width="86" hidden="0" customWidth="1"/>
    <x:col min="5" max="5" width="80" hidden="0" customWidth="1"/>
  </x:cols>
  <x:sheetData>
    <x:row r="1" ht="34" customHeight="1">
      <x:c r="A1" s="6" t="str">
        <x:v>DECORATION RULES | expression without hidden power</x:v>
      </x:c>
      <x:c r="B1" s="6"/>
      <x:c r="C1" s="6"/>
      <x:c r="D1" s="6"/>
      <x:c r="E1" s="6"/>
    </x:row>
    <x:row r="2" ht="32" customHeight="1">
      <x:c r="A2" s="13" t="str">
        <x:v>The original permanent-cosmetic promise is retained. Pricing and score are normalized; artwork remains traceable to the uploaded catalog.</x:v>
      </x:c>
      <x:c r="B2" s="13"/>
      <x:c r="C2" s="13"/>
      <x:c r="D2" s="13"/>
      <x:c r="E2" s="13"/>
    </x:row>
    <x:row r="3">
      <x:c r="A3" s="2"/>
      <x:c r="B3" s="2"/>
      <x:c r="C3" s="2"/>
      <x:c r="D3" s="2"/>
      <x:c r="E3" s="2"/>
    </x:row>
    <x:row r="4" ht="32" customHeight="1">
      <x:c r="A4" s="21" t="str">
        <x:v>Rule</x:v>
      </x:c>
      <x:c r="B4" s="21" t="str">
        <x:v>Area</x:v>
      </x:c>
      <x:c r="C4" s="21" t="str">
        <x:v>Canonical behavior</x:v>
      </x:c>
      <x:c r="D4" s="21" t="str">
        <x:v>Economy / trust guardrail</x:v>
      </x:c>
      <x:c r="E4" s="21" t="str">
        <x:v>Acceptance check</x:v>
      </x:c>
    </x:row>
    <x:row r="5" ht="79" customHeight="1">
      <x:c r="A5" s="28" t="str">
        <x:v>DR01</x:v>
      </x:c>
      <x:c r="B5" s="28" t="str">
        <x:v>Permanent cosmetics</x:v>
      </x:c>
      <x:c r="C5" s="28" t="str">
        <x:v>Every decor purchase adds durable ownership; never expires when an event ends.</x:v>
      </x:c>
      <x:c r="D5" s="28" t="str">
        <x:v>No resale, maintenance, fish income, growth, XP, food or hidden luck.</x:v>
      </x:c>
      <x:c r="E5" s="28" t="str">
        <x:v>Ownership quantity &gt;= placed quantity across tanks.</x:v>
      </x:c>
    </x:row>
    <x:row r="6" ht="79" customHeight="1">
      <x:c r="A6" s="28" t="str">
        <x:v>DR02</x:v>
      </x:c>
      <x:c r="B6" s="28" t="str">
        <x:v>Move / store / transfer</x:v>
      </x:c>
      <x:c r="C6" s="28" t="str">
        <x:v>Free placement, rotation, undo, storage and transfer between owned tanks.</x:v>
      </x:c>
      <x:c r="D6" s="28" t="str">
        <x:v>No coin fee, timer or slot consumed in productive fish capacity.</x:v>
      </x:c>
      <x:c r="E6" s="28" t="str">
        <x:v>Undo changes placement only; never refunds currency.</x:v>
      </x:c>
    </x:row>
    <x:row r="7" ht="79" customHeight="1">
      <x:c r="A7" s="28" t="str">
        <x:v>DR03</x:v>
      </x:c>
      <x:c r="B7" s="28" t="str">
        <x:v>Footprints</x:v>
      </x:c>
      <x:c r="C7" s="28" t="str">
        <x:v>Small &lt;=1.2 units; Medium &lt;=2; Large &lt;=3.2; XL &lt;=4.5 using max(width,height).</x:v>
      </x:c>
      <x:c r="D7" s="28" t="str">
        <x:v>Footprint affects visual score only, not production or placement scarcity monetization.</x:v>
      </x:c>
      <x:c r="E7" s="28" t="str">
        <x:v>Asset bounding box must match the catalog's dimensions.</x:v>
      </x:c>
    </x:row>
    <x:row r="8" ht="79" customHeight="1">
      <x:c r="A8" s="28" t="str">
        <x:v>DR04</x:v>
      </x:c>
      <x:c r="B8" s="28" t="str">
        <x:v>Display score</x:v>
      </x:c>
      <x:c r="C8" s="28" t="str">
        <x:v>Small 10; Medium 20; Large 35; XL 50. Distinct placed item ID counted once per tank.</x:v>
      </x:c>
      <x:c r="D8" s="28" t="str">
        <x:v>Duplicate copies add visual variety but no extra score; no score-gated economic unlocks.</x:v>
      </x:c>
      <x:c r="E8" s="28" t="str">
        <x:v>Recompute from unique placed IDs; move / duplicate cannot mint a reward.</x:v>
      </x:c>
    </x:row>
    <x:row r="9" ht="79" customHeight="1">
      <x:c r="A9" s="28" t="str">
        <x:v>DR05</x:v>
      </x:c>
      <x:c r="B9" s="28" t="str">
        <x:v>Free display limits</x:v>
      </x:c>
      <x:c r="C9" s="28" t="str">
        <x:v>32 placed decor copies and 8 display companions per tank; unlimited owned inventory within safe storage limits.</x:v>
      </x:c>
      <x:c r="D9" s="28" t="str">
        <x:v>Limits are rendering budgets; do not sell additional productive power through them.</x:v>
      </x:c>
      <x:c r="E9" s="28" t="str">
        <x:v>Attempt beyond visible cap gives Store / Replace choice, never destroys ownership.</x:v>
      </x:c>
    </x:row>
    <x:row r="10" ht="79" customHeight="1">
      <x:c r="A10" s="28" t="str">
        <x:v>DR06</x:v>
      </x:c>
      <x:c r="B10" s="28" t="str">
        <x:v>Motion budget</x:v>
      </x:c>
      <x:c r="C10" s="28" t="str">
        <x:v>At most 6 animated props/tank; use distance/visibility prioritization and static fallbacks.</x:v>
      </x:c>
      <x:c r="D10" s="28" t="str">
        <x:v>Premium appeal comes from authored motion, not overwhelming particles.</x:v>
      </x:c>
      <x:c r="E10" s="28" t="str">
        <x:v>Reduced motion shows an attractive still; no strobing or screen shake.</x:v>
      </x:c>
    </x:row>
    <x:row r="11" ht="79" customHeight="1">
      <x:c r="A11" s="28" t="str">
        <x:v>DR07</x:v>
      </x:c>
      <x:c r="B11" s="28" t="str">
        <x:v>Interaction priority</x:v>
      </x:c>
      <x:c r="C11" s="28" t="str">
        <x:v>Fish and functional controls win over scenery hitboxes; decor is selectable only in Edit mode.</x:v>
      </x:c>
      <x:c r="D11" s="28" t="str">
        <x:v>No accidental object dragging during fish care.</x:v>
      </x:c>
      <x:c r="E11" s="28" t="str">
        <x:v>Small-screen hit testing across foreground / background layers.</x:v>
      </x:c>
    </x:row>
    <x:row r="12" ht="79" customHeight="1">
      <x:c r="A12" s="28" t="str">
        <x:v>DR08</x:v>
      </x:c>
      <x:c r="B12" s="28" t="str">
        <x:v>Visual score feedback</x:v>
      </x:c>
      <x:c r="C12" s="28" t="str">
        <x:v>Show an optional scene-composition summary, not a competitive rank.</x:v>
      </x:c>
      <x:c r="D12" s="28" t="str">
        <x:v>No payout, voting prize, multiplayer advantage or pay-to-win claim.</x:v>
      </x:c>
      <x:c r="E12" s="28" t="str">
        <x:v>Player can hide score and still access all core systems.</x:v>
      </x:c>
    </x:row>
    <x:row r="13" ht="79" customHeight="1">
      <x:c r="A13" s="28" t="str">
        <x:v>DR09</x:v>
      </x:c>
      <x:c r="B13" s="28" t="str">
        <x:v>Affordable first scene</x:v>
      </x:c>
      <x:c r="C13" s="28" t="str">
        <x:v>CP-01 costs 25 and is included in onboarding; early coin props use a reference-income price ladder.</x:v>
      </x:c>
      <x:c r="D13" s="28" t="str">
        <x:v>Premium props are never needed for quests, chapters or the core aquarium.</x:v>
      </x:c>
      <x:c r="E13" s="28" t="str">
        <x:v>Check accessible, visually distinct coin options at each early level.</x:v>
      </x:c>
    </x:row>
    <x:row r="14" ht="79" customHeight="1">
      <x:c r="A14" s="28" t="str">
        <x:v>DR10</x:v>
      </x:c>
      <x:c r="B14" s="28" t="str">
        <x:v>Art authority</x:v>
      </x:c>
      <x:c r="C14" s="28" t="str">
        <x:v>Keep all 120 detailed briefs in Decor Art Briefs; catalog dimensions and prices supersede legacy values.</x:v>
      </x:c>
      <x:c r="D14" s="28" t="str">
        <x:v>Legacy art text describing decor 'score' does not authorize economic power.</x:v>
      </x:c>
      <x:c r="E14" s="28" t="str">
        <x:v>ID-to-brief match 1:1; original artwork and licensed materials only.</x:v>
      </x:c>
    </x:row>
    <x:row r="15" ht="79" customHeight="1">
      <x:c r="A15" s="28" t="str">
        <x:v>DR11</x:v>
      </x:c>
      <x:c r="B15" s="28" t="str">
        <x:v>Copies and bundles</x:v>
      </x:c>
      <x:c r="C15" s="28" t="str">
        <x:v>Each offer discloses exact quantity. Re-buying a decor item is optional and never required to claim a collection.</x:v>
      </x:c>
      <x:c r="D15" s="28" t="str">
        <x:v>Owning duplicate copies gives no extra collection progress.</x:v>
      </x:c>
      <x:c r="E15" s="28" t="str">
        <x:v>Bundles grant explicit item IDs/quantities with deterministic duplicate handling.</x:v>
      </x:c>
    </x:row>
    <x:row r="16" ht="79" customHeight="1">
      <x:c r="A16" s="28" t="str">
        <x:v>DR12</x:v>
      </x:c>
      <x:c r="B16" s="28" t="str">
        <x:v>Event store</x:v>
      </x:c>
      <x:c r="C16" s="28" t="str">
        <x:v>Coin / pearl event decor can be bought only in configured windows; previously owned copies remain freely usable.</x:v>
      </x:c>
      <x:c r="D16" s="28" t="str">
        <x:v>Items may return; never promise permanent exclusivity or fake stock scarcity.</x:v>
      </x:c>
      <x:c r="E16" s="28" t="str">
        <x:v>Server offer timestamp authoritative; authorized transaction honored or fully reversed.</x:v>
      </x:c>
    </x:row>
    <x:row r="17" ht="79" customHeight="1">
      <x:c r="A17" s="28" t="str">
        <x:v>DR13</x:v>
      </x:c>
      <x:c r="B17" s="28" t="str">
        <x:v>Accessibility</x:v>
      </x:c>
      <x:c r="C17" s="28" t="str">
        <x:v>Maintain clean silhouettes, object separation, high-contrast selection and non-color-only rarity symbols.</x:v>
      </x:c>
      <x:c r="D17" s="28" t="str">
        <x:v>Palette choice never changes rewards or hiding/obstruction penalties.</x:v>
      </x:c>
      <x:c r="E17" s="28" t="str">
        <x:v>Text scale, reduced motion, screen-reader labels and controller navigation tested.</x:v>
      </x:c>
    </x:row>
    <x:row r="18" ht="79" customHeight="1">
      <x:c r="A18" s="28" t="str">
        <x:v>DR14</x:v>
      </x:c>
      <x:c r="B18" s="28" t="str">
        <x:v>Projects</x:v>
      </x:c>
      <x:c r="C18" s="28" t="str">
        <x:v>All 10 projects are cosmetic; installments unlock visible authored pieces at four milestone thresholds.</x:v>
      </x:c>
      <x:c r="D18" s="28" t="str">
        <x:v>Partial progress persists forever; no reset, interest, penalty or completion deadline.</x:v>
      </x:c>
      <x:c r="E18" s="28" t="str">
        <x:v>Preview every milestone and exact remaining price before each contribution.</x:v>
      </x:c>
    </x:row>
  </x:sheetData>
  <x:mergeCells>
    <x:mergeCell ref="A1:E1"/>
    <x:mergeCell ref="A2:E2"/>
  </x:mergeCells>
  <x:pageMargins left="0.7" right="0.7" top="0.75" bottom="0.75" header="0.3" footer="0.3"/>
  <x:tableParts count="1">
    <x:tablePart xmlns:r="http://schemas.openxmlformats.org/officeDocument/2006/relationships" r:id="Re8d46ef7dfb24497"/>
  </x:tableParts>
</x:worksheet>
</file>

<file path=xl/worksheets/sheet23.xml><?xml version="1.0" encoding="utf-8"?>
<x:worksheet xmlns:x="http://schemas.openxmlformats.org/spreadsheetml/2006/main">
  <x:sheetFormatPr defaultRowHeight="15"/>
  <x:cols>
    <x:col min="1" max="1" width="27" hidden="0" customWidth="1"/>
    <x:col min="2" max="2" width="28" hidden="0" customWidth="1"/>
    <x:col min="3" max="3" width="55" hidden="0" customWidth="1"/>
    <x:col min="4" max="4" width="91" hidden="0" customWidth="1"/>
    <x:col min="5" max="5" width="62" hidden="0" customWidth="1"/>
    <x:col min="6" max="6" width="70" hidden="0" customWidth="1"/>
    <x:col min="7" max="7" width="57" hidden="0" customWidth="1"/>
    <x:col min="8" max="8" width="81" hidden="0" customWidth="1"/>
  </x:cols>
  <x:sheetData>
    <x:row r="1" ht="34" customHeight="1">
      <x:c r="A1" s="6" t="str">
        <x:v>RETENTION JOURNEY | reasons to return, reasons to stop comfortably</x:v>
      </x:c>
      <x:c r="B1" s="6"/>
      <x:c r="C1" s="6"/>
      <x:c r="D1" s="6"/>
      <x:c r="E1" s="6"/>
      <x:c r="F1" s="6"/>
      <x:c r="G1" s="6"/>
      <x:c r="H1" s="6"/>
    </x:row>
    <x:row r="2" ht="32" customHeight="1">
      <x:c r="A2" s="13" t="str">
        <x:v>All effects are design hypotheses. The workbook contains no measured retention, revenue, conversion or player-satisfaction data.</x:v>
      </x:c>
      <x:c r="B2" s="13"/>
      <x:c r="C2" s="13"/>
      <x:c r="D2" s="13"/>
      <x:c r="E2" s="13"/>
      <x:c r="F2" s="13"/>
      <x:c r="G2" s="13"/>
      <x:c r="H2" s="13"/>
    </x:row>
    <x:row r="3">
      <x:c r="A3" s="2"/>
      <x:c r="B3" s="2"/>
      <x:c r="C3" s="2"/>
      <x:c r="D3" s="2"/>
      <x:c r="E3" s="2"/>
      <x:c r="F3" s="2"/>
      <x:c r="G3" s="2"/>
      <x:c r="H3" s="2"/>
    </x:row>
    <x:row r="4" ht="32" customHeight="1">
      <x:c r="A4" s="21" t="str">
        <x:v>When</x:v>
      </x:c>
      <x:c r="B4" s="21" t="str">
        <x:v>Player need</x:v>
      </x:c>
      <x:c r="C4" s="21" t="str">
        <x:v>Desired motivation</x:v>
      </x:c>
      <x:c r="D4" s="21" t="str">
        <x:v>Concrete mechanic</x:v>
      </x:c>
      <x:c r="E4" s="21" t="str">
        <x:v>Meaningful milestone</x:v>
      </x:c>
      <x:c r="F4" s="21" t="str">
        <x:v>Pressure guardrail</x:v>
      </x:c>
      <x:c r="G4" s="21" t="str">
        <x:v>What to measure</x:v>
      </x:c>
      <x:c r="H4" s="21" t="str">
        <x:v>Qualitative test</x:v>
      </x:c>
    </x:row>
    <x:row r="5" ht="89" customHeight="1">
      <x:c r="A5" s="28" t="str">
        <x:v>First 60 seconds</x:v>
      </x:c>
      <x:c r="B5" s="28" t="str">
        <x:v>Curious newcomer</x:v>
      </x:c>
      <x:c r="C5" s="28" t="str">
        <x:v>See a fish respond and understand one action.</x:v>
      </x:c>
      <x:c r="D5" s="28" t="str">
        <x:v>Scripted first egg → reaction → visible progress, without account/shop interruption.</x:v>
      </x:c>
      <x:c r="E5" s="28" t="str">
        <x:v>Can explain how to grow one fish.</x:v>
      </x:c>
      <x:c r="F5" s="28" t="str">
        <x:v>No forced permission or purchase.</x:v>
      </x:c>
      <x:c r="G5" s="28" t="str">
        <x:v>FTUE step completion + observation</x:v>
      </x:c>
      <x:c r="H5" s="28" t="str">
        <x:v>Find first egg in &lt;=15 seconds without coaching (proposed).</x:v>
      </x:c>
    </x:row>
    <x:row r="6" ht="89" customHeight="1">
      <x:c r="A6" s="28" t="str">
        <x:v>First session</x:v>
      </x:c>
      <x:c r="B6" s="28" t="str">
        <x:v>New owner</x:v>
      </x:c>
      <x:c r="C6" s="28" t="str">
        <x:v>Make the aquarium feel like theirs.</x:v>
      </x:c>
      <x:c r="D6" s="28" t="str">
        <x:v>Keep a favorite, place a plant, choose a scene name and next schedule.</x:v>
      </x:c>
      <x:c r="E6" s="28" t="str">
        <x:v>A kept fish and a saved scene.</x:v>
      </x:c>
      <x:c r="F6" s="28" t="str">
        <x:v>Allow exit with safe progress.</x:v>
      </x:c>
      <x:c r="G6" s="28" t="str">
        <x:v>First scene saved; care interactions</x:v>
      </x:c>
      <x:c r="H6" s="28" t="str">
        <x:v>Ask what the player wants to do next; do not lead them.</x:v>
      </x:c>
    </x:row>
    <x:row r="7" ht="89" customHeight="1">
      <x:c r="A7" s="28" t="str">
        <x:v>First return / D1</x:v>
      </x:c>
      <x:c r="B7" s="28" t="str">
        <x:v>Returning owner</x:v>
      </x:c>
      <x:c r="C7" s="28" t="str">
        <x:v>Discover a ready batch, not damage.</x:v>
      </x:c>
      <x:c r="D7" s="28" t="str">
        <x:v>One clear batch reward, keep/rehome choice, a new achievable goal.</x:v>
      </x:c>
      <x:c r="E7" s="28" t="str">
        <x:v>Two sessions with a chosen next goal.</x:v>
      </x:c>
      <x:c r="F7" s="28" t="str">
        <x:v>No guilt copy or loss animation.</x:v>
      </x:c>
      <x:c r="G7" s="28" t="str">
        <x:v>Classic D1 + second-session activation</x:v>
      </x:c>
      <x:c r="H7" s="28" t="str">
        <x:v>Observe clarity of principal versus profit and why the return felt worthwhile.</x:v>
      </x:c>
    </x:row>
    <x:row r="8" ht="89" customHeight="1">
      <x:c r="A8" s="28" t="str">
        <x:v>Days 2–3</x:v>
      </x:c>
      <x:c r="B8" s="28" t="str">
        <x:v>Explorer</x:v>
      </x:c>
      <x:c r="C8" s="28" t="str">
        <x:v>Discover schedule and species differences.</x:v>
      </x:c>
      <x:c r="D8" s="28" t="str">
        <x:v>Short/daily fish choices, journal portrait, tank-upgrade preview.</x:v>
      </x:c>
      <x:c r="E8" s="28" t="str">
        <x:v>A different species selected intentionally.</x:v>
      </x:c>
      <x:c r="F8" s="28" t="str">
        <x:v>No best fish locked behind pearls.</x:v>
      </x:c>
      <x:c r="G8" s="28" t="str">
        <x:v>Unique first adults; schedule switching</x:v>
      </x:c>
      <x:c r="H8" s="28" t="str">
        <x:v>Compare exploration against repetitive optimal farming.</x:v>
      </x:c>
    </x:row>
    <x:row r="9" ht="89" customHeight="1">
      <x:c r="A9" s="28" t="str">
        <x:v>Days 4–7</x:v>
      </x:c>
      <x:c r="B9" s="28" t="str">
        <x:v>Collector / decorator</x:v>
      </x:c>
      <x:c r="C9" s="28" t="str">
        <x:v>Finish something meaningful.</x:v>
      </x:c>
      <x:c r="D9" s="28" t="str">
        <x:v>First chapter, weekly goal, a small aquascape milestone, optional visitor.</x:v>
      </x:c>
      <x:c r="E9" s="28" t="str">
        <x:v>One completed self-chosen collection or scene.</x:v>
      </x:c>
      <x:c r="F9" s="28" t="str">
        <x:v>Weekly goal tolerates missed days.</x:v>
      </x:c>
      <x:c r="G9" s="28" t="str">
        <x:v>D7; chapter progress; wishlist conversion</x:v>
      </x:c>
      <x:c r="H9" s="28" t="str">
        <x:v>Ask whether goals feel rewarding or like chores.</x:v>
      </x:c>
    </x:row>
    <x:row r="10" ht="89" customHeight="1">
      <x:c r="A10" s="28" t="str">
        <x:v>Days 8–14</x:v>
      </x:c>
      <x:c r="B10" s="28" t="str">
        <x:v>Habit-forming regular</x:v>
      </x:c>
      <x:c r="C10" s="28" t="str">
        <x:v>Create a recognizably personal aquarium.</x:v>
      </x:c>
      <x:c r="D10" s="28" t="str">
        <x:v>Photo framing, species mastery, a new tank or visual project.</x:v>
      </x:c>
      <x:c r="E10" s="28" t="str">
        <x:v>A screenshot the player chooses to keep.</x:v>
      </x:c>
      <x:c r="F10" s="28" t="str">
        <x:v>No share requirement, streak repair or spending task.</x:v>
      </x:c>
      <x:c r="G10" s="28" t="str">
        <x:v>D14; voluntary photo saves; session satisfaction</x:v>
      </x:c>
      <x:c r="H10" s="28" t="str">
        <x:v>Retention target cannot substitute for interview evidence of enjoyment.</x:v>
      </x:c>
    </x:row>
    <x:row r="11" ht="89" customHeight="1">
      <x:c r="A11" s="28" t="str">
        <x:v>Days 15–30</x:v>
      </x:c>
      <x:c r="B11" s="28" t="str">
        <x:v>Established collector</x:v>
      </x:c>
      <x:c r="C11" s="28" t="str">
        <x:v>Experience a fresh theme without starting over.</x:v>
      </x:c>
      <x:c r="D11" s="28" t="str">
        <x:v>One 14-day event with banked opportunities and a free permanent reward.</x:v>
      </x:c>
      <x:c r="E11" s="28" t="str">
        <x:v>Main event reward on 8 ordinary active days.</x:v>
      </x:c>
      <x:c r="F11" s="28" t="str">
        <x:v>Late return can catch up; no paid points.</x:v>
      </x:c>
      <x:c r="G11" s="28" t="str">
        <x:v>Event eligibility → participation → main completion</x:v>
      </x:c>
      <x:c r="H11" s="28" t="str">
        <x:v>Monitor perceived pressure and nonparticipant core retention.</x:v>
      </x:c>
    </x:row>
    <x:row r="12" ht="89" customHeight="1">
      <x:c r="A12" s="28" t="str">
        <x:v>Days 31–60</x:v>
      </x:c>
      <x:c r="B12" s="28" t="str">
        <x:v>Creative regular</x:v>
      </x:c>
      <x:c r="C12" s="28" t="str">
        <x:v>Build a bigger, more coherent collection.</x:v>
      </x:c>
      <x:c r="D12" s="28" t="str">
        <x:v>New tank layouts, mastery and larger optional projects.</x:v>
      </x:c>
      <x:c r="E12" s="28" t="str">
        <x:v>A scene with a personally selected theme.</x:v>
      </x:c>
      <x:c r="F12" s="28" t="str">
        <x:v>Do not add upkeep or inflate prices to force spending.</x:v>
      </x:c>
      <x:c r="G12" s="28" t="str">
        <x:v>D30; project contributions; decorating returners</x:v>
      </x:c>
      <x:c r="H12" s="28" t="str">
        <x:v>Separate capacity saving from genuine desire to buy cosmetics.</x:v>
      </x:c>
    </x:row>
    <x:row r="13" ht="89" customHeight="1">
      <x:c r="A13" s="28" t="str">
        <x:v>Days 61–100</x:v>
      </x:c>
      <x:c r="B13" s="28" t="str">
        <x:v>Advanced / cap player</x:v>
      </x:c>
      <x:c r="C13" s="28" t="str">
        <x:v>Continue creating after level goals end.</x:v>
      </x:c>
      <x:c r="D13" s="28" t="str">
        <x:v>Final projects, chapter completion, premium optional looks, photo challenges.</x:v>
      </x:c>
      <x:c r="E13" s="28" t="str">
        <x:v>Mastery and expressive goals remain without banked XP.</x:v>
      </x:c>
      <x:c r="F13" s="28" t="str">
        <x:v>No compulsory prestige reset or infinite-number grind.</x:v>
      </x:c>
      <x:c r="G13" s="28" t="str">
        <x:v>Post-cap 7/30-day return; unused coin-days</x:v>
      </x:c>
      <x:c r="H13" s="28" t="str">
        <x:v>Finite catalog exhaustion is an explicit risk, not a solved loop.</x:v>
      </x:c>
    </x:row>
    <x:row r="14" ht="89" customHeight="1">
      <x:c r="A14" s="28" t="str">
        <x:v>After absence</x:v>
      </x:c>
      <x:c r="B14" s="28" t="str">
        <x:v>Returning after 3–30 days</x:v>
      </x:c>
      <x:c r="C14" s="28" t="str">
        <x:v>Feel welcomed and quickly regain context.</x:v>
      </x:c>
      <x:c r="D14" s="28" t="str">
        <x:v>One batch settled; favorites intact; recap no more than three updates.</x:v>
      </x:c>
      <x:c r="E14" s="28" t="str">
        <x:v>Choose one goal and play immediately.</x:v>
      </x:c>
      <x:c r="F14" s="28" t="str">
        <x:v>No dead fish, accumulated bills or punitive lost streak.</x:v>
      </x:c>
      <x:c r="G14" s="28" t="str">
        <x:v>Reactivation; first-return completion time</x:v>
      </x:c>
      <x:c r="H14" s="28" t="str">
        <x:v>Show only actually available rewards; never invent a comeback sale.</x:v>
      </x:c>
    </x:row>
    <x:row r="15" ht="89" customHeight="1">
      <x:c r="A15" s="28" t="str">
        <x:v>Every session</x:v>
      </x:c>
      <x:c r="B15" s="28" t="str">
        <x:v>Player who enjoys interaction</x:v>
      </x:c>
      <x:c r="C15" s="28" t="str">
        <x:v>Play even when no fish are ready.</x:v>
      </x:c>
      <x:c r="D15" s="28" t="str">
        <x:v>Free schooling-follow gesture, pose/photo play and arrange/undo toys.</x:v>
      </x:c>
      <x:c r="E15" s="28" t="str">
        <x:v>Optional 20–45 second playful interaction.</x:v>
      </x:c>
      <x:c r="F15" s="28" t="str">
        <x:v>No accuracy requirement, energy meter or extra coin farming.</x:v>
      </x:c>
      <x:c r="G15" s="28" t="str">
        <x:v>Voluntary replay of non-economic play</x:v>
      </x:c>
      <x:c r="H15" s="28" t="str">
        <x:v>If interaction is not enjoyable without rewards, improve it before adding incentives.</x:v>
      </x:c>
    </x:row>
    <x:row r="16" ht="89" customHeight="1">
      <x:c r="A16" s="28" t="str">
        <x:v>Long run</x:v>
      </x:c>
      <x:c r="B16" s="28" t="str">
        <x:v>All cohorts</x:v>
      </x:c>
      <x:c r="C16" s="28" t="str">
        <x:v>Return because the aquarium has personal value.</x:v>
      </x:c>
      <x:c r="D16" s="28" t="str">
        <x:v>Content updates expand creative choices only when demand and production quality justify them.</x:v>
      </x:c>
      <x:c r="E16" s="28" t="str">
        <x:v>Voluntary returns and fair purchase satisfaction.</x:v>
      </x:c>
      <x:c r="F16" s="28" t="str">
        <x:v>No guaranteed addiction or revenue promise.</x:v>
      </x:c>
      <x:c r="G16" s="28" t="str">
        <x:v>Retention + enjoyment survey + refund/pressure guardrails</x:v>
      </x:c>
      <x:c r="H16" s="28" t="str">
        <x:v>Launch and content investment require real evidence, not this spreadsheet alone.</x:v>
      </x:c>
    </x:row>
  </x:sheetData>
  <x:mergeCells>
    <x:mergeCell ref="A1:H1"/>
    <x:mergeCell ref="A2:H2"/>
  </x:mergeCells>
  <x:pageMargins left="0.7" right="0.7" top="0.75" bottom="0.75" header="0.3" footer="0.3"/>
  <x:tableParts count="1">
    <x:tablePart xmlns:r="http://schemas.openxmlformats.org/officeDocument/2006/relationships" r:id="Rf8aa933d76ec4c2a"/>
  </x:tableParts>
</x:worksheet>
</file>

<file path=xl/worksheets/sheet24.xml><?xml version="1.0" encoding="utf-8"?>
<x:worksheet xmlns:x="http://schemas.openxmlformats.org/spreadsheetml/2006/main">
  <x:sheetFormatPr defaultRowHeight="15"/>
  <x:cols>
    <x:col min="1" max="1" width="12" hidden="0" customWidth="1"/>
    <x:col min="2" max="2" width="27" hidden="0" customWidth="1"/>
    <x:col min="3" max="3" width="35" hidden="0" customWidth="1"/>
    <x:col min="4" max="4" width="116" hidden="0" customWidth="1"/>
    <x:col min="5" max="5" width="100" hidden="0" customWidth="1"/>
  </x:cols>
  <x:sheetData>
    <x:row r="1" ht="34" customHeight="1">
      <x:c r="A1" s="6" t="str">
        <x:v>UX &amp; ACCESSIBILITY | compact, warm and trustworthy</x:v>
      </x:c>
      <x:c r="B1" s="6"/>
      <x:c r="C1" s="6"/>
      <x:c r="D1" s="6"/>
      <x:c r="E1" s="6"/>
    </x:row>
    <x:row r="2" ht="32" customHeight="1">
      <x:c r="A2" s="13" t="str">
        <x:v>Retains the user's colorful, cartoony, uncluttered landscape direction. All numeric interface budgets require testing on the actual engine/device matrix.</x:v>
      </x:c>
      <x:c r="B2" s="13"/>
      <x:c r="C2" s="13"/>
      <x:c r="D2" s="13"/>
      <x:c r="E2" s="13"/>
    </x:row>
    <x:row r="3">
      <x:c r="A3" s="2"/>
      <x:c r="B3" s="2"/>
      <x:c r="C3" s="2"/>
      <x:c r="D3" s="2"/>
      <x:c r="E3" s="2"/>
    </x:row>
    <x:row r="4" ht="32" customHeight="1">
      <x:c r="A4" s="21" t="str">
        <x:v>ID</x:v>
      </x:c>
      <x:c r="B4" s="21" t="str">
        <x:v>Area</x:v>
      </x:c>
      <x:c r="C4" s="21" t="str">
        <x:v>Goal</x:v>
      </x:c>
      <x:c r="D4" s="21" t="str">
        <x:v>Implementation behavior</x:v>
      </x:c>
      <x:c r="E4" s="21" t="str">
        <x:v>Acceptance / guardrail</x:v>
      </x:c>
    </x:row>
    <x:row r="5" ht="83" customHeight="1">
      <x:c r="A5" s="28" t="str">
        <x:v>UX01</x:v>
      </x:c>
      <x:c r="B5" s="28" t="str">
        <x:v>Layout</x:v>
      </x:c>
      <x:c r="C5" s="28" t="str">
        <x:v>Landscape phone first</x:v>
      </x:c>
      <x:c r="D5" s="28" t="str">
        <x:v>Keep aquarium visible; compact side-anchored panels; tank navigation lower left, shop lower right; preserve existing top HUD.</x:v>
      </x:c>
      <x:c r="E5" s="28" t="str">
        <x:v>Test smallest supported landscape phone and safe areas; no overlay clipping.</x:v>
      </x:c>
    </x:row>
    <x:row r="6" ht="83" customHeight="1">
      <x:c r="A6" s="28" t="str">
        <x:v>UX02</x:v>
      </x:c>
      <x:c r="B6" s="28" t="str">
        <x:v>Fish info</x:v>
      </x:c>
      <x:c r="C6" s="28" t="str">
        <x:v>One readable popover</x:v>
      </x:c>
      <x:c r="D6" s="28" t="str">
        <x:v>Anchor to selected fish, not inside its card. Show stage, exact ready time, principal, net gain, adult payout and XP; Keep/Settle appears when relevant.</x:v>
      </x:c>
      <x:c r="E6" s="28" t="str">
        <x:v>No decorative bubbles/plants in cards; no redundant pills or arrows overlapping.</x:v>
      </x:c>
    </x:row>
    <x:row r="7" ht="83" customHeight="1">
      <x:c r="A7" s="28" t="str">
        <x:v>UX03</x:v>
      </x:c>
      <x:c r="B7" s="28" t="str">
        <x:v>Shop</x:v>
      </x:c>
      <x:c r="C7" s="28" t="str">
        <x:v>Clear purchase decision</x:v>
      </x:c>
      <x:c r="D7" s="28" t="str">
        <x:v>Cards show currency amount centered with padding; locked cards show only unlock requirement and preview, not confusing actionable prices.</x:v>
      </x:c>
      <x:c r="E7" s="28" t="str">
        <x:v>Coin and pearl options are distinct buttons; confirmation names the actual currency.</x:v>
      </x:c>
    </x:row>
    <x:row r="8" ht="83" customHeight="1">
      <x:c r="A8" s="28" t="str">
        <x:v>UX04</x:v>
      </x:c>
      <x:c r="B8" s="28" t="str">
        <x:v>Currency shop</x:v>
      </x:c>
      <x:c r="C8" s="28" t="str">
        <x:v>Simple complete layout</x:v>
      </x:c>
      <x:c r="D8" s="28" t="str">
        <x:v>No unnecessary top tabs. Fit coin packs, pearl packs, starter and optional ad row with consistent padding and distinct sections.</x:v>
      </x:c>
      <x:c r="E8" s="28" t="str">
        <x:v>Ad row states reward, remaining daily grants and cooldown without using fake reward bubbles.</x:v>
      </x:c>
    </x:row>
    <x:row r="9" ht="83" customHeight="1">
      <x:c r="A9" s="28" t="str">
        <x:v>UX05</x:v>
      </x:c>
      <x:c r="B9" s="28" t="str">
        <x:v>Batch actions</x:v>
      </x:c>
      <x:c r="C9" s="28" t="str">
        <x:v>Reward without tap fatigue</x:v>
      </x:c>
      <x:c r="D9" s="28" t="str">
        <x:v>Select ready fish, summarize aggregate principal / net gain / XP, default keep favorites and show explicit Rehome options.</x:v>
      </x:c>
      <x:c r="E9" s="28" t="str">
        <x:v>One atomic batch transaction composed of per-instance idempotent settlements; skip animation.</x:v>
      </x:c>
    </x:row>
    <x:row r="10" ht="83" customHeight="1">
      <x:c r="A10" s="28" t="str">
        <x:v>UX06</x:v>
      </x:c>
      <x:c r="B10" s="28" t="str">
        <x:v>Scene editing</x:v>
      </x:c>
      <x:c r="C10" s="28" t="str">
        <x:v>Playful but reversible</x:v>
      </x:c>
      <x:c r="D10" s="28" t="str">
        <x:v>Grid optional; snap alignment optional; rotate/move/store with undo; layers readable. Fish taps do not select decor outside Edit mode.</x:v>
      </x:c>
      <x:c r="E10" s="28" t="str">
        <x:v>No paid undo or hidden storage charges.</x:v>
      </x:c>
    </x:row>
    <x:row r="11" ht="83" customHeight="1">
      <x:c r="A11" s="28" t="str">
        <x:v>UX07</x:v>
      </x:c>
      <x:c r="B11" s="28" t="str">
        <x:v>Touch targets</x:v>
      </x:c>
      <x:c r="C11" s="28" t="str">
        <x:v>Proposed quality gate</x:v>
      </x:c>
      <x:c r="D11" s="28" t="str">
        <x:v>Aim for at least 44 logical-pixel primary hit areas with spacing; evaluate on actual devices and active platform guidance.</x:v>
      </x:c>
      <x:c r="E11" s="28" t="str">
        <x:v>This is an internal target, not a claim of universal platform compliance.</x:v>
      </x:c>
    </x:row>
    <x:row r="12" ht="83" customHeight="1">
      <x:c r="A12" s="28" t="str">
        <x:v>UX08</x:v>
      </x:c>
      <x:c r="B12" s="28" t="str">
        <x:v>Typography</x:v>
      </x:c>
      <x:c r="C12" s="28" t="str">
        <x:v>Readable amounts and timers</x:v>
      </x:c>
      <x:c r="D12" s="28" t="str">
        <x:v>Use tabular currency digits, distinguish owned coins from net profit, avoid tiny body labels; support text scale and localization expansion.</x:v>
      </x:c>
      <x:c r="E12" s="28" t="str">
        <x:v>Test +30% text expansion and large-font mode without truncating prices.</x:v>
      </x:c>
    </x:row>
    <x:row r="13" ht="83" customHeight="1">
      <x:c r="A13" s="28" t="str">
        <x:v>UX09</x:v>
      </x:c>
      <x:c r="B13" s="28" t="str">
        <x:v>Accessible meaning</x:v>
      </x:c>
      <x:c r="C13" s="28" t="str">
        <x:v>Never color alone</x:v>
      </x:c>
      <x:c r="D13" s="28" t="str">
        <x:v>Rarity uses shape/icon + name; contrast-checked text; descriptive labels for currency and buttons; navigation order follows visible hierarchy.</x:v>
      </x:c>
      <x:c r="E13" s="28" t="str">
        <x:v>Audit contrast against current applicable accessibility standards during implementation.</x:v>
      </x:c>
    </x:row>
    <x:row r="14" ht="83" customHeight="1">
      <x:c r="A14" s="28" t="str">
        <x:v>UX10</x:v>
      </x:c>
      <x:c r="B14" s="28" t="str">
        <x:v>Motion and sound</x:v>
      </x:c>
      <x:c r="C14" s="28" t="str">
        <x:v>Delight with control</x:v>
      </x:c>
      <x:c r="D14" s="28" t="str">
        <x:v>Soft overshoot, short anticipation, recognizable swims and optional sound/haptics. Respect reduced motion and independent audio settings.</x:v>
      </x:c>
      <x:c r="E14" s="28" t="str">
        <x:v>No strobe, forced screen shake or overwhelming confetti; capped particle count.</x:v>
      </x:c>
    </x:row>
    <x:row r="15" ht="83" customHeight="1">
      <x:c r="A15" s="28" t="str">
        <x:v>UX11</x:v>
      </x:c>
      <x:c r="B15" s="28" t="str">
        <x:v>Care microplay</x:v>
      </x:c>
      <x:c r="C15" s="28" t="str">
        <x:v>Three optional toy interactions</x:v>
      </x:c>
      <x:c r="D15" s="28" t="str">
        <x:v>Finger-follow schooling; gently tap for an expressive pose; compose a photo. 20–45 seconds, no time pressure and no economic bonus.</x:v>
      </x:c>
      <x:c r="E15" s="28" t="str">
        <x:v>Replay should be satisfying without rewards; motor accessibility mode uses tap alternatives.</x:v>
      </x:c>
    </x:row>
    <x:row r="16" ht="83" customHeight="1">
      <x:c r="A16" s="28" t="str">
        <x:v>UX12</x:v>
      </x:c>
      <x:c r="B16" s="28" t="str">
        <x:v>Timers</x:v>
      </x:c>
      <x:c r="C16" s="28" t="str">
        <x:v>Predictable scheduling</x:v>
      </x:c>
      <x:c r="D16" s="28" t="str">
        <x:v>Show total duration, stage progress and exact local ready time. Offer player-selected reminders in quiet-hour-safe batches.</x:v>
      </x:c>
      <x:c r="E16" s="28" t="str">
        <x:v>One offline growth cycle only; never imply passive auto-repeat.</x:v>
      </x:c>
    </x:row>
    <x:row r="17" ht="83" customHeight="1">
      <x:c r="A17" s="28" t="str">
        <x:v>UX13</x:v>
      </x:c>
      <x:c r="B17" s="28" t="str">
        <x:v>Notifications</x:v>
      </x:c>
      <x:c r="C17" s="28" t="str">
        <x:v>Consent after demonstrated value</x:v>
      </x:c>
      <x:c r="D17" s="28" t="str">
        <x:v>Offer after first useful return; explain benefit. Player selects ready-batch / event reminder types and quiet hours.</x:v>
      </x:c>
      <x:c r="E17" s="28" t="str">
        <x:v>Default off until consent; no guilt or threat messaging; no overnight scheduling.</x:v>
      </x:c>
    </x:row>
    <x:row r="18" ht="83" customHeight="1">
      <x:c r="A18" s="28" t="str">
        <x:v>UX14</x:v>
      </x:c>
      <x:c r="B18" s="28" t="str">
        <x:v>Loading / offline</x:v>
      </x:c>
      <x:c r="C18" s="28" t="str">
        <x:v>Safe, honest state</x:v>
      </x:c>
      <x:c r="D18" s="28" t="str">
        <x:v>Local aquarium renders cached ownership; economic claims queued with pending state until authoritative confirmation.</x:v>
      </x:c>
      <x:c r="E18" s="28" t="str">
        <x:v>Never visually confirm spend/receipt twice; stale config cannot authorize a purchase.</x:v>
      </x:c>
    </x:row>
    <x:row r="19" ht="83" customHeight="1">
      <x:c r="A19" s="28" t="str">
        <x:v>UX15</x:v>
      </x:c>
      <x:c r="B19" s="28" t="str">
        <x:v>Error recovery</x:v>
      </x:c>
      <x:c r="C19" s="28" t="str">
        <x:v>No lost work</x:v>
      </x:c>
      <x:c r="D19" s="28" t="str">
        <x:v>Save scene edits locally and reconcile; retry transactions using the same request ID; show a calm recoverable message.</x:v>
      </x:c>
      <x:c r="E19" s="28" t="str">
        <x:v>Support restore, cross-device conflict resolution and clear transaction history.</x:v>
      </x:c>
    </x:row>
    <x:row r="20" ht="83" customHeight="1">
      <x:c r="A20" s="28" t="str">
        <x:v>UX16</x:v>
      </x:c>
      <x:c r="B20" s="28" t="str">
        <x:v>Purchases</x:v>
      </x:c>
      <x:c r="C20" s="28" t="str">
        <x:v>No accidental spend</x:v>
      </x:c>
      <x:c r="D20" s="28" t="str">
        <x:v>Confirm premium spend above a configurable threshold; always disclose exact content and localized price; permanent item preview.</x:v>
      </x:c>
      <x:c r="E20" s="28" t="str">
        <x:v>Respect platform purchase authentication; do not build child-targeted pressure.</x:v>
      </x:c>
    </x:row>
    <x:row r="21" ht="83" customHeight="1">
      <x:c r="A21" s="28" t="str">
        <x:v>UX17</x:v>
      </x:c>
      <x:c r="B21" s="28" t="str">
        <x:v>Favorite fish</x:v>
      </x:c>
      <x:c r="C21" s="28" t="str">
        <x:v>Attachment-safe default</x:v>
      </x:c>
      <x:c r="D21" s="28" t="str">
        <x:v>Favorite lock protects rehome actions; Keep converts to a nonproductive copy after settlement; no fish can be permanently lost by a mis-tap.</x:v>
      </x:c>
      <x:c r="E21" s="28" t="str">
        <x:v>Explicit destructive action confirmation; storage alternative always visible.</x:v>
      </x:c>
    </x:row>
    <x:row r="22" ht="83" customHeight="1">
      <x:c r="A22" s="28" t="str">
        <x:v>UX18</x:v>
      </x:c>
      <x:c r="B22" s="28" t="str">
        <x:v>Performance</x:v>
      </x:c>
      <x:c r="C22" s="28" t="str">
        <x:v>Budget on hardware</x:v>
      </x:c>
      <x:c r="D22" s="28" t="str">
        <x:v>Profile worst-case 100 productive fish across five tanks, 32 visible decor and 8 companions in one viewed tank; only visible assets animate.</x:v>
      </x:c>
      <x:c r="E22" s="28" t="str">
        <x:v>Define minimum device matrix before launch; budgets in Art Production are hypotheses.</x:v>
      </x:c>
    </x:row>
  </x:sheetData>
  <x:mergeCells>
    <x:mergeCell ref="A1:E1"/>
    <x:mergeCell ref="A2:E2"/>
  </x:mergeCells>
  <x:pageMargins left="0.7" right="0.7" top="0.75" bottom="0.75" header="0.3" footer="0.3"/>
  <x:tableParts count="1">
    <x:tablePart xmlns:r="http://schemas.openxmlformats.org/officeDocument/2006/relationships" r:id="Rb571099936344487"/>
  </x:tableParts>
</x:worksheet>
</file>

<file path=xl/worksheets/sheet25.xml><?xml version="1.0" encoding="utf-8"?>
<x:worksheet xmlns:x="http://schemas.openxmlformats.org/spreadsheetml/2006/main">
  <x:sheetFormatPr defaultRowHeight="15"/>
  <x:cols>
    <x:col min="1" max="1" width="12" hidden="0" customWidth="1"/>
    <x:col min="2" max="2" width="25" hidden="0" customWidth="1"/>
    <x:col min="3" max="3" width="121" hidden="0" customWidth="1"/>
    <x:col min="4" max="4" width="104" hidden="0" customWidth="1"/>
    <x:col min="5" max="5" width="104" hidden="0" customWidth="1"/>
  </x:cols>
  <x:sheetData>
    <x:row r="1" ht="34" customHeight="1">
      <x:c r="A1" s="6" t="str">
        <x:v>MODEL CONTRACT | what the numbers do and do not establish</x:v>
      </x:c>
      <x:c r="B1" s="6"/>
      <x:c r="C1" s="6"/>
      <x:c r="D1" s="6"/>
      <x:c r="E1" s="6"/>
    </x:row>
    <x:row r="2" ht="32" customHeight="1">
      <x:c r="A2" s="13" t="str">
        <x:v>Read before using any scenario result. Full transaction simulation is external to Excel; live formula sheets and frozen snapshots are explicitly separated.</x:v>
      </x:c>
      <x:c r="B2" s="13"/>
      <x:c r="C2" s="13"/>
      <x:c r="D2" s="13"/>
      <x:c r="E2" s="13"/>
    </x:row>
    <x:row r="3">
      <x:c r="A3" s="2"/>
      <x:c r="B3" s="2"/>
      <x:c r="C3" s="2"/>
      <x:c r="D3" s="2"/>
      <x:c r="E3" s="2"/>
    </x:row>
    <x:row r="4" ht="32" customHeight="1">
      <x:c r="A4" s="21" t="str">
        <x:v>ID</x:v>
      </x:c>
      <x:c r="B4" s="21" t="str">
        <x:v>Area</x:v>
      </x:c>
      <x:c r="C4" s="21" t="str">
        <x:v>Definition / assumption</x:v>
      </x:c>
      <x:c r="D4" s="21" t="str">
        <x:v>How to use it</x:v>
      </x:c>
      <x:c r="E4" s="21" t="str">
        <x:v>Limitation / guardrail</x:v>
      </x:c>
    </x:row>
    <x:row r="5" ht="90" customHeight="1">
      <x:c r="A5" s="28" t="str">
        <x:v>MC01</x:v>
      </x:c>
      <x:c r="B5" s="28" t="str">
        <x:v>Purpose</x:v>
      </x:c>
      <x:c r="C5" s="28" t="str">
        <x:v>Deterministic economy stress model, not a prediction of player retention, desire to purchase, ARPDAU or lifetime value.</x:v>
      </x:c>
      <x:c r="D5" s="28" t="str">
        <x:v>Use for solvency, relative pacing, currency leakage and finite-sink pressure.</x:v>
      </x:c>
      <x:c r="E5" s="28" t="str">
        <x:v>No player telemetry was supplied.</x:v>
      </x:c>
    </x:row>
    <x:row r="6" ht="90" customHeight="1">
      <x:c r="A6" s="28" t="str">
        <x:v>MC02</x:v>
      </x:c>
      <x:c r="B6" s="28" t="str">
        <x:v>Starting state</x:v>
      </x:c>
      <x:c r="C6" s="28" t="str">
        <x:v>After the guaranteed tutorial: 731 coins, 80 XP (L2), 1 pearl, 10 owned growth slots, 4 zero-principal gifted fish, CP-01 owned.</x:v>
      </x:c>
      <x:c r="D6" s="28" t="str">
        <x:v>Tutorial is shown separately in Onboarding; daily rows begin after it.</x:v>
      </x:c>
      <x:c r="E6" s="28" t="str">
        <x:v>The free accelerated tutorial fish never enters repeatable production.</x:v>
      </x:c>
    </x:row>
    <x:row r="7" ht="90" customHeight="1">
      <x:c r="A7" s="28" t="str">
        <x:v>MC03</x:v>
      </x:c>
      <x:c r="B7" s="28" t="str">
        <x:v>Purchase values</x:v>
      </x:c>
      <x:c r="C7" s="28" t="str">
        <x:v>Per-slot coin-day = 360×(1+.045×(L−1)); XP-day = 96×(1+.01×(L−1)). Profit/XP scale by duration/24, schedule and role; rounded half-up.</x:v>
      </x:c>
      <x:c r="D7" s="28" t="str">
        <x:v>Egg price=max(5,ROUND(profit×.25)); adult settlement=actual principal+profit.</x:v>
      </x:c>
      <x:c r="E7" s="28" t="str">
        <x:v>Inputs are proposals; all existing instances retain their snapshot.</x:v>
      </x:c>
    </x:row>
    <x:row r="8" ht="90" customHeight="1">
      <x:c r="A8" s="28" t="str">
        <x:v>MC04</x:v>
      </x:c>
      <x:c r="B8" s="28" t="str">
        <x:v>Arrival schedule</x:v>
      </x:c>
      <x:c r="C8" s="28" t="str">
        <x:v>Actor visits are uniformly spaced at 24/visits hours, with one round of settlement and replanting at each arrival.</x:v>
      </x:c>
      <x:c r="D8" s="28" t="str">
        <x:v>Claim interval approximated in Economy Model as CEILING(duration / visit gap)×visit gap.</x:v>
      </x:c>
      <x:c r="E8" s="28" t="str">
        <x:v>Six visits/day is an idealized ceiling, including overnight; actual human schedules need testing.</x:v>
      </x:c>
    </x:row>
    <x:row r="9" ht="90" customHeight="1">
      <x:c r="A9" s="28" t="str">
        <x:v>MC05</x:v>
      </x:c>
      <x:c r="B9" s="28" t="str">
        <x:v>Inventory</x:v>
      </x:c>
      <x:c r="C9" s="28" t="str">
        <x:v>Every growing instance records ready time, principal, profit and XP. Ready fish pay once, only on the next visit. Gifts have principal zero.</x:v>
      </x:c>
      <x:c r="D9" s="28" t="str">
        <x:v>No passive multi-cycle growth, feeding losses, death or hidden upkeep.</x:v>
      </x:c>
      <x:c r="E9" s="28" t="str">
        <x:v>Keeping versus rehoming does not change the settlement economics.</x:v>
      </x:c>
    </x:row>
    <x:row r="10" ht="90" customHeight="1">
      <x:c r="A10" s="28" t="str">
        <x:v>MC06</x:v>
      </x:c>
      <x:c r="B10" s="28" t="str">
        <x:v>Species choice</x:v>
      </x:c>
      <x:c r="C10" s="28" t="str">
        <x:v>Choose eligible launch species maximizing geometric mean of realized normalized coin and XP rates; a fixed share explores unseen species.</x:v>
      </x:c>
      <x:c r="D10" s="28" t="str">
        <x:v>Cheap affordable fallback protects solvency. No 44-hour selection before L5.</x:v>
      </x:c>
      <x:c r="E10" s="28" t="str">
        <x:v>This optimizes known values; actual player tastes and scheduling errors are not modeled.</x:v>
      </x:c>
    </x:row>
    <x:row r="11" ht="90" customHeight="1">
      <x:c r="A11" s="28" t="str">
        <x:v>MC07</x:v>
      </x:c>
      <x:c r="B11" s="28" t="str">
        <x:v>Capacity</x:v>
      </x:c>
      <x:c r="C11" s="28" t="str">
        <x:v>Buy eligible, prerequisite-satisfied Tanks rows only when enough coins remain for one refill reserve. Paid-capacity actor uses the pearl alternative.</x:v>
      </x:c>
      <x:c r="D11" s="28" t="str">
        <x:v>Owned slots, actual expenditure and cash residuals are recorded.</x:v>
      </x:c>
      <x:c r="E11" s="28" t="str">
        <x:v>Reference slots used for pricing are NOT treated as owned production.</x:v>
      </x:c>
    </x:row>
    <x:row r="12" ht="90" customHeight="1">
      <x:c r="A12" s="28" t="str">
        <x:v>MC08</x:v>
      </x:c>
      <x:c r="B12" s="28" t="str">
        <x:v>Quest reward timing</x:v>
      </x:c>
      <x:c r="C12" s="28" t="str">
        <x:v>Daily reward amounts use a day-start offer-level snapshot; weekly uses the first eligible day that week. Claims are aggregated at the first visit of the day.</x:v>
      </x:c>
      <x:c r="D12" s="28" t="str">
        <x:v>Casual actor completes 2/3 daily pool; others 100%; weekly requires 5 active days and L5.</x:v>
      </x:c>
      <x:c r="E12" s="28" t="str">
        <x:v>Sub-day offer issuance, claim grace and late-week unlock UI are not fully simulated; runtime follows Quests.</x:v>
      </x:c>
    </x:row>
    <x:row r="13" ht="90" customHeight="1">
      <x:c r="A13" s="28" t="str">
        <x:v>MC09</x:v>
      </x:c>
      <x:c r="B13" s="28" t="str">
        <x:v>Event timing</x:v>
      </x:c>
      <x:c r="C13" s="28" t="str">
        <x:v>A 14-day event occupies days 15–28 of each 28-day simulated cycle. Active days earn 20 points; 160 grants 4 pearls once.</x:v>
      </x:c>
      <x:c r="D13" s="28" t="str">
        <x:v>Main events modeled; extended rewards are cosmetic and economically zero.</x:v>
      </x:c>
      <x:c r="E13" s="28" t="str">
        <x:v>Banked catch-up is specified but not exercised in these actor runs; test independently.</x:v>
      </x:c>
    </x:row>
    <x:row r="14" ht="90" customHeight="1">
      <x:c r="A14" s="28" t="str">
        <x:v>MC10</x:v>
      </x:c>
      <x:c r="B14" s="28" t="str">
        <x:v>Decor</x:v>
      </x:c>
      <x:c r="C14" s="28" t="str">
        <x:v>Actors build a profit-based optional budget and buy eligible, unowned coin decor on their stated interval, only if refill cash remains.</x:v>
      </x:c>
      <x:c r="D14" s="28" t="str">
        <x:v>One-item-at-a-time taste proxy; CP-01 already owned.</x:v>
      </x:c>
      <x:c r="E14" s="28" t="str">
        <x:v>No decoration XP or resale. Budgets are player preferences, not gameplay taxes.</x:v>
      </x:c>
    </x:row>
    <x:row r="15" ht="90" customHeight="1">
      <x:c r="A15" s="28" t="str">
        <x:v>MC11</x:v>
      </x:c>
      <x:c r="B15" s="28" t="str">
        <x:v>Projects</x:v>
      </x:c>
      <x:c r="C15" s="28" t="str">
        <x:v>After day 7, actors allocate their stated fraction of profit to the first eligible unfinished project, subject to cash and next-capacity reserves.</x:v>
      </x:c>
      <x:c r="D15" s="28" t="str">
        <x:v>Progress persists and total contribution is capped at project price.</x:v>
      </x:c>
      <x:c r="E15" s="28" t="str">
        <x:v>Finite projects are useful sinks but do not prove long-run demand or infinite equilibrium.</x:v>
      </x:c>
    </x:row>
    <x:row r="16" ht="90" customHeight="1">
      <x:c r="A16" s="28" t="str">
        <x:v>MC12</x:v>
      </x:c>
      <x:c r="B16" s="28" t="str">
        <x:v>Paid scenarios</x:v>
      </x:c>
      <x:c r="C16" s="28" t="str">
        <x:v>Light payer: $3.99 starter on Day 3, $2.99 medium coins on Day 10, spends 18 pearls on Koi Day 4. Paid ceiling buys 120-pearl packs as required for all capacity.</x:v>
      </x:c>
      <x:c r="D16" s="28" t="str">
        <x:v>USD is cumulative spend across 120 days, not monthly spend or revenue net of fees.</x:v>
      </x:c>
      <x:c r="E16" s="28" t="str">
        <x:v>No personalized targeting, churn propensity, taxes, refunds, regional price or purchase conversion model.</x:v>
      </x:c>
    </x:row>
    <x:row r="17" ht="90" customHeight="1">
      <x:c r="A17" s="28" t="str">
        <x:v>MC13</x:v>
      </x:c>
      <x:c r="B17" s="28" t="str">
        <x:v>Ad scenario</x:v>
      </x:c>
      <x:c r="C17" s="28" t="str">
        <x:v>Three voluntary rewards/day after L5, each 2% reference coin-day, no XP or pearls.</x:v>
      </x:c>
      <x:c r="D17" s="28" t="str">
        <x:v>Zero-ad actors are separately modeled.</x:v>
      </x:c>
      <x:c r="E17" s="28" t="str">
        <x:v>No-fill rate, consent, provider availability and realized ad revenue are unknown.</x:v>
      </x:c>
    </x:row>
    <x:row r="18" ht="90" customHeight="1">
      <x:c r="A18" s="28" t="str">
        <x:v>MC14</x:v>
      </x:c>
      <x:c r="B18" s="28" t="str">
        <x:v>XP and cap</x:v>
      </x:c>
      <x:c r="C18" s="28" t="str">
        <x:v>XP curve uses reference income, stage target-days and one budget of daily/weekly quests. Cap clamps at L40 entry; later account XP is zero.</x:v>
      </x:c>
      <x:c r="D18" s="28" t="str">
        <x:v>Lifetime activity can continue for cosmetic goals; future levels are HOLD.</x:v>
      </x:c>
      <x:c r="E18" s="28" t="str">
        <x:v>XP Curve is tuning, not observed difficulty.</x:v>
      </x:c>
    </x:row>
    <x:row r="19" ht="90" customHeight="1">
      <x:c r="A19" s="28" t="str">
        <x:v>MC15</x:v>
      </x:c>
      <x:c r="B19" s="28" t="str">
        <x:v>Cash reconciliation</x:v>
      </x:c>
      <x:c r="C19" s="28" t="str">
        <x:v>Closing = opening + harvest − egg purchases + quest + level + paid + ad − tanks − decor − projects.</x:v>
      </x:c>
      <x:c r="D19" s="28" t="str">
        <x:v>Daily Ledger recomputes this formula and compares the source snapshot; next-day openings also reconcile.</x:v>
      </x:c>
      <x:c r="E19" s="28" t="str">
        <x:v>Assertions apply to the modeled actor runs only, not a deployed backend.</x:v>
      </x:c>
    </x:row>
    <x:row r="20" ht="90" customHeight="1">
      <x:c r="A20" s="28" t="str">
        <x:v>MC16</x:v>
      </x:c>
      <x:c r="B20" s="28" t="str">
        <x:v>Currency provenance</x:v>
      </x:c>
      <x:c r="C20" s="28" t="str">
        <x:v>Fish principal is a return of cash already spent, not profit. Pearl grants distinguish earned and purchased sources.</x:v>
      </x:c>
      <x:c r="D20" s="28" t="str">
        <x:v>Pearl Budget includes the initial tutorial pearl and every subsequent grant/spend.</x:v>
      </x:c>
      <x:c r="E20" s="28" t="str">
        <x:v>Never mix gross settlement with net faucet income in economy telemetry.</x:v>
      </x:c>
    </x:row>
    <x:row r="21" ht="90" customHeight="1">
      <x:c r="A21" s="28" t="str">
        <x:v>MC17</x:v>
      </x:c>
      <x:c r="B21" s="28" t="str">
        <x:v>Tuning / rerun</x:v>
      </x:c>
      <x:c r="C21" s="28" t="str">
        <x:v>Inputs, catalogs and XP formulas update inside the workbook. Daily Ledger, actor results and validation snapshots DO NOT rerun inside Excel.</x:v>
      </x:c>
      <x:c r="D21" s="28" t="str">
        <x:v>Use companion aquarium_model.py + aquarium_model_config.json; regenerate CSVs after tuning and replace snapshots deliberately.</x:v>
      </x:c>
      <x:c r="E21" s="28" t="str">
        <x:v>A visible numeric checksum detects common edits only; change IDs/text/rules also invalidates the snapshot.</x:v>
      </x:c>
    </x:row>
    <x:row r="22" ht="90" customHeight="1">
      <x:c r="A22" s="28" t="str">
        <x:v>MC18</x:v>
      </x:c>
      <x:c r="B22" s="28" t="str">
        <x:v>Reproducibility</x:v>
      </x:c>
      <x:c r="C22" s="28" t="str">
        <x:v>The companion package includes the exact model/config, source extraction, source workbook and CSV outputs used here.</x:v>
      </x:c>
      <x:c r="D22" s="28" t="str">
        <x:v>Baseline code asserts integer balances, nonnegative cash/pearls and cash identity; config is versioned.</x:v>
      </x:c>
      <x:c r="E22" s="28" t="str">
        <x:v>Full runtime state machines, live retention and art quality remain to be tested.</x:v>
      </x:c>
    </x:row>
    <x:row r="23" ht="90" customHeight="1">
      <x:c r="A23" s="28" t="str">
        <x:v>MC19</x:v>
      </x:c>
      <x:c r="B23" s="28" t="str">
        <x:v>Sensitivity</x:v>
      </x:c>
      <x:c r="C23" s="28" t="str">
        <x:v>Economy Model compares schedule × frequency × level with live formulas. Balance Tests distinguish static math, simulation outcomes and NOT RUN runtime checks.</x:v>
      </x:c>
      <x:c r="D23" s="28" t="str">
        <x:v>Use stress profiles and actual observed visit timestamps before hardening prices.</x:v>
      </x:c>
      <x:c r="E23" s="28" t="str">
        <x:v>Deterministic actors do not form a statistical distribution or confidence interval.</x:v>
      </x:c>
    </x:row>
    <x:row r="24" ht="90" customHeight="1">
      <x:c r="A24" s="28" t="str">
        <x:v>MC20</x:v>
      </x:c>
      <x:c r="B24" s="28" t="str">
        <x:v>Known unresolved issue</x:v>
      </x:c>
      <x:c r="C24" s="28" t="str">
        <x:v>After finite decor/projects are acquired, high-efficiency actors accumulate substantial coins; paid capacity also preserves coin wealth.</x:v>
      </x:c>
      <x:c r="D24" s="28" t="str">
        <x:v>Monitor excess coin-days, wishlists and actual cosmetic demand before adding new sinks.</x:v>
      </x:c>
      <x:c r="E24" s="28" t="str">
        <x:v>Do not conceal the surplus with punitive maintenance, asset loss or invented retention claims.</x:v>
      </x:c>
    </x:row>
    <x:row r="27" ht="32" customHeight="1">
      <x:c r="A27" s="53" t="str">
        <x:v>SNAPSHOT FRESHNESS | numeric tuning guard only; any text/rule/ID change still requires a rerun</x:v>
      </x:c>
      <x:c r="B27" s="53"/>
      <x:c r="C27" s="53"/>
      <x:c r="D27" s="53"/>
      <x:c r="E27" s="53"/>
    </x:row>
    <x:row r="28" ht="29" customHeight="1">
      <x:c r="A28" t="str">
        <x:v>Current numeric checksum</x:v>
      </x:c>
      <x:c r="B28" s="56" t="n">
        <x:f>SUMPRODUCT('Inputs'!B5:B64,'Inputs'!F5:F64)+SUM('Schedules'!C5:E9)+SUM('Tanks'!C5:F19)+SUM('Coin Fish'!D5:D76)+SUM('Coin Fish'!H5:I76)+COUNTIF('Coin Fish'!E5:E76,"Launch")*1000000+SUM('XP &amp; Unlocks'!F5:F74)+SUM('Decor Catalog'!G5:K124)+SUM('Decor Catalog'!O5:P124)+SUM('Aquascape Projects'!C5:D14)</x:f>
        <x:v>43877781.30816667</x:v>
      </x:c>
    </x:row>
    <x:row r="29" ht="29" customHeight="1">
      <x:c r="A29" t="str">
        <x:v>Baseline checksum</x:v>
      </x:c>
      <x:c r="B29" s="56" t="n">
        <x:v>43877781.30816667</x:v>
      </x:c>
    </x:row>
    <x:row r="30" ht="45" customHeight="1">
      <x:c r="A30" t="str">
        <x:v>Numeric status</x:v>
      </x:c>
      <x:c r="B30" s="60" t="str">
        <x:f>IF(ABS(B28-B29)&lt;0.000001,"CURRENT NUMERIC INPUTS","STALE — RERUN SIMULATION")</x:f>
        <x:v>CURRENT NUMERIC INPUTS</x:v>
      </x:c>
    </x:row>
    <x:row r="31" ht="29" customHeight="1">
      <x:c r="A31" t="str">
        <x:v>Baseline config version</x:v>
      </x:c>
      <x:c r="B31" t="str">
        <x:v>v4.0 / 2026-09-13</x:v>
      </x:c>
    </x:row>
  </x:sheetData>
  <x:mergeCells>
    <x:mergeCell ref="A1:E1"/>
    <x:mergeCell ref="A2:E2"/>
    <x:mergeCell ref="A27:E27"/>
  </x:mergeCells>
  <x:pageMargins left="0.7" right="0.7" top="0.75" bottom="0.75" header="0.3" footer="0.3"/>
  <x:tableParts count="1">
    <x:tablePart xmlns:r="http://schemas.openxmlformats.org/officeDocument/2006/relationships" r:id="R2388f14db6bb4e8d"/>
  </x:tableParts>
</x:worksheet>
</file>

<file path=xl/worksheets/sheet26.xml><?xml version="1.0" encoding="utf-8"?>
<x:worksheet xmlns:x="http://schemas.openxmlformats.org/spreadsheetml/2006/main">
  <x:sheetFormatPr defaultRowHeight="15"/>
  <x:cols>
    <x:col min="1" max="1" width="12" hidden="0" customWidth="1"/>
    <x:col min="2" max="2" width="15" hidden="0" customWidth="1"/>
    <x:col min="3" max="3" width="19" hidden="0" customWidth="1"/>
    <x:col min="4" max="4" width="19" hidden="0" customWidth="1"/>
    <x:col min="5" max="5" width="17" hidden="0" customWidth="1"/>
    <x:col min="6" max="6" width="15" hidden="0" customWidth="1"/>
    <x:col min="7" max="7" width="18" hidden="0" customWidth="1"/>
    <x:col min="8" max="8" width="17" hidden="0" customWidth="1"/>
    <x:col min="9" max="9" width="17" hidden="0" customWidth="1"/>
    <x:col min="10" max="10" width="26" hidden="0" customWidth="1"/>
    <x:col min="11" max="11" width="24" hidden="0" customWidth="1"/>
    <x:col min="12" max="12" width="24" hidden="0" customWidth="1"/>
    <x:col min="13" max="13" width="88" hidden="0" customWidth="1"/>
  </x:cols>
  <x:sheetData>
    <x:row r="1" ht="34" customHeight="1">
      <x:c r="A1" s="6" t="str">
        <x:v>SCHEDULE SENSITIVITY | waiting for the player is part of the economy</x:v>
      </x:c>
      <x:c r="B1" s="6"/>
      <x:c r="C1" s="6"/>
      <x:c r="D1" s="6"/>
      <x:c r="E1" s="6"/>
      <x:c r="F1" s="6"/>
      <x:c r="G1" s="6"/>
      <x:c r="H1" s="6"/>
      <x:c r="I1" s="6"/>
      <x:c r="J1" s="6"/>
      <x:c r="K1" s="6"/>
      <x:c r="L1" s="6"/>
      <x:c r="M1" s="6"/>
    </x:row>
    <x:row r="2" ht="32" customHeight="1">
      <x:c r="A2" s="13" t="str">
        <x:v>Live formulas compare per-slot neutral fish. This is NOT the full event simulation and does not assume unlocked tanks are owned.</x:v>
      </x:c>
      <x:c r="B2" s="13"/>
      <x:c r="C2" s="13"/>
      <x:c r="D2" s="13"/>
      <x:c r="E2" s="13"/>
      <x:c r="F2" s="13"/>
      <x:c r="G2" s="13"/>
      <x:c r="H2" s="13"/>
      <x:c r="I2" s="13"/>
      <x:c r="J2" s="13"/>
      <x:c r="K2" s="13"/>
      <x:c r="L2" s="13"/>
      <x:c r="M2" s="13"/>
    </x:row>
    <x:row r="3">
      <x:c r="A3" s="2"/>
      <x:c r="B3" s="2"/>
      <x:c r="C3" s="2"/>
      <x:c r="D3" s="2"/>
      <x:c r="E3" s="2"/>
      <x:c r="F3" s="2"/>
      <x:c r="G3" s="2"/>
      <x:c r="H3" s="2"/>
      <x:c r="I3" s="2"/>
      <x:c r="J3" s="2"/>
      <x:c r="K3" s="2"/>
      <x:c r="L3" s="2"/>
      <x:c r="M3" s="2"/>
    </x:row>
    <x:row r="4" ht="32" customHeight="1">
      <x:c r="A4" s="21" t="str">
        <x:v>Level</x:v>
      </x:c>
      <x:c r="B4" s="21" t="str">
        <x:v>Visits/day</x:v>
      </x:c>
      <x:c r="C4" s="21" t="str">
        <x:v>Schedule</x:v>
      </x:c>
      <x:c r="D4" s="21" t="str">
        <x:v>Adult hours</x:v>
      </x:c>
      <x:c r="E4" s="21" t="str">
        <x:v>Coin factor</x:v>
      </x:c>
      <x:c r="F4" s="21" t="str">
        <x:v>XP factor</x:v>
      </x:c>
      <x:c r="G4" s="21" t="str">
        <x:v>Profit/cycle</x:v>
      </x:c>
      <x:c r="H4" s="21" t="str">
        <x:v>Egg price</x:v>
      </x:c>
      <x:c r="I4" s="21" t="str">
        <x:v>XP/cycle</x:v>
      </x:c>
      <x:c r="J4" s="21" t="str">
        <x:v>Actual claim interval h</x:v>
      </x:c>
      <x:c r="K4" s="21" t="str">
        <x:v>Realized coins/day</x:v>
      </x:c>
      <x:c r="L4" s="21" t="str">
        <x:v>Realized XP/day</x:v>
      </x:c>
      <x:c r="M4" s="21" t="str">
        <x:v>Scope</x:v>
      </x:c>
    </x:row>
    <x:row r="5" ht="38" customHeight="1">
      <x:c r="A5" s="28" t="n">
        <x:v>1</x:v>
      </x:c>
      <x:c r="B5" s="28" t="n">
        <x:v>1</x:v>
      </x:c>
      <x:c r="C5" s="28" t="str">
        <x:v>SC-20M</x:v>
      </x:c>
      <x:c r="D5" s="50" t="n">
        <x:f>VLOOKUP(C5,'Schedules'!$A$5:$G$9,3,FALSE)</x:f>
        <x:v>0.3333333333333333</x:v>
      </x:c>
      <x:c r="E5" s="50" t="n">
        <x:f>VLOOKUP(C5,'Schedules'!$A$5:$G$9,4,FALSE)</x:f>
        <x:v>1.25</x:v>
      </x:c>
      <x:c r="F5" s="50" t="n">
        <x:f>VLOOKUP(C5,'Schedules'!$A$5:$G$9,5,FALSE)</x:f>
        <x:v>1.25</x:v>
      </x:c>
      <x:c r="G5" s="50" t="n">
        <x:f>ROUND('Inputs'!$B$14*(1+'Inputs'!$B$15*(A5-1))*D5/24*E5,0)</x:f>
        <x:v>6</x:v>
      </x:c>
      <x:c r="H5" s="50" t="n">
        <x:f>MAX('Inputs'!$B$19,ROUND(G5*'Inputs'!$B$18,0))</x:f>
        <x:v>5</x:v>
      </x:c>
      <x:c r="I5" s="50" t="n">
        <x:f>ROUND('Inputs'!$B$16*(1+'Inputs'!$B$17*(A5-1))*D5/24*F5,0)</x:f>
        <x:v>2</x:v>
      </x:c>
      <x:c r="J5" s="50" t="n">
        <x:f>ROUNDUP(D5/(24/B5),0)*(24/B5)</x:f>
        <x:v>24</x:v>
      </x:c>
      <x:c r="K5" s="50" t="n">
        <x:f>G5*24/J5</x:f>
        <x:v>6</x:v>
      </x:c>
      <x:c r="L5" s="50" t="n">
        <x:f>I5*24/J5</x:f>
        <x:v>2</x:v>
      </x:c>
      <x:c r="M5" s="28" t="str">
        <x:v>Neutral 1.0/1.0 role; one slot; ideal repeated selection. No extra income after ready until next visit.</x:v>
      </x:c>
    </x:row>
    <x:row r="6" ht="38" customHeight="1">
      <x:c r="A6" s="28" t="n">
        <x:v>1</x:v>
      </x:c>
      <x:c r="B6" s="28" t="n">
        <x:v>1</x:v>
      </x:c>
      <x:c r="C6" s="28" t="str">
        <x:v>SC-2H</x:v>
      </x:c>
      <x:c r="D6" s="50" t="n">
        <x:f>VLOOKUP(C6,'Schedules'!$A$5:$G$9,3,FALSE)</x:f>
        <x:v>2</x:v>
      </x:c>
      <x:c r="E6" s="50" t="n">
        <x:f>VLOOKUP(C6,'Schedules'!$A$5:$G$9,4,FALSE)</x:f>
        <x:v>1.3</x:v>
      </x:c>
      <x:c r="F6" s="50" t="n">
        <x:f>VLOOKUP(C6,'Schedules'!$A$5:$G$9,5,FALSE)</x:f>
        <x:v>1.3</x:v>
      </x:c>
      <x:c r="G6" s="50" t="n">
        <x:f>ROUND('Inputs'!$B$14*(1+'Inputs'!$B$15*(A6-1))*D6/24*E6,0)</x:f>
        <x:v>39</x:v>
      </x:c>
      <x:c r="H6" s="50" t="n">
        <x:f>MAX('Inputs'!$B$19,ROUND(G6*'Inputs'!$B$18,0))</x:f>
        <x:v>10</x:v>
      </x:c>
      <x:c r="I6" s="50" t="n">
        <x:f>ROUND('Inputs'!$B$16*(1+'Inputs'!$B$17*(A6-1))*D6/24*F6,0)</x:f>
        <x:v>10</x:v>
      </x:c>
      <x:c r="J6" s="50" t="n">
        <x:f>ROUNDUP(D6/(24/B6),0)*(24/B6)</x:f>
        <x:v>24</x:v>
      </x:c>
      <x:c r="K6" s="50" t="n">
        <x:f>G6*24/J6</x:f>
        <x:v>39</x:v>
      </x:c>
      <x:c r="L6" s="50" t="n">
        <x:f>I6*24/J6</x:f>
        <x:v>10</x:v>
      </x:c>
      <x:c r="M6" s="28" t="str">
        <x:v>Neutral 1.0/1.0 role; one slot; ideal repeated selection. No extra income after ready until next visit.</x:v>
      </x:c>
    </x:row>
    <x:row r="7" ht="38" customHeight="1">
      <x:c r="A7" s="28" t="n">
        <x:v>1</x:v>
      </x:c>
      <x:c r="B7" s="28" t="n">
        <x:v>1</x:v>
      </x:c>
      <x:c r="C7" s="28" t="str">
        <x:v>SC-8H</x:v>
      </x:c>
      <x:c r="D7" s="50" t="n">
        <x:f>VLOOKUP(C7,'Schedules'!$A$5:$G$9,3,FALSE)</x:f>
        <x:v>8</x:v>
      </x:c>
      <x:c r="E7" s="50" t="n">
        <x:f>VLOOKUP(C7,'Schedules'!$A$5:$G$9,4,FALSE)</x:f>
        <x:v>1.3</x:v>
      </x:c>
      <x:c r="F7" s="50" t="n">
        <x:f>VLOOKUP(C7,'Schedules'!$A$5:$G$9,5,FALSE)</x:f>
        <x:v>1.3</x:v>
      </x:c>
      <x:c r="G7" s="50" t="n">
        <x:f>ROUND('Inputs'!$B$14*(1+'Inputs'!$B$15*(A7-1))*D7/24*E7,0)</x:f>
        <x:v>156</x:v>
      </x:c>
      <x:c r="H7" s="50" t="n">
        <x:f>MAX('Inputs'!$B$19,ROUND(G7*'Inputs'!$B$18,0))</x:f>
        <x:v>39</x:v>
      </x:c>
      <x:c r="I7" s="50" t="n">
        <x:f>ROUND('Inputs'!$B$16*(1+'Inputs'!$B$17*(A7-1))*D7/24*F7,0)</x:f>
        <x:v>42</x:v>
      </x:c>
      <x:c r="J7" s="50" t="n">
        <x:f>ROUNDUP(D7/(24/B7),0)*(24/B7)</x:f>
        <x:v>24</x:v>
      </x:c>
      <x:c r="K7" s="50" t="n">
        <x:f>G7*24/J7</x:f>
        <x:v>156</x:v>
      </x:c>
      <x:c r="L7" s="50" t="n">
        <x:f>I7*24/J7</x:f>
        <x:v>42</x:v>
      </x:c>
      <x:c r="M7" s="28" t="str">
        <x:v>Neutral 1.0/1.0 role; one slot; ideal repeated selection. No extra income after ready until next visit.</x:v>
      </x:c>
    </x:row>
    <x:row r="8" ht="38" customHeight="1">
      <x:c r="A8" s="28" t="n">
        <x:v>1</x:v>
      </x:c>
      <x:c r="B8" s="28" t="n">
        <x:v>1</x:v>
      </x:c>
      <x:c r="C8" s="28" t="str">
        <x:v>SC-20H</x:v>
      </x:c>
      <x:c r="D8" s="50" t="n">
        <x:f>VLOOKUP(C8,'Schedules'!$A$5:$G$9,3,FALSE)</x:f>
        <x:v>20</x:v>
      </x:c>
      <x:c r="E8" s="50" t="n">
        <x:f>VLOOKUP(C8,'Schedules'!$A$5:$G$9,4,FALSE)</x:f>
        <x:v>1</x:v>
      </x:c>
      <x:c r="F8" s="50" t="n">
        <x:f>VLOOKUP(C8,'Schedules'!$A$5:$G$9,5,FALSE)</x:f>
        <x:v>1</x:v>
      </x:c>
      <x:c r="G8" s="50" t="n">
        <x:f>ROUND('Inputs'!$B$14*(1+'Inputs'!$B$15*(A8-1))*D8/24*E8,0)</x:f>
        <x:v>300</x:v>
      </x:c>
      <x:c r="H8" s="50" t="n">
        <x:f>MAX('Inputs'!$B$19,ROUND(G8*'Inputs'!$B$18,0))</x:f>
        <x:v>75</x:v>
      </x:c>
      <x:c r="I8" s="50" t="n">
        <x:f>ROUND('Inputs'!$B$16*(1+'Inputs'!$B$17*(A8-1))*D8/24*F8,0)</x:f>
        <x:v>80</x:v>
      </x:c>
      <x:c r="J8" s="50" t="n">
        <x:f>ROUNDUP(D8/(24/B8),0)*(24/B8)</x:f>
        <x:v>24</x:v>
      </x:c>
      <x:c r="K8" s="50" t="n">
        <x:f>G8*24/J8</x:f>
        <x:v>300</x:v>
      </x:c>
      <x:c r="L8" s="50" t="n">
        <x:f>I8*24/J8</x:f>
        <x:v>80</x:v>
      </x:c>
      <x:c r="M8" s="28" t="str">
        <x:v>Neutral 1.0/1.0 role; one slot; ideal repeated selection. No extra income after ready until next visit.</x:v>
      </x:c>
    </x:row>
    <x:row r="9" ht="38" customHeight="1">
      <x:c r="A9" s="28" t="n">
        <x:v>1</x:v>
      </x:c>
      <x:c r="B9" s="28" t="n">
        <x:v>1</x:v>
      </x:c>
      <x:c r="C9" s="28" t="str">
        <x:v>SC-44H</x:v>
      </x:c>
      <x:c r="D9" s="50" t="n">
        <x:f>VLOOKUP(C9,'Schedules'!$A$5:$G$9,3,FALSE)</x:f>
        <x:v>44</x:v>
      </x:c>
      <x:c r="E9" s="50" t="n">
        <x:f>VLOOKUP(C9,'Schedules'!$A$5:$G$9,4,FALSE)</x:f>
        <x:v>0.92</x:v>
      </x:c>
      <x:c r="F9" s="50" t="n">
        <x:f>VLOOKUP(C9,'Schedules'!$A$5:$G$9,5,FALSE)</x:f>
        <x:v>0.92</x:v>
      </x:c>
      <x:c r="G9" s="50" t="n">
        <x:f>ROUND('Inputs'!$B$14*(1+'Inputs'!$B$15*(A9-1))*D9/24*E9,0)</x:f>
        <x:v>607</x:v>
      </x:c>
      <x:c r="H9" s="50" t="n">
        <x:f>MAX('Inputs'!$B$19,ROUND(G9*'Inputs'!$B$18,0))</x:f>
        <x:v>152</x:v>
      </x:c>
      <x:c r="I9" s="50" t="n">
        <x:f>ROUND('Inputs'!$B$16*(1+'Inputs'!$B$17*(A9-1))*D9/24*F9,0)</x:f>
        <x:v>162</x:v>
      </x:c>
      <x:c r="J9" s="50" t="n">
        <x:f>ROUNDUP(D9/(24/B9),0)*(24/B9)</x:f>
        <x:v>48</x:v>
      </x:c>
      <x:c r="K9" s="50" t="n">
        <x:f>G9*24/J9</x:f>
        <x:v>303.5</x:v>
      </x:c>
      <x:c r="L9" s="50" t="n">
        <x:f>I9*24/J9</x:f>
        <x:v>81</x:v>
      </x:c>
      <x:c r="M9" s="28" t="str">
        <x:v>Neutral 1.0/1.0 role; one slot; ideal repeated selection. No extra income after ready until next visit.</x:v>
      </x:c>
    </x:row>
    <x:row r="10" ht="38" customHeight="1">
      <x:c r="A10" s="28" t="n">
        <x:v>1</x:v>
      </x:c>
      <x:c r="B10" s="28" t="n">
        <x:v>2</x:v>
      </x:c>
      <x:c r="C10" s="28" t="str">
        <x:v>SC-20M</x:v>
      </x:c>
      <x:c r="D10" s="50" t="n">
        <x:f>VLOOKUP(C10,'Schedules'!$A$5:$G$9,3,FALSE)</x:f>
        <x:v>0.3333333333333333</x:v>
      </x:c>
      <x:c r="E10" s="50" t="n">
        <x:f>VLOOKUP(C10,'Schedules'!$A$5:$G$9,4,FALSE)</x:f>
        <x:v>1.25</x:v>
      </x:c>
      <x:c r="F10" s="50" t="n">
        <x:f>VLOOKUP(C10,'Schedules'!$A$5:$G$9,5,FALSE)</x:f>
        <x:v>1.25</x:v>
      </x:c>
      <x:c r="G10" s="50" t="n">
        <x:f>ROUND('Inputs'!$B$14*(1+'Inputs'!$B$15*(A10-1))*D10/24*E10,0)</x:f>
        <x:v>6</x:v>
      </x:c>
      <x:c r="H10" s="50" t="n">
        <x:f>MAX('Inputs'!$B$19,ROUND(G10*'Inputs'!$B$18,0))</x:f>
        <x:v>5</x:v>
      </x:c>
      <x:c r="I10" s="50" t="n">
        <x:f>ROUND('Inputs'!$B$16*(1+'Inputs'!$B$17*(A10-1))*D10/24*F10,0)</x:f>
        <x:v>2</x:v>
      </x:c>
      <x:c r="J10" s="50" t="n">
        <x:f>ROUNDUP(D10/(24/B10),0)*(24/B10)</x:f>
        <x:v>12</x:v>
      </x:c>
      <x:c r="K10" s="50" t="n">
        <x:f>G10*24/J10</x:f>
        <x:v>12</x:v>
      </x:c>
      <x:c r="L10" s="50" t="n">
        <x:f>I10*24/J10</x:f>
        <x:v>4</x:v>
      </x:c>
      <x:c r="M10" s="28" t="str">
        <x:v>Neutral 1.0/1.0 role; one slot; ideal repeated selection. No extra income after ready until next visit.</x:v>
      </x:c>
    </x:row>
    <x:row r="11" ht="38" customHeight="1">
      <x:c r="A11" s="28" t="n">
        <x:v>1</x:v>
      </x:c>
      <x:c r="B11" s="28" t="n">
        <x:v>2</x:v>
      </x:c>
      <x:c r="C11" s="28" t="str">
        <x:v>SC-2H</x:v>
      </x:c>
      <x:c r="D11" s="50" t="n">
        <x:f>VLOOKUP(C11,'Schedules'!$A$5:$G$9,3,FALSE)</x:f>
        <x:v>2</x:v>
      </x:c>
      <x:c r="E11" s="50" t="n">
        <x:f>VLOOKUP(C11,'Schedules'!$A$5:$G$9,4,FALSE)</x:f>
        <x:v>1.3</x:v>
      </x:c>
      <x:c r="F11" s="50" t="n">
        <x:f>VLOOKUP(C11,'Schedules'!$A$5:$G$9,5,FALSE)</x:f>
        <x:v>1.3</x:v>
      </x:c>
      <x:c r="G11" s="50" t="n">
        <x:f>ROUND('Inputs'!$B$14*(1+'Inputs'!$B$15*(A11-1))*D11/24*E11,0)</x:f>
        <x:v>39</x:v>
      </x:c>
      <x:c r="H11" s="50" t="n">
        <x:f>MAX('Inputs'!$B$19,ROUND(G11*'Inputs'!$B$18,0))</x:f>
        <x:v>10</x:v>
      </x:c>
      <x:c r="I11" s="50" t="n">
        <x:f>ROUND('Inputs'!$B$16*(1+'Inputs'!$B$17*(A11-1))*D11/24*F11,0)</x:f>
        <x:v>10</x:v>
      </x:c>
      <x:c r="J11" s="50" t="n">
        <x:f>ROUNDUP(D11/(24/B11),0)*(24/B11)</x:f>
        <x:v>12</x:v>
      </x:c>
      <x:c r="K11" s="50" t="n">
        <x:f>G11*24/J11</x:f>
        <x:v>78</x:v>
      </x:c>
      <x:c r="L11" s="50" t="n">
        <x:f>I11*24/J11</x:f>
        <x:v>20</x:v>
      </x:c>
      <x:c r="M11" s="28" t="str">
        <x:v>Neutral 1.0/1.0 role; one slot; ideal repeated selection. No extra income after ready until next visit.</x:v>
      </x:c>
    </x:row>
    <x:row r="12" ht="38" customHeight="1">
      <x:c r="A12" s="28" t="n">
        <x:v>1</x:v>
      </x:c>
      <x:c r="B12" s="28" t="n">
        <x:v>2</x:v>
      </x:c>
      <x:c r="C12" s="28" t="str">
        <x:v>SC-8H</x:v>
      </x:c>
      <x:c r="D12" s="50" t="n">
        <x:f>VLOOKUP(C12,'Schedules'!$A$5:$G$9,3,FALSE)</x:f>
        <x:v>8</x:v>
      </x:c>
      <x:c r="E12" s="50" t="n">
        <x:f>VLOOKUP(C12,'Schedules'!$A$5:$G$9,4,FALSE)</x:f>
        <x:v>1.3</x:v>
      </x:c>
      <x:c r="F12" s="50" t="n">
        <x:f>VLOOKUP(C12,'Schedules'!$A$5:$G$9,5,FALSE)</x:f>
        <x:v>1.3</x:v>
      </x:c>
      <x:c r="G12" s="50" t="n">
        <x:f>ROUND('Inputs'!$B$14*(1+'Inputs'!$B$15*(A12-1))*D12/24*E12,0)</x:f>
        <x:v>156</x:v>
      </x:c>
      <x:c r="H12" s="50" t="n">
        <x:f>MAX('Inputs'!$B$19,ROUND(G12*'Inputs'!$B$18,0))</x:f>
        <x:v>39</x:v>
      </x:c>
      <x:c r="I12" s="50" t="n">
        <x:f>ROUND('Inputs'!$B$16*(1+'Inputs'!$B$17*(A12-1))*D12/24*F12,0)</x:f>
        <x:v>42</x:v>
      </x:c>
      <x:c r="J12" s="50" t="n">
        <x:f>ROUNDUP(D12/(24/B12),0)*(24/B12)</x:f>
        <x:v>12</x:v>
      </x:c>
      <x:c r="K12" s="50" t="n">
        <x:f>G12*24/J12</x:f>
        <x:v>312</x:v>
      </x:c>
      <x:c r="L12" s="50" t="n">
        <x:f>I12*24/J12</x:f>
        <x:v>84</x:v>
      </x:c>
      <x:c r="M12" s="28" t="str">
        <x:v>Neutral 1.0/1.0 role; one slot; ideal repeated selection. No extra income after ready until next visit.</x:v>
      </x:c>
    </x:row>
    <x:row r="13" ht="38" customHeight="1">
      <x:c r="A13" s="28" t="n">
        <x:v>1</x:v>
      </x:c>
      <x:c r="B13" s="28" t="n">
        <x:v>2</x:v>
      </x:c>
      <x:c r="C13" s="28" t="str">
        <x:v>SC-20H</x:v>
      </x:c>
      <x:c r="D13" s="50" t="n">
        <x:f>VLOOKUP(C13,'Schedules'!$A$5:$G$9,3,FALSE)</x:f>
        <x:v>20</x:v>
      </x:c>
      <x:c r="E13" s="50" t="n">
        <x:f>VLOOKUP(C13,'Schedules'!$A$5:$G$9,4,FALSE)</x:f>
        <x:v>1</x:v>
      </x:c>
      <x:c r="F13" s="50" t="n">
        <x:f>VLOOKUP(C13,'Schedules'!$A$5:$G$9,5,FALSE)</x:f>
        <x:v>1</x:v>
      </x:c>
      <x:c r="G13" s="50" t="n">
        <x:f>ROUND('Inputs'!$B$14*(1+'Inputs'!$B$15*(A13-1))*D13/24*E13,0)</x:f>
        <x:v>300</x:v>
      </x:c>
      <x:c r="H13" s="50" t="n">
        <x:f>MAX('Inputs'!$B$19,ROUND(G13*'Inputs'!$B$18,0))</x:f>
        <x:v>75</x:v>
      </x:c>
      <x:c r="I13" s="50" t="n">
        <x:f>ROUND('Inputs'!$B$16*(1+'Inputs'!$B$17*(A13-1))*D13/24*F13,0)</x:f>
        <x:v>80</x:v>
      </x:c>
      <x:c r="J13" s="50" t="n">
        <x:f>ROUNDUP(D13/(24/B13),0)*(24/B13)</x:f>
        <x:v>24</x:v>
      </x:c>
      <x:c r="K13" s="50" t="n">
        <x:f>G13*24/J13</x:f>
        <x:v>300</x:v>
      </x:c>
      <x:c r="L13" s="50" t="n">
        <x:f>I13*24/J13</x:f>
        <x:v>80</x:v>
      </x:c>
      <x:c r="M13" s="28" t="str">
        <x:v>Neutral 1.0/1.0 role; one slot; ideal repeated selection. No extra income after ready until next visit.</x:v>
      </x:c>
    </x:row>
    <x:row r="14" ht="38" customHeight="1">
      <x:c r="A14" s="28" t="n">
        <x:v>1</x:v>
      </x:c>
      <x:c r="B14" s="28" t="n">
        <x:v>2</x:v>
      </x:c>
      <x:c r="C14" s="28" t="str">
        <x:v>SC-44H</x:v>
      </x:c>
      <x:c r="D14" s="50" t="n">
        <x:f>VLOOKUP(C14,'Schedules'!$A$5:$G$9,3,FALSE)</x:f>
        <x:v>44</x:v>
      </x:c>
      <x:c r="E14" s="50" t="n">
        <x:f>VLOOKUP(C14,'Schedules'!$A$5:$G$9,4,FALSE)</x:f>
        <x:v>0.92</x:v>
      </x:c>
      <x:c r="F14" s="50" t="n">
        <x:f>VLOOKUP(C14,'Schedules'!$A$5:$G$9,5,FALSE)</x:f>
        <x:v>0.92</x:v>
      </x:c>
      <x:c r="G14" s="50" t="n">
        <x:f>ROUND('Inputs'!$B$14*(1+'Inputs'!$B$15*(A14-1))*D14/24*E14,0)</x:f>
        <x:v>607</x:v>
      </x:c>
      <x:c r="H14" s="50" t="n">
        <x:f>MAX('Inputs'!$B$19,ROUND(G14*'Inputs'!$B$18,0))</x:f>
        <x:v>152</x:v>
      </x:c>
      <x:c r="I14" s="50" t="n">
        <x:f>ROUND('Inputs'!$B$16*(1+'Inputs'!$B$17*(A14-1))*D14/24*F14,0)</x:f>
        <x:v>162</x:v>
      </x:c>
      <x:c r="J14" s="50" t="n">
        <x:f>ROUNDUP(D14/(24/B14),0)*(24/B14)</x:f>
        <x:v>48</x:v>
      </x:c>
      <x:c r="K14" s="50" t="n">
        <x:f>G14*24/J14</x:f>
        <x:v>303.5</x:v>
      </x:c>
      <x:c r="L14" s="50" t="n">
        <x:f>I14*24/J14</x:f>
        <x:v>81</x:v>
      </x:c>
      <x:c r="M14" s="28" t="str">
        <x:v>Neutral 1.0/1.0 role; one slot; ideal repeated selection. No extra income after ready until next visit.</x:v>
      </x:c>
    </x:row>
    <x:row r="15" ht="38" customHeight="1">
      <x:c r="A15" s="28" t="n">
        <x:v>1</x:v>
      </x:c>
      <x:c r="B15" s="28" t="n">
        <x:v>6</x:v>
      </x:c>
      <x:c r="C15" s="28" t="str">
        <x:v>SC-20M</x:v>
      </x:c>
      <x:c r="D15" s="50" t="n">
        <x:f>VLOOKUP(C15,'Schedules'!$A$5:$G$9,3,FALSE)</x:f>
        <x:v>0.3333333333333333</x:v>
      </x:c>
      <x:c r="E15" s="50" t="n">
        <x:f>VLOOKUP(C15,'Schedules'!$A$5:$G$9,4,FALSE)</x:f>
        <x:v>1.25</x:v>
      </x:c>
      <x:c r="F15" s="50" t="n">
        <x:f>VLOOKUP(C15,'Schedules'!$A$5:$G$9,5,FALSE)</x:f>
        <x:v>1.25</x:v>
      </x:c>
      <x:c r="G15" s="50" t="n">
        <x:f>ROUND('Inputs'!$B$14*(1+'Inputs'!$B$15*(A15-1))*D15/24*E15,0)</x:f>
        <x:v>6</x:v>
      </x:c>
      <x:c r="H15" s="50" t="n">
        <x:f>MAX('Inputs'!$B$19,ROUND(G15*'Inputs'!$B$18,0))</x:f>
        <x:v>5</x:v>
      </x:c>
      <x:c r="I15" s="50" t="n">
        <x:f>ROUND('Inputs'!$B$16*(1+'Inputs'!$B$17*(A15-1))*D15/24*F15,0)</x:f>
        <x:v>2</x:v>
      </x:c>
      <x:c r="J15" s="50" t="n">
        <x:f>ROUNDUP(D15/(24/B15),0)*(24/B15)</x:f>
        <x:v>4</x:v>
      </x:c>
      <x:c r="K15" s="50" t="n">
        <x:f>G15*24/J15</x:f>
        <x:v>36</x:v>
      </x:c>
      <x:c r="L15" s="50" t="n">
        <x:f>I15*24/J15</x:f>
        <x:v>12</x:v>
      </x:c>
      <x:c r="M15" s="28" t="str">
        <x:v>Neutral 1.0/1.0 role; one slot; ideal repeated selection. No extra income after ready until next visit.</x:v>
      </x:c>
    </x:row>
    <x:row r="16" ht="38" customHeight="1">
      <x:c r="A16" s="28" t="n">
        <x:v>1</x:v>
      </x:c>
      <x:c r="B16" s="28" t="n">
        <x:v>6</x:v>
      </x:c>
      <x:c r="C16" s="28" t="str">
        <x:v>SC-2H</x:v>
      </x:c>
      <x:c r="D16" s="50" t="n">
        <x:f>VLOOKUP(C16,'Schedules'!$A$5:$G$9,3,FALSE)</x:f>
        <x:v>2</x:v>
      </x:c>
      <x:c r="E16" s="50" t="n">
        <x:f>VLOOKUP(C16,'Schedules'!$A$5:$G$9,4,FALSE)</x:f>
        <x:v>1.3</x:v>
      </x:c>
      <x:c r="F16" s="50" t="n">
        <x:f>VLOOKUP(C16,'Schedules'!$A$5:$G$9,5,FALSE)</x:f>
        <x:v>1.3</x:v>
      </x:c>
      <x:c r="G16" s="50" t="n">
        <x:f>ROUND('Inputs'!$B$14*(1+'Inputs'!$B$15*(A16-1))*D16/24*E16,0)</x:f>
        <x:v>39</x:v>
      </x:c>
      <x:c r="H16" s="50" t="n">
        <x:f>MAX('Inputs'!$B$19,ROUND(G16*'Inputs'!$B$18,0))</x:f>
        <x:v>10</x:v>
      </x:c>
      <x:c r="I16" s="50" t="n">
        <x:f>ROUND('Inputs'!$B$16*(1+'Inputs'!$B$17*(A16-1))*D16/24*F16,0)</x:f>
        <x:v>10</x:v>
      </x:c>
      <x:c r="J16" s="50" t="n">
        <x:f>ROUNDUP(D16/(24/B16),0)*(24/B16)</x:f>
        <x:v>4</x:v>
      </x:c>
      <x:c r="K16" s="50" t="n">
        <x:f>G16*24/J16</x:f>
        <x:v>234</x:v>
      </x:c>
      <x:c r="L16" s="50" t="n">
        <x:f>I16*24/J16</x:f>
        <x:v>60</x:v>
      </x:c>
      <x:c r="M16" s="28" t="str">
        <x:v>Neutral 1.0/1.0 role; one slot; ideal repeated selection. No extra income after ready until next visit.</x:v>
      </x:c>
    </x:row>
    <x:row r="17" ht="38" customHeight="1">
      <x:c r="A17" s="28" t="n">
        <x:v>1</x:v>
      </x:c>
      <x:c r="B17" s="28" t="n">
        <x:v>6</x:v>
      </x:c>
      <x:c r="C17" s="28" t="str">
        <x:v>SC-8H</x:v>
      </x:c>
      <x:c r="D17" s="50" t="n">
        <x:f>VLOOKUP(C17,'Schedules'!$A$5:$G$9,3,FALSE)</x:f>
        <x:v>8</x:v>
      </x:c>
      <x:c r="E17" s="50" t="n">
        <x:f>VLOOKUP(C17,'Schedules'!$A$5:$G$9,4,FALSE)</x:f>
        <x:v>1.3</x:v>
      </x:c>
      <x:c r="F17" s="50" t="n">
        <x:f>VLOOKUP(C17,'Schedules'!$A$5:$G$9,5,FALSE)</x:f>
        <x:v>1.3</x:v>
      </x:c>
      <x:c r="G17" s="50" t="n">
        <x:f>ROUND('Inputs'!$B$14*(1+'Inputs'!$B$15*(A17-1))*D17/24*E17,0)</x:f>
        <x:v>156</x:v>
      </x:c>
      <x:c r="H17" s="50" t="n">
        <x:f>MAX('Inputs'!$B$19,ROUND(G17*'Inputs'!$B$18,0))</x:f>
        <x:v>39</x:v>
      </x:c>
      <x:c r="I17" s="50" t="n">
        <x:f>ROUND('Inputs'!$B$16*(1+'Inputs'!$B$17*(A17-1))*D17/24*F17,0)</x:f>
        <x:v>42</x:v>
      </x:c>
      <x:c r="J17" s="50" t="n">
        <x:f>ROUNDUP(D17/(24/B17),0)*(24/B17)</x:f>
        <x:v>8</x:v>
      </x:c>
      <x:c r="K17" s="50" t="n">
        <x:f>G17*24/J17</x:f>
        <x:v>468</x:v>
      </x:c>
      <x:c r="L17" s="50" t="n">
        <x:f>I17*24/J17</x:f>
        <x:v>126</x:v>
      </x:c>
      <x:c r="M17" s="28" t="str">
        <x:v>Neutral 1.0/1.0 role; one slot; ideal repeated selection. No extra income after ready until next visit.</x:v>
      </x:c>
    </x:row>
    <x:row r="18" ht="38" customHeight="1">
      <x:c r="A18" s="28" t="n">
        <x:v>1</x:v>
      </x:c>
      <x:c r="B18" s="28" t="n">
        <x:v>6</x:v>
      </x:c>
      <x:c r="C18" s="28" t="str">
        <x:v>SC-20H</x:v>
      </x:c>
      <x:c r="D18" s="50" t="n">
        <x:f>VLOOKUP(C18,'Schedules'!$A$5:$G$9,3,FALSE)</x:f>
        <x:v>20</x:v>
      </x:c>
      <x:c r="E18" s="50" t="n">
        <x:f>VLOOKUP(C18,'Schedules'!$A$5:$G$9,4,FALSE)</x:f>
        <x:v>1</x:v>
      </x:c>
      <x:c r="F18" s="50" t="n">
        <x:f>VLOOKUP(C18,'Schedules'!$A$5:$G$9,5,FALSE)</x:f>
        <x:v>1</x:v>
      </x:c>
      <x:c r="G18" s="50" t="n">
        <x:f>ROUND('Inputs'!$B$14*(1+'Inputs'!$B$15*(A18-1))*D18/24*E18,0)</x:f>
        <x:v>300</x:v>
      </x:c>
      <x:c r="H18" s="50" t="n">
        <x:f>MAX('Inputs'!$B$19,ROUND(G18*'Inputs'!$B$18,0))</x:f>
        <x:v>75</x:v>
      </x:c>
      <x:c r="I18" s="50" t="n">
        <x:f>ROUND('Inputs'!$B$16*(1+'Inputs'!$B$17*(A18-1))*D18/24*F18,0)</x:f>
        <x:v>80</x:v>
      </x:c>
      <x:c r="J18" s="50" t="n">
        <x:f>ROUNDUP(D18/(24/B18),0)*(24/B18)</x:f>
        <x:v>20</x:v>
      </x:c>
      <x:c r="K18" s="50" t="n">
        <x:f>G18*24/J18</x:f>
        <x:v>360</x:v>
      </x:c>
      <x:c r="L18" s="50" t="n">
        <x:f>I18*24/J18</x:f>
        <x:v>96</x:v>
      </x:c>
      <x:c r="M18" s="28" t="str">
        <x:v>Neutral 1.0/1.0 role; one slot; ideal repeated selection. No extra income after ready until next visit.</x:v>
      </x:c>
    </x:row>
    <x:row r="19" ht="38" customHeight="1">
      <x:c r="A19" s="28" t="n">
        <x:v>1</x:v>
      </x:c>
      <x:c r="B19" s="28" t="n">
        <x:v>6</x:v>
      </x:c>
      <x:c r="C19" s="28" t="str">
        <x:v>SC-44H</x:v>
      </x:c>
      <x:c r="D19" s="50" t="n">
        <x:f>VLOOKUP(C19,'Schedules'!$A$5:$G$9,3,FALSE)</x:f>
        <x:v>44</x:v>
      </x:c>
      <x:c r="E19" s="50" t="n">
        <x:f>VLOOKUP(C19,'Schedules'!$A$5:$G$9,4,FALSE)</x:f>
        <x:v>0.92</x:v>
      </x:c>
      <x:c r="F19" s="50" t="n">
        <x:f>VLOOKUP(C19,'Schedules'!$A$5:$G$9,5,FALSE)</x:f>
        <x:v>0.92</x:v>
      </x:c>
      <x:c r="G19" s="50" t="n">
        <x:f>ROUND('Inputs'!$B$14*(1+'Inputs'!$B$15*(A19-1))*D19/24*E19,0)</x:f>
        <x:v>607</x:v>
      </x:c>
      <x:c r="H19" s="50" t="n">
        <x:f>MAX('Inputs'!$B$19,ROUND(G19*'Inputs'!$B$18,0))</x:f>
        <x:v>152</x:v>
      </x:c>
      <x:c r="I19" s="50" t="n">
        <x:f>ROUND('Inputs'!$B$16*(1+'Inputs'!$B$17*(A19-1))*D19/24*F19,0)</x:f>
        <x:v>162</x:v>
      </x:c>
      <x:c r="J19" s="50" t="n">
        <x:f>ROUNDUP(D19/(24/B19),0)*(24/B19)</x:f>
        <x:v>44</x:v>
      </x:c>
      <x:c r="K19" s="50" t="n">
        <x:f>G19*24/J19</x:f>
        <x:v>331.09090909090907</x:v>
      </x:c>
      <x:c r="L19" s="50" t="n">
        <x:f>I19*24/J19</x:f>
        <x:v>88.36363636363636</x:v>
      </x:c>
      <x:c r="M19" s="28" t="str">
        <x:v>Neutral 1.0/1.0 role; one slot; ideal repeated selection. No extra income after ready until next visit.</x:v>
      </x:c>
    </x:row>
    <x:row r="20" ht="38" customHeight="1">
      <x:c r="A20" s="28" t="n">
        <x:v>5</x:v>
      </x:c>
      <x:c r="B20" s="28" t="n">
        <x:v>1</x:v>
      </x:c>
      <x:c r="C20" s="28" t="str">
        <x:v>SC-20M</x:v>
      </x:c>
      <x:c r="D20" s="50" t="n">
        <x:f>VLOOKUP(C20,'Schedules'!$A$5:$G$9,3,FALSE)</x:f>
        <x:v>0.3333333333333333</x:v>
      </x:c>
      <x:c r="E20" s="50" t="n">
        <x:f>VLOOKUP(C20,'Schedules'!$A$5:$G$9,4,FALSE)</x:f>
        <x:v>1.25</x:v>
      </x:c>
      <x:c r="F20" s="50" t="n">
        <x:f>VLOOKUP(C20,'Schedules'!$A$5:$G$9,5,FALSE)</x:f>
        <x:v>1.25</x:v>
      </x:c>
      <x:c r="G20" s="50" t="n">
        <x:f>ROUND('Inputs'!$B$14*(1+'Inputs'!$B$15*(A20-1))*D20/24*E20,0)</x:f>
        <x:v>7</x:v>
      </x:c>
      <x:c r="H20" s="50" t="n">
        <x:f>MAX('Inputs'!$B$19,ROUND(G20*'Inputs'!$B$18,0))</x:f>
        <x:v>5</x:v>
      </x:c>
      <x:c r="I20" s="50" t="n">
        <x:f>ROUND('Inputs'!$B$16*(1+'Inputs'!$B$17*(A20-1))*D20/24*F20,0)</x:f>
        <x:v>2</x:v>
      </x:c>
      <x:c r="J20" s="50" t="n">
        <x:f>ROUNDUP(D20/(24/B20),0)*(24/B20)</x:f>
        <x:v>24</x:v>
      </x:c>
      <x:c r="K20" s="50" t="n">
        <x:f>G20*24/J20</x:f>
        <x:v>7</x:v>
      </x:c>
      <x:c r="L20" s="50" t="n">
        <x:f>I20*24/J20</x:f>
        <x:v>2</x:v>
      </x:c>
      <x:c r="M20" s="28" t="str">
        <x:v>Neutral 1.0/1.0 role; one slot; ideal repeated selection. No extra income after ready until next visit.</x:v>
      </x:c>
    </x:row>
    <x:row r="21" ht="38" customHeight="1">
      <x:c r="A21" s="28" t="n">
        <x:v>5</x:v>
      </x:c>
      <x:c r="B21" s="28" t="n">
        <x:v>1</x:v>
      </x:c>
      <x:c r="C21" s="28" t="str">
        <x:v>SC-2H</x:v>
      </x:c>
      <x:c r="D21" s="50" t="n">
        <x:f>VLOOKUP(C21,'Schedules'!$A$5:$G$9,3,FALSE)</x:f>
        <x:v>2</x:v>
      </x:c>
      <x:c r="E21" s="50" t="n">
        <x:f>VLOOKUP(C21,'Schedules'!$A$5:$G$9,4,FALSE)</x:f>
        <x:v>1.3</x:v>
      </x:c>
      <x:c r="F21" s="50" t="n">
        <x:f>VLOOKUP(C21,'Schedules'!$A$5:$G$9,5,FALSE)</x:f>
        <x:v>1.3</x:v>
      </x:c>
      <x:c r="G21" s="50" t="n">
        <x:f>ROUND('Inputs'!$B$14*(1+'Inputs'!$B$15*(A21-1))*D21/24*E21,0)</x:f>
        <x:v>46</x:v>
      </x:c>
      <x:c r="H21" s="50" t="n">
        <x:f>MAX('Inputs'!$B$19,ROUND(G21*'Inputs'!$B$18,0))</x:f>
        <x:v>12</x:v>
      </x:c>
      <x:c r="I21" s="50" t="n">
        <x:f>ROUND('Inputs'!$B$16*(1+'Inputs'!$B$17*(A21-1))*D21/24*F21,0)</x:f>
        <x:v>11</x:v>
      </x:c>
      <x:c r="J21" s="50" t="n">
        <x:f>ROUNDUP(D21/(24/B21),0)*(24/B21)</x:f>
        <x:v>24</x:v>
      </x:c>
      <x:c r="K21" s="50" t="n">
        <x:f>G21*24/J21</x:f>
        <x:v>46</x:v>
      </x:c>
      <x:c r="L21" s="50" t="n">
        <x:f>I21*24/J21</x:f>
        <x:v>11</x:v>
      </x:c>
      <x:c r="M21" s="28" t="str">
        <x:v>Neutral 1.0/1.0 role; one slot; ideal repeated selection. No extra income after ready until next visit.</x:v>
      </x:c>
    </x:row>
    <x:row r="22" ht="38" customHeight="1">
      <x:c r="A22" s="28" t="n">
        <x:v>5</x:v>
      </x:c>
      <x:c r="B22" s="28" t="n">
        <x:v>1</x:v>
      </x:c>
      <x:c r="C22" s="28" t="str">
        <x:v>SC-8H</x:v>
      </x:c>
      <x:c r="D22" s="50" t="n">
        <x:f>VLOOKUP(C22,'Schedules'!$A$5:$G$9,3,FALSE)</x:f>
        <x:v>8</x:v>
      </x:c>
      <x:c r="E22" s="50" t="n">
        <x:f>VLOOKUP(C22,'Schedules'!$A$5:$G$9,4,FALSE)</x:f>
        <x:v>1.3</x:v>
      </x:c>
      <x:c r="F22" s="50" t="n">
        <x:f>VLOOKUP(C22,'Schedules'!$A$5:$G$9,5,FALSE)</x:f>
        <x:v>1.3</x:v>
      </x:c>
      <x:c r="G22" s="50" t="n">
        <x:f>ROUND('Inputs'!$B$14*(1+'Inputs'!$B$15*(A22-1))*D22/24*E22,0)</x:f>
        <x:v>184</x:v>
      </x:c>
      <x:c r="H22" s="50" t="n">
        <x:f>MAX('Inputs'!$B$19,ROUND(G22*'Inputs'!$B$18,0))</x:f>
        <x:v>46</x:v>
      </x:c>
      <x:c r="I22" s="50" t="n">
        <x:f>ROUND('Inputs'!$B$16*(1+'Inputs'!$B$17*(A22-1))*D22/24*F22,0)</x:f>
        <x:v>43</x:v>
      </x:c>
      <x:c r="J22" s="50" t="n">
        <x:f>ROUNDUP(D22/(24/B22),0)*(24/B22)</x:f>
        <x:v>24</x:v>
      </x:c>
      <x:c r="K22" s="50" t="n">
        <x:f>G22*24/J22</x:f>
        <x:v>184</x:v>
      </x:c>
      <x:c r="L22" s="50" t="n">
        <x:f>I22*24/J22</x:f>
        <x:v>43</x:v>
      </x:c>
      <x:c r="M22" s="28" t="str">
        <x:v>Neutral 1.0/1.0 role; one slot; ideal repeated selection. No extra income after ready until next visit.</x:v>
      </x:c>
    </x:row>
    <x:row r="23" ht="38" customHeight="1">
      <x:c r="A23" s="28" t="n">
        <x:v>5</x:v>
      </x:c>
      <x:c r="B23" s="28" t="n">
        <x:v>1</x:v>
      </x:c>
      <x:c r="C23" s="28" t="str">
        <x:v>SC-20H</x:v>
      </x:c>
      <x:c r="D23" s="50" t="n">
        <x:f>VLOOKUP(C23,'Schedules'!$A$5:$G$9,3,FALSE)</x:f>
        <x:v>20</x:v>
      </x:c>
      <x:c r="E23" s="50" t="n">
        <x:f>VLOOKUP(C23,'Schedules'!$A$5:$G$9,4,FALSE)</x:f>
        <x:v>1</x:v>
      </x:c>
      <x:c r="F23" s="50" t="n">
        <x:f>VLOOKUP(C23,'Schedules'!$A$5:$G$9,5,FALSE)</x:f>
        <x:v>1</x:v>
      </x:c>
      <x:c r="G23" s="50" t="n">
        <x:f>ROUND('Inputs'!$B$14*(1+'Inputs'!$B$15*(A23-1))*D23/24*E23,0)</x:f>
        <x:v>354</x:v>
      </x:c>
      <x:c r="H23" s="50" t="n">
        <x:f>MAX('Inputs'!$B$19,ROUND(G23*'Inputs'!$B$18,0))</x:f>
        <x:v>89</x:v>
      </x:c>
      <x:c r="I23" s="50" t="n">
        <x:f>ROUND('Inputs'!$B$16*(1+'Inputs'!$B$17*(A23-1))*D23/24*F23,0)</x:f>
        <x:v>83</x:v>
      </x:c>
      <x:c r="J23" s="50" t="n">
        <x:f>ROUNDUP(D23/(24/B23),0)*(24/B23)</x:f>
        <x:v>24</x:v>
      </x:c>
      <x:c r="K23" s="50" t="n">
        <x:f>G23*24/J23</x:f>
        <x:v>354</x:v>
      </x:c>
      <x:c r="L23" s="50" t="n">
        <x:f>I23*24/J23</x:f>
        <x:v>83</x:v>
      </x:c>
      <x:c r="M23" s="28" t="str">
        <x:v>Neutral 1.0/1.0 role; one slot; ideal repeated selection. No extra income after ready until next visit.</x:v>
      </x:c>
    </x:row>
    <x:row r="24" ht="38" customHeight="1">
      <x:c r="A24" s="28" t="n">
        <x:v>5</x:v>
      </x:c>
      <x:c r="B24" s="28" t="n">
        <x:v>1</x:v>
      </x:c>
      <x:c r="C24" s="28" t="str">
        <x:v>SC-44H</x:v>
      </x:c>
      <x:c r="D24" s="50" t="n">
        <x:f>VLOOKUP(C24,'Schedules'!$A$5:$G$9,3,FALSE)</x:f>
        <x:v>44</x:v>
      </x:c>
      <x:c r="E24" s="50" t="n">
        <x:f>VLOOKUP(C24,'Schedules'!$A$5:$G$9,4,FALSE)</x:f>
        <x:v>0.92</x:v>
      </x:c>
      <x:c r="F24" s="50" t="n">
        <x:f>VLOOKUP(C24,'Schedules'!$A$5:$G$9,5,FALSE)</x:f>
        <x:v>0.92</x:v>
      </x:c>
      <x:c r="G24" s="50" t="n">
        <x:f>ROUND('Inputs'!$B$14*(1+'Inputs'!$B$15*(A24-1))*D24/24*E24,0)</x:f>
        <x:v>716</x:v>
      </x:c>
      <x:c r="H24" s="50" t="n">
        <x:f>MAX('Inputs'!$B$19,ROUND(G24*'Inputs'!$B$18,0))</x:f>
        <x:v>179</x:v>
      </x:c>
      <x:c r="I24" s="50" t="n">
        <x:f>ROUND('Inputs'!$B$16*(1+'Inputs'!$B$17*(A24-1))*D24/24*F24,0)</x:f>
        <x:v>168</x:v>
      </x:c>
      <x:c r="J24" s="50" t="n">
        <x:f>ROUNDUP(D24/(24/B24),0)*(24/B24)</x:f>
        <x:v>48</x:v>
      </x:c>
      <x:c r="K24" s="50" t="n">
        <x:f>G24*24/J24</x:f>
        <x:v>358</x:v>
      </x:c>
      <x:c r="L24" s="50" t="n">
        <x:f>I24*24/J24</x:f>
        <x:v>84</x:v>
      </x:c>
      <x:c r="M24" s="28" t="str">
        <x:v>Neutral 1.0/1.0 role; one slot; ideal repeated selection. No extra income after ready until next visit.</x:v>
      </x:c>
    </x:row>
    <x:row r="25" ht="38" customHeight="1">
      <x:c r="A25" s="28" t="n">
        <x:v>5</x:v>
      </x:c>
      <x:c r="B25" s="28" t="n">
        <x:v>2</x:v>
      </x:c>
      <x:c r="C25" s="28" t="str">
        <x:v>SC-20M</x:v>
      </x:c>
      <x:c r="D25" s="50" t="n">
        <x:f>VLOOKUP(C25,'Schedules'!$A$5:$G$9,3,FALSE)</x:f>
        <x:v>0.3333333333333333</x:v>
      </x:c>
      <x:c r="E25" s="50" t="n">
        <x:f>VLOOKUP(C25,'Schedules'!$A$5:$G$9,4,FALSE)</x:f>
        <x:v>1.25</x:v>
      </x:c>
      <x:c r="F25" s="50" t="n">
        <x:f>VLOOKUP(C25,'Schedules'!$A$5:$G$9,5,FALSE)</x:f>
        <x:v>1.25</x:v>
      </x:c>
      <x:c r="G25" s="50" t="n">
        <x:f>ROUND('Inputs'!$B$14*(1+'Inputs'!$B$15*(A25-1))*D25/24*E25,0)</x:f>
        <x:v>7</x:v>
      </x:c>
      <x:c r="H25" s="50" t="n">
        <x:f>MAX('Inputs'!$B$19,ROUND(G25*'Inputs'!$B$18,0))</x:f>
        <x:v>5</x:v>
      </x:c>
      <x:c r="I25" s="50" t="n">
        <x:f>ROUND('Inputs'!$B$16*(1+'Inputs'!$B$17*(A25-1))*D25/24*F25,0)</x:f>
        <x:v>2</x:v>
      </x:c>
      <x:c r="J25" s="50" t="n">
        <x:f>ROUNDUP(D25/(24/B25),0)*(24/B25)</x:f>
        <x:v>12</x:v>
      </x:c>
      <x:c r="K25" s="50" t="n">
        <x:f>G25*24/J25</x:f>
        <x:v>14</x:v>
      </x:c>
      <x:c r="L25" s="50" t="n">
        <x:f>I25*24/J25</x:f>
        <x:v>4</x:v>
      </x:c>
      <x:c r="M25" s="28" t="str">
        <x:v>Neutral 1.0/1.0 role; one slot; ideal repeated selection. No extra income after ready until next visit.</x:v>
      </x:c>
    </x:row>
    <x:row r="26" ht="38" customHeight="1">
      <x:c r="A26" s="28" t="n">
        <x:v>5</x:v>
      </x:c>
      <x:c r="B26" s="28" t="n">
        <x:v>2</x:v>
      </x:c>
      <x:c r="C26" s="28" t="str">
        <x:v>SC-2H</x:v>
      </x:c>
      <x:c r="D26" s="50" t="n">
        <x:f>VLOOKUP(C26,'Schedules'!$A$5:$G$9,3,FALSE)</x:f>
        <x:v>2</x:v>
      </x:c>
      <x:c r="E26" s="50" t="n">
        <x:f>VLOOKUP(C26,'Schedules'!$A$5:$G$9,4,FALSE)</x:f>
        <x:v>1.3</x:v>
      </x:c>
      <x:c r="F26" s="50" t="n">
        <x:f>VLOOKUP(C26,'Schedules'!$A$5:$G$9,5,FALSE)</x:f>
        <x:v>1.3</x:v>
      </x:c>
      <x:c r="G26" s="50" t="n">
        <x:f>ROUND('Inputs'!$B$14*(1+'Inputs'!$B$15*(A26-1))*D26/24*E26,0)</x:f>
        <x:v>46</x:v>
      </x:c>
      <x:c r="H26" s="50" t="n">
        <x:f>MAX('Inputs'!$B$19,ROUND(G26*'Inputs'!$B$18,0))</x:f>
        <x:v>12</x:v>
      </x:c>
      <x:c r="I26" s="50" t="n">
        <x:f>ROUND('Inputs'!$B$16*(1+'Inputs'!$B$17*(A26-1))*D26/24*F26,0)</x:f>
        <x:v>11</x:v>
      </x:c>
      <x:c r="J26" s="50" t="n">
        <x:f>ROUNDUP(D26/(24/B26),0)*(24/B26)</x:f>
        <x:v>12</x:v>
      </x:c>
      <x:c r="K26" s="50" t="n">
        <x:f>G26*24/J26</x:f>
        <x:v>92</x:v>
      </x:c>
      <x:c r="L26" s="50" t="n">
        <x:f>I26*24/J26</x:f>
        <x:v>22</x:v>
      </x:c>
      <x:c r="M26" s="28" t="str">
        <x:v>Neutral 1.0/1.0 role; one slot; ideal repeated selection. No extra income after ready until next visit.</x:v>
      </x:c>
    </x:row>
    <x:row r="27" ht="38" customHeight="1">
      <x:c r="A27" s="28" t="n">
        <x:v>5</x:v>
      </x:c>
      <x:c r="B27" s="28" t="n">
        <x:v>2</x:v>
      </x:c>
      <x:c r="C27" s="28" t="str">
        <x:v>SC-8H</x:v>
      </x:c>
      <x:c r="D27" s="50" t="n">
        <x:f>VLOOKUP(C27,'Schedules'!$A$5:$G$9,3,FALSE)</x:f>
        <x:v>8</x:v>
      </x:c>
      <x:c r="E27" s="50" t="n">
        <x:f>VLOOKUP(C27,'Schedules'!$A$5:$G$9,4,FALSE)</x:f>
        <x:v>1.3</x:v>
      </x:c>
      <x:c r="F27" s="50" t="n">
        <x:f>VLOOKUP(C27,'Schedules'!$A$5:$G$9,5,FALSE)</x:f>
        <x:v>1.3</x:v>
      </x:c>
      <x:c r="G27" s="50" t="n">
        <x:f>ROUND('Inputs'!$B$14*(1+'Inputs'!$B$15*(A27-1))*D27/24*E27,0)</x:f>
        <x:v>184</x:v>
      </x:c>
      <x:c r="H27" s="50" t="n">
        <x:f>MAX('Inputs'!$B$19,ROUND(G27*'Inputs'!$B$18,0))</x:f>
        <x:v>46</x:v>
      </x:c>
      <x:c r="I27" s="50" t="n">
        <x:f>ROUND('Inputs'!$B$16*(1+'Inputs'!$B$17*(A27-1))*D27/24*F27,0)</x:f>
        <x:v>43</x:v>
      </x:c>
      <x:c r="J27" s="50" t="n">
        <x:f>ROUNDUP(D27/(24/B27),0)*(24/B27)</x:f>
        <x:v>12</x:v>
      </x:c>
      <x:c r="K27" s="50" t="n">
        <x:f>G27*24/J27</x:f>
        <x:v>368</x:v>
      </x:c>
      <x:c r="L27" s="50" t="n">
        <x:f>I27*24/J27</x:f>
        <x:v>86</x:v>
      </x:c>
      <x:c r="M27" s="28" t="str">
        <x:v>Neutral 1.0/1.0 role; one slot; ideal repeated selection. No extra income after ready until next visit.</x:v>
      </x:c>
    </x:row>
    <x:row r="28" ht="38" customHeight="1">
      <x:c r="A28" s="28" t="n">
        <x:v>5</x:v>
      </x:c>
      <x:c r="B28" s="28" t="n">
        <x:v>2</x:v>
      </x:c>
      <x:c r="C28" s="28" t="str">
        <x:v>SC-20H</x:v>
      </x:c>
      <x:c r="D28" s="50" t="n">
        <x:f>VLOOKUP(C28,'Schedules'!$A$5:$G$9,3,FALSE)</x:f>
        <x:v>20</x:v>
      </x:c>
      <x:c r="E28" s="50" t="n">
        <x:f>VLOOKUP(C28,'Schedules'!$A$5:$G$9,4,FALSE)</x:f>
        <x:v>1</x:v>
      </x:c>
      <x:c r="F28" s="50" t="n">
        <x:f>VLOOKUP(C28,'Schedules'!$A$5:$G$9,5,FALSE)</x:f>
        <x:v>1</x:v>
      </x:c>
      <x:c r="G28" s="50" t="n">
        <x:f>ROUND('Inputs'!$B$14*(1+'Inputs'!$B$15*(A28-1))*D28/24*E28,0)</x:f>
        <x:v>354</x:v>
      </x:c>
      <x:c r="H28" s="50" t="n">
        <x:f>MAX('Inputs'!$B$19,ROUND(G28*'Inputs'!$B$18,0))</x:f>
        <x:v>89</x:v>
      </x:c>
      <x:c r="I28" s="50" t="n">
        <x:f>ROUND('Inputs'!$B$16*(1+'Inputs'!$B$17*(A28-1))*D28/24*F28,0)</x:f>
        <x:v>83</x:v>
      </x:c>
      <x:c r="J28" s="50" t="n">
        <x:f>ROUNDUP(D28/(24/B28),0)*(24/B28)</x:f>
        <x:v>24</x:v>
      </x:c>
      <x:c r="K28" s="50" t="n">
        <x:f>G28*24/J28</x:f>
        <x:v>354</x:v>
      </x:c>
      <x:c r="L28" s="50" t="n">
        <x:f>I28*24/J28</x:f>
        <x:v>83</x:v>
      </x:c>
      <x:c r="M28" s="28" t="str">
        <x:v>Neutral 1.0/1.0 role; one slot; ideal repeated selection. No extra income after ready until next visit.</x:v>
      </x:c>
    </x:row>
    <x:row r="29" ht="38" customHeight="1">
      <x:c r="A29" s="28" t="n">
        <x:v>5</x:v>
      </x:c>
      <x:c r="B29" s="28" t="n">
        <x:v>2</x:v>
      </x:c>
      <x:c r="C29" s="28" t="str">
        <x:v>SC-44H</x:v>
      </x:c>
      <x:c r="D29" s="50" t="n">
        <x:f>VLOOKUP(C29,'Schedules'!$A$5:$G$9,3,FALSE)</x:f>
        <x:v>44</x:v>
      </x:c>
      <x:c r="E29" s="50" t="n">
        <x:f>VLOOKUP(C29,'Schedules'!$A$5:$G$9,4,FALSE)</x:f>
        <x:v>0.92</x:v>
      </x:c>
      <x:c r="F29" s="50" t="n">
        <x:f>VLOOKUP(C29,'Schedules'!$A$5:$G$9,5,FALSE)</x:f>
        <x:v>0.92</x:v>
      </x:c>
      <x:c r="G29" s="50" t="n">
        <x:f>ROUND('Inputs'!$B$14*(1+'Inputs'!$B$15*(A29-1))*D29/24*E29,0)</x:f>
        <x:v>716</x:v>
      </x:c>
      <x:c r="H29" s="50" t="n">
        <x:f>MAX('Inputs'!$B$19,ROUND(G29*'Inputs'!$B$18,0))</x:f>
        <x:v>179</x:v>
      </x:c>
      <x:c r="I29" s="50" t="n">
        <x:f>ROUND('Inputs'!$B$16*(1+'Inputs'!$B$17*(A29-1))*D29/24*F29,0)</x:f>
        <x:v>168</x:v>
      </x:c>
      <x:c r="J29" s="50" t="n">
        <x:f>ROUNDUP(D29/(24/B29),0)*(24/B29)</x:f>
        <x:v>48</x:v>
      </x:c>
      <x:c r="K29" s="50" t="n">
        <x:f>G29*24/J29</x:f>
        <x:v>358</x:v>
      </x:c>
      <x:c r="L29" s="50" t="n">
        <x:f>I29*24/J29</x:f>
        <x:v>84</x:v>
      </x:c>
      <x:c r="M29" s="28" t="str">
        <x:v>Neutral 1.0/1.0 role; one slot; ideal repeated selection. No extra income after ready until next visit.</x:v>
      </x:c>
    </x:row>
    <x:row r="30" ht="38" customHeight="1">
      <x:c r="A30" s="28" t="n">
        <x:v>5</x:v>
      </x:c>
      <x:c r="B30" s="28" t="n">
        <x:v>6</x:v>
      </x:c>
      <x:c r="C30" s="28" t="str">
        <x:v>SC-20M</x:v>
      </x:c>
      <x:c r="D30" s="50" t="n">
        <x:f>VLOOKUP(C30,'Schedules'!$A$5:$G$9,3,FALSE)</x:f>
        <x:v>0.3333333333333333</x:v>
      </x:c>
      <x:c r="E30" s="50" t="n">
        <x:f>VLOOKUP(C30,'Schedules'!$A$5:$G$9,4,FALSE)</x:f>
        <x:v>1.25</x:v>
      </x:c>
      <x:c r="F30" s="50" t="n">
        <x:f>VLOOKUP(C30,'Schedules'!$A$5:$G$9,5,FALSE)</x:f>
        <x:v>1.25</x:v>
      </x:c>
      <x:c r="G30" s="50" t="n">
        <x:f>ROUND('Inputs'!$B$14*(1+'Inputs'!$B$15*(A30-1))*D30/24*E30,0)</x:f>
        <x:v>7</x:v>
      </x:c>
      <x:c r="H30" s="50" t="n">
        <x:f>MAX('Inputs'!$B$19,ROUND(G30*'Inputs'!$B$18,0))</x:f>
        <x:v>5</x:v>
      </x:c>
      <x:c r="I30" s="50" t="n">
        <x:f>ROUND('Inputs'!$B$16*(1+'Inputs'!$B$17*(A30-1))*D30/24*F30,0)</x:f>
        <x:v>2</x:v>
      </x:c>
      <x:c r="J30" s="50" t="n">
        <x:f>ROUNDUP(D30/(24/B30),0)*(24/B30)</x:f>
        <x:v>4</x:v>
      </x:c>
      <x:c r="K30" s="50" t="n">
        <x:f>G30*24/J30</x:f>
        <x:v>42</x:v>
      </x:c>
      <x:c r="L30" s="50" t="n">
        <x:f>I30*24/J30</x:f>
        <x:v>12</x:v>
      </x:c>
      <x:c r="M30" s="28" t="str">
        <x:v>Neutral 1.0/1.0 role; one slot; ideal repeated selection. No extra income after ready until next visit.</x:v>
      </x:c>
    </x:row>
    <x:row r="31" ht="38" customHeight="1">
      <x:c r="A31" s="28" t="n">
        <x:v>5</x:v>
      </x:c>
      <x:c r="B31" s="28" t="n">
        <x:v>6</x:v>
      </x:c>
      <x:c r="C31" s="28" t="str">
        <x:v>SC-2H</x:v>
      </x:c>
      <x:c r="D31" s="50" t="n">
        <x:f>VLOOKUP(C31,'Schedules'!$A$5:$G$9,3,FALSE)</x:f>
        <x:v>2</x:v>
      </x:c>
      <x:c r="E31" s="50" t="n">
        <x:f>VLOOKUP(C31,'Schedules'!$A$5:$G$9,4,FALSE)</x:f>
        <x:v>1.3</x:v>
      </x:c>
      <x:c r="F31" s="50" t="n">
        <x:f>VLOOKUP(C31,'Schedules'!$A$5:$G$9,5,FALSE)</x:f>
        <x:v>1.3</x:v>
      </x:c>
      <x:c r="G31" s="50" t="n">
        <x:f>ROUND('Inputs'!$B$14*(1+'Inputs'!$B$15*(A31-1))*D31/24*E31,0)</x:f>
        <x:v>46</x:v>
      </x:c>
      <x:c r="H31" s="50" t="n">
        <x:f>MAX('Inputs'!$B$19,ROUND(G31*'Inputs'!$B$18,0))</x:f>
        <x:v>12</x:v>
      </x:c>
      <x:c r="I31" s="50" t="n">
        <x:f>ROUND('Inputs'!$B$16*(1+'Inputs'!$B$17*(A31-1))*D31/24*F31,0)</x:f>
        <x:v>11</x:v>
      </x:c>
      <x:c r="J31" s="50" t="n">
        <x:f>ROUNDUP(D31/(24/B31),0)*(24/B31)</x:f>
        <x:v>4</x:v>
      </x:c>
      <x:c r="K31" s="50" t="n">
        <x:f>G31*24/J31</x:f>
        <x:v>276</x:v>
      </x:c>
      <x:c r="L31" s="50" t="n">
        <x:f>I31*24/J31</x:f>
        <x:v>66</x:v>
      </x:c>
      <x:c r="M31" s="28" t="str">
        <x:v>Neutral 1.0/1.0 role; one slot; ideal repeated selection. No extra income after ready until next visit.</x:v>
      </x:c>
    </x:row>
    <x:row r="32" ht="38" customHeight="1">
      <x:c r="A32" s="28" t="n">
        <x:v>5</x:v>
      </x:c>
      <x:c r="B32" s="28" t="n">
        <x:v>6</x:v>
      </x:c>
      <x:c r="C32" s="28" t="str">
        <x:v>SC-8H</x:v>
      </x:c>
      <x:c r="D32" s="50" t="n">
        <x:f>VLOOKUP(C32,'Schedules'!$A$5:$G$9,3,FALSE)</x:f>
        <x:v>8</x:v>
      </x:c>
      <x:c r="E32" s="50" t="n">
        <x:f>VLOOKUP(C32,'Schedules'!$A$5:$G$9,4,FALSE)</x:f>
        <x:v>1.3</x:v>
      </x:c>
      <x:c r="F32" s="50" t="n">
        <x:f>VLOOKUP(C32,'Schedules'!$A$5:$G$9,5,FALSE)</x:f>
        <x:v>1.3</x:v>
      </x:c>
      <x:c r="G32" s="50" t="n">
        <x:f>ROUND('Inputs'!$B$14*(1+'Inputs'!$B$15*(A32-1))*D32/24*E32,0)</x:f>
        <x:v>184</x:v>
      </x:c>
      <x:c r="H32" s="50" t="n">
        <x:f>MAX('Inputs'!$B$19,ROUND(G32*'Inputs'!$B$18,0))</x:f>
        <x:v>46</x:v>
      </x:c>
      <x:c r="I32" s="50" t="n">
        <x:f>ROUND('Inputs'!$B$16*(1+'Inputs'!$B$17*(A32-1))*D32/24*F32,0)</x:f>
        <x:v>43</x:v>
      </x:c>
      <x:c r="J32" s="50" t="n">
        <x:f>ROUNDUP(D32/(24/B32),0)*(24/B32)</x:f>
        <x:v>8</x:v>
      </x:c>
      <x:c r="K32" s="50" t="n">
        <x:f>G32*24/J32</x:f>
        <x:v>552</x:v>
      </x:c>
      <x:c r="L32" s="50" t="n">
        <x:f>I32*24/J32</x:f>
        <x:v>129</x:v>
      </x:c>
      <x:c r="M32" s="28" t="str">
        <x:v>Neutral 1.0/1.0 role; one slot; ideal repeated selection. No extra income after ready until next visit.</x:v>
      </x:c>
    </x:row>
    <x:row r="33" ht="38" customHeight="1">
      <x:c r="A33" s="28" t="n">
        <x:v>5</x:v>
      </x:c>
      <x:c r="B33" s="28" t="n">
        <x:v>6</x:v>
      </x:c>
      <x:c r="C33" s="28" t="str">
        <x:v>SC-20H</x:v>
      </x:c>
      <x:c r="D33" s="50" t="n">
        <x:f>VLOOKUP(C33,'Schedules'!$A$5:$G$9,3,FALSE)</x:f>
        <x:v>20</x:v>
      </x:c>
      <x:c r="E33" s="50" t="n">
        <x:f>VLOOKUP(C33,'Schedules'!$A$5:$G$9,4,FALSE)</x:f>
        <x:v>1</x:v>
      </x:c>
      <x:c r="F33" s="50" t="n">
        <x:f>VLOOKUP(C33,'Schedules'!$A$5:$G$9,5,FALSE)</x:f>
        <x:v>1</x:v>
      </x:c>
      <x:c r="G33" s="50" t="n">
        <x:f>ROUND('Inputs'!$B$14*(1+'Inputs'!$B$15*(A33-1))*D33/24*E33,0)</x:f>
        <x:v>354</x:v>
      </x:c>
      <x:c r="H33" s="50" t="n">
        <x:f>MAX('Inputs'!$B$19,ROUND(G33*'Inputs'!$B$18,0))</x:f>
        <x:v>89</x:v>
      </x:c>
      <x:c r="I33" s="50" t="n">
        <x:f>ROUND('Inputs'!$B$16*(1+'Inputs'!$B$17*(A33-1))*D33/24*F33,0)</x:f>
        <x:v>83</x:v>
      </x:c>
      <x:c r="J33" s="50" t="n">
        <x:f>ROUNDUP(D33/(24/B33),0)*(24/B33)</x:f>
        <x:v>20</x:v>
      </x:c>
      <x:c r="K33" s="50" t="n">
        <x:f>G33*24/J33</x:f>
        <x:v>424.8</x:v>
      </x:c>
      <x:c r="L33" s="50" t="n">
        <x:f>I33*24/J33</x:f>
        <x:v>99.6</x:v>
      </x:c>
      <x:c r="M33" s="28" t="str">
        <x:v>Neutral 1.0/1.0 role; one slot; ideal repeated selection. No extra income after ready until next visit.</x:v>
      </x:c>
    </x:row>
    <x:row r="34" ht="38" customHeight="1">
      <x:c r="A34" s="28" t="n">
        <x:v>5</x:v>
      </x:c>
      <x:c r="B34" s="28" t="n">
        <x:v>6</x:v>
      </x:c>
      <x:c r="C34" s="28" t="str">
        <x:v>SC-44H</x:v>
      </x:c>
      <x:c r="D34" s="50" t="n">
        <x:f>VLOOKUP(C34,'Schedules'!$A$5:$G$9,3,FALSE)</x:f>
        <x:v>44</x:v>
      </x:c>
      <x:c r="E34" s="50" t="n">
        <x:f>VLOOKUP(C34,'Schedules'!$A$5:$G$9,4,FALSE)</x:f>
        <x:v>0.92</x:v>
      </x:c>
      <x:c r="F34" s="50" t="n">
        <x:f>VLOOKUP(C34,'Schedules'!$A$5:$G$9,5,FALSE)</x:f>
        <x:v>0.92</x:v>
      </x:c>
      <x:c r="G34" s="50" t="n">
        <x:f>ROUND('Inputs'!$B$14*(1+'Inputs'!$B$15*(A34-1))*D34/24*E34,0)</x:f>
        <x:v>716</x:v>
      </x:c>
      <x:c r="H34" s="50" t="n">
        <x:f>MAX('Inputs'!$B$19,ROUND(G34*'Inputs'!$B$18,0))</x:f>
        <x:v>179</x:v>
      </x:c>
      <x:c r="I34" s="50" t="n">
        <x:f>ROUND('Inputs'!$B$16*(1+'Inputs'!$B$17*(A34-1))*D34/24*F34,0)</x:f>
        <x:v>168</x:v>
      </x:c>
      <x:c r="J34" s="50" t="n">
        <x:f>ROUNDUP(D34/(24/B34),0)*(24/B34)</x:f>
        <x:v>44</x:v>
      </x:c>
      <x:c r="K34" s="50" t="n">
        <x:f>G34*24/J34</x:f>
        <x:v>390.54545454545456</x:v>
      </x:c>
      <x:c r="L34" s="50" t="n">
        <x:f>I34*24/J34</x:f>
        <x:v>91.63636363636364</x:v>
      </x:c>
      <x:c r="M34" s="28" t="str">
        <x:v>Neutral 1.0/1.0 role; one slot; ideal repeated selection. No extra income after ready until next visit.</x:v>
      </x:c>
    </x:row>
    <x:row r="35" ht="38" customHeight="1">
      <x:c r="A35" s="28" t="n">
        <x:v>10</x:v>
      </x:c>
      <x:c r="B35" s="28" t="n">
        <x:v>1</x:v>
      </x:c>
      <x:c r="C35" s="28" t="str">
        <x:v>SC-20M</x:v>
      </x:c>
      <x:c r="D35" s="50" t="n">
        <x:f>VLOOKUP(C35,'Schedules'!$A$5:$G$9,3,FALSE)</x:f>
        <x:v>0.3333333333333333</x:v>
      </x:c>
      <x:c r="E35" s="50" t="n">
        <x:f>VLOOKUP(C35,'Schedules'!$A$5:$G$9,4,FALSE)</x:f>
        <x:v>1.25</x:v>
      </x:c>
      <x:c r="F35" s="50" t="n">
        <x:f>VLOOKUP(C35,'Schedules'!$A$5:$G$9,5,FALSE)</x:f>
        <x:v>1.25</x:v>
      </x:c>
      <x:c r="G35" s="50" t="n">
        <x:f>ROUND('Inputs'!$B$14*(1+'Inputs'!$B$15*(A35-1))*D35/24*E35,0)</x:f>
        <x:v>9</x:v>
      </x:c>
      <x:c r="H35" s="50" t="n">
        <x:f>MAX('Inputs'!$B$19,ROUND(G35*'Inputs'!$B$18,0))</x:f>
        <x:v>5</x:v>
      </x:c>
      <x:c r="I35" s="50" t="n">
        <x:f>ROUND('Inputs'!$B$16*(1+'Inputs'!$B$17*(A35-1))*D35/24*F35,0)</x:f>
        <x:v>2</x:v>
      </x:c>
      <x:c r="J35" s="50" t="n">
        <x:f>ROUNDUP(D35/(24/B35),0)*(24/B35)</x:f>
        <x:v>24</x:v>
      </x:c>
      <x:c r="K35" s="50" t="n">
        <x:f>G35*24/J35</x:f>
        <x:v>9</x:v>
      </x:c>
      <x:c r="L35" s="50" t="n">
        <x:f>I35*24/J35</x:f>
        <x:v>2</x:v>
      </x:c>
      <x:c r="M35" s="28" t="str">
        <x:v>Neutral 1.0/1.0 role; one slot; ideal repeated selection. No extra income after ready until next visit.</x:v>
      </x:c>
    </x:row>
    <x:row r="36" ht="38" customHeight="1">
      <x:c r="A36" s="28" t="n">
        <x:v>10</x:v>
      </x:c>
      <x:c r="B36" s="28" t="n">
        <x:v>1</x:v>
      </x:c>
      <x:c r="C36" s="28" t="str">
        <x:v>SC-2H</x:v>
      </x:c>
      <x:c r="D36" s="50" t="n">
        <x:f>VLOOKUP(C36,'Schedules'!$A$5:$G$9,3,FALSE)</x:f>
        <x:v>2</x:v>
      </x:c>
      <x:c r="E36" s="50" t="n">
        <x:f>VLOOKUP(C36,'Schedules'!$A$5:$G$9,4,FALSE)</x:f>
        <x:v>1.3</x:v>
      </x:c>
      <x:c r="F36" s="50" t="n">
        <x:f>VLOOKUP(C36,'Schedules'!$A$5:$G$9,5,FALSE)</x:f>
        <x:v>1.3</x:v>
      </x:c>
      <x:c r="G36" s="50" t="n">
        <x:f>ROUND('Inputs'!$B$14*(1+'Inputs'!$B$15*(A36-1))*D36/24*E36,0)</x:f>
        <x:v>55</x:v>
      </x:c>
      <x:c r="H36" s="50" t="n">
        <x:f>MAX('Inputs'!$B$19,ROUND(G36*'Inputs'!$B$18,0))</x:f>
        <x:v>14</x:v>
      </x:c>
      <x:c r="I36" s="50" t="n">
        <x:f>ROUND('Inputs'!$B$16*(1+'Inputs'!$B$17*(A36-1))*D36/24*F36,0)</x:f>
        <x:v>11</x:v>
      </x:c>
      <x:c r="J36" s="50" t="n">
        <x:f>ROUNDUP(D36/(24/B36),0)*(24/B36)</x:f>
        <x:v>24</x:v>
      </x:c>
      <x:c r="K36" s="50" t="n">
        <x:f>G36*24/J36</x:f>
        <x:v>55</x:v>
      </x:c>
      <x:c r="L36" s="50" t="n">
        <x:f>I36*24/J36</x:f>
        <x:v>11</x:v>
      </x:c>
      <x:c r="M36" s="28" t="str">
        <x:v>Neutral 1.0/1.0 role; one slot; ideal repeated selection. No extra income after ready until next visit.</x:v>
      </x:c>
    </x:row>
    <x:row r="37" ht="38" customHeight="1">
      <x:c r="A37" s="28" t="n">
        <x:v>10</x:v>
      </x:c>
      <x:c r="B37" s="28" t="n">
        <x:v>1</x:v>
      </x:c>
      <x:c r="C37" s="28" t="str">
        <x:v>SC-8H</x:v>
      </x:c>
      <x:c r="D37" s="50" t="n">
        <x:f>VLOOKUP(C37,'Schedules'!$A$5:$G$9,3,FALSE)</x:f>
        <x:v>8</x:v>
      </x:c>
      <x:c r="E37" s="50" t="n">
        <x:f>VLOOKUP(C37,'Schedules'!$A$5:$G$9,4,FALSE)</x:f>
        <x:v>1.3</x:v>
      </x:c>
      <x:c r="F37" s="50" t="n">
        <x:f>VLOOKUP(C37,'Schedules'!$A$5:$G$9,5,FALSE)</x:f>
        <x:v>1.3</x:v>
      </x:c>
      <x:c r="G37" s="50" t="n">
        <x:f>ROUND('Inputs'!$B$14*(1+'Inputs'!$B$15*(A37-1))*D37/24*E37,0)</x:f>
        <x:v>219</x:v>
      </x:c>
      <x:c r="H37" s="50" t="n">
        <x:f>MAX('Inputs'!$B$19,ROUND(G37*'Inputs'!$B$18,0))</x:f>
        <x:v>55</x:v>
      </x:c>
      <x:c r="I37" s="50" t="n">
        <x:f>ROUND('Inputs'!$B$16*(1+'Inputs'!$B$17*(A37-1))*D37/24*F37,0)</x:f>
        <x:v>45</x:v>
      </x:c>
      <x:c r="J37" s="50" t="n">
        <x:f>ROUNDUP(D37/(24/B37),0)*(24/B37)</x:f>
        <x:v>24</x:v>
      </x:c>
      <x:c r="K37" s="50" t="n">
        <x:f>G37*24/J37</x:f>
        <x:v>219</x:v>
      </x:c>
      <x:c r="L37" s="50" t="n">
        <x:f>I37*24/J37</x:f>
        <x:v>45</x:v>
      </x:c>
      <x:c r="M37" s="28" t="str">
        <x:v>Neutral 1.0/1.0 role; one slot; ideal repeated selection. No extra income after ready until next visit.</x:v>
      </x:c>
    </x:row>
    <x:row r="38" ht="38" customHeight="1">
      <x:c r="A38" s="28" t="n">
        <x:v>10</x:v>
      </x:c>
      <x:c r="B38" s="28" t="n">
        <x:v>1</x:v>
      </x:c>
      <x:c r="C38" s="28" t="str">
        <x:v>SC-20H</x:v>
      </x:c>
      <x:c r="D38" s="50" t="n">
        <x:f>VLOOKUP(C38,'Schedules'!$A$5:$G$9,3,FALSE)</x:f>
        <x:v>20</x:v>
      </x:c>
      <x:c r="E38" s="50" t="n">
        <x:f>VLOOKUP(C38,'Schedules'!$A$5:$G$9,4,FALSE)</x:f>
        <x:v>1</x:v>
      </x:c>
      <x:c r="F38" s="50" t="n">
        <x:f>VLOOKUP(C38,'Schedules'!$A$5:$G$9,5,FALSE)</x:f>
        <x:v>1</x:v>
      </x:c>
      <x:c r="G38" s="50" t="n">
        <x:f>ROUND('Inputs'!$B$14*(1+'Inputs'!$B$15*(A38-1))*D38/24*E38,0)</x:f>
        <x:v>422</x:v>
      </x:c>
      <x:c r="H38" s="50" t="n">
        <x:f>MAX('Inputs'!$B$19,ROUND(G38*'Inputs'!$B$18,0))</x:f>
        <x:v>106</x:v>
      </x:c>
      <x:c r="I38" s="50" t="n">
        <x:f>ROUND('Inputs'!$B$16*(1+'Inputs'!$B$17*(A38-1))*D38/24*F38,0)</x:f>
        <x:v>87</x:v>
      </x:c>
      <x:c r="J38" s="50" t="n">
        <x:f>ROUNDUP(D38/(24/B38),0)*(24/B38)</x:f>
        <x:v>24</x:v>
      </x:c>
      <x:c r="K38" s="50" t="n">
        <x:f>G38*24/J38</x:f>
        <x:v>422</x:v>
      </x:c>
      <x:c r="L38" s="50" t="n">
        <x:f>I38*24/J38</x:f>
        <x:v>87</x:v>
      </x:c>
      <x:c r="M38" s="28" t="str">
        <x:v>Neutral 1.0/1.0 role; one slot; ideal repeated selection. No extra income after ready until next visit.</x:v>
      </x:c>
    </x:row>
    <x:row r="39" ht="38" customHeight="1">
      <x:c r="A39" s="28" t="n">
        <x:v>10</x:v>
      </x:c>
      <x:c r="B39" s="28" t="n">
        <x:v>1</x:v>
      </x:c>
      <x:c r="C39" s="28" t="str">
        <x:v>SC-44H</x:v>
      </x:c>
      <x:c r="D39" s="50" t="n">
        <x:f>VLOOKUP(C39,'Schedules'!$A$5:$G$9,3,FALSE)</x:f>
        <x:v>44</x:v>
      </x:c>
      <x:c r="E39" s="50" t="n">
        <x:f>VLOOKUP(C39,'Schedules'!$A$5:$G$9,4,FALSE)</x:f>
        <x:v>0.92</x:v>
      </x:c>
      <x:c r="F39" s="50" t="n">
        <x:f>VLOOKUP(C39,'Schedules'!$A$5:$G$9,5,FALSE)</x:f>
        <x:v>0.92</x:v>
      </x:c>
      <x:c r="G39" s="50" t="n">
        <x:f>ROUND('Inputs'!$B$14*(1+'Inputs'!$B$15*(A39-1))*D39/24*E39,0)</x:f>
        <x:v>853</x:v>
      </x:c>
      <x:c r="H39" s="50" t="n">
        <x:f>MAX('Inputs'!$B$19,ROUND(G39*'Inputs'!$B$18,0))</x:f>
        <x:v>213</x:v>
      </x:c>
      <x:c r="I39" s="50" t="n">
        <x:f>ROUND('Inputs'!$B$16*(1+'Inputs'!$B$17*(A39-1))*D39/24*F39,0)</x:f>
        <x:v>176</x:v>
      </x:c>
      <x:c r="J39" s="50" t="n">
        <x:f>ROUNDUP(D39/(24/B39),0)*(24/B39)</x:f>
        <x:v>48</x:v>
      </x:c>
      <x:c r="K39" s="50" t="n">
        <x:f>G39*24/J39</x:f>
        <x:v>426.5</x:v>
      </x:c>
      <x:c r="L39" s="50" t="n">
        <x:f>I39*24/J39</x:f>
        <x:v>88</x:v>
      </x:c>
      <x:c r="M39" s="28" t="str">
        <x:v>Neutral 1.0/1.0 role; one slot; ideal repeated selection. No extra income after ready until next visit.</x:v>
      </x:c>
    </x:row>
    <x:row r="40" ht="38" customHeight="1">
      <x:c r="A40" s="28" t="n">
        <x:v>10</x:v>
      </x:c>
      <x:c r="B40" s="28" t="n">
        <x:v>2</x:v>
      </x:c>
      <x:c r="C40" s="28" t="str">
        <x:v>SC-20M</x:v>
      </x:c>
      <x:c r="D40" s="50" t="n">
        <x:f>VLOOKUP(C40,'Schedules'!$A$5:$G$9,3,FALSE)</x:f>
        <x:v>0.3333333333333333</x:v>
      </x:c>
      <x:c r="E40" s="50" t="n">
        <x:f>VLOOKUP(C40,'Schedules'!$A$5:$G$9,4,FALSE)</x:f>
        <x:v>1.25</x:v>
      </x:c>
      <x:c r="F40" s="50" t="n">
        <x:f>VLOOKUP(C40,'Schedules'!$A$5:$G$9,5,FALSE)</x:f>
        <x:v>1.25</x:v>
      </x:c>
      <x:c r="G40" s="50" t="n">
        <x:f>ROUND('Inputs'!$B$14*(1+'Inputs'!$B$15*(A40-1))*D40/24*E40,0)</x:f>
        <x:v>9</x:v>
      </x:c>
      <x:c r="H40" s="50" t="n">
        <x:f>MAX('Inputs'!$B$19,ROUND(G40*'Inputs'!$B$18,0))</x:f>
        <x:v>5</x:v>
      </x:c>
      <x:c r="I40" s="50" t="n">
        <x:f>ROUND('Inputs'!$B$16*(1+'Inputs'!$B$17*(A40-1))*D40/24*F40,0)</x:f>
        <x:v>2</x:v>
      </x:c>
      <x:c r="J40" s="50" t="n">
        <x:f>ROUNDUP(D40/(24/B40),0)*(24/B40)</x:f>
        <x:v>12</x:v>
      </x:c>
      <x:c r="K40" s="50" t="n">
        <x:f>G40*24/J40</x:f>
        <x:v>18</x:v>
      </x:c>
      <x:c r="L40" s="50" t="n">
        <x:f>I40*24/J40</x:f>
        <x:v>4</x:v>
      </x:c>
      <x:c r="M40" s="28" t="str">
        <x:v>Neutral 1.0/1.0 role; one slot; ideal repeated selection. No extra income after ready until next visit.</x:v>
      </x:c>
    </x:row>
    <x:row r="41" ht="38" customHeight="1">
      <x:c r="A41" s="28" t="n">
        <x:v>10</x:v>
      </x:c>
      <x:c r="B41" s="28" t="n">
        <x:v>2</x:v>
      </x:c>
      <x:c r="C41" s="28" t="str">
        <x:v>SC-2H</x:v>
      </x:c>
      <x:c r="D41" s="50" t="n">
        <x:f>VLOOKUP(C41,'Schedules'!$A$5:$G$9,3,FALSE)</x:f>
        <x:v>2</x:v>
      </x:c>
      <x:c r="E41" s="50" t="n">
        <x:f>VLOOKUP(C41,'Schedules'!$A$5:$G$9,4,FALSE)</x:f>
        <x:v>1.3</x:v>
      </x:c>
      <x:c r="F41" s="50" t="n">
        <x:f>VLOOKUP(C41,'Schedules'!$A$5:$G$9,5,FALSE)</x:f>
        <x:v>1.3</x:v>
      </x:c>
      <x:c r="G41" s="50" t="n">
        <x:f>ROUND('Inputs'!$B$14*(1+'Inputs'!$B$15*(A41-1))*D41/24*E41,0)</x:f>
        <x:v>55</x:v>
      </x:c>
      <x:c r="H41" s="50" t="n">
        <x:f>MAX('Inputs'!$B$19,ROUND(G41*'Inputs'!$B$18,0))</x:f>
        <x:v>14</x:v>
      </x:c>
      <x:c r="I41" s="50" t="n">
        <x:f>ROUND('Inputs'!$B$16*(1+'Inputs'!$B$17*(A41-1))*D41/24*F41,0)</x:f>
        <x:v>11</x:v>
      </x:c>
      <x:c r="J41" s="50" t="n">
        <x:f>ROUNDUP(D41/(24/B41),0)*(24/B41)</x:f>
        <x:v>12</x:v>
      </x:c>
      <x:c r="K41" s="50" t="n">
        <x:f>G41*24/J41</x:f>
        <x:v>110</x:v>
      </x:c>
      <x:c r="L41" s="50" t="n">
        <x:f>I41*24/J41</x:f>
        <x:v>22</x:v>
      </x:c>
      <x:c r="M41" s="28" t="str">
        <x:v>Neutral 1.0/1.0 role; one slot; ideal repeated selection. No extra income after ready until next visit.</x:v>
      </x:c>
    </x:row>
    <x:row r="42" ht="38" customHeight="1">
      <x:c r="A42" s="28" t="n">
        <x:v>10</x:v>
      </x:c>
      <x:c r="B42" s="28" t="n">
        <x:v>2</x:v>
      </x:c>
      <x:c r="C42" s="28" t="str">
        <x:v>SC-8H</x:v>
      </x:c>
      <x:c r="D42" s="50" t="n">
        <x:f>VLOOKUP(C42,'Schedules'!$A$5:$G$9,3,FALSE)</x:f>
        <x:v>8</x:v>
      </x:c>
      <x:c r="E42" s="50" t="n">
        <x:f>VLOOKUP(C42,'Schedules'!$A$5:$G$9,4,FALSE)</x:f>
        <x:v>1.3</x:v>
      </x:c>
      <x:c r="F42" s="50" t="n">
        <x:f>VLOOKUP(C42,'Schedules'!$A$5:$G$9,5,FALSE)</x:f>
        <x:v>1.3</x:v>
      </x:c>
      <x:c r="G42" s="50" t="n">
        <x:f>ROUND('Inputs'!$B$14*(1+'Inputs'!$B$15*(A42-1))*D42/24*E42,0)</x:f>
        <x:v>219</x:v>
      </x:c>
      <x:c r="H42" s="50" t="n">
        <x:f>MAX('Inputs'!$B$19,ROUND(G42*'Inputs'!$B$18,0))</x:f>
        <x:v>55</x:v>
      </x:c>
      <x:c r="I42" s="50" t="n">
        <x:f>ROUND('Inputs'!$B$16*(1+'Inputs'!$B$17*(A42-1))*D42/24*F42,0)</x:f>
        <x:v>45</x:v>
      </x:c>
      <x:c r="J42" s="50" t="n">
        <x:f>ROUNDUP(D42/(24/B42),0)*(24/B42)</x:f>
        <x:v>12</x:v>
      </x:c>
      <x:c r="K42" s="50" t="n">
        <x:f>G42*24/J42</x:f>
        <x:v>438</x:v>
      </x:c>
      <x:c r="L42" s="50" t="n">
        <x:f>I42*24/J42</x:f>
        <x:v>90</x:v>
      </x:c>
      <x:c r="M42" s="28" t="str">
        <x:v>Neutral 1.0/1.0 role; one slot; ideal repeated selection. No extra income after ready until next visit.</x:v>
      </x:c>
    </x:row>
    <x:row r="43" ht="38" customHeight="1">
      <x:c r="A43" s="28" t="n">
        <x:v>10</x:v>
      </x:c>
      <x:c r="B43" s="28" t="n">
        <x:v>2</x:v>
      </x:c>
      <x:c r="C43" s="28" t="str">
        <x:v>SC-20H</x:v>
      </x:c>
      <x:c r="D43" s="50" t="n">
        <x:f>VLOOKUP(C43,'Schedules'!$A$5:$G$9,3,FALSE)</x:f>
        <x:v>20</x:v>
      </x:c>
      <x:c r="E43" s="50" t="n">
        <x:f>VLOOKUP(C43,'Schedules'!$A$5:$G$9,4,FALSE)</x:f>
        <x:v>1</x:v>
      </x:c>
      <x:c r="F43" s="50" t="n">
        <x:f>VLOOKUP(C43,'Schedules'!$A$5:$G$9,5,FALSE)</x:f>
        <x:v>1</x:v>
      </x:c>
      <x:c r="G43" s="50" t="n">
        <x:f>ROUND('Inputs'!$B$14*(1+'Inputs'!$B$15*(A43-1))*D43/24*E43,0)</x:f>
        <x:v>422</x:v>
      </x:c>
      <x:c r="H43" s="50" t="n">
        <x:f>MAX('Inputs'!$B$19,ROUND(G43*'Inputs'!$B$18,0))</x:f>
        <x:v>106</x:v>
      </x:c>
      <x:c r="I43" s="50" t="n">
        <x:f>ROUND('Inputs'!$B$16*(1+'Inputs'!$B$17*(A43-1))*D43/24*F43,0)</x:f>
        <x:v>87</x:v>
      </x:c>
      <x:c r="J43" s="50" t="n">
        <x:f>ROUNDUP(D43/(24/B43),0)*(24/B43)</x:f>
        <x:v>24</x:v>
      </x:c>
      <x:c r="K43" s="50" t="n">
        <x:f>G43*24/J43</x:f>
        <x:v>422</x:v>
      </x:c>
      <x:c r="L43" s="50" t="n">
        <x:f>I43*24/J43</x:f>
        <x:v>87</x:v>
      </x:c>
      <x:c r="M43" s="28" t="str">
        <x:v>Neutral 1.0/1.0 role; one slot; ideal repeated selection. No extra income after ready until next visit.</x:v>
      </x:c>
    </x:row>
    <x:row r="44" ht="38" customHeight="1">
      <x:c r="A44" s="28" t="n">
        <x:v>10</x:v>
      </x:c>
      <x:c r="B44" s="28" t="n">
        <x:v>2</x:v>
      </x:c>
      <x:c r="C44" s="28" t="str">
        <x:v>SC-44H</x:v>
      </x:c>
      <x:c r="D44" s="50" t="n">
        <x:f>VLOOKUP(C44,'Schedules'!$A$5:$G$9,3,FALSE)</x:f>
        <x:v>44</x:v>
      </x:c>
      <x:c r="E44" s="50" t="n">
        <x:f>VLOOKUP(C44,'Schedules'!$A$5:$G$9,4,FALSE)</x:f>
        <x:v>0.92</x:v>
      </x:c>
      <x:c r="F44" s="50" t="n">
        <x:f>VLOOKUP(C44,'Schedules'!$A$5:$G$9,5,FALSE)</x:f>
        <x:v>0.92</x:v>
      </x:c>
      <x:c r="G44" s="50" t="n">
        <x:f>ROUND('Inputs'!$B$14*(1+'Inputs'!$B$15*(A44-1))*D44/24*E44,0)</x:f>
        <x:v>853</x:v>
      </x:c>
      <x:c r="H44" s="50" t="n">
        <x:f>MAX('Inputs'!$B$19,ROUND(G44*'Inputs'!$B$18,0))</x:f>
        <x:v>213</x:v>
      </x:c>
      <x:c r="I44" s="50" t="n">
        <x:f>ROUND('Inputs'!$B$16*(1+'Inputs'!$B$17*(A44-1))*D44/24*F44,0)</x:f>
        <x:v>176</x:v>
      </x:c>
      <x:c r="J44" s="50" t="n">
        <x:f>ROUNDUP(D44/(24/B44),0)*(24/B44)</x:f>
        <x:v>48</x:v>
      </x:c>
      <x:c r="K44" s="50" t="n">
        <x:f>G44*24/J44</x:f>
        <x:v>426.5</x:v>
      </x:c>
      <x:c r="L44" s="50" t="n">
        <x:f>I44*24/J44</x:f>
        <x:v>88</x:v>
      </x:c>
      <x:c r="M44" s="28" t="str">
        <x:v>Neutral 1.0/1.0 role; one slot; ideal repeated selection. No extra income after ready until next visit.</x:v>
      </x:c>
    </x:row>
    <x:row r="45" ht="38" customHeight="1">
      <x:c r="A45" s="28" t="n">
        <x:v>10</x:v>
      </x:c>
      <x:c r="B45" s="28" t="n">
        <x:v>6</x:v>
      </x:c>
      <x:c r="C45" s="28" t="str">
        <x:v>SC-20M</x:v>
      </x:c>
      <x:c r="D45" s="50" t="n">
        <x:f>VLOOKUP(C45,'Schedules'!$A$5:$G$9,3,FALSE)</x:f>
        <x:v>0.3333333333333333</x:v>
      </x:c>
      <x:c r="E45" s="50" t="n">
        <x:f>VLOOKUP(C45,'Schedules'!$A$5:$G$9,4,FALSE)</x:f>
        <x:v>1.25</x:v>
      </x:c>
      <x:c r="F45" s="50" t="n">
        <x:f>VLOOKUP(C45,'Schedules'!$A$5:$G$9,5,FALSE)</x:f>
        <x:v>1.25</x:v>
      </x:c>
      <x:c r="G45" s="50" t="n">
        <x:f>ROUND('Inputs'!$B$14*(1+'Inputs'!$B$15*(A45-1))*D45/24*E45,0)</x:f>
        <x:v>9</x:v>
      </x:c>
      <x:c r="H45" s="50" t="n">
        <x:f>MAX('Inputs'!$B$19,ROUND(G45*'Inputs'!$B$18,0))</x:f>
        <x:v>5</x:v>
      </x:c>
      <x:c r="I45" s="50" t="n">
        <x:f>ROUND('Inputs'!$B$16*(1+'Inputs'!$B$17*(A45-1))*D45/24*F45,0)</x:f>
        <x:v>2</x:v>
      </x:c>
      <x:c r="J45" s="50" t="n">
        <x:f>ROUNDUP(D45/(24/B45),0)*(24/B45)</x:f>
        <x:v>4</x:v>
      </x:c>
      <x:c r="K45" s="50" t="n">
        <x:f>G45*24/J45</x:f>
        <x:v>54</x:v>
      </x:c>
      <x:c r="L45" s="50" t="n">
        <x:f>I45*24/J45</x:f>
        <x:v>12</x:v>
      </x:c>
      <x:c r="M45" s="28" t="str">
        <x:v>Neutral 1.0/1.0 role; one slot; ideal repeated selection. No extra income after ready until next visit.</x:v>
      </x:c>
    </x:row>
    <x:row r="46" ht="38" customHeight="1">
      <x:c r="A46" s="28" t="n">
        <x:v>10</x:v>
      </x:c>
      <x:c r="B46" s="28" t="n">
        <x:v>6</x:v>
      </x:c>
      <x:c r="C46" s="28" t="str">
        <x:v>SC-2H</x:v>
      </x:c>
      <x:c r="D46" s="50" t="n">
        <x:f>VLOOKUP(C46,'Schedules'!$A$5:$G$9,3,FALSE)</x:f>
        <x:v>2</x:v>
      </x:c>
      <x:c r="E46" s="50" t="n">
        <x:f>VLOOKUP(C46,'Schedules'!$A$5:$G$9,4,FALSE)</x:f>
        <x:v>1.3</x:v>
      </x:c>
      <x:c r="F46" s="50" t="n">
        <x:f>VLOOKUP(C46,'Schedules'!$A$5:$G$9,5,FALSE)</x:f>
        <x:v>1.3</x:v>
      </x:c>
      <x:c r="G46" s="50" t="n">
        <x:f>ROUND('Inputs'!$B$14*(1+'Inputs'!$B$15*(A46-1))*D46/24*E46,0)</x:f>
        <x:v>55</x:v>
      </x:c>
      <x:c r="H46" s="50" t="n">
        <x:f>MAX('Inputs'!$B$19,ROUND(G46*'Inputs'!$B$18,0))</x:f>
        <x:v>14</x:v>
      </x:c>
      <x:c r="I46" s="50" t="n">
        <x:f>ROUND('Inputs'!$B$16*(1+'Inputs'!$B$17*(A46-1))*D46/24*F46,0)</x:f>
        <x:v>11</x:v>
      </x:c>
      <x:c r="J46" s="50" t="n">
        <x:f>ROUNDUP(D46/(24/B46),0)*(24/B46)</x:f>
        <x:v>4</x:v>
      </x:c>
      <x:c r="K46" s="50" t="n">
        <x:f>G46*24/J46</x:f>
        <x:v>330</x:v>
      </x:c>
      <x:c r="L46" s="50" t="n">
        <x:f>I46*24/J46</x:f>
        <x:v>66</x:v>
      </x:c>
      <x:c r="M46" s="28" t="str">
        <x:v>Neutral 1.0/1.0 role; one slot; ideal repeated selection. No extra income after ready until next visit.</x:v>
      </x:c>
    </x:row>
    <x:row r="47" ht="38" customHeight="1">
      <x:c r="A47" s="28" t="n">
        <x:v>10</x:v>
      </x:c>
      <x:c r="B47" s="28" t="n">
        <x:v>6</x:v>
      </x:c>
      <x:c r="C47" s="28" t="str">
        <x:v>SC-8H</x:v>
      </x:c>
      <x:c r="D47" s="50" t="n">
        <x:f>VLOOKUP(C47,'Schedules'!$A$5:$G$9,3,FALSE)</x:f>
        <x:v>8</x:v>
      </x:c>
      <x:c r="E47" s="50" t="n">
        <x:f>VLOOKUP(C47,'Schedules'!$A$5:$G$9,4,FALSE)</x:f>
        <x:v>1.3</x:v>
      </x:c>
      <x:c r="F47" s="50" t="n">
        <x:f>VLOOKUP(C47,'Schedules'!$A$5:$G$9,5,FALSE)</x:f>
        <x:v>1.3</x:v>
      </x:c>
      <x:c r="G47" s="50" t="n">
        <x:f>ROUND('Inputs'!$B$14*(1+'Inputs'!$B$15*(A47-1))*D47/24*E47,0)</x:f>
        <x:v>219</x:v>
      </x:c>
      <x:c r="H47" s="50" t="n">
        <x:f>MAX('Inputs'!$B$19,ROUND(G47*'Inputs'!$B$18,0))</x:f>
        <x:v>55</x:v>
      </x:c>
      <x:c r="I47" s="50" t="n">
        <x:f>ROUND('Inputs'!$B$16*(1+'Inputs'!$B$17*(A47-1))*D47/24*F47,0)</x:f>
        <x:v>45</x:v>
      </x:c>
      <x:c r="J47" s="50" t="n">
        <x:f>ROUNDUP(D47/(24/B47),0)*(24/B47)</x:f>
        <x:v>8</x:v>
      </x:c>
      <x:c r="K47" s="50" t="n">
        <x:f>G47*24/J47</x:f>
        <x:v>657</x:v>
      </x:c>
      <x:c r="L47" s="50" t="n">
        <x:f>I47*24/J47</x:f>
        <x:v>135</x:v>
      </x:c>
      <x:c r="M47" s="28" t="str">
        <x:v>Neutral 1.0/1.0 role; one slot; ideal repeated selection. No extra income after ready until next visit.</x:v>
      </x:c>
    </x:row>
    <x:row r="48" ht="38" customHeight="1">
      <x:c r="A48" s="28" t="n">
        <x:v>10</x:v>
      </x:c>
      <x:c r="B48" s="28" t="n">
        <x:v>6</x:v>
      </x:c>
      <x:c r="C48" s="28" t="str">
        <x:v>SC-20H</x:v>
      </x:c>
      <x:c r="D48" s="50" t="n">
        <x:f>VLOOKUP(C48,'Schedules'!$A$5:$G$9,3,FALSE)</x:f>
        <x:v>20</x:v>
      </x:c>
      <x:c r="E48" s="50" t="n">
        <x:f>VLOOKUP(C48,'Schedules'!$A$5:$G$9,4,FALSE)</x:f>
        <x:v>1</x:v>
      </x:c>
      <x:c r="F48" s="50" t="n">
        <x:f>VLOOKUP(C48,'Schedules'!$A$5:$G$9,5,FALSE)</x:f>
        <x:v>1</x:v>
      </x:c>
      <x:c r="G48" s="50" t="n">
        <x:f>ROUND('Inputs'!$B$14*(1+'Inputs'!$B$15*(A48-1))*D48/24*E48,0)</x:f>
        <x:v>422</x:v>
      </x:c>
      <x:c r="H48" s="50" t="n">
        <x:f>MAX('Inputs'!$B$19,ROUND(G48*'Inputs'!$B$18,0))</x:f>
        <x:v>106</x:v>
      </x:c>
      <x:c r="I48" s="50" t="n">
        <x:f>ROUND('Inputs'!$B$16*(1+'Inputs'!$B$17*(A48-1))*D48/24*F48,0)</x:f>
        <x:v>87</x:v>
      </x:c>
      <x:c r="J48" s="50" t="n">
        <x:f>ROUNDUP(D48/(24/B48),0)*(24/B48)</x:f>
        <x:v>20</x:v>
      </x:c>
      <x:c r="K48" s="50" t="n">
        <x:f>G48*24/J48</x:f>
        <x:v>506.4</x:v>
      </x:c>
      <x:c r="L48" s="50" t="n">
        <x:f>I48*24/J48</x:f>
        <x:v>104.4</x:v>
      </x:c>
      <x:c r="M48" s="28" t="str">
        <x:v>Neutral 1.0/1.0 role; one slot; ideal repeated selection. No extra income after ready until next visit.</x:v>
      </x:c>
    </x:row>
    <x:row r="49" ht="38" customHeight="1">
      <x:c r="A49" s="28" t="n">
        <x:v>10</x:v>
      </x:c>
      <x:c r="B49" s="28" t="n">
        <x:v>6</x:v>
      </x:c>
      <x:c r="C49" s="28" t="str">
        <x:v>SC-44H</x:v>
      </x:c>
      <x:c r="D49" s="50" t="n">
        <x:f>VLOOKUP(C49,'Schedules'!$A$5:$G$9,3,FALSE)</x:f>
        <x:v>44</x:v>
      </x:c>
      <x:c r="E49" s="50" t="n">
        <x:f>VLOOKUP(C49,'Schedules'!$A$5:$G$9,4,FALSE)</x:f>
        <x:v>0.92</x:v>
      </x:c>
      <x:c r="F49" s="50" t="n">
        <x:f>VLOOKUP(C49,'Schedules'!$A$5:$G$9,5,FALSE)</x:f>
        <x:v>0.92</x:v>
      </x:c>
      <x:c r="G49" s="50" t="n">
        <x:f>ROUND('Inputs'!$B$14*(1+'Inputs'!$B$15*(A49-1))*D49/24*E49,0)</x:f>
        <x:v>853</x:v>
      </x:c>
      <x:c r="H49" s="50" t="n">
        <x:f>MAX('Inputs'!$B$19,ROUND(G49*'Inputs'!$B$18,0))</x:f>
        <x:v>213</x:v>
      </x:c>
      <x:c r="I49" s="50" t="n">
        <x:f>ROUND('Inputs'!$B$16*(1+'Inputs'!$B$17*(A49-1))*D49/24*F49,0)</x:f>
        <x:v>176</x:v>
      </x:c>
      <x:c r="J49" s="50" t="n">
        <x:f>ROUNDUP(D49/(24/B49),0)*(24/B49)</x:f>
        <x:v>44</x:v>
      </x:c>
      <x:c r="K49" s="50" t="n">
        <x:f>G49*24/J49</x:f>
        <x:v>465.27272727272725</x:v>
      </x:c>
      <x:c r="L49" s="50" t="n">
        <x:f>I49*24/J49</x:f>
        <x:v>96</x:v>
      </x:c>
      <x:c r="M49" s="28" t="str">
        <x:v>Neutral 1.0/1.0 role; one slot; ideal repeated selection. No extra income after ready until next visit.</x:v>
      </x:c>
    </x:row>
    <x:row r="50" ht="38" customHeight="1">
      <x:c r="A50" s="28" t="n">
        <x:v>20</x:v>
      </x:c>
      <x:c r="B50" s="28" t="n">
        <x:v>1</x:v>
      </x:c>
      <x:c r="C50" s="28" t="str">
        <x:v>SC-20M</x:v>
      </x:c>
      <x:c r="D50" s="50" t="n">
        <x:f>VLOOKUP(C50,'Schedules'!$A$5:$G$9,3,FALSE)</x:f>
        <x:v>0.3333333333333333</x:v>
      </x:c>
      <x:c r="E50" s="50" t="n">
        <x:f>VLOOKUP(C50,'Schedules'!$A$5:$G$9,4,FALSE)</x:f>
        <x:v>1.25</x:v>
      </x:c>
      <x:c r="F50" s="50" t="n">
        <x:f>VLOOKUP(C50,'Schedules'!$A$5:$G$9,5,FALSE)</x:f>
        <x:v>1.25</x:v>
      </x:c>
      <x:c r="G50" s="50" t="n">
        <x:f>ROUND('Inputs'!$B$14*(1+'Inputs'!$B$15*(A50-1))*D50/24*E50,0)</x:f>
        <x:v>12</x:v>
      </x:c>
      <x:c r="H50" s="50" t="n">
        <x:f>MAX('Inputs'!$B$19,ROUND(G50*'Inputs'!$B$18,0))</x:f>
        <x:v>5</x:v>
      </x:c>
      <x:c r="I50" s="50" t="n">
        <x:f>ROUND('Inputs'!$B$16*(1+'Inputs'!$B$17*(A50-1))*D50/24*F50,0)</x:f>
        <x:v>2</x:v>
      </x:c>
      <x:c r="J50" s="50" t="n">
        <x:f>ROUNDUP(D50/(24/B50),0)*(24/B50)</x:f>
        <x:v>24</x:v>
      </x:c>
      <x:c r="K50" s="50" t="n">
        <x:f>G50*24/J50</x:f>
        <x:v>12</x:v>
      </x:c>
      <x:c r="L50" s="50" t="n">
        <x:f>I50*24/J50</x:f>
        <x:v>2</x:v>
      </x:c>
      <x:c r="M50" s="28" t="str">
        <x:v>Neutral 1.0/1.0 role; one slot; ideal repeated selection. No extra income after ready until next visit.</x:v>
      </x:c>
    </x:row>
    <x:row r="51" ht="38" customHeight="1">
      <x:c r="A51" s="28" t="n">
        <x:v>20</x:v>
      </x:c>
      <x:c r="B51" s="28" t="n">
        <x:v>1</x:v>
      </x:c>
      <x:c r="C51" s="28" t="str">
        <x:v>SC-2H</x:v>
      </x:c>
      <x:c r="D51" s="50" t="n">
        <x:f>VLOOKUP(C51,'Schedules'!$A$5:$G$9,3,FALSE)</x:f>
        <x:v>2</x:v>
      </x:c>
      <x:c r="E51" s="50" t="n">
        <x:f>VLOOKUP(C51,'Schedules'!$A$5:$G$9,4,FALSE)</x:f>
        <x:v>1.3</x:v>
      </x:c>
      <x:c r="F51" s="50" t="n">
        <x:f>VLOOKUP(C51,'Schedules'!$A$5:$G$9,5,FALSE)</x:f>
        <x:v>1.3</x:v>
      </x:c>
      <x:c r="G51" s="50" t="n">
        <x:f>ROUND('Inputs'!$B$14*(1+'Inputs'!$B$15*(A51-1))*D51/24*E51,0)</x:f>
        <x:v>72</x:v>
      </x:c>
      <x:c r="H51" s="50" t="n">
        <x:f>MAX('Inputs'!$B$19,ROUND(G51*'Inputs'!$B$18,0))</x:f>
        <x:v>18</x:v>
      </x:c>
      <x:c r="I51" s="50" t="n">
        <x:f>ROUND('Inputs'!$B$16*(1+'Inputs'!$B$17*(A51-1))*D51/24*F51,0)</x:f>
        <x:v>12</x:v>
      </x:c>
      <x:c r="J51" s="50" t="n">
        <x:f>ROUNDUP(D51/(24/B51),0)*(24/B51)</x:f>
        <x:v>24</x:v>
      </x:c>
      <x:c r="K51" s="50" t="n">
        <x:f>G51*24/J51</x:f>
        <x:v>72</x:v>
      </x:c>
      <x:c r="L51" s="50" t="n">
        <x:f>I51*24/J51</x:f>
        <x:v>12</x:v>
      </x:c>
      <x:c r="M51" s="28" t="str">
        <x:v>Neutral 1.0/1.0 role; one slot; ideal repeated selection. No extra income after ready until next visit.</x:v>
      </x:c>
    </x:row>
    <x:row r="52" ht="38" customHeight="1">
      <x:c r="A52" s="28" t="n">
        <x:v>20</x:v>
      </x:c>
      <x:c r="B52" s="28" t="n">
        <x:v>1</x:v>
      </x:c>
      <x:c r="C52" s="28" t="str">
        <x:v>SC-8H</x:v>
      </x:c>
      <x:c r="D52" s="50" t="n">
        <x:f>VLOOKUP(C52,'Schedules'!$A$5:$G$9,3,FALSE)</x:f>
        <x:v>8</x:v>
      </x:c>
      <x:c r="E52" s="50" t="n">
        <x:f>VLOOKUP(C52,'Schedules'!$A$5:$G$9,4,FALSE)</x:f>
        <x:v>1.3</x:v>
      </x:c>
      <x:c r="F52" s="50" t="n">
        <x:f>VLOOKUP(C52,'Schedules'!$A$5:$G$9,5,FALSE)</x:f>
        <x:v>1.3</x:v>
      </x:c>
      <x:c r="G52" s="50" t="n">
        <x:f>ROUND('Inputs'!$B$14*(1+'Inputs'!$B$15*(A52-1))*D52/24*E52,0)</x:f>
        <x:v>289</x:v>
      </x:c>
      <x:c r="H52" s="50" t="n">
        <x:f>MAX('Inputs'!$B$19,ROUND(G52*'Inputs'!$B$18,0))</x:f>
        <x:v>72</x:v>
      </x:c>
      <x:c r="I52" s="50" t="n">
        <x:f>ROUND('Inputs'!$B$16*(1+'Inputs'!$B$17*(A52-1))*D52/24*F52,0)</x:f>
        <x:v>50</x:v>
      </x:c>
      <x:c r="J52" s="50" t="n">
        <x:f>ROUNDUP(D52/(24/B52),0)*(24/B52)</x:f>
        <x:v>24</x:v>
      </x:c>
      <x:c r="K52" s="50" t="n">
        <x:f>G52*24/J52</x:f>
        <x:v>289</x:v>
      </x:c>
      <x:c r="L52" s="50" t="n">
        <x:f>I52*24/J52</x:f>
        <x:v>50</x:v>
      </x:c>
      <x:c r="M52" s="28" t="str">
        <x:v>Neutral 1.0/1.0 role; one slot; ideal repeated selection. No extra income after ready until next visit.</x:v>
      </x:c>
    </x:row>
    <x:row r="53" ht="38" customHeight="1">
      <x:c r="A53" s="28" t="n">
        <x:v>20</x:v>
      </x:c>
      <x:c r="B53" s="28" t="n">
        <x:v>1</x:v>
      </x:c>
      <x:c r="C53" s="28" t="str">
        <x:v>SC-20H</x:v>
      </x:c>
      <x:c r="D53" s="50" t="n">
        <x:f>VLOOKUP(C53,'Schedules'!$A$5:$G$9,3,FALSE)</x:f>
        <x:v>20</x:v>
      </x:c>
      <x:c r="E53" s="50" t="n">
        <x:f>VLOOKUP(C53,'Schedules'!$A$5:$G$9,4,FALSE)</x:f>
        <x:v>1</x:v>
      </x:c>
      <x:c r="F53" s="50" t="n">
        <x:f>VLOOKUP(C53,'Schedules'!$A$5:$G$9,5,FALSE)</x:f>
        <x:v>1</x:v>
      </x:c>
      <x:c r="G53" s="50" t="n">
        <x:f>ROUND('Inputs'!$B$14*(1+'Inputs'!$B$15*(A53-1))*D53/24*E53,0)</x:f>
        <x:v>557</x:v>
      </x:c>
      <x:c r="H53" s="50" t="n">
        <x:f>MAX('Inputs'!$B$19,ROUND(G53*'Inputs'!$B$18,0))</x:f>
        <x:v>139</x:v>
      </x:c>
      <x:c r="I53" s="50" t="n">
        <x:f>ROUND('Inputs'!$B$16*(1+'Inputs'!$B$17*(A53-1))*D53/24*F53,0)</x:f>
        <x:v>95</x:v>
      </x:c>
      <x:c r="J53" s="50" t="n">
        <x:f>ROUNDUP(D53/(24/B53),0)*(24/B53)</x:f>
        <x:v>24</x:v>
      </x:c>
      <x:c r="K53" s="50" t="n">
        <x:f>G53*24/J53</x:f>
        <x:v>557</x:v>
      </x:c>
      <x:c r="L53" s="50" t="n">
        <x:f>I53*24/J53</x:f>
        <x:v>95</x:v>
      </x:c>
      <x:c r="M53" s="28" t="str">
        <x:v>Neutral 1.0/1.0 role; one slot; ideal repeated selection. No extra income after ready until next visit.</x:v>
      </x:c>
    </x:row>
    <x:row r="54" ht="38" customHeight="1">
      <x:c r="A54" s="28" t="n">
        <x:v>20</x:v>
      </x:c>
      <x:c r="B54" s="28" t="n">
        <x:v>1</x:v>
      </x:c>
      <x:c r="C54" s="28" t="str">
        <x:v>SC-44H</x:v>
      </x:c>
      <x:c r="D54" s="50" t="n">
        <x:f>VLOOKUP(C54,'Schedules'!$A$5:$G$9,3,FALSE)</x:f>
        <x:v>44</x:v>
      </x:c>
      <x:c r="E54" s="50" t="n">
        <x:f>VLOOKUP(C54,'Schedules'!$A$5:$G$9,4,FALSE)</x:f>
        <x:v>0.92</x:v>
      </x:c>
      <x:c r="F54" s="50" t="n">
        <x:f>VLOOKUP(C54,'Schedules'!$A$5:$G$9,5,FALSE)</x:f>
        <x:v>0.92</x:v>
      </x:c>
      <x:c r="G54" s="50" t="n">
        <x:f>ROUND('Inputs'!$B$14*(1+'Inputs'!$B$15*(A54-1))*D54/24*E54,0)</x:f>
        <x:v>1126</x:v>
      </x:c>
      <x:c r="H54" s="50" t="n">
        <x:f>MAX('Inputs'!$B$19,ROUND(G54*'Inputs'!$B$18,0))</x:f>
        <x:v>282</x:v>
      </x:c>
      <x:c r="I54" s="50" t="n">
        <x:f>ROUND('Inputs'!$B$16*(1+'Inputs'!$B$17*(A54-1))*D54/24*F54,0)</x:f>
        <x:v>193</x:v>
      </x:c>
      <x:c r="J54" s="50" t="n">
        <x:f>ROUNDUP(D54/(24/B54),0)*(24/B54)</x:f>
        <x:v>48</x:v>
      </x:c>
      <x:c r="K54" s="50" t="n">
        <x:f>G54*24/J54</x:f>
        <x:v>563</x:v>
      </x:c>
      <x:c r="L54" s="50" t="n">
        <x:f>I54*24/J54</x:f>
        <x:v>96.5</x:v>
      </x:c>
      <x:c r="M54" s="28" t="str">
        <x:v>Neutral 1.0/1.0 role; one slot; ideal repeated selection. No extra income after ready until next visit.</x:v>
      </x:c>
    </x:row>
    <x:row r="55" ht="38" customHeight="1">
      <x:c r="A55" s="28" t="n">
        <x:v>20</x:v>
      </x:c>
      <x:c r="B55" s="28" t="n">
        <x:v>2</x:v>
      </x:c>
      <x:c r="C55" s="28" t="str">
        <x:v>SC-20M</x:v>
      </x:c>
      <x:c r="D55" s="50" t="n">
        <x:f>VLOOKUP(C55,'Schedules'!$A$5:$G$9,3,FALSE)</x:f>
        <x:v>0.3333333333333333</x:v>
      </x:c>
      <x:c r="E55" s="50" t="n">
        <x:f>VLOOKUP(C55,'Schedules'!$A$5:$G$9,4,FALSE)</x:f>
        <x:v>1.25</x:v>
      </x:c>
      <x:c r="F55" s="50" t="n">
        <x:f>VLOOKUP(C55,'Schedules'!$A$5:$G$9,5,FALSE)</x:f>
        <x:v>1.25</x:v>
      </x:c>
      <x:c r="G55" s="50" t="n">
        <x:f>ROUND('Inputs'!$B$14*(1+'Inputs'!$B$15*(A55-1))*D55/24*E55,0)</x:f>
        <x:v>12</x:v>
      </x:c>
      <x:c r="H55" s="50" t="n">
        <x:f>MAX('Inputs'!$B$19,ROUND(G55*'Inputs'!$B$18,0))</x:f>
        <x:v>5</x:v>
      </x:c>
      <x:c r="I55" s="50" t="n">
        <x:f>ROUND('Inputs'!$B$16*(1+'Inputs'!$B$17*(A55-1))*D55/24*F55,0)</x:f>
        <x:v>2</x:v>
      </x:c>
      <x:c r="J55" s="50" t="n">
        <x:f>ROUNDUP(D55/(24/B55),0)*(24/B55)</x:f>
        <x:v>12</x:v>
      </x:c>
      <x:c r="K55" s="50" t="n">
        <x:f>G55*24/J55</x:f>
        <x:v>24</x:v>
      </x:c>
      <x:c r="L55" s="50" t="n">
        <x:f>I55*24/J55</x:f>
        <x:v>4</x:v>
      </x:c>
      <x:c r="M55" s="28" t="str">
        <x:v>Neutral 1.0/1.0 role; one slot; ideal repeated selection. No extra income after ready until next visit.</x:v>
      </x:c>
    </x:row>
    <x:row r="56" ht="38" customHeight="1">
      <x:c r="A56" s="28" t="n">
        <x:v>20</x:v>
      </x:c>
      <x:c r="B56" s="28" t="n">
        <x:v>2</x:v>
      </x:c>
      <x:c r="C56" s="28" t="str">
        <x:v>SC-2H</x:v>
      </x:c>
      <x:c r="D56" s="50" t="n">
        <x:f>VLOOKUP(C56,'Schedules'!$A$5:$G$9,3,FALSE)</x:f>
        <x:v>2</x:v>
      </x:c>
      <x:c r="E56" s="50" t="n">
        <x:f>VLOOKUP(C56,'Schedules'!$A$5:$G$9,4,FALSE)</x:f>
        <x:v>1.3</x:v>
      </x:c>
      <x:c r="F56" s="50" t="n">
        <x:f>VLOOKUP(C56,'Schedules'!$A$5:$G$9,5,FALSE)</x:f>
        <x:v>1.3</x:v>
      </x:c>
      <x:c r="G56" s="50" t="n">
        <x:f>ROUND('Inputs'!$B$14*(1+'Inputs'!$B$15*(A56-1))*D56/24*E56,0)</x:f>
        <x:v>72</x:v>
      </x:c>
      <x:c r="H56" s="50" t="n">
        <x:f>MAX('Inputs'!$B$19,ROUND(G56*'Inputs'!$B$18,0))</x:f>
        <x:v>18</x:v>
      </x:c>
      <x:c r="I56" s="50" t="n">
        <x:f>ROUND('Inputs'!$B$16*(1+'Inputs'!$B$17*(A56-1))*D56/24*F56,0)</x:f>
        <x:v>12</x:v>
      </x:c>
      <x:c r="J56" s="50" t="n">
        <x:f>ROUNDUP(D56/(24/B56),0)*(24/B56)</x:f>
        <x:v>12</x:v>
      </x:c>
      <x:c r="K56" s="50" t="n">
        <x:f>G56*24/J56</x:f>
        <x:v>144</x:v>
      </x:c>
      <x:c r="L56" s="50" t="n">
        <x:f>I56*24/J56</x:f>
        <x:v>24</x:v>
      </x:c>
      <x:c r="M56" s="28" t="str">
        <x:v>Neutral 1.0/1.0 role; one slot; ideal repeated selection. No extra income after ready until next visit.</x:v>
      </x:c>
    </x:row>
    <x:row r="57" ht="38" customHeight="1">
      <x:c r="A57" s="28" t="n">
        <x:v>20</x:v>
      </x:c>
      <x:c r="B57" s="28" t="n">
        <x:v>2</x:v>
      </x:c>
      <x:c r="C57" s="28" t="str">
        <x:v>SC-8H</x:v>
      </x:c>
      <x:c r="D57" s="50" t="n">
        <x:f>VLOOKUP(C57,'Schedules'!$A$5:$G$9,3,FALSE)</x:f>
        <x:v>8</x:v>
      </x:c>
      <x:c r="E57" s="50" t="n">
        <x:f>VLOOKUP(C57,'Schedules'!$A$5:$G$9,4,FALSE)</x:f>
        <x:v>1.3</x:v>
      </x:c>
      <x:c r="F57" s="50" t="n">
        <x:f>VLOOKUP(C57,'Schedules'!$A$5:$G$9,5,FALSE)</x:f>
        <x:v>1.3</x:v>
      </x:c>
      <x:c r="G57" s="50" t="n">
        <x:f>ROUND('Inputs'!$B$14*(1+'Inputs'!$B$15*(A57-1))*D57/24*E57,0)</x:f>
        <x:v>289</x:v>
      </x:c>
      <x:c r="H57" s="50" t="n">
        <x:f>MAX('Inputs'!$B$19,ROUND(G57*'Inputs'!$B$18,0))</x:f>
        <x:v>72</x:v>
      </x:c>
      <x:c r="I57" s="50" t="n">
        <x:f>ROUND('Inputs'!$B$16*(1+'Inputs'!$B$17*(A57-1))*D57/24*F57,0)</x:f>
        <x:v>50</x:v>
      </x:c>
      <x:c r="J57" s="50" t="n">
        <x:f>ROUNDUP(D57/(24/B57),0)*(24/B57)</x:f>
        <x:v>12</x:v>
      </x:c>
      <x:c r="K57" s="50" t="n">
        <x:f>G57*24/J57</x:f>
        <x:v>578</x:v>
      </x:c>
      <x:c r="L57" s="50" t="n">
        <x:f>I57*24/J57</x:f>
        <x:v>100</x:v>
      </x:c>
      <x:c r="M57" s="28" t="str">
        <x:v>Neutral 1.0/1.0 role; one slot; ideal repeated selection. No extra income after ready until next visit.</x:v>
      </x:c>
    </x:row>
    <x:row r="58" ht="38" customHeight="1">
      <x:c r="A58" s="28" t="n">
        <x:v>20</x:v>
      </x:c>
      <x:c r="B58" s="28" t="n">
        <x:v>2</x:v>
      </x:c>
      <x:c r="C58" s="28" t="str">
        <x:v>SC-20H</x:v>
      </x:c>
      <x:c r="D58" s="50" t="n">
        <x:f>VLOOKUP(C58,'Schedules'!$A$5:$G$9,3,FALSE)</x:f>
        <x:v>20</x:v>
      </x:c>
      <x:c r="E58" s="50" t="n">
        <x:f>VLOOKUP(C58,'Schedules'!$A$5:$G$9,4,FALSE)</x:f>
        <x:v>1</x:v>
      </x:c>
      <x:c r="F58" s="50" t="n">
        <x:f>VLOOKUP(C58,'Schedules'!$A$5:$G$9,5,FALSE)</x:f>
        <x:v>1</x:v>
      </x:c>
      <x:c r="G58" s="50" t="n">
        <x:f>ROUND('Inputs'!$B$14*(1+'Inputs'!$B$15*(A58-1))*D58/24*E58,0)</x:f>
        <x:v>557</x:v>
      </x:c>
      <x:c r="H58" s="50" t="n">
        <x:f>MAX('Inputs'!$B$19,ROUND(G58*'Inputs'!$B$18,0))</x:f>
        <x:v>139</x:v>
      </x:c>
      <x:c r="I58" s="50" t="n">
        <x:f>ROUND('Inputs'!$B$16*(1+'Inputs'!$B$17*(A58-1))*D58/24*F58,0)</x:f>
        <x:v>95</x:v>
      </x:c>
      <x:c r="J58" s="50" t="n">
        <x:f>ROUNDUP(D58/(24/B58),0)*(24/B58)</x:f>
        <x:v>24</x:v>
      </x:c>
      <x:c r="K58" s="50" t="n">
        <x:f>G58*24/J58</x:f>
        <x:v>557</x:v>
      </x:c>
      <x:c r="L58" s="50" t="n">
        <x:f>I58*24/J58</x:f>
        <x:v>95</x:v>
      </x:c>
      <x:c r="M58" s="28" t="str">
        <x:v>Neutral 1.0/1.0 role; one slot; ideal repeated selection. No extra income after ready until next visit.</x:v>
      </x:c>
    </x:row>
    <x:row r="59" ht="38" customHeight="1">
      <x:c r="A59" s="28" t="n">
        <x:v>20</x:v>
      </x:c>
      <x:c r="B59" s="28" t="n">
        <x:v>2</x:v>
      </x:c>
      <x:c r="C59" s="28" t="str">
        <x:v>SC-44H</x:v>
      </x:c>
      <x:c r="D59" s="50" t="n">
        <x:f>VLOOKUP(C59,'Schedules'!$A$5:$G$9,3,FALSE)</x:f>
        <x:v>44</x:v>
      </x:c>
      <x:c r="E59" s="50" t="n">
        <x:f>VLOOKUP(C59,'Schedules'!$A$5:$G$9,4,FALSE)</x:f>
        <x:v>0.92</x:v>
      </x:c>
      <x:c r="F59" s="50" t="n">
        <x:f>VLOOKUP(C59,'Schedules'!$A$5:$G$9,5,FALSE)</x:f>
        <x:v>0.92</x:v>
      </x:c>
      <x:c r="G59" s="50" t="n">
        <x:f>ROUND('Inputs'!$B$14*(1+'Inputs'!$B$15*(A59-1))*D59/24*E59,0)</x:f>
        <x:v>1126</x:v>
      </x:c>
      <x:c r="H59" s="50" t="n">
        <x:f>MAX('Inputs'!$B$19,ROUND(G59*'Inputs'!$B$18,0))</x:f>
        <x:v>282</x:v>
      </x:c>
      <x:c r="I59" s="50" t="n">
        <x:f>ROUND('Inputs'!$B$16*(1+'Inputs'!$B$17*(A59-1))*D59/24*F59,0)</x:f>
        <x:v>193</x:v>
      </x:c>
      <x:c r="J59" s="50" t="n">
        <x:f>ROUNDUP(D59/(24/B59),0)*(24/B59)</x:f>
        <x:v>48</x:v>
      </x:c>
      <x:c r="K59" s="50" t="n">
        <x:f>G59*24/J59</x:f>
        <x:v>563</x:v>
      </x:c>
      <x:c r="L59" s="50" t="n">
        <x:f>I59*24/J59</x:f>
        <x:v>96.5</x:v>
      </x:c>
      <x:c r="M59" s="28" t="str">
        <x:v>Neutral 1.0/1.0 role; one slot; ideal repeated selection. No extra income after ready until next visit.</x:v>
      </x:c>
    </x:row>
    <x:row r="60" ht="38" customHeight="1">
      <x:c r="A60" s="28" t="n">
        <x:v>20</x:v>
      </x:c>
      <x:c r="B60" s="28" t="n">
        <x:v>6</x:v>
      </x:c>
      <x:c r="C60" s="28" t="str">
        <x:v>SC-20M</x:v>
      </x:c>
      <x:c r="D60" s="50" t="n">
        <x:f>VLOOKUP(C60,'Schedules'!$A$5:$G$9,3,FALSE)</x:f>
        <x:v>0.3333333333333333</x:v>
      </x:c>
      <x:c r="E60" s="50" t="n">
        <x:f>VLOOKUP(C60,'Schedules'!$A$5:$G$9,4,FALSE)</x:f>
        <x:v>1.25</x:v>
      </x:c>
      <x:c r="F60" s="50" t="n">
        <x:f>VLOOKUP(C60,'Schedules'!$A$5:$G$9,5,FALSE)</x:f>
        <x:v>1.25</x:v>
      </x:c>
      <x:c r="G60" s="50" t="n">
        <x:f>ROUND('Inputs'!$B$14*(1+'Inputs'!$B$15*(A60-1))*D60/24*E60,0)</x:f>
        <x:v>12</x:v>
      </x:c>
      <x:c r="H60" s="50" t="n">
        <x:f>MAX('Inputs'!$B$19,ROUND(G60*'Inputs'!$B$18,0))</x:f>
        <x:v>5</x:v>
      </x:c>
      <x:c r="I60" s="50" t="n">
        <x:f>ROUND('Inputs'!$B$16*(1+'Inputs'!$B$17*(A60-1))*D60/24*F60,0)</x:f>
        <x:v>2</x:v>
      </x:c>
      <x:c r="J60" s="50" t="n">
        <x:f>ROUNDUP(D60/(24/B60),0)*(24/B60)</x:f>
        <x:v>4</x:v>
      </x:c>
      <x:c r="K60" s="50" t="n">
        <x:f>G60*24/J60</x:f>
        <x:v>72</x:v>
      </x:c>
      <x:c r="L60" s="50" t="n">
        <x:f>I60*24/J60</x:f>
        <x:v>12</x:v>
      </x:c>
      <x:c r="M60" s="28" t="str">
        <x:v>Neutral 1.0/1.0 role; one slot; ideal repeated selection. No extra income after ready until next visit.</x:v>
      </x:c>
    </x:row>
    <x:row r="61" ht="38" customHeight="1">
      <x:c r="A61" s="28" t="n">
        <x:v>20</x:v>
      </x:c>
      <x:c r="B61" s="28" t="n">
        <x:v>6</x:v>
      </x:c>
      <x:c r="C61" s="28" t="str">
        <x:v>SC-2H</x:v>
      </x:c>
      <x:c r="D61" s="50" t="n">
        <x:f>VLOOKUP(C61,'Schedules'!$A$5:$G$9,3,FALSE)</x:f>
        <x:v>2</x:v>
      </x:c>
      <x:c r="E61" s="50" t="n">
        <x:f>VLOOKUP(C61,'Schedules'!$A$5:$G$9,4,FALSE)</x:f>
        <x:v>1.3</x:v>
      </x:c>
      <x:c r="F61" s="50" t="n">
        <x:f>VLOOKUP(C61,'Schedules'!$A$5:$G$9,5,FALSE)</x:f>
        <x:v>1.3</x:v>
      </x:c>
      <x:c r="G61" s="50" t="n">
        <x:f>ROUND('Inputs'!$B$14*(1+'Inputs'!$B$15*(A61-1))*D61/24*E61,0)</x:f>
        <x:v>72</x:v>
      </x:c>
      <x:c r="H61" s="50" t="n">
        <x:f>MAX('Inputs'!$B$19,ROUND(G61*'Inputs'!$B$18,0))</x:f>
        <x:v>18</x:v>
      </x:c>
      <x:c r="I61" s="50" t="n">
        <x:f>ROUND('Inputs'!$B$16*(1+'Inputs'!$B$17*(A61-1))*D61/24*F61,0)</x:f>
        <x:v>12</x:v>
      </x:c>
      <x:c r="J61" s="50" t="n">
        <x:f>ROUNDUP(D61/(24/B61),0)*(24/B61)</x:f>
        <x:v>4</x:v>
      </x:c>
      <x:c r="K61" s="50" t="n">
        <x:f>G61*24/J61</x:f>
        <x:v>432</x:v>
      </x:c>
      <x:c r="L61" s="50" t="n">
        <x:f>I61*24/J61</x:f>
        <x:v>72</x:v>
      </x:c>
      <x:c r="M61" s="28" t="str">
        <x:v>Neutral 1.0/1.0 role; one slot; ideal repeated selection. No extra income after ready until next visit.</x:v>
      </x:c>
    </x:row>
    <x:row r="62" ht="38" customHeight="1">
      <x:c r="A62" s="28" t="n">
        <x:v>20</x:v>
      </x:c>
      <x:c r="B62" s="28" t="n">
        <x:v>6</x:v>
      </x:c>
      <x:c r="C62" s="28" t="str">
        <x:v>SC-8H</x:v>
      </x:c>
      <x:c r="D62" s="50" t="n">
        <x:f>VLOOKUP(C62,'Schedules'!$A$5:$G$9,3,FALSE)</x:f>
        <x:v>8</x:v>
      </x:c>
      <x:c r="E62" s="50" t="n">
        <x:f>VLOOKUP(C62,'Schedules'!$A$5:$G$9,4,FALSE)</x:f>
        <x:v>1.3</x:v>
      </x:c>
      <x:c r="F62" s="50" t="n">
        <x:f>VLOOKUP(C62,'Schedules'!$A$5:$G$9,5,FALSE)</x:f>
        <x:v>1.3</x:v>
      </x:c>
      <x:c r="G62" s="50" t="n">
        <x:f>ROUND('Inputs'!$B$14*(1+'Inputs'!$B$15*(A62-1))*D62/24*E62,0)</x:f>
        <x:v>289</x:v>
      </x:c>
      <x:c r="H62" s="50" t="n">
        <x:f>MAX('Inputs'!$B$19,ROUND(G62*'Inputs'!$B$18,0))</x:f>
        <x:v>72</x:v>
      </x:c>
      <x:c r="I62" s="50" t="n">
        <x:f>ROUND('Inputs'!$B$16*(1+'Inputs'!$B$17*(A62-1))*D62/24*F62,0)</x:f>
        <x:v>50</x:v>
      </x:c>
      <x:c r="J62" s="50" t="n">
        <x:f>ROUNDUP(D62/(24/B62),0)*(24/B62)</x:f>
        <x:v>8</x:v>
      </x:c>
      <x:c r="K62" s="50" t="n">
        <x:f>G62*24/J62</x:f>
        <x:v>867</x:v>
      </x:c>
      <x:c r="L62" s="50" t="n">
        <x:f>I62*24/J62</x:f>
        <x:v>150</x:v>
      </x:c>
      <x:c r="M62" s="28" t="str">
        <x:v>Neutral 1.0/1.0 role; one slot; ideal repeated selection. No extra income after ready until next visit.</x:v>
      </x:c>
    </x:row>
    <x:row r="63" ht="38" customHeight="1">
      <x:c r="A63" s="28" t="n">
        <x:v>20</x:v>
      </x:c>
      <x:c r="B63" s="28" t="n">
        <x:v>6</x:v>
      </x:c>
      <x:c r="C63" s="28" t="str">
        <x:v>SC-20H</x:v>
      </x:c>
      <x:c r="D63" s="50" t="n">
        <x:f>VLOOKUP(C63,'Schedules'!$A$5:$G$9,3,FALSE)</x:f>
        <x:v>20</x:v>
      </x:c>
      <x:c r="E63" s="50" t="n">
        <x:f>VLOOKUP(C63,'Schedules'!$A$5:$G$9,4,FALSE)</x:f>
        <x:v>1</x:v>
      </x:c>
      <x:c r="F63" s="50" t="n">
        <x:f>VLOOKUP(C63,'Schedules'!$A$5:$G$9,5,FALSE)</x:f>
        <x:v>1</x:v>
      </x:c>
      <x:c r="G63" s="50" t="n">
        <x:f>ROUND('Inputs'!$B$14*(1+'Inputs'!$B$15*(A63-1))*D63/24*E63,0)</x:f>
        <x:v>557</x:v>
      </x:c>
      <x:c r="H63" s="50" t="n">
        <x:f>MAX('Inputs'!$B$19,ROUND(G63*'Inputs'!$B$18,0))</x:f>
        <x:v>139</x:v>
      </x:c>
      <x:c r="I63" s="50" t="n">
        <x:f>ROUND('Inputs'!$B$16*(1+'Inputs'!$B$17*(A63-1))*D63/24*F63,0)</x:f>
        <x:v>95</x:v>
      </x:c>
      <x:c r="J63" s="50" t="n">
        <x:f>ROUNDUP(D63/(24/B63),0)*(24/B63)</x:f>
        <x:v>20</x:v>
      </x:c>
      <x:c r="K63" s="50" t="n">
        <x:f>G63*24/J63</x:f>
        <x:v>668.4</x:v>
      </x:c>
      <x:c r="L63" s="50" t="n">
        <x:f>I63*24/J63</x:f>
        <x:v>114</x:v>
      </x:c>
      <x:c r="M63" s="28" t="str">
        <x:v>Neutral 1.0/1.0 role; one slot; ideal repeated selection. No extra income after ready until next visit.</x:v>
      </x:c>
    </x:row>
    <x:row r="64" ht="38" customHeight="1">
      <x:c r="A64" s="28" t="n">
        <x:v>20</x:v>
      </x:c>
      <x:c r="B64" s="28" t="n">
        <x:v>6</x:v>
      </x:c>
      <x:c r="C64" s="28" t="str">
        <x:v>SC-44H</x:v>
      </x:c>
      <x:c r="D64" s="50" t="n">
        <x:f>VLOOKUP(C64,'Schedules'!$A$5:$G$9,3,FALSE)</x:f>
        <x:v>44</x:v>
      </x:c>
      <x:c r="E64" s="50" t="n">
        <x:f>VLOOKUP(C64,'Schedules'!$A$5:$G$9,4,FALSE)</x:f>
        <x:v>0.92</x:v>
      </x:c>
      <x:c r="F64" s="50" t="n">
        <x:f>VLOOKUP(C64,'Schedules'!$A$5:$G$9,5,FALSE)</x:f>
        <x:v>0.92</x:v>
      </x:c>
      <x:c r="G64" s="50" t="n">
        <x:f>ROUND('Inputs'!$B$14*(1+'Inputs'!$B$15*(A64-1))*D64/24*E64,0)</x:f>
        <x:v>1126</x:v>
      </x:c>
      <x:c r="H64" s="50" t="n">
        <x:f>MAX('Inputs'!$B$19,ROUND(G64*'Inputs'!$B$18,0))</x:f>
        <x:v>282</x:v>
      </x:c>
      <x:c r="I64" s="50" t="n">
        <x:f>ROUND('Inputs'!$B$16*(1+'Inputs'!$B$17*(A64-1))*D64/24*F64,0)</x:f>
        <x:v>193</x:v>
      </x:c>
      <x:c r="J64" s="50" t="n">
        <x:f>ROUNDUP(D64/(24/B64),0)*(24/B64)</x:f>
        <x:v>44</x:v>
      </x:c>
      <x:c r="K64" s="50" t="n">
        <x:f>G64*24/J64</x:f>
        <x:v>614.1818181818181</x:v>
      </x:c>
      <x:c r="L64" s="50" t="n">
        <x:f>I64*24/J64</x:f>
        <x:v>105.27272727272727</x:v>
      </x:c>
      <x:c r="M64" s="28" t="str">
        <x:v>Neutral 1.0/1.0 role; one slot; ideal repeated selection. No extra income after ready until next visit.</x:v>
      </x:c>
    </x:row>
    <x:row r="65" ht="38" customHeight="1">
      <x:c r="A65" s="28" t="n">
        <x:v>30</x:v>
      </x:c>
      <x:c r="B65" s="28" t="n">
        <x:v>1</x:v>
      </x:c>
      <x:c r="C65" s="28" t="str">
        <x:v>SC-20M</x:v>
      </x:c>
      <x:c r="D65" s="50" t="n">
        <x:f>VLOOKUP(C65,'Schedules'!$A$5:$G$9,3,FALSE)</x:f>
        <x:v>0.3333333333333333</x:v>
      </x:c>
      <x:c r="E65" s="50" t="n">
        <x:f>VLOOKUP(C65,'Schedules'!$A$5:$G$9,4,FALSE)</x:f>
        <x:v>1.25</x:v>
      </x:c>
      <x:c r="F65" s="50" t="n">
        <x:f>VLOOKUP(C65,'Schedules'!$A$5:$G$9,5,FALSE)</x:f>
        <x:v>1.25</x:v>
      </x:c>
      <x:c r="G65" s="50" t="n">
        <x:f>ROUND('Inputs'!$B$14*(1+'Inputs'!$B$15*(A65-1))*D65/24*E65,0)</x:f>
        <x:v>14</x:v>
      </x:c>
      <x:c r="H65" s="50" t="n">
        <x:f>MAX('Inputs'!$B$19,ROUND(G65*'Inputs'!$B$18,0))</x:f>
        <x:v>5</x:v>
      </x:c>
      <x:c r="I65" s="50" t="n">
        <x:f>ROUND('Inputs'!$B$16*(1+'Inputs'!$B$17*(A65-1))*D65/24*F65,0)</x:f>
        <x:v>2</x:v>
      </x:c>
      <x:c r="J65" s="50" t="n">
        <x:f>ROUNDUP(D65/(24/B65),0)*(24/B65)</x:f>
        <x:v>24</x:v>
      </x:c>
      <x:c r="K65" s="50" t="n">
        <x:f>G65*24/J65</x:f>
        <x:v>14</x:v>
      </x:c>
      <x:c r="L65" s="50" t="n">
        <x:f>I65*24/J65</x:f>
        <x:v>2</x:v>
      </x:c>
      <x:c r="M65" s="28" t="str">
        <x:v>Neutral 1.0/1.0 role; one slot; ideal repeated selection. No extra income after ready until next visit.</x:v>
      </x:c>
    </x:row>
    <x:row r="66" ht="38" customHeight="1">
      <x:c r="A66" s="28" t="n">
        <x:v>30</x:v>
      </x:c>
      <x:c r="B66" s="28" t="n">
        <x:v>1</x:v>
      </x:c>
      <x:c r="C66" s="28" t="str">
        <x:v>SC-2H</x:v>
      </x:c>
      <x:c r="D66" s="50" t="n">
        <x:f>VLOOKUP(C66,'Schedules'!$A$5:$G$9,3,FALSE)</x:f>
        <x:v>2</x:v>
      </x:c>
      <x:c r="E66" s="50" t="n">
        <x:f>VLOOKUP(C66,'Schedules'!$A$5:$G$9,4,FALSE)</x:f>
        <x:v>1.3</x:v>
      </x:c>
      <x:c r="F66" s="50" t="n">
        <x:f>VLOOKUP(C66,'Schedules'!$A$5:$G$9,5,FALSE)</x:f>
        <x:v>1.3</x:v>
      </x:c>
      <x:c r="G66" s="50" t="n">
        <x:f>ROUND('Inputs'!$B$14*(1+'Inputs'!$B$15*(A66-1))*D66/24*E66,0)</x:f>
        <x:v>90</x:v>
      </x:c>
      <x:c r="H66" s="50" t="n">
        <x:f>MAX('Inputs'!$B$19,ROUND(G66*'Inputs'!$B$18,0))</x:f>
        <x:v>23</x:v>
      </x:c>
      <x:c r="I66" s="50" t="n">
        <x:f>ROUND('Inputs'!$B$16*(1+'Inputs'!$B$17*(A66-1))*D66/24*F66,0)</x:f>
        <x:v>13</x:v>
      </x:c>
      <x:c r="J66" s="50" t="n">
        <x:f>ROUNDUP(D66/(24/B66),0)*(24/B66)</x:f>
        <x:v>24</x:v>
      </x:c>
      <x:c r="K66" s="50" t="n">
        <x:f>G66*24/J66</x:f>
        <x:v>90</x:v>
      </x:c>
      <x:c r="L66" s="50" t="n">
        <x:f>I66*24/J66</x:f>
        <x:v>13</x:v>
      </x:c>
      <x:c r="M66" s="28" t="str">
        <x:v>Neutral 1.0/1.0 role; one slot; ideal repeated selection. No extra income after ready until next visit.</x:v>
      </x:c>
    </x:row>
    <x:row r="67" ht="38" customHeight="1">
      <x:c r="A67" s="28" t="n">
        <x:v>30</x:v>
      </x:c>
      <x:c r="B67" s="28" t="n">
        <x:v>1</x:v>
      </x:c>
      <x:c r="C67" s="28" t="str">
        <x:v>SC-8H</x:v>
      </x:c>
      <x:c r="D67" s="50" t="n">
        <x:f>VLOOKUP(C67,'Schedules'!$A$5:$G$9,3,FALSE)</x:f>
        <x:v>8</x:v>
      </x:c>
      <x:c r="E67" s="50" t="n">
        <x:f>VLOOKUP(C67,'Schedules'!$A$5:$G$9,4,FALSE)</x:f>
        <x:v>1.3</x:v>
      </x:c>
      <x:c r="F67" s="50" t="n">
        <x:f>VLOOKUP(C67,'Schedules'!$A$5:$G$9,5,FALSE)</x:f>
        <x:v>1.3</x:v>
      </x:c>
      <x:c r="G67" s="50" t="n">
        <x:f>ROUND('Inputs'!$B$14*(1+'Inputs'!$B$15*(A67-1))*D67/24*E67,0)</x:f>
        <x:v>360</x:v>
      </x:c>
      <x:c r="H67" s="50" t="n">
        <x:f>MAX('Inputs'!$B$19,ROUND(G67*'Inputs'!$B$18,0))</x:f>
        <x:v>90</x:v>
      </x:c>
      <x:c r="I67" s="50" t="n">
        <x:f>ROUND('Inputs'!$B$16*(1+'Inputs'!$B$17*(A67-1))*D67/24*F67,0)</x:f>
        <x:v>54</x:v>
      </x:c>
      <x:c r="J67" s="50" t="n">
        <x:f>ROUNDUP(D67/(24/B67),0)*(24/B67)</x:f>
        <x:v>24</x:v>
      </x:c>
      <x:c r="K67" s="50" t="n">
        <x:f>G67*24/J67</x:f>
        <x:v>360</x:v>
      </x:c>
      <x:c r="L67" s="50" t="n">
        <x:f>I67*24/J67</x:f>
        <x:v>54</x:v>
      </x:c>
      <x:c r="M67" s="28" t="str">
        <x:v>Neutral 1.0/1.0 role; one slot; ideal repeated selection. No extra income after ready until next visit.</x:v>
      </x:c>
    </x:row>
    <x:row r="68" ht="38" customHeight="1">
      <x:c r="A68" s="28" t="n">
        <x:v>30</x:v>
      </x:c>
      <x:c r="B68" s="28" t="n">
        <x:v>1</x:v>
      </x:c>
      <x:c r="C68" s="28" t="str">
        <x:v>SC-20H</x:v>
      </x:c>
      <x:c r="D68" s="50" t="n">
        <x:f>VLOOKUP(C68,'Schedules'!$A$5:$G$9,3,FALSE)</x:f>
        <x:v>20</x:v>
      </x:c>
      <x:c r="E68" s="50" t="n">
        <x:f>VLOOKUP(C68,'Schedules'!$A$5:$G$9,4,FALSE)</x:f>
        <x:v>1</x:v>
      </x:c>
      <x:c r="F68" s="50" t="n">
        <x:f>VLOOKUP(C68,'Schedules'!$A$5:$G$9,5,FALSE)</x:f>
        <x:v>1</x:v>
      </x:c>
      <x:c r="G68" s="50" t="n">
        <x:f>ROUND('Inputs'!$B$14*(1+'Inputs'!$B$15*(A68-1))*D68/24*E68,0)</x:f>
        <x:v>692</x:v>
      </x:c>
      <x:c r="H68" s="50" t="n">
        <x:f>MAX('Inputs'!$B$19,ROUND(G68*'Inputs'!$B$18,0))</x:f>
        <x:v>173</x:v>
      </x:c>
      <x:c r="I68" s="50" t="n">
        <x:f>ROUND('Inputs'!$B$16*(1+'Inputs'!$B$17*(A68-1))*D68/24*F68,0)</x:f>
        <x:v>103</x:v>
      </x:c>
      <x:c r="J68" s="50" t="n">
        <x:f>ROUNDUP(D68/(24/B68),0)*(24/B68)</x:f>
        <x:v>24</x:v>
      </x:c>
      <x:c r="K68" s="50" t="n">
        <x:f>G68*24/J68</x:f>
        <x:v>692</x:v>
      </x:c>
      <x:c r="L68" s="50" t="n">
        <x:f>I68*24/J68</x:f>
        <x:v>103</x:v>
      </x:c>
      <x:c r="M68" s="28" t="str">
        <x:v>Neutral 1.0/1.0 role; one slot; ideal repeated selection. No extra income after ready until next visit.</x:v>
      </x:c>
    </x:row>
    <x:row r="69" ht="38" customHeight="1">
      <x:c r="A69" s="28" t="n">
        <x:v>30</x:v>
      </x:c>
      <x:c r="B69" s="28" t="n">
        <x:v>1</x:v>
      </x:c>
      <x:c r="C69" s="28" t="str">
        <x:v>SC-44H</x:v>
      </x:c>
      <x:c r="D69" s="50" t="n">
        <x:f>VLOOKUP(C69,'Schedules'!$A$5:$G$9,3,FALSE)</x:f>
        <x:v>44</x:v>
      </x:c>
      <x:c r="E69" s="50" t="n">
        <x:f>VLOOKUP(C69,'Schedules'!$A$5:$G$9,4,FALSE)</x:f>
        <x:v>0.92</x:v>
      </x:c>
      <x:c r="F69" s="50" t="n">
        <x:f>VLOOKUP(C69,'Schedules'!$A$5:$G$9,5,FALSE)</x:f>
        <x:v>0.92</x:v>
      </x:c>
      <x:c r="G69" s="50" t="n">
        <x:f>ROUND('Inputs'!$B$14*(1+'Inputs'!$B$15*(A69-1))*D69/24*E69,0)</x:f>
        <x:v>1400</x:v>
      </x:c>
      <x:c r="H69" s="50" t="n">
        <x:f>MAX('Inputs'!$B$19,ROUND(G69*'Inputs'!$B$18,0))</x:f>
        <x:v>350</x:v>
      </x:c>
      <x:c r="I69" s="50" t="n">
        <x:f>ROUND('Inputs'!$B$16*(1+'Inputs'!$B$17*(A69-1))*D69/24*F69,0)</x:f>
        <x:v>209</x:v>
      </x:c>
      <x:c r="J69" s="50" t="n">
        <x:f>ROUNDUP(D69/(24/B69),0)*(24/B69)</x:f>
        <x:v>48</x:v>
      </x:c>
      <x:c r="K69" s="50" t="n">
        <x:f>G69*24/J69</x:f>
        <x:v>700</x:v>
      </x:c>
      <x:c r="L69" s="50" t="n">
        <x:f>I69*24/J69</x:f>
        <x:v>104.5</x:v>
      </x:c>
      <x:c r="M69" s="28" t="str">
        <x:v>Neutral 1.0/1.0 role; one slot; ideal repeated selection. No extra income after ready until next visit.</x:v>
      </x:c>
    </x:row>
    <x:row r="70" ht="38" customHeight="1">
      <x:c r="A70" s="28" t="n">
        <x:v>30</x:v>
      </x:c>
      <x:c r="B70" s="28" t="n">
        <x:v>2</x:v>
      </x:c>
      <x:c r="C70" s="28" t="str">
        <x:v>SC-20M</x:v>
      </x:c>
      <x:c r="D70" s="50" t="n">
        <x:f>VLOOKUP(C70,'Schedules'!$A$5:$G$9,3,FALSE)</x:f>
        <x:v>0.3333333333333333</x:v>
      </x:c>
      <x:c r="E70" s="50" t="n">
        <x:f>VLOOKUP(C70,'Schedules'!$A$5:$G$9,4,FALSE)</x:f>
        <x:v>1.25</x:v>
      </x:c>
      <x:c r="F70" s="50" t="n">
        <x:f>VLOOKUP(C70,'Schedules'!$A$5:$G$9,5,FALSE)</x:f>
        <x:v>1.25</x:v>
      </x:c>
      <x:c r="G70" s="50" t="n">
        <x:f>ROUND('Inputs'!$B$14*(1+'Inputs'!$B$15*(A70-1))*D70/24*E70,0)</x:f>
        <x:v>14</x:v>
      </x:c>
      <x:c r="H70" s="50" t="n">
        <x:f>MAX('Inputs'!$B$19,ROUND(G70*'Inputs'!$B$18,0))</x:f>
        <x:v>5</x:v>
      </x:c>
      <x:c r="I70" s="50" t="n">
        <x:f>ROUND('Inputs'!$B$16*(1+'Inputs'!$B$17*(A70-1))*D70/24*F70,0)</x:f>
        <x:v>2</x:v>
      </x:c>
      <x:c r="J70" s="50" t="n">
        <x:f>ROUNDUP(D70/(24/B70),0)*(24/B70)</x:f>
        <x:v>12</x:v>
      </x:c>
      <x:c r="K70" s="50" t="n">
        <x:f>G70*24/J70</x:f>
        <x:v>28</x:v>
      </x:c>
      <x:c r="L70" s="50" t="n">
        <x:f>I70*24/J70</x:f>
        <x:v>4</x:v>
      </x:c>
      <x:c r="M70" s="28" t="str">
        <x:v>Neutral 1.0/1.0 role; one slot; ideal repeated selection. No extra income after ready until next visit.</x:v>
      </x:c>
    </x:row>
    <x:row r="71" ht="38" customHeight="1">
      <x:c r="A71" s="28" t="n">
        <x:v>30</x:v>
      </x:c>
      <x:c r="B71" s="28" t="n">
        <x:v>2</x:v>
      </x:c>
      <x:c r="C71" s="28" t="str">
        <x:v>SC-2H</x:v>
      </x:c>
      <x:c r="D71" s="50" t="n">
        <x:f>VLOOKUP(C71,'Schedules'!$A$5:$G$9,3,FALSE)</x:f>
        <x:v>2</x:v>
      </x:c>
      <x:c r="E71" s="50" t="n">
        <x:f>VLOOKUP(C71,'Schedules'!$A$5:$G$9,4,FALSE)</x:f>
        <x:v>1.3</x:v>
      </x:c>
      <x:c r="F71" s="50" t="n">
        <x:f>VLOOKUP(C71,'Schedules'!$A$5:$G$9,5,FALSE)</x:f>
        <x:v>1.3</x:v>
      </x:c>
      <x:c r="G71" s="50" t="n">
        <x:f>ROUND('Inputs'!$B$14*(1+'Inputs'!$B$15*(A71-1))*D71/24*E71,0)</x:f>
        <x:v>90</x:v>
      </x:c>
      <x:c r="H71" s="50" t="n">
        <x:f>MAX('Inputs'!$B$19,ROUND(G71*'Inputs'!$B$18,0))</x:f>
        <x:v>23</x:v>
      </x:c>
      <x:c r="I71" s="50" t="n">
        <x:f>ROUND('Inputs'!$B$16*(1+'Inputs'!$B$17*(A71-1))*D71/24*F71,0)</x:f>
        <x:v>13</x:v>
      </x:c>
      <x:c r="J71" s="50" t="n">
        <x:f>ROUNDUP(D71/(24/B71),0)*(24/B71)</x:f>
        <x:v>12</x:v>
      </x:c>
      <x:c r="K71" s="50" t="n">
        <x:f>G71*24/J71</x:f>
        <x:v>180</x:v>
      </x:c>
      <x:c r="L71" s="50" t="n">
        <x:f>I71*24/J71</x:f>
        <x:v>26</x:v>
      </x:c>
      <x:c r="M71" s="28" t="str">
        <x:v>Neutral 1.0/1.0 role; one slot; ideal repeated selection. No extra income after ready until next visit.</x:v>
      </x:c>
    </x:row>
    <x:row r="72" ht="38" customHeight="1">
      <x:c r="A72" s="28" t="n">
        <x:v>30</x:v>
      </x:c>
      <x:c r="B72" s="28" t="n">
        <x:v>2</x:v>
      </x:c>
      <x:c r="C72" s="28" t="str">
        <x:v>SC-8H</x:v>
      </x:c>
      <x:c r="D72" s="50" t="n">
        <x:f>VLOOKUP(C72,'Schedules'!$A$5:$G$9,3,FALSE)</x:f>
        <x:v>8</x:v>
      </x:c>
      <x:c r="E72" s="50" t="n">
        <x:f>VLOOKUP(C72,'Schedules'!$A$5:$G$9,4,FALSE)</x:f>
        <x:v>1.3</x:v>
      </x:c>
      <x:c r="F72" s="50" t="n">
        <x:f>VLOOKUP(C72,'Schedules'!$A$5:$G$9,5,FALSE)</x:f>
        <x:v>1.3</x:v>
      </x:c>
      <x:c r="G72" s="50" t="n">
        <x:f>ROUND('Inputs'!$B$14*(1+'Inputs'!$B$15*(A72-1))*D72/24*E72,0)</x:f>
        <x:v>360</x:v>
      </x:c>
      <x:c r="H72" s="50" t="n">
        <x:f>MAX('Inputs'!$B$19,ROUND(G72*'Inputs'!$B$18,0))</x:f>
        <x:v>90</x:v>
      </x:c>
      <x:c r="I72" s="50" t="n">
        <x:f>ROUND('Inputs'!$B$16*(1+'Inputs'!$B$17*(A72-1))*D72/24*F72,0)</x:f>
        <x:v>54</x:v>
      </x:c>
      <x:c r="J72" s="50" t="n">
        <x:f>ROUNDUP(D72/(24/B72),0)*(24/B72)</x:f>
        <x:v>12</x:v>
      </x:c>
      <x:c r="K72" s="50" t="n">
        <x:f>G72*24/J72</x:f>
        <x:v>720</x:v>
      </x:c>
      <x:c r="L72" s="50" t="n">
        <x:f>I72*24/J72</x:f>
        <x:v>108</x:v>
      </x:c>
      <x:c r="M72" s="28" t="str">
        <x:v>Neutral 1.0/1.0 role; one slot; ideal repeated selection. No extra income after ready until next visit.</x:v>
      </x:c>
    </x:row>
    <x:row r="73" ht="38" customHeight="1">
      <x:c r="A73" s="28" t="n">
        <x:v>30</x:v>
      </x:c>
      <x:c r="B73" s="28" t="n">
        <x:v>2</x:v>
      </x:c>
      <x:c r="C73" s="28" t="str">
        <x:v>SC-20H</x:v>
      </x:c>
      <x:c r="D73" s="50" t="n">
        <x:f>VLOOKUP(C73,'Schedules'!$A$5:$G$9,3,FALSE)</x:f>
        <x:v>20</x:v>
      </x:c>
      <x:c r="E73" s="50" t="n">
        <x:f>VLOOKUP(C73,'Schedules'!$A$5:$G$9,4,FALSE)</x:f>
        <x:v>1</x:v>
      </x:c>
      <x:c r="F73" s="50" t="n">
        <x:f>VLOOKUP(C73,'Schedules'!$A$5:$G$9,5,FALSE)</x:f>
        <x:v>1</x:v>
      </x:c>
      <x:c r="G73" s="50" t="n">
        <x:f>ROUND('Inputs'!$B$14*(1+'Inputs'!$B$15*(A73-1))*D73/24*E73,0)</x:f>
        <x:v>692</x:v>
      </x:c>
      <x:c r="H73" s="50" t="n">
        <x:f>MAX('Inputs'!$B$19,ROUND(G73*'Inputs'!$B$18,0))</x:f>
        <x:v>173</x:v>
      </x:c>
      <x:c r="I73" s="50" t="n">
        <x:f>ROUND('Inputs'!$B$16*(1+'Inputs'!$B$17*(A73-1))*D73/24*F73,0)</x:f>
        <x:v>103</x:v>
      </x:c>
      <x:c r="J73" s="50" t="n">
        <x:f>ROUNDUP(D73/(24/B73),0)*(24/B73)</x:f>
        <x:v>24</x:v>
      </x:c>
      <x:c r="K73" s="50" t="n">
        <x:f>G73*24/J73</x:f>
        <x:v>692</x:v>
      </x:c>
      <x:c r="L73" s="50" t="n">
        <x:f>I73*24/J73</x:f>
        <x:v>103</x:v>
      </x:c>
      <x:c r="M73" s="28" t="str">
        <x:v>Neutral 1.0/1.0 role; one slot; ideal repeated selection. No extra income after ready until next visit.</x:v>
      </x:c>
    </x:row>
    <x:row r="74" ht="38" customHeight="1">
      <x:c r="A74" s="28" t="n">
        <x:v>30</x:v>
      </x:c>
      <x:c r="B74" s="28" t="n">
        <x:v>2</x:v>
      </x:c>
      <x:c r="C74" s="28" t="str">
        <x:v>SC-44H</x:v>
      </x:c>
      <x:c r="D74" s="50" t="n">
        <x:f>VLOOKUP(C74,'Schedules'!$A$5:$G$9,3,FALSE)</x:f>
        <x:v>44</x:v>
      </x:c>
      <x:c r="E74" s="50" t="n">
        <x:f>VLOOKUP(C74,'Schedules'!$A$5:$G$9,4,FALSE)</x:f>
        <x:v>0.92</x:v>
      </x:c>
      <x:c r="F74" s="50" t="n">
        <x:f>VLOOKUP(C74,'Schedules'!$A$5:$G$9,5,FALSE)</x:f>
        <x:v>0.92</x:v>
      </x:c>
      <x:c r="G74" s="50" t="n">
        <x:f>ROUND('Inputs'!$B$14*(1+'Inputs'!$B$15*(A74-1))*D74/24*E74,0)</x:f>
        <x:v>1400</x:v>
      </x:c>
      <x:c r="H74" s="50" t="n">
        <x:f>MAX('Inputs'!$B$19,ROUND(G74*'Inputs'!$B$18,0))</x:f>
        <x:v>350</x:v>
      </x:c>
      <x:c r="I74" s="50" t="n">
        <x:f>ROUND('Inputs'!$B$16*(1+'Inputs'!$B$17*(A74-1))*D74/24*F74,0)</x:f>
        <x:v>209</x:v>
      </x:c>
      <x:c r="J74" s="50" t="n">
        <x:f>ROUNDUP(D74/(24/B74),0)*(24/B74)</x:f>
        <x:v>48</x:v>
      </x:c>
      <x:c r="K74" s="50" t="n">
        <x:f>G74*24/J74</x:f>
        <x:v>700</x:v>
      </x:c>
      <x:c r="L74" s="50" t="n">
        <x:f>I74*24/J74</x:f>
        <x:v>104.5</x:v>
      </x:c>
      <x:c r="M74" s="28" t="str">
        <x:v>Neutral 1.0/1.0 role; one slot; ideal repeated selection. No extra income after ready until next visit.</x:v>
      </x:c>
    </x:row>
    <x:row r="75" ht="38" customHeight="1">
      <x:c r="A75" s="28" t="n">
        <x:v>30</x:v>
      </x:c>
      <x:c r="B75" s="28" t="n">
        <x:v>6</x:v>
      </x:c>
      <x:c r="C75" s="28" t="str">
        <x:v>SC-20M</x:v>
      </x:c>
      <x:c r="D75" s="50" t="n">
        <x:f>VLOOKUP(C75,'Schedules'!$A$5:$G$9,3,FALSE)</x:f>
        <x:v>0.3333333333333333</x:v>
      </x:c>
      <x:c r="E75" s="50" t="n">
        <x:f>VLOOKUP(C75,'Schedules'!$A$5:$G$9,4,FALSE)</x:f>
        <x:v>1.25</x:v>
      </x:c>
      <x:c r="F75" s="50" t="n">
        <x:f>VLOOKUP(C75,'Schedules'!$A$5:$G$9,5,FALSE)</x:f>
        <x:v>1.25</x:v>
      </x:c>
      <x:c r="G75" s="50" t="n">
        <x:f>ROUND('Inputs'!$B$14*(1+'Inputs'!$B$15*(A75-1))*D75/24*E75,0)</x:f>
        <x:v>14</x:v>
      </x:c>
      <x:c r="H75" s="50" t="n">
        <x:f>MAX('Inputs'!$B$19,ROUND(G75*'Inputs'!$B$18,0))</x:f>
        <x:v>5</x:v>
      </x:c>
      <x:c r="I75" s="50" t="n">
        <x:f>ROUND('Inputs'!$B$16*(1+'Inputs'!$B$17*(A75-1))*D75/24*F75,0)</x:f>
        <x:v>2</x:v>
      </x:c>
      <x:c r="J75" s="50" t="n">
        <x:f>ROUNDUP(D75/(24/B75),0)*(24/B75)</x:f>
        <x:v>4</x:v>
      </x:c>
      <x:c r="K75" s="50" t="n">
        <x:f>G75*24/J75</x:f>
        <x:v>84</x:v>
      </x:c>
      <x:c r="L75" s="50" t="n">
        <x:f>I75*24/J75</x:f>
        <x:v>12</x:v>
      </x:c>
      <x:c r="M75" s="28" t="str">
        <x:v>Neutral 1.0/1.0 role; one slot; ideal repeated selection. No extra income after ready until next visit.</x:v>
      </x:c>
    </x:row>
    <x:row r="76" ht="38" customHeight="1">
      <x:c r="A76" s="28" t="n">
        <x:v>30</x:v>
      </x:c>
      <x:c r="B76" s="28" t="n">
        <x:v>6</x:v>
      </x:c>
      <x:c r="C76" s="28" t="str">
        <x:v>SC-2H</x:v>
      </x:c>
      <x:c r="D76" s="50" t="n">
        <x:f>VLOOKUP(C76,'Schedules'!$A$5:$G$9,3,FALSE)</x:f>
        <x:v>2</x:v>
      </x:c>
      <x:c r="E76" s="50" t="n">
        <x:f>VLOOKUP(C76,'Schedules'!$A$5:$G$9,4,FALSE)</x:f>
        <x:v>1.3</x:v>
      </x:c>
      <x:c r="F76" s="50" t="n">
        <x:f>VLOOKUP(C76,'Schedules'!$A$5:$G$9,5,FALSE)</x:f>
        <x:v>1.3</x:v>
      </x:c>
      <x:c r="G76" s="50" t="n">
        <x:f>ROUND('Inputs'!$B$14*(1+'Inputs'!$B$15*(A76-1))*D76/24*E76,0)</x:f>
        <x:v>90</x:v>
      </x:c>
      <x:c r="H76" s="50" t="n">
        <x:f>MAX('Inputs'!$B$19,ROUND(G76*'Inputs'!$B$18,0))</x:f>
        <x:v>23</x:v>
      </x:c>
      <x:c r="I76" s="50" t="n">
        <x:f>ROUND('Inputs'!$B$16*(1+'Inputs'!$B$17*(A76-1))*D76/24*F76,0)</x:f>
        <x:v>13</x:v>
      </x:c>
      <x:c r="J76" s="50" t="n">
        <x:f>ROUNDUP(D76/(24/B76),0)*(24/B76)</x:f>
        <x:v>4</x:v>
      </x:c>
      <x:c r="K76" s="50" t="n">
        <x:f>G76*24/J76</x:f>
        <x:v>540</x:v>
      </x:c>
      <x:c r="L76" s="50" t="n">
        <x:f>I76*24/J76</x:f>
        <x:v>78</x:v>
      </x:c>
      <x:c r="M76" s="28" t="str">
        <x:v>Neutral 1.0/1.0 role; one slot; ideal repeated selection. No extra income after ready until next visit.</x:v>
      </x:c>
    </x:row>
    <x:row r="77" ht="38" customHeight="1">
      <x:c r="A77" s="28" t="n">
        <x:v>30</x:v>
      </x:c>
      <x:c r="B77" s="28" t="n">
        <x:v>6</x:v>
      </x:c>
      <x:c r="C77" s="28" t="str">
        <x:v>SC-8H</x:v>
      </x:c>
      <x:c r="D77" s="50" t="n">
        <x:f>VLOOKUP(C77,'Schedules'!$A$5:$G$9,3,FALSE)</x:f>
        <x:v>8</x:v>
      </x:c>
      <x:c r="E77" s="50" t="n">
        <x:f>VLOOKUP(C77,'Schedules'!$A$5:$G$9,4,FALSE)</x:f>
        <x:v>1.3</x:v>
      </x:c>
      <x:c r="F77" s="50" t="n">
        <x:f>VLOOKUP(C77,'Schedules'!$A$5:$G$9,5,FALSE)</x:f>
        <x:v>1.3</x:v>
      </x:c>
      <x:c r="G77" s="50" t="n">
        <x:f>ROUND('Inputs'!$B$14*(1+'Inputs'!$B$15*(A77-1))*D77/24*E77,0)</x:f>
        <x:v>360</x:v>
      </x:c>
      <x:c r="H77" s="50" t="n">
        <x:f>MAX('Inputs'!$B$19,ROUND(G77*'Inputs'!$B$18,0))</x:f>
        <x:v>90</x:v>
      </x:c>
      <x:c r="I77" s="50" t="n">
        <x:f>ROUND('Inputs'!$B$16*(1+'Inputs'!$B$17*(A77-1))*D77/24*F77,0)</x:f>
        <x:v>54</x:v>
      </x:c>
      <x:c r="J77" s="50" t="n">
        <x:f>ROUNDUP(D77/(24/B77),0)*(24/B77)</x:f>
        <x:v>8</x:v>
      </x:c>
      <x:c r="K77" s="50" t="n">
        <x:f>G77*24/J77</x:f>
        <x:v>1080</x:v>
      </x:c>
      <x:c r="L77" s="50" t="n">
        <x:f>I77*24/J77</x:f>
        <x:v>162</x:v>
      </x:c>
      <x:c r="M77" s="28" t="str">
        <x:v>Neutral 1.0/1.0 role; one slot; ideal repeated selection. No extra income after ready until next visit.</x:v>
      </x:c>
    </x:row>
    <x:row r="78" ht="38" customHeight="1">
      <x:c r="A78" s="28" t="n">
        <x:v>30</x:v>
      </x:c>
      <x:c r="B78" s="28" t="n">
        <x:v>6</x:v>
      </x:c>
      <x:c r="C78" s="28" t="str">
        <x:v>SC-20H</x:v>
      </x:c>
      <x:c r="D78" s="50" t="n">
        <x:f>VLOOKUP(C78,'Schedules'!$A$5:$G$9,3,FALSE)</x:f>
        <x:v>20</x:v>
      </x:c>
      <x:c r="E78" s="50" t="n">
        <x:f>VLOOKUP(C78,'Schedules'!$A$5:$G$9,4,FALSE)</x:f>
        <x:v>1</x:v>
      </x:c>
      <x:c r="F78" s="50" t="n">
        <x:f>VLOOKUP(C78,'Schedules'!$A$5:$G$9,5,FALSE)</x:f>
        <x:v>1</x:v>
      </x:c>
      <x:c r="G78" s="50" t="n">
        <x:f>ROUND('Inputs'!$B$14*(1+'Inputs'!$B$15*(A78-1))*D78/24*E78,0)</x:f>
        <x:v>692</x:v>
      </x:c>
      <x:c r="H78" s="50" t="n">
        <x:f>MAX('Inputs'!$B$19,ROUND(G78*'Inputs'!$B$18,0))</x:f>
        <x:v>173</x:v>
      </x:c>
      <x:c r="I78" s="50" t="n">
        <x:f>ROUND('Inputs'!$B$16*(1+'Inputs'!$B$17*(A78-1))*D78/24*F78,0)</x:f>
        <x:v>103</x:v>
      </x:c>
      <x:c r="J78" s="50" t="n">
        <x:f>ROUNDUP(D78/(24/B78),0)*(24/B78)</x:f>
        <x:v>20</x:v>
      </x:c>
      <x:c r="K78" s="50" t="n">
        <x:f>G78*24/J78</x:f>
        <x:v>830.4</x:v>
      </x:c>
      <x:c r="L78" s="50" t="n">
        <x:f>I78*24/J78</x:f>
        <x:v>123.6</x:v>
      </x:c>
      <x:c r="M78" s="28" t="str">
        <x:v>Neutral 1.0/1.0 role; one slot; ideal repeated selection. No extra income after ready until next visit.</x:v>
      </x:c>
    </x:row>
    <x:row r="79" ht="38" customHeight="1">
      <x:c r="A79" s="28" t="n">
        <x:v>30</x:v>
      </x:c>
      <x:c r="B79" s="28" t="n">
        <x:v>6</x:v>
      </x:c>
      <x:c r="C79" s="28" t="str">
        <x:v>SC-44H</x:v>
      </x:c>
      <x:c r="D79" s="50" t="n">
        <x:f>VLOOKUP(C79,'Schedules'!$A$5:$G$9,3,FALSE)</x:f>
        <x:v>44</x:v>
      </x:c>
      <x:c r="E79" s="50" t="n">
        <x:f>VLOOKUP(C79,'Schedules'!$A$5:$G$9,4,FALSE)</x:f>
        <x:v>0.92</x:v>
      </x:c>
      <x:c r="F79" s="50" t="n">
        <x:f>VLOOKUP(C79,'Schedules'!$A$5:$G$9,5,FALSE)</x:f>
        <x:v>0.92</x:v>
      </x:c>
      <x:c r="G79" s="50" t="n">
        <x:f>ROUND('Inputs'!$B$14*(1+'Inputs'!$B$15*(A79-1))*D79/24*E79,0)</x:f>
        <x:v>1400</x:v>
      </x:c>
      <x:c r="H79" s="50" t="n">
        <x:f>MAX('Inputs'!$B$19,ROUND(G79*'Inputs'!$B$18,0))</x:f>
        <x:v>350</x:v>
      </x:c>
      <x:c r="I79" s="50" t="n">
        <x:f>ROUND('Inputs'!$B$16*(1+'Inputs'!$B$17*(A79-1))*D79/24*F79,0)</x:f>
        <x:v>209</x:v>
      </x:c>
      <x:c r="J79" s="50" t="n">
        <x:f>ROUNDUP(D79/(24/B79),0)*(24/B79)</x:f>
        <x:v>44</x:v>
      </x:c>
      <x:c r="K79" s="50" t="n">
        <x:f>G79*24/J79</x:f>
        <x:v>763.6363636363636</x:v>
      </x:c>
      <x:c r="L79" s="50" t="n">
        <x:f>I79*24/J79</x:f>
        <x:v>114</x:v>
      </x:c>
      <x:c r="M79" s="28" t="str">
        <x:v>Neutral 1.0/1.0 role; one slot; ideal repeated selection. No extra income after ready until next visit.</x:v>
      </x:c>
    </x:row>
    <x:row r="80" ht="38" customHeight="1">
      <x:c r="A80" s="28" t="n">
        <x:v>40</x:v>
      </x:c>
      <x:c r="B80" s="28" t="n">
        <x:v>1</x:v>
      </x:c>
      <x:c r="C80" s="28" t="str">
        <x:v>SC-20M</x:v>
      </x:c>
      <x:c r="D80" s="50" t="n">
        <x:f>VLOOKUP(C80,'Schedules'!$A$5:$G$9,3,FALSE)</x:f>
        <x:v>0.3333333333333333</x:v>
      </x:c>
      <x:c r="E80" s="50" t="n">
        <x:f>VLOOKUP(C80,'Schedules'!$A$5:$G$9,4,FALSE)</x:f>
        <x:v>1.25</x:v>
      </x:c>
      <x:c r="F80" s="50" t="n">
        <x:f>VLOOKUP(C80,'Schedules'!$A$5:$G$9,5,FALSE)</x:f>
        <x:v>1.25</x:v>
      </x:c>
      <x:c r="G80" s="50" t="n">
        <x:f>ROUND('Inputs'!$B$14*(1+'Inputs'!$B$15*(A80-1))*D80/24*E80,0)</x:f>
        <x:v>17</x:v>
      </x:c>
      <x:c r="H80" s="50" t="n">
        <x:f>MAX('Inputs'!$B$19,ROUND(G80*'Inputs'!$B$18,0))</x:f>
        <x:v>5</x:v>
      </x:c>
      <x:c r="I80" s="50" t="n">
        <x:f>ROUND('Inputs'!$B$16*(1+'Inputs'!$B$17*(A80-1))*D80/24*F80,0)</x:f>
        <x:v>2</x:v>
      </x:c>
      <x:c r="J80" s="50" t="n">
        <x:f>ROUNDUP(D80/(24/B80),0)*(24/B80)</x:f>
        <x:v>24</x:v>
      </x:c>
      <x:c r="K80" s="50" t="n">
        <x:f>G80*24/J80</x:f>
        <x:v>17</x:v>
      </x:c>
      <x:c r="L80" s="50" t="n">
        <x:f>I80*24/J80</x:f>
        <x:v>2</x:v>
      </x:c>
      <x:c r="M80" s="28" t="str">
        <x:v>Neutral 1.0/1.0 role; one slot; ideal repeated selection. No extra income after ready until next visit.</x:v>
      </x:c>
    </x:row>
    <x:row r="81" ht="38" customHeight="1">
      <x:c r="A81" s="28" t="n">
        <x:v>40</x:v>
      </x:c>
      <x:c r="B81" s="28" t="n">
        <x:v>1</x:v>
      </x:c>
      <x:c r="C81" s="28" t="str">
        <x:v>SC-2H</x:v>
      </x:c>
      <x:c r="D81" s="50" t="n">
        <x:f>VLOOKUP(C81,'Schedules'!$A$5:$G$9,3,FALSE)</x:f>
        <x:v>2</x:v>
      </x:c>
      <x:c r="E81" s="50" t="n">
        <x:f>VLOOKUP(C81,'Schedules'!$A$5:$G$9,4,FALSE)</x:f>
        <x:v>1.3</x:v>
      </x:c>
      <x:c r="F81" s="50" t="n">
        <x:f>VLOOKUP(C81,'Schedules'!$A$5:$G$9,5,FALSE)</x:f>
        <x:v>1.3</x:v>
      </x:c>
      <x:c r="G81" s="50" t="n">
        <x:f>ROUND('Inputs'!$B$14*(1+'Inputs'!$B$15*(A81-1))*D81/24*E81,0)</x:f>
        <x:v>107</x:v>
      </x:c>
      <x:c r="H81" s="50" t="n">
        <x:f>MAX('Inputs'!$B$19,ROUND(G81*'Inputs'!$B$18,0))</x:f>
        <x:v>27</x:v>
      </x:c>
      <x:c r="I81" s="50" t="n">
        <x:f>ROUND('Inputs'!$B$16*(1+'Inputs'!$B$17*(A81-1))*D81/24*F81,0)</x:f>
        <x:v>14</x:v>
      </x:c>
      <x:c r="J81" s="50" t="n">
        <x:f>ROUNDUP(D81/(24/B81),0)*(24/B81)</x:f>
        <x:v>24</x:v>
      </x:c>
      <x:c r="K81" s="50" t="n">
        <x:f>G81*24/J81</x:f>
        <x:v>107</x:v>
      </x:c>
      <x:c r="L81" s="50" t="n">
        <x:f>I81*24/J81</x:f>
        <x:v>14</x:v>
      </x:c>
      <x:c r="M81" s="28" t="str">
        <x:v>Neutral 1.0/1.0 role; one slot; ideal repeated selection. No extra income after ready until next visit.</x:v>
      </x:c>
    </x:row>
    <x:row r="82" ht="38" customHeight="1">
      <x:c r="A82" s="28" t="n">
        <x:v>40</x:v>
      </x:c>
      <x:c r="B82" s="28" t="n">
        <x:v>1</x:v>
      </x:c>
      <x:c r="C82" s="28" t="str">
        <x:v>SC-8H</x:v>
      </x:c>
      <x:c r="D82" s="50" t="n">
        <x:f>VLOOKUP(C82,'Schedules'!$A$5:$G$9,3,FALSE)</x:f>
        <x:v>8</x:v>
      </x:c>
      <x:c r="E82" s="50" t="n">
        <x:f>VLOOKUP(C82,'Schedules'!$A$5:$G$9,4,FALSE)</x:f>
        <x:v>1.3</x:v>
      </x:c>
      <x:c r="F82" s="50" t="n">
        <x:f>VLOOKUP(C82,'Schedules'!$A$5:$G$9,5,FALSE)</x:f>
        <x:v>1.3</x:v>
      </x:c>
      <x:c r="G82" s="50" t="n">
        <x:f>ROUND('Inputs'!$B$14*(1+'Inputs'!$B$15*(A82-1))*D82/24*E82,0)</x:f>
        <x:v>430</x:v>
      </x:c>
      <x:c r="H82" s="50" t="n">
        <x:f>MAX('Inputs'!$B$19,ROUND(G82*'Inputs'!$B$18,0))</x:f>
        <x:v>108</x:v>
      </x:c>
      <x:c r="I82" s="50" t="n">
        <x:f>ROUND('Inputs'!$B$16*(1+'Inputs'!$B$17*(A82-1))*D82/24*F82,0)</x:f>
        <x:v>58</x:v>
      </x:c>
      <x:c r="J82" s="50" t="n">
        <x:f>ROUNDUP(D82/(24/B82),0)*(24/B82)</x:f>
        <x:v>24</x:v>
      </x:c>
      <x:c r="K82" s="50" t="n">
        <x:f>G82*24/J82</x:f>
        <x:v>430</x:v>
      </x:c>
      <x:c r="L82" s="50" t="n">
        <x:f>I82*24/J82</x:f>
        <x:v>58</x:v>
      </x:c>
      <x:c r="M82" s="28" t="str">
        <x:v>Neutral 1.0/1.0 role; one slot; ideal repeated selection. No extra income after ready until next visit.</x:v>
      </x:c>
    </x:row>
    <x:row r="83" ht="38" customHeight="1">
      <x:c r="A83" s="28" t="n">
        <x:v>40</x:v>
      </x:c>
      <x:c r="B83" s="28" t="n">
        <x:v>1</x:v>
      </x:c>
      <x:c r="C83" s="28" t="str">
        <x:v>SC-20H</x:v>
      </x:c>
      <x:c r="D83" s="50" t="n">
        <x:f>VLOOKUP(C83,'Schedules'!$A$5:$G$9,3,FALSE)</x:f>
        <x:v>20</x:v>
      </x:c>
      <x:c r="E83" s="50" t="n">
        <x:f>VLOOKUP(C83,'Schedules'!$A$5:$G$9,4,FALSE)</x:f>
        <x:v>1</x:v>
      </x:c>
      <x:c r="F83" s="50" t="n">
        <x:f>VLOOKUP(C83,'Schedules'!$A$5:$G$9,5,FALSE)</x:f>
        <x:v>1</x:v>
      </x:c>
      <x:c r="G83" s="50" t="n">
        <x:f>ROUND('Inputs'!$B$14*(1+'Inputs'!$B$15*(A83-1))*D83/24*E83,0)</x:f>
        <x:v>827</x:v>
      </x:c>
      <x:c r="H83" s="50" t="n">
        <x:f>MAX('Inputs'!$B$19,ROUND(G83*'Inputs'!$B$18,0))</x:f>
        <x:v>207</x:v>
      </x:c>
      <x:c r="I83" s="50" t="n">
        <x:f>ROUND('Inputs'!$B$16*(1+'Inputs'!$B$17*(A83-1))*D83/24*F83,0)</x:f>
        <x:v>111</x:v>
      </x:c>
      <x:c r="J83" s="50" t="n">
        <x:f>ROUNDUP(D83/(24/B83),0)*(24/B83)</x:f>
        <x:v>24</x:v>
      </x:c>
      <x:c r="K83" s="50" t="n">
        <x:f>G83*24/J83</x:f>
        <x:v>827</x:v>
      </x:c>
      <x:c r="L83" s="50" t="n">
        <x:f>I83*24/J83</x:f>
        <x:v>111</x:v>
      </x:c>
      <x:c r="M83" s="28" t="str">
        <x:v>Neutral 1.0/1.0 role; one slot; ideal repeated selection. No extra income after ready until next visit.</x:v>
      </x:c>
    </x:row>
    <x:row r="84" ht="38" customHeight="1">
      <x:c r="A84" s="28" t="n">
        <x:v>40</x:v>
      </x:c>
      <x:c r="B84" s="28" t="n">
        <x:v>1</x:v>
      </x:c>
      <x:c r="C84" s="28" t="str">
        <x:v>SC-44H</x:v>
      </x:c>
      <x:c r="D84" s="50" t="n">
        <x:f>VLOOKUP(C84,'Schedules'!$A$5:$G$9,3,FALSE)</x:f>
        <x:v>44</x:v>
      </x:c>
      <x:c r="E84" s="50" t="n">
        <x:f>VLOOKUP(C84,'Schedules'!$A$5:$G$9,4,FALSE)</x:f>
        <x:v>0.92</x:v>
      </x:c>
      <x:c r="F84" s="50" t="n">
        <x:f>VLOOKUP(C84,'Schedules'!$A$5:$G$9,5,FALSE)</x:f>
        <x:v>0.92</x:v>
      </x:c>
      <x:c r="G84" s="50" t="n">
        <x:f>ROUND('Inputs'!$B$14*(1+'Inputs'!$B$15*(A84-1))*D84/24*E84,0)</x:f>
        <x:v>1673</x:v>
      </x:c>
      <x:c r="H84" s="50" t="n">
        <x:f>MAX('Inputs'!$B$19,ROUND(G84*'Inputs'!$B$18,0))</x:f>
        <x:v>418</x:v>
      </x:c>
      <x:c r="I84" s="50" t="n">
        <x:f>ROUND('Inputs'!$B$16*(1+'Inputs'!$B$17*(A84-1))*D84/24*F84,0)</x:f>
        <x:v>225</x:v>
      </x:c>
      <x:c r="J84" s="50" t="n">
        <x:f>ROUNDUP(D84/(24/B84),0)*(24/B84)</x:f>
        <x:v>48</x:v>
      </x:c>
      <x:c r="K84" s="50" t="n">
        <x:f>G84*24/J84</x:f>
        <x:v>836.5</x:v>
      </x:c>
      <x:c r="L84" s="50" t="n">
        <x:f>I84*24/J84</x:f>
        <x:v>112.5</x:v>
      </x:c>
      <x:c r="M84" s="28" t="str">
        <x:v>Neutral 1.0/1.0 role; one slot; ideal repeated selection. No extra income after ready until next visit.</x:v>
      </x:c>
    </x:row>
    <x:row r="85" ht="38" customHeight="1">
      <x:c r="A85" s="28" t="n">
        <x:v>40</x:v>
      </x:c>
      <x:c r="B85" s="28" t="n">
        <x:v>2</x:v>
      </x:c>
      <x:c r="C85" s="28" t="str">
        <x:v>SC-20M</x:v>
      </x:c>
      <x:c r="D85" s="50" t="n">
        <x:f>VLOOKUP(C85,'Schedules'!$A$5:$G$9,3,FALSE)</x:f>
        <x:v>0.3333333333333333</x:v>
      </x:c>
      <x:c r="E85" s="50" t="n">
        <x:f>VLOOKUP(C85,'Schedules'!$A$5:$G$9,4,FALSE)</x:f>
        <x:v>1.25</x:v>
      </x:c>
      <x:c r="F85" s="50" t="n">
        <x:f>VLOOKUP(C85,'Schedules'!$A$5:$G$9,5,FALSE)</x:f>
        <x:v>1.25</x:v>
      </x:c>
      <x:c r="G85" s="50" t="n">
        <x:f>ROUND('Inputs'!$B$14*(1+'Inputs'!$B$15*(A85-1))*D85/24*E85,0)</x:f>
        <x:v>17</x:v>
      </x:c>
      <x:c r="H85" s="50" t="n">
        <x:f>MAX('Inputs'!$B$19,ROUND(G85*'Inputs'!$B$18,0))</x:f>
        <x:v>5</x:v>
      </x:c>
      <x:c r="I85" s="50" t="n">
        <x:f>ROUND('Inputs'!$B$16*(1+'Inputs'!$B$17*(A85-1))*D85/24*F85,0)</x:f>
        <x:v>2</x:v>
      </x:c>
      <x:c r="J85" s="50" t="n">
        <x:f>ROUNDUP(D85/(24/B85),0)*(24/B85)</x:f>
        <x:v>12</x:v>
      </x:c>
      <x:c r="K85" s="50" t="n">
        <x:f>G85*24/J85</x:f>
        <x:v>34</x:v>
      </x:c>
      <x:c r="L85" s="50" t="n">
        <x:f>I85*24/J85</x:f>
        <x:v>4</x:v>
      </x:c>
      <x:c r="M85" s="28" t="str">
        <x:v>Neutral 1.0/1.0 role; one slot; ideal repeated selection. No extra income after ready until next visit.</x:v>
      </x:c>
    </x:row>
    <x:row r="86" ht="38" customHeight="1">
      <x:c r="A86" s="28" t="n">
        <x:v>40</x:v>
      </x:c>
      <x:c r="B86" s="28" t="n">
        <x:v>2</x:v>
      </x:c>
      <x:c r="C86" s="28" t="str">
        <x:v>SC-2H</x:v>
      </x:c>
      <x:c r="D86" s="50" t="n">
        <x:f>VLOOKUP(C86,'Schedules'!$A$5:$G$9,3,FALSE)</x:f>
        <x:v>2</x:v>
      </x:c>
      <x:c r="E86" s="50" t="n">
        <x:f>VLOOKUP(C86,'Schedules'!$A$5:$G$9,4,FALSE)</x:f>
        <x:v>1.3</x:v>
      </x:c>
      <x:c r="F86" s="50" t="n">
        <x:f>VLOOKUP(C86,'Schedules'!$A$5:$G$9,5,FALSE)</x:f>
        <x:v>1.3</x:v>
      </x:c>
      <x:c r="G86" s="50" t="n">
        <x:f>ROUND('Inputs'!$B$14*(1+'Inputs'!$B$15*(A86-1))*D86/24*E86,0)</x:f>
        <x:v>107</x:v>
      </x:c>
      <x:c r="H86" s="50" t="n">
        <x:f>MAX('Inputs'!$B$19,ROUND(G86*'Inputs'!$B$18,0))</x:f>
        <x:v>27</x:v>
      </x:c>
      <x:c r="I86" s="50" t="n">
        <x:f>ROUND('Inputs'!$B$16*(1+'Inputs'!$B$17*(A86-1))*D86/24*F86,0)</x:f>
        <x:v>14</x:v>
      </x:c>
      <x:c r="J86" s="50" t="n">
        <x:f>ROUNDUP(D86/(24/B86),0)*(24/B86)</x:f>
        <x:v>12</x:v>
      </x:c>
      <x:c r="K86" s="50" t="n">
        <x:f>G86*24/J86</x:f>
        <x:v>214</x:v>
      </x:c>
      <x:c r="L86" s="50" t="n">
        <x:f>I86*24/J86</x:f>
        <x:v>28</x:v>
      </x:c>
      <x:c r="M86" s="28" t="str">
        <x:v>Neutral 1.0/1.0 role; one slot; ideal repeated selection. No extra income after ready until next visit.</x:v>
      </x:c>
    </x:row>
    <x:row r="87" ht="38" customHeight="1">
      <x:c r="A87" s="28" t="n">
        <x:v>40</x:v>
      </x:c>
      <x:c r="B87" s="28" t="n">
        <x:v>2</x:v>
      </x:c>
      <x:c r="C87" s="28" t="str">
        <x:v>SC-8H</x:v>
      </x:c>
      <x:c r="D87" s="50" t="n">
        <x:f>VLOOKUP(C87,'Schedules'!$A$5:$G$9,3,FALSE)</x:f>
        <x:v>8</x:v>
      </x:c>
      <x:c r="E87" s="50" t="n">
        <x:f>VLOOKUP(C87,'Schedules'!$A$5:$G$9,4,FALSE)</x:f>
        <x:v>1.3</x:v>
      </x:c>
      <x:c r="F87" s="50" t="n">
        <x:f>VLOOKUP(C87,'Schedules'!$A$5:$G$9,5,FALSE)</x:f>
        <x:v>1.3</x:v>
      </x:c>
      <x:c r="G87" s="50" t="n">
        <x:f>ROUND('Inputs'!$B$14*(1+'Inputs'!$B$15*(A87-1))*D87/24*E87,0)</x:f>
        <x:v>430</x:v>
      </x:c>
      <x:c r="H87" s="50" t="n">
        <x:f>MAX('Inputs'!$B$19,ROUND(G87*'Inputs'!$B$18,0))</x:f>
        <x:v>108</x:v>
      </x:c>
      <x:c r="I87" s="50" t="n">
        <x:f>ROUND('Inputs'!$B$16*(1+'Inputs'!$B$17*(A87-1))*D87/24*F87,0)</x:f>
        <x:v>58</x:v>
      </x:c>
      <x:c r="J87" s="50" t="n">
        <x:f>ROUNDUP(D87/(24/B87),0)*(24/B87)</x:f>
        <x:v>12</x:v>
      </x:c>
      <x:c r="K87" s="50" t="n">
        <x:f>G87*24/J87</x:f>
        <x:v>860</x:v>
      </x:c>
      <x:c r="L87" s="50" t="n">
        <x:f>I87*24/J87</x:f>
        <x:v>116</x:v>
      </x:c>
      <x:c r="M87" s="28" t="str">
        <x:v>Neutral 1.0/1.0 role; one slot; ideal repeated selection. No extra income after ready until next visit.</x:v>
      </x:c>
    </x:row>
    <x:row r="88" ht="38" customHeight="1">
      <x:c r="A88" s="28" t="n">
        <x:v>40</x:v>
      </x:c>
      <x:c r="B88" s="28" t="n">
        <x:v>2</x:v>
      </x:c>
      <x:c r="C88" s="28" t="str">
        <x:v>SC-20H</x:v>
      </x:c>
      <x:c r="D88" s="50" t="n">
        <x:f>VLOOKUP(C88,'Schedules'!$A$5:$G$9,3,FALSE)</x:f>
        <x:v>20</x:v>
      </x:c>
      <x:c r="E88" s="50" t="n">
        <x:f>VLOOKUP(C88,'Schedules'!$A$5:$G$9,4,FALSE)</x:f>
        <x:v>1</x:v>
      </x:c>
      <x:c r="F88" s="50" t="n">
        <x:f>VLOOKUP(C88,'Schedules'!$A$5:$G$9,5,FALSE)</x:f>
        <x:v>1</x:v>
      </x:c>
      <x:c r="G88" s="50" t="n">
        <x:f>ROUND('Inputs'!$B$14*(1+'Inputs'!$B$15*(A88-1))*D88/24*E88,0)</x:f>
        <x:v>827</x:v>
      </x:c>
      <x:c r="H88" s="50" t="n">
        <x:f>MAX('Inputs'!$B$19,ROUND(G88*'Inputs'!$B$18,0))</x:f>
        <x:v>207</x:v>
      </x:c>
      <x:c r="I88" s="50" t="n">
        <x:f>ROUND('Inputs'!$B$16*(1+'Inputs'!$B$17*(A88-1))*D88/24*F88,0)</x:f>
        <x:v>111</x:v>
      </x:c>
      <x:c r="J88" s="50" t="n">
        <x:f>ROUNDUP(D88/(24/B88),0)*(24/B88)</x:f>
        <x:v>24</x:v>
      </x:c>
      <x:c r="K88" s="50" t="n">
        <x:f>G88*24/J88</x:f>
        <x:v>827</x:v>
      </x:c>
      <x:c r="L88" s="50" t="n">
        <x:f>I88*24/J88</x:f>
        <x:v>111</x:v>
      </x:c>
      <x:c r="M88" s="28" t="str">
        <x:v>Neutral 1.0/1.0 role; one slot; ideal repeated selection. No extra income after ready until next visit.</x:v>
      </x:c>
    </x:row>
    <x:row r="89" ht="38" customHeight="1">
      <x:c r="A89" s="28" t="n">
        <x:v>40</x:v>
      </x:c>
      <x:c r="B89" s="28" t="n">
        <x:v>2</x:v>
      </x:c>
      <x:c r="C89" s="28" t="str">
        <x:v>SC-44H</x:v>
      </x:c>
      <x:c r="D89" s="50" t="n">
        <x:f>VLOOKUP(C89,'Schedules'!$A$5:$G$9,3,FALSE)</x:f>
        <x:v>44</x:v>
      </x:c>
      <x:c r="E89" s="50" t="n">
        <x:f>VLOOKUP(C89,'Schedules'!$A$5:$G$9,4,FALSE)</x:f>
        <x:v>0.92</x:v>
      </x:c>
      <x:c r="F89" s="50" t="n">
        <x:f>VLOOKUP(C89,'Schedules'!$A$5:$G$9,5,FALSE)</x:f>
        <x:v>0.92</x:v>
      </x:c>
      <x:c r="G89" s="50" t="n">
        <x:f>ROUND('Inputs'!$B$14*(1+'Inputs'!$B$15*(A89-1))*D89/24*E89,0)</x:f>
        <x:v>1673</x:v>
      </x:c>
      <x:c r="H89" s="50" t="n">
        <x:f>MAX('Inputs'!$B$19,ROUND(G89*'Inputs'!$B$18,0))</x:f>
        <x:v>418</x:v>
      </x:c>
      <x:c r="I89" s="50" t="n">
        <x:f>ROUND('Inputs'!$B$16*(1+'Inputs'!$B$17*(A89-1))*D89/24*F89,0)</x:f>
        <x:v>225</x:v>
      </x:c>
      <x:c r="J89" s="50" t="n">
        <x:f>ROUNDUP(D89/(24/B89),0)*(24/B89)</x:f>
        <x:v>48</x:v>
      </x:c>
      <x:c r="K89" s="50" t="n">
        <x:f>G89*24/J89</x:f>
        <x:v>836.5</x:v>
      </x:c>
      <x:c r="L89" s="50" t="n">
        <x:f>I89*24/J89</x:f>
        <x:v>112.5</x:v>
      </x:c>
      <x:c r="M89" s="28" t="str">
        <x:v>Neutral 1.0/1.0 role; one slot; ideal repeated selection. No extra income after ready until next visit.</x:v>
      </x:c>
    </x:row>
    <x:row r="90" ht="38" customHeight="1">
      <x:c r="A90" s="28" t="n">
        <x:v>40</x:v>
      </x:c>
      <x:c r="B90" s="28" t="n">
        <x:v>6</x:v>
      </x:c>
      <x:c r="C90" s="28" t="str">
        <x:v>SC-20M</x:v>
      </x:c>
      <x:c r="D90" s="50" t="n">
        <x:f>VLOOKUP(C90,'Schedules'!$A$5:$G$9,3,FALSE)</x:f>
        <x:v>0.3333333333333333</x:v>
      </x:c>
      <x:c r="E90" s="50" t="n">
        <x:f>VLOOKUP(C90,'Schedules'!$A$5:$G$9,4,FALSE)</x:f>
        <x:v>1.25</x:v>
      </x:c>
      <x:c r="F90" s="50" t="n">
        <x:f>VLOOKUP(C90,'Schedules'!$A$5:$G$9,5,FALSE)</x:f>
        <x:v>1.25</x:v>
      </x:c>
      <x:c r="G90" s="50" t="n">
        <x:f>ROUND('Inputs'!$B$14*(1+'Inputs'!$B$15*(A90-1))*D90/24*E90,0)</x:f>
        <x:v>17</x:v>
      </x:c>
      <x:c r="H90" s="50" t="n">
        <x:f>MAX('Inputs'!$B$19,ROUND(G90*'Inputs'!$B$18,0))</x:f>
        <x:v>5</x:v>
      </x:c>
      <x:c r="I90" s="50" t="n">
        <x:f>ROUND('Inputs'!$B$16*(1+'Inputs'!$B$17*(A90-1))*D90/24*F90,0)</x:f>
        <x:v>2</x:v>
      </x:c>
      <x:c r="J90" s="50" t="n">
        <x:f>ROUNDUP(D90/(24/B90),0)*(24/B90)</x:f>
        <x:v>4</x:v>
      </x:c>
      <x:c r="K90" s="50" t="n">
        <x:f>G90*24/J90</x:f>
        <x:v>102</x:v>
      </x:c>
      <x:c r="L90" s="50" t="n">
        <x:f>I90*24/J90</x:f>
        <x:v>12</x:v>
      </x:c>
      <x:c r="M90" s="28" t="str">
        <x:v>Neutral 1.0/1.0 role; one slot; ideal repeated selection. No extra income after ready until next visit.</x:v>
      </x:c>
    </x:row>
    <x:row r="91" ht="38" customHeight="1">
      <x:c r="A91" s="28" t="n">
        <x:v>40</x:v>
      </x:c>
      <x:c r="B91" s="28" t="n">
        <x:v>6</x:v>
      </x:c>
      <x:c r="C91" s="28" t="str">
        <x:v>SC-2H</x:v>
      </x:c>
      <x:c r="D91" s="50" t="n">
        <x:f>VLOOKUP(C91,'Schedules'!$A$5:$G$9,3,FALSE)</x:f>
        <x:v>2</x:v>
      </x:c>
      <x:c r="E91" s="50" t="n">
        <x:f>VLOOKUP(C91,'Schedules'!$A$5:$G$9,4,FALSE)</x:f>
        <x:v>1.3</x:v>
      </x:c>
      <x:c r="F91" s="50" t="n">
        <x:f>VLOOKUP(C91,'Schedules'!$A$5:$G$9,5,FALSE)</x:f>
        <x:v>1.3</x:v>
      </x:c>
      <x:c r="G91" s="50" t="n">
        <x:f>ROUND('Inputs'!$B$14*(1+'Inputs'!$B$15*(A91-1))*D91/24*E91,0)</x:f>
        <x:v>107</x:v>
      </x:c>
      <x:c r="H91" s="50" t="n">
        <x:f>MAX('Inputs'!$B$19,ROUND(G91*'Inputs'!$B$18,0))</x:f>
        <x:v>27</x:v>
      </x:c>
      <x:c r="I91" s="50" t="n">
        <x:f>ROUND('Inputs'!$B$16*(1+'Inputs'!$B$17*(A91-1))*D91/24*F91,0)</x:f>
        <x:v>14</x:v>
      </x:c>
      <x:c r="J91" s="50" t="n">
        <x:f>ROUNDUP(D91/(24/B91),0)*(24/B91)</x:f>
        <x:v>4</x:v>
      </x:c>
      <x:c r="K91" s="50" t="n">
        <x:f>G91*24/J91</x:f>
        <x:v>642</x:v>
      </x:c>
      <x:c r="L91" s="50" t="n">
        <x:f>I91*24/J91</x:f>
        <x:v>84</x:v>
      </x:c>
      <x:c r="M91" s="28" t="str">
        <x:v>Neutral 1.0/1.0 role; one slot; ideal repeated selection. No extra income after ready until next visit.</x:v>
      </x:c>
    </x:row>
    <x:row r="92" ht="38" customHeight="1">
      <x:c r="A92" s="28" t="n">
        <x:v>40</x:v>
      </x:c>
      <x:c r="B92" s="28" t="n">
        <x:v>6</x:v>
      </x:c>
      <x:c r="C92" s="28" t="str">
        <x:v>SC-8H</x:v>
      </x:c>
      <x:c r="D92" s="50" t="n">
        <x:f>VLOOKUP(C92,'Schedules'!$A$5:$G$9,3,FALSE)</x:f>
        <x:v>8</x:v>
      </x:c>
      <x:c r="E92" s="50" t="n">
        <x:f>VLOOKUP(C92,'Schedules'!$A$5:$G$9,4,FALSE)</x:f>
        <x:v>1.3</x:v>
      </x:c>
      <x:c r="F92" s="50" t="n">
        <x:f>VLOOKUP(C92,'Schedules'!$A$5:$G$9,5,FALSE)</x:f>
        <x:v>1.3</x:v>
      </x:c>
      <x:c r="G92" s="50" t="n">
        <x:f>ROUND('Inputs'!$B$14*(1+'Inputs'!$B$15*(A92-1))*D92/24*E92,0)</x:f>
        <x:v>430</x:v>
      </x:c>
      <x:c r="H92" s="50" t="n">
        <x:f>MAX('Inputs'!$B$19,ROUND(G92*'Inputs'!$B$18,0))</x:f>
        <x:v>108</x:v>
      </x:c>
      <x:c r="I92" s="50" t="n">
        <x:f>ROUND('Inputs'!$B$16*(1+'Inputs'!$B$17*(A92-1))*D92/24*F92,0)</x:f>
        <x:v>58</x:v>
      </x:c>
      <x:c r="J92" s="50" t="n">
        <x:f>ROUNDUP(D92/(24/B92),0)*(24/B92)</x:f>
        <x:v>8</x:v>
      </x:c>
      <x:c r="K92" s="50" t="n">
        <x:f>G92*24/J92</x:f>
        <x:v>1290</x:v>
      </x:c>
      <x:c r="L92" s="50" t="n">
        <x:f>I92*24/J92</x:f>
        <x:v>174</x:v>
      </x:c>
      <x:c r="M92" s="28" t="str">
        <x:v>Neutral 1.0/1.0 role; one slot; ideal repeated selection. No extra income after ready until next visit.</x:v>
      </x:c>
    </x:row>
    <x:row r="93" ht="38" customHeight="1">
      <x:c r="A93" s="28" t="n">
        <x:v>40</x:v>
      </x:c>
      <x:c r="B93" s="28" t="n">
        <x:v>6</x:v>
      </x:c>
      <x:c r="C93" s="28" t="str">
        <x:v>SC-20H</x:v>
      </x:c>
      <x:c r="D93" s="50" t="n">
        <x:f>VLOOKUP(C93,'Schedules'!$A$5:$G$9,3,FALSE)</x:f>
        <x:v>20</x:v>
      </x:c>
      <x:c r="E93" s="50" t="n">
        <x:f>VLOOKUP(C93,'Schedules'!$A$5:$G$9,4,FALSE)</x:f>
        <x:v>1</x:v>
      </x:c>
      <x:c r="F93" s="50" t="n">
        <x:f>VLOOKUP(C93,'Schedules'!$A$5:$G$9,5,FALSE)</x:f>
        <x:v>1</x:v>
      </x:c>
      <x:c r="G93" s="50" t="n">
        <x:f>ROUND('Inputs'!$B$14*(1+'Inputs'!$B$15*(A93-1))*D93/24*E93,0)</x:f>
        <x:v>827</x:v>
      </x:c>
      <x:c r="H93" s="50" t="n">
        <x:f>MAX('Inputs'!$B$19,ROUND(G93*'Inputs'!$B$18,0))</x:f>
        <x:v>207</x:v>
      </x:c>
      <x:c r="I93" s="50" t="n">
        <x:f>ROUND('Inputs'!$B$16*(1+'Inputs'!$B$17*(A93-1))*D93/24*F93,0)</x:f>
        <x:v>111</x:v>
      </x:c>
      <x:c r="J93" s="50" t="n">
        <x:f>ROUNDUP(D93/(24/B93),0)*(24/B93)</x:f>
        <x:v>20</x:v>
      </x:c>
      <x:c r="K93" s="50" t="n">
        <x:f>G93*24/J93</x:f>
        <x:v>992.4</x:v>
      </x:c>
      <x:c r="L93" s="50" t="n">
        <x:f>I93*24/J93</x:f>
        <x:v>133.2</x:v>
      </x:c>
      <x:c r="M93" s="28" t="str">
        <x:v>Neutral 1.0/1.0 role; one slot; ideal repeated selection. No extra income after ready until next visit.</x:v>
      </x:c>
    </x:row>
    <x:row r="94" ht="38" customHeight="1">
      <x:c r="A94" s="28" t="n">
        <x:v>40</x:v>
      </x:c>
      <x:c r="B94" s="28" t="n">
        <x:v>6</x:v>
      </x:c>
      <x:c r="C94" s="28" t="str">
        <x:v>SC-44H</x:v>
      </x:c>
      <x:c r="D94" s="50" t="n">
        <x:f>VLOOKUP(C94,'Schedules'!$A$5:$G$9,3,FALSE)</x:f>
        <x:v>44</x:v>
      </x:c>
      <x:c r="E94" s="50" t="n">
        <x:f>VLOOKUP(C94,'Schedules'!$A$5:$G$9,4,FALSE)</x:f>
        <x:v>0.92</x:v>
      </x:c>
      <x:c r="F94" s="50" t="n">
        <x:f>VLOOKUP(C94,'Schedules'!$A$5:$G$9,5,FALSE)</x:f>
        <x:v>0.92</x:v>
      </x:c>
      <x:c r="G94" s="50" t="n">
        <x:f>ROUND('Inputs'!$B$14*(1+'Inputs'!$B$15*(A94-1))*D94/24*E94,0)</x:f>
        <x:v>1673</x:v>
      </x:c>
      <x:c r="H94" s="50" t="n">
        <x:f>MAX('Inputs'!$B$19,ROUND(G94*'Inputs'!$B$18,0))</x:f>
        <x:v>418</x:v>
      </x:c>
      <x:c r="I94" s="50" t="n">
        <x:f>ROUND('Inputs'!$B$16*(1+'Inputs'!$B$17*(A94-1))*D94/24*F94,0)</x:f>
        <x:v>225</x:v>
      </x:c>
      <x:c r="J94" s="50" t="n">
        <x:f>ROUNDUP(D94/(24/B94),0)*(24/B94)</x:f>
        <x:v>44</x:v>
      </x:c>
      <x:c r="K94" s="50" t="n">
        <x:f>G94*24/J94</x:f>
        <x:v>912.5454545454545</x:v>
      </x:c>
      <x:c r="L94" s="50" t="n">
        <x:f>I94*24/J94</x:f>
        <x:v>122.72727272727273</x:v>
      </x:c>
      <x:c r="M94" s="28" t="str">
        <x:v>Neutral 1.0/1.0 role; one slot; ideal repeated selection. No extra income after ready until next visit.</x:v>
      </x:c>
    </x:row>
  </x:sheetData>
  <x:mergeCells>
    <x:mergeCell ref="A1:M1"/>
    <x:mergeCell ref="A2:M2"/>
  </x:mergeCells>
  <x:pageMargins left="0.7" right="0.7" top="0.75" bottom="0.75" header="0.3" footer="0.3"/>
  <x:tableParts count="1">
    <x:tablePart xmlns:r="http://schemas.openxmlformats.org/officeDocument/2006/relationships" r:id="R137fbc16f57744e1"/>
  </x:tableParts>
</x:worksheet>
</file>

<file path=xl/worksheets/sheet27.xml><?xml version="1.0" encoding="utf-8"?>
<x:worksheet xmlns:x="http://schemas.openxmlformats.org/spreadsheetml/2006/main">
  <x:sheetFormatPr defaultRowHeight="15"/>
  <x:cols>
    <x:col min="1" max="1" width="25" hidden="0" customWidth="1"/>
    <x:col min="2" max="2" width="14" hidden="0" customWidth="1"/>
    <x:col min="3" max="3" width="22" hidden="0" customWidth="1"/>
    <x:col min="4" max="4" width="22" hidden="0" customWidth="1"/>
    <x:col min="5" max="5" width="21" hidden="0" customWidth="1"/>
    <x:col min="6" max="6" width="23" hidden="0" customWidth="1"/>
    <x:col min="7" max="7" width="24" hidden="0" customWidth="1"/>
    <x:col min="8" max="8" width="14" hidden="0" customWidth="1"/>
    <x:col min="9" max="9" width="38" hidden="0" customWidth="1"/>
    <x:col min="10" max="10" width="19" hidden="0" customWidth="1"/>
    <x:col min="11" max="11" width="66" hidden="0" customWidth="1"/>
    <x:col min="12" max="12" width="62" hidden="0" customWidth="1"/>
  </x:cols>
  <x:sheetData>
    <x:row r="1" ht="34" customHeight="1">
      <x:c r="A1" s="6" t="str">
        <x:v>SIMULATION ACTORS | assumptions, not observed users</x:v>
      </x:c>
      <x:c r="B1" s="6"/>
      <x:c r="C1" s="6"/>
      <x:c r="D1" s="6"/>
      <x:c r="E1" s="6"/>
      <x:c r="F1" s="6"/>
      <x:c r="G1" s="6"/>
      <x:c r="H1" s="6"/>
      <x:c r="I1" s="6"/>
      <x:c r="J1" s="6"/>
      <x:c r="K1" s="6"/>
      <x:c r="L1" s="6"/>
    </x:row>
    <x:row r="2" ht="32" customHeight="1">
      <x:c r="A2" s="13" t="str">
        <x:v>Eight deterministic actors over 120 days. Values describe hypothetical behavior; changing a cell does not rerun the event simulation.</x:v>
      </x:c>
      <x:c r="B2" s="13"/>
      <x:c r="C2" s="13"/>
      <x:c r="D2" s="13"/>
      <x:c r="E2" s="13"/>
      <x:c r="F2" s="13"/>
      <x:c r="G2" s="13"/>
      <x:c r="H2" s="13"/>
      <x:c r="I2" s="13"/>
      <x:c r="J2" s="13"/>
      <x:c r="K2" s="13"/>
      <x:c r="L2" s="13"/>
    </x:row>
    <x:row r="3">
      <x:c r="A3" s="2"/>
      <x:c r="B3" s="2"/>
      <x:c r="C3" s="2"/>
      <x:c r="D3" s="2"/>
      <x:c r="E3" s="2"/>
      <x:c r="F3" s="2"/>
      <x:c r="G3" s="2"/>
      <x:c r="H3" s="2"/>
      <x:c r="I3" s="2"/>
      <x:c r="J3" s="2"/>
      <x:c r="K3" s="2"/>
      <x:c r="L3" s="2"/>
    </x:row>
    <x:row r="4" ht="32" customHeight="1">
      <x:c r="A4" s="21" t="str">
        <x:v>Actor</x:v>
      </x:c>
      <x:c r="B4" s="21" t="str">
        <x:v>Visits/day</x:v>
      </x:c>
      <x:c r="C4" s="21" t="str">
        <x:v>Daily pool completion</x:v>
      </x:c>
      <x:c r="D4" s="21" t="str">
        <x:v>Decor profit budget</x:v>
      </x:c>
      <x:c r="E4" s="21" t="str">
        <x:v>Decor interval days</x:v>
      </x:c>
      <x:c r="F4" s="21" t="str">
        <x:v>New-species preference</x:v>
      </x:c>
      <x:c r="G4" s="21" t="str">
        <x:v>Project profit budget</x:v>
      </x:c>
      <x:c r="H4" s="21" t="str">
        <x:v>Ads/day</x:v>
      </x:c>
      <x:c r="I4" s="21" t="str">
        <x:v>Purchases</x:v>
      </x:c>
      <x:c r="J4" s="21" t="str">
        <x:v>Missed days</x:v>
      </x:c>
      <x:c r="K4" s="21" t="str">
        <x:v>Timing / limitation</x:v>
      </x:c>
      <x:c r="L4" s="21" t="str">
        <x:v>Interpretation</x:v>
      </x:c>
    </x:row>
    <x:row r="5" ht="78" customHeight="1">
      <x:c r="A5" s="28" t="str">
        <x:v>Casual F2P</x:v>
      </x:c>
      <x:c r="B5" s="28" t="n">
        <x:v>1</x:v>
      </x:c>
      <x:c r="C5" s="28" t="n">
        <x:v>0.6666666666666666</x:v>
      </x:c>
      <x:c r="D5" s="28" t="n">
        <x:v>0.1</x:v>
      </x:c>
      <x:c r="E5" s="28" t="n">
        <x:v>5</x:v>
      </x:c>
      <x:c r="F5" s="28" t="n">
        <x:v>0.1</x:v>
      </x:c>
      <x:c r="G5" s="28" t="n">
        <x:v>0.25</x:v>
      </x:c>
      <x:c r="H5" s="28" t="n">
        <x:v>0</x:v>
      </x:c>
      <x:c r="I5" s="28" t="str">
        <x:v>None</x:v>
      </x:c>
      <x:c r="J5" s="28" t="str">
        <x:v>None</x:v>
      </x:c>
      <x:c r="K5" s="28" t="str">
        <x:v>Daily fixed visit spacing; player chooses useful schedules; no stochastic churn.</x:v>
      </x:c>
      <x:c r="L5" s="28" t="str">
        <x:v>Each preference is an assumed spending/choice policy, not a mandatory game rule.</x:v>
      </x:c>
    </x:row>
    <x:row r="6" ht="78" customHeight="1">
      <x:c r="A6" s="28" t="str">
        <x:v>Core F2P</x:v>
      </x:c>
      <x:c r="B6" s="28" t="n">
        <x:v>2</x:v>
      </x:c>
      <x:c r="C6" s="28" t="n">
        <x:v>1</x:v>
      </x:c>
      <x:c r="D6" s="28" t="n">
        <x:v>0.15</x:v>
      </x:c>
      <x:c r="E6" s="28" t="n">
        <x:v>3</x:v>
      </x:c>
      <x:c r="F6" s="28" t="n">
        <x:v>0.15</x:v>
      </x:c>
      <x:c r="G6" s="28" t="n">
        <x:v>0.35</x:v>
      </x:c>
      <x:c r="H6" s="28" t="n">
        <x:v>0</x:v>
      </x:c>
      <x:c r="I6" s="28" t="str">
        <x:v>None</x:v>
      </x:c>
      <x:c r="J6" s="28" t="str">
        <x:v>None</x:v>
      </x:c>
      <x:c r="K6" s="28" t="str">
        <x:v>Daily fixed visit spacing; player chooses useful schedules; no stochastic churn.</x:v>
      </x:c>
      <x:c r="L6" s="28" t="str">
        <x:v>Each preference is an assumed spending/choice policy, not a mandatory game rule.</x:v>
      </x:c>
    </x:row>
    <x:row r="7" ht="78" customHeight="1">
      <x:c r="A7" s="28" t="str">
        <x:v>Enthusiast F2P</x:v>
      </x:c>
      <x:c r="B7" s="28" t="n">
        <x:v>6</x:v>
      </x:c>
      <x:c r="C7" s="28" t="n">
        <x:v>1</x:v>
      </x:c>
      <x:c r="D7" s="28" t="n">
        <x:v>0.15</x:v>
      </x:c>
      <x:c r="E7" s="28" t="n">
        <x:v>3</x:v>
      </x:c>
      <x:c r="F7" s="28" t="n">
        <x:v>0</x:v>
      </x:c>
      <x:c r="G7" s="28" t="n">
        <x:v>0.35</x:v>
      </x:c>
      <x:c r="H7" s="28" t="n">
        <x:v>0</x:v>
      </x:c>
      <x:c r="I7" s="28" t="str">
        <x:v>None</x:v>
      </x:c>
      <x:c r="J7" s="28" t="str">
        <x:v>None</x:v>
      </x:c>
      <x:c r="K7" s="28" t="str">
        <x:v>Idealized optimizer stress ceiling; uniform 4-hour arrivals include overnight. Not a recommended routine.</x:v>
      </x:c>
      <x:c r="L7" s="28" t="str">
        <x:v>Each preference is an assumed spending/choice policy, not a mandatory game rule.</x:v>
      </x:c>
    </x:row>
    <x:row r="8" ht="78" customHeight="1">
      <x:c r="A8" s="28" t="str">
        <x:v>Decorator F2P</x:v>
      </x:c>
      <x:c r="B8" s="28" t="n">
        <x:v>2</x:v>
      </x:c>
      <x:c r="C8" s="28" t="n">
        <x:v>1</x:v>
      </x:c>
      <x:c r="D8" s="28" t="n">
        <x:v>0.4</x:v>
      </x:c>
      <x:c r="E8" s="28" t="n">
        <x:v>1</x:v>
      </x:c>
      <x:c r="F8" s="28" t="n">
        <x:v>0.2</x:v>
      </x:c>
      <x:c r="G8" s="28" t="n">
        <x:v>0.45</x:v>
      </x:c>
      <x:c r="H8" s="28" t="n">
        <x:v>0</x:v>
      </x:c>
      <x:c r="I8" s="28" t="str">
        <x:v>None</x:v>
      </x:c>
      <x:c r="J8" s="28" t="str">
        <x:v>None</x:v>
      </x:c>
      <x:c r="K8" s="28" t="str">
        <x:v>Daily fixed visit spacing; player chooses useful schedules; no stochastic churn.</x:v>
      </x:c>
      <x:c r="L8" s="28" t="str">
        <x:v>Each preference is an assumed spending/choice policy, not a mandatory game rule.</x:v>
      </x:c>
    </x:row>
    <x:row r="9" ht="78" customHeight="1">
      <x:c r="A9" s="28" t="str">
        <x:v>Light payer</x:v>
      </x:c>
      <x:c r="B9" s="28" t="n">
        <x:v>2</x:v>
      </x:c>
      <x:c r="C9" s="28" t="n">
        <x:v>1</x:v>
      </x:c>
      <x:c r="D9" s="28" t="n">
        <x:v>0.15</x:v>
      </x:c>
      <x:c r="E9" s="28" t="n">
        <x:v>3</x:v>
      </x:c>
      <x:c r="F9" s="28" t="n">
        <x:v>0.15</x:v>
      </x:c>
      <x:c r="G9" s="28" t="n">
        <x:v>0.35</x:v>
      </x:c>
      <x:c r="H9" s="28" t="n">
        <x:v>0</x:v>
      </x:c>
      <x:c r="I9" s="28" t="str">
        <x:v>Starter D3 + medium coins D10</x:v>
      </x:c>
      <x:c r="J9" s="28" t="str">
        <x:v>None</x:v>
      </x:c>
      <x:c r="K9" s="28" t="str">
        <x:v>Daily fixed visit spacing; player chooses useful schedules; no stochastic churn.</x:v>
      </x:c>
      <x:c r="L9" s="28" t="str">
        <x:v>Each preference is an assumed spending/choice policy, not a mandatory game rule.</x:v>
      </x:c>
    </x:row>
    <x:row r="10" ht="78" customHeight="1">
      <x:c r="A10" s="28" t="str">
        <x:v>Ad-supported</x:v>
      </x:c>
      <x:c r="B10" s="28" t="n">
        <x:v>2</x:v>
      </x:c>
      <x:c r="C10" s="28" t="n">
        <x:v>1</x:v>
      </x:c>
      <x:c r="D10" s="28" t="n">
        <x:v>0.15</x:v>
      </x:c>
      <x:c r="E10" s="28" t="n">
        <x:v>3</x:v>
      </x:c>
      <x:c r="F10" s="28" t="n">
        <x:v>0.15</x:v>
      </x:c>
      <x:c r="G10" s="28" t="n">
        <x:v>0.35</x:v>
      </x:c>
      <x:c r="H10" s="28" t="n">
        <x:v>3</x:v>
      </x:c>
      <x:c r="I10" s="28" t="str">
        <x:v>None</x:v>
      </x:c>
      <x:c r="J10" s="28" t="str">
        <x:v>None</x:v>
      </x:c>
      <x:c r="K10" s="28" t="str">
        <x:v>Daily fixed visit spacing; player chooses useful schedules; no stochastic churn.</x:v>
      </x:c>
      <x:c r="L10" s="28" t="str">
        <x:v>Each preference is an assumed spending/choice policy, not a mandatory game rule.</x:v>
      </x:c>
    </x:row>
    <x:row r="11" ht="78" customHeight="1">
      <x:c r="A11" s="28" t="str">
        <x:v>Returning F2P</x:v>
      </x:c>
      <x:c r="B11" s="28" t="n">
        <x:v>2</x:v>
      </x:c>
      <x:c r="C11" s="28" t="n">
        <x:v>1</x:v>
      </x:c>
      <x:c r="D11" s="28" t="n">
        <x:v>0.15</x:v>
      </x:c>
      <x:c r="E11" s="28" t="n">
        <x:v>3</x:v>
      </x:c>
      <x:c r="F11" s="28" t="n">
        <x:v>0.15</x:v>
      </x:c>
      <x:c r="G11" s="28" t="n">
        <x:v>0.35</x:v>
      </x:c>
      <x:c r="H11" s="28" t="n">
        <x:v>0</x:v>
      </x:c>
      <x:c r="I11" s="28" t="str">
        <x:v>None</x:v>
      </x:c>
      <x:c r="J11" s="28" t="str">
        <x:v>Days 9–11</x:v>
      </x:c>
      <x:c r="K11" s="28" t="str">
        <x:v>Daily fixed visit spacing; player chooses useful schedules; no stochastic churn.</x:v>
      </x:c>
      <x:c r="L11" s="28" t="str">
        <x:v>Each preference is an assumed spending/choice policy, not a mandatory game rule.</x:v>
      </x:c>
    </x:row>
    <x:row r="12" ht="78" customHeight="1">
      <x:c r="A12" s="28" t="str">
        <x:v>Paid capacity ceiling</x:v>
      </x:c>
      <x:c r="B12" s="28" t="n">
        <x:v>2</x:v>
      </x:c>
      <x:c r="C12" s="28" t="n">
        <x:v>1</x:v>
      </x:c>
      <x:c r="D12" s="28" t="n">
        <x:v>0.15</x:v>
      </x:c>
      <x:c r="E12" s="28" t="n">
        <x:v>3</x:v>
      </x:c>
      <x:c r="F12" s="28" t="n">
        <x:v>0.15</x:v>
      </x:c>
      <x:c r="G12" s="28" t="n">
        <x:v>0.35</x:v>
      </x:c>
      <x:c r="H12" s="28" t="n">
        <x:v>0</x:v>
      </x:c>
      <x:c r="I12" s="28" t="str">
        <x:v>All capacity via pearls</x:v>
      </x:c>
      <x:c r="J12" s="28" t="str">
        <x:v>None</x:v>
      </x:c>
      <x:c r="K12" s="28" t="str">
        <x:v>Daily fixed visit spacing; player chooses useful schedules; no stochastic churn.</x:v>
      </x:c>
      <x:c r="L12" s="28" t="str">
        <x:v>Each preference is an assumed spending/choice policy, not a mandatory game rule.</x:v>
      </x:c>
    </x:row>
  </x:sheetData>
  <x:mergeCells>
    <x:mergeCell ref="A1:L1"/>
    <x:mergeCell ref="A2:L2"/>
  </x:mergeCells>
  <x:pageMargins left="0.7" right="0.7" top="0.75" bottom="0.75" header="0.3" footer="0.3"/>
  <x:tableParts count="1">
    <x:tablePart xmlns:r="http://schemas.openxmlformats.org/officeDocument/2006/relationships" r:id="R4edb29975b1d43df"/>
  </x:tableParts>
</x:worksheet>
</file>

<file path=xl/worksheets/sheet28.xml><?xml version="1.0" encoding="utf-8"?>
<x:worksheet xmlns:x="http://schemas.openxmlformats.org/spreadsheetml/2006/main">
  <x:sheetFormatPr defaultRowHeight="15"/>
  <x:cols>
    <x:col min="1" max="1" width="27" hidden="0" customWidth="1"/>
    <x:col min="2" max="2" width="16" hidden="0" customWidth="1"/>
    <x:col min="3" max="3" width="18" hidden="0" customWidth="1"/>
    <x:col min="4" max="4" width="18" hidden="0" customWidth="1"/>
    <x:col min="5" max="5" width="18" hidden="0" customWidth="1"/>
    <x:col min="6" max="6" width="18" hidden="0" customWidth="1"/>
    <x:col min="7" max="7" width="18" hidden="0" customWidth="1"/>
    <x:col min="8" max="8" width="21" hidden="0" customWidth="1"/>
    <x:col min="9" max="9" width="21" hidden="0" customWidth="1"/>
    <x:col min="10" max="10" width="22" hidden="0" customWidth="1"/>
    <x:col min="11" max="11" width="16" hidden="0" customWidth="1"/>
    <x:col min="12" max="12" width="22" hidden="0" customWidth="1"/>
    <x:col min="13" max="13" width="24" hidden="0" customWidth="1"/>
    <x:col min="14" max="14" width="19" hidden="0" customWidth="1"/>
    <x:col min="15" max="15" width="21" hidden="0" customWidth="1"/>
    <x:col min="16" max="16" width="26" hidden="0" customWidth="1"/>
    <x:col min="17" max="17" width="20" hidden="0" customWidth="1"/>
    <x:col min="18" max="18" width="19" hidden="0" customWidth="1"/>
    <x:col min="19" max="19" width="73" hidden="0" customWidth="1"/>
  </x:cols>
  <x:sheetData>
    <x:row r="1" ht="34" customHeight="1">
      <x:c r="A1" s="6" t="str">
        <x:v>BALANCE SCENARIOS | progression is accessible; demand is unproven</x:v>
      </x:c>
      <x:c r="B1" s="6"/>
      <x:c r="C1" s="6"/>
      <x:c r="D1" s="6"/>
      <x:c r="E1" s="6"/>
      <x:c r="F1" s="6"/>
      <x:c r="G1" s="6"/>
      <x:c r="H1" s="6"/>
      <x:c r="I1" s="6"/>
      <x:c r="J1" s="6"/>
      <x:c r="K1" s="6"/>
      <x:c r="L1" s="6"/>
      <x:c r="M1" s="6"/>
      <x:c r="N1" s="6"/>
      <x:c r="O1" s="6"/>
      <x:c r="P1" s="6"/>
      <x:c r="Q1" s="6"/>
      <x:c r="R1" s="6"/>
      <x:c r="S1" s="6"/>
    </x:row>
    <x:row r="2" ht="32" customHeight="1">
      <x:c r="A2" s="13" t="str">
        <x:v>Time-to-level is elapsed time since tutorial completion. Fractional days preserve visit timing. Coin balances are not profit, revenue or retention.</x:v>
      </x:c>
      <x:c r="B2" s="13"/>
      <x:c r="C2" s="13"/>
      <x:c r="D2" s="13"/>
      <x:c r="E2" s="13"/>
      <x:c r="F2" s="13"/>
      <x:c r="G2" s="13"/>
      <x:c r="H2" s="13"/>
      <x:c r="I2" s="13"/>
      <x:c r="J2" s="13"/>
      <x:c r="K2" s="13"/>
      <x:c r="L2" s="13"/>
      <x:c r="M2" s="13"/>
      <x:c r="N2" s="13"/>
      <x:c r="O2" s="13"/>
      <x:c r="P2" s="13"/>
      <x:c r="Q2" s="13"/>
      <x:c r="R2" s="13"/>
      <x:c r="S2" s="13"/>
    </x:row>
    <x:row r="3">
      <x:c r="A3" s="2"/>
      <x:c r="B3" s="2"/>
      <x:c r="C3" s="2"/>
      <x:c r="D3" s="2"/>
      <x:c r="E3" s="2"/>
      <x:c r="F3" s="2"/>
      <x:c r="G3" s="2"/>
      <x:c r="H3" s="2"/>
      <x:c r="I3" s="2"/>
      <x:c r="J3" s="2"/>
      <x:c r="K3" s="2"/>
      <x:c r="L3" s="2"/>
      <x:c r="M3" s="2"/>
      <x:c r="N3" s="2"/>
      <x:c r="O3" s="2"/>
      <x:c r="P3" s="2"/>
      <x:c r="Q3" s="2"/>
      <x:c r="R3" s="2"/>
      <x:c r="S3" s="2"/>
    </x:row>
    <x:row r="4" ht="32" customHeight="1">
      <x:c r="A4" s="21" t="str">
        <x:v>Actor</x:v>
      </x:c>
      <x:c r="B4" s="21" t="str">
        <x:v>Day-7 level</x:v>
      </x:c>
      <x:c r="C4" s="21" t="str">
        <x:v>Day-30 level</x:v>
      </x:c>
      <x:c r="D4" s="21" t="str">
        <x:v>Days to L10</x:v>
      </x:c>
      <x:c r="E4" s="21" t="str">
        <x:v>Days to L20</x:v>
      </x:c>
      <x:c r="F4" s="21" t="str">
        <x:v>Days to L30</x:v>
      </x:c>
      <x:c r="G4" s="21" t="str">
        <x:v>Days to L40</x:v>
      </x:c>
      <x:c r="H4" s="21" t="str">
        <x:v>Day-30 coins</x:v>
      </x:c>
      <x:c r="I4" s="21" t="str">
        <x:v>Day-90 coins</x:v>
      </x:c>
      <x:c r="J4" s="21" t="str">
        <x:v>Day-120 coins</x:v>
      </x:c>
      <x:c r="K4" s="21" t="str">
        <x:v>Final slots</x:v>
      </x:c>
      <x:c r="L4" s="21" t="str">
        <x:v>Projects complete</x:v>
      </x:c>
      <x:c r="M4" s="21" t="str">
        <x:v>Min day-end coins</x:v>
      </x:c>
      <x:c r="N4" s="21" t="str">
        <x:v>Blocked slots</x:v>
      </x:c>
      <x:c r="O4" s="21" t="str">
        <x:v>USD spent total</x:v>
      </x:c>
      <x:c r="P4" s="21" t="str">
        <x:v>End cash / ref coin-day</x:v>
      </x:c>
      <x:c r="Q4" s="21" t="str">
        <x:v>Unique species</x:v>
      </x:c>
      <x:c r="R4" s="21" t="str">
        <x:v>Decor owned</x:v>
      </x:c>
      <x:c r="S4" s="21" t="str">
        <x:v>Readout</x:v>
      </x:c>
    </x:row>
    <x:row r="5" ht="69" customHeight="1">
      <x:c r="A5" s="28" t="str">
        <x:v>Casual F2P</x:v>
      </x:c>
      <x:c r="B5" s="28" t="n">
        <x:f>'Daily Ledger'!C11</x:f>
        <x:v>9</x:v>
      </x:c>
      <x:c r="C5" s="28" t="n">
        <x:f>'Daily Ledger'!C34</x:f>
        <x:v>20</x:v>
      </x:c>
      <x:c r="D5" s="46" t="n">
        <x:v>8</x:v>
      </x:c>
      <x:c r="E5" s="46" t="n">
        <x:v>28</x:v>
      </x:c>
      <x:c r="F5" s="46" t="n">
        <x:v>58</x:v>
      </x:c>
      <x:c r="G5" s="46" t="n">
        <x:v>99</x:v>
      </x:c>
      <x:c r="H5" s="38" t="n">
        <x:f>'Daily Ledger'!Q34</x:f>
        <x:v>152156</x:v>
      </x:c>
      <x:c r="I5" s="38" t="n">
        <x:f>'Daily Ledger'!Q94</x:f>
        <x:v>793917</x:v>
      </x:c>
      <x:c r="J5" s="38" t="n">
        <x:f>'Daily Ledger'!Q124</x:f>
        <x:v>1107910</x:v>
      </x:c>
      <x:c r="K5" s="38" t="n">
        <x:f>'Daily Ledger'!E124</x:f>
        <x:v>100</x:v>
      </x:c>
      <x:c r="L5" s="38" t="n">
        <x:f>'Daily Ledger'!AB124</x:f>
        <x:v>9</x:v>
      </x:c>
      <x:c r="M5" s="38" t="n">
        <x:f>MIN('Daily Ledger'!Q5:Q124)</x:f>
        <x:v>299</x:v>
      </x:c>
      <x:c r="N5" s="38" t="n">
        <x:f>SUM('Daily Ledger'!AD5:AD124)</x:f>
        <x:v>0</x:v>
      </x:c>
      <x:c r="O5" s="48" t="n">
        <x:f>'Daily Ledger'!X124</x:f>
        <x:v>0</x:v>
      </x:c>
      <x:c r="P5" s="46" t="n">
        <x:f>J5/'XP &amp; Unlocks'!D44</x:f>
        <x:v>13.404839685420448</x:v>
      </x:c>
      <x:c r="Q5" s="28" t="n">
        <x:v>40</x:v>
      </x:c>
      <x:c r="R5" s="28" t="n">
        <x:v>24</x:v>
      </x:c>
      <x:c r="S5" s="28" t="str">
        <x:v>Finite content and desire to spend remain unvalidated.</x:v>
      </x:c>
    </x:row>
    <x:row r="6" ht="69" customHeight="1">
      <x:c r="A6" s="28" t="str">
        <x:v>Core F2P</x:v>
      </x:c>
      <x:c r="B6" s="28" t="n">
        <x:f>'Daily Ledger'!C131</x:f>
        <x:v>10</x:v>
      </x:c>
      <x:c r="C6" s="28" t="n">
        <x:f>'Daily Ledger'!C154</x:f>
        <x:v>22</x:v>
      </x:c>
      <x:c r="D6" s="46" t="n">
        <x:v>5.5</x:v>
      </x:c>
      <x:c r="E6" s="46" t="n">
        <x:v>25</x:v>
      </x:c>
      <x:c r="F6" s="46" t="n">
        <x:v>53</x:v>
      </x:c>
      <x:c r="G6" s="46" t="n">
        <x:v>91.5</x:v>
      </x:c>
      <x:c r="H6" s="38" t="n">
        <x:f>'Daily Ledger'!Q154</x:f>
        <x:v>95071</x:v>
      </x:c>
      <x:c r="I6" s="38" t="n">
        <x:f>'Daily Ledger'!Q214</x:f>
        <x:v>561183</x:v>
      </x:c>
      <x:c r="J6" s="38" t="n">
        <x:f>'Daily Ledger'!Q244</x:f>
        <x:v>1119928</x:v>
      </x:c>
      <x:c r="K6" s="38" t="n">
        <x:f>'Daily Ledger'!E244</x:f>
        <x:v>100</x:v>
      </x:c>
      <x:c r="L6" s="38" t="n">
        <x:f>'Daily Ledger'!AB244</x:f>
        <x:v>10</x:v>
      </x:c>
      <x:c r="M6" s="38" t="n">
        <x:f>MIN('Daily Ledger'!Q125:Q244)</x:f>
        <x:v>902</x:v>
      </x:c>
      <x:c r="N6" s="38" t="n">
        <x:f>SUM('Daily Ledger'!AD125:AD244)</x:f>
        <x:v>0</x:v>
      </x:c>
      <x:c r="O6" s="48" t="n">
        <x:f>'Daily Ledger'!X244</x:f>
        <x:v>0</x:v>
      </x:c>
      <x:c r="P6" s="46" t="n">
        <x:f>J6/'XP &amp; Unlocks'!D44</x:f>
        <x:v>13.550248033877798</x:v>
      </x:c>
      <x:c r="Q6" s="28" t="n">
        <x:v>40</x:v>
      </x:c>
      <x:c r="R6" s="28" t="n">
        <x:v>40</x:v>
      </x:c>
      <x:c r="S6" s="28" t="str">
        <x:v>Finite content and desire to spend remain unvalidated.</x:v>
      </x:c>
    </x:row>
    <x:row r="7" ht="69" customHeight="1">
      <x:c r="A7" s="28" t="str">
        <x:v>Enthusiast F2P</x:v>
      </x:c>
      <x:c r="B7" s="28" t="n">
        <x:f>'Daily Ledger'!C251</x:f>
        <x:v>13</x:v>
      </x:c>
      <x:c r="C7" s="28" t="n">
        <x:f>'Daily Ledger'!C274</x:f>
        <x:v>26</x:v>
      </x:c>
      <x:c r="D7" s="46" t="n">
        <x:v>4</x:v>
      </x:c>
      <x:c r="E7" s="46" t="n">
        <x:v>17.333333333333332</x:v>
      </x:c>
      <x:c r="F7" s="46" t="n">
        <x:v>37</x:v>
      </x:c>
      <x:c r="G7" s="46" t="n">
        <x:v>64.33333333333333</x:v>
      </x:c>
      <x:c r="H7" s="38" t="n">
        <x:f>'Daily Ledger'!Q274</x:f>
        <x:v>276202</x:v>
      </x:c>
      <x:c r="I7" s="38" t="n">
        <x:f>'Daily Ledger'!Q334</x:f>
        <x:v>2175149</x:v>
      </x:c>
      <x:c r="J7" s="38" t="n">
        <x:f>'Daily Ledger'!Q364</x:f>
        <x:v>6209764</x:v>
      </x:c>
      <x:c r="K7" s="38" t="n">
        <x:f>'Daily Ledger'!E364</x:f>
        <x:v>100</x:v>
      </x:c>
      <x:c r="L7" s="38" t="n">
        <x:f>'Daily Ledger'!AB364</x:f>
        <x:v>10</x:v>
      </x:c>
      <x:c r="M7" s="38" t="n">
        <x:f>MIN('Daily Ledger'!Q245:Q364)</x:f>
        <x:v>3825</x:v>
      </x:c>
      <x:c r="N7" s="38" t="n">
        <x:f>SUM('Daily Ledger'!AD245:AD364)</x:f>
        <x:v>0</x:v>
      </x:c>
      <x:c r="O7" s="48" t="n">
        <x:f>'Daily Ledger'!X364</x:f>
        <x:v>0</x:v>
      </x:c>
      <x:c r="P7" s="46" t="n">
        <x:f>J7/'XP &amp; Unlocks'!D44</x:f>
        <x:v>75.13326073805203</x:v>
      </x:c>
      <x:c r="Q7" s="28" t="n">
        <x:v>7</x:v>
      </x:c>
      <x:c r="R7" s="28" t="n">
        <x:v>40</x:v>
      </x:c>
      <x:c r="S7" s="28" t="str">
        <x:v>Finite sinks exhausted; optimizer surplus needs new optional demand.</x:v>
      </x:c>
    </x:row>
    <x:row r="8" ht="69" customHeight="1">
      <x:c r="A8" s="28" t="str">
        <x:v>Decorator F2P</x:v>
      </x:c>
      <x:c r="B8" s="28" t="n">
        <x:f>'Daily Ledger'!C371</x:f>
        <x:v>10</x:v>
      </x:c>
      <x:c r="C8" s="28" t="n">
        <x:f>'Daily Ledger'!C394</x:f>
        <x:v>22</x:v>
      </x:c>
      <x:c r="D8" s="46" t="n">
        <x:v>5.5</x:v>
      </x:c>
      <x:c r="E8" s="46" t="n">
        <x:v>25</x:v>
      </x:c>
      <x:c r="F8" s="46" t="n">
        <x:v>53.5</x:v>
      </x:c>
      <x:c r="G8" s="46" t="n">
        <x:v>92</x:v>
      </x:c>
      <x:c r="H8" s="38" t="n">
        <x:f>'Daily Ledger'!Q394</x:f>
        <x:v>49856</x:v>
      </x:c>
      <x:c r="I8" s="38" t="n">
        <x:f>'Daily Ledger'!Q454</x:f>
        <x:v>209185</x:v>
      </x:c>
      <x:c r="J8" s="38" t="n">
        <x:f>'Daily Ledger'!Q484</x:f>
        <x:v>817230</x:v>
      </x:c>
      <x:c r="K8" s="38" t="n">
        <x:f>'Daily Ledger'!E484</x:f>
        <x:v>100</x:v>
      </x:c>
      <x:c r="L8" s="38" t="n">
        <x:f>'Daily Ledger'!AB484</x:f>
        <x:v>10</x:v>
      </x:c>
      <x:c r="M8" s="38" t="n">
        <x:f>MIN('Daily Ledger'!Q365:Q484)</x:f>
        <x:v>902</x:v>
      </x:c>
      <x:c r="N8" s="38" t="n">
        <x:f>SUM('Daily Ledger'!AD365:AD484)</x:f>
        <x:v>0</x:v>
      </x:c>
      <x:c r="O8" s="48" t="n">
        <x:f>'Daily Ledger'!X484</x:f>
        <x:v>0</x:v>
      </x:c>
      <x:c r="P8" s="46" t="n">
        <x:f>J8/'XP &amp; Unlocks'!D44</x:f>
        <x:v>9.887840290381126</x:v>
      </x:c>
      <x:c r="Q8" s="28" t="n">
        <x:v>40</x:v>
      </x:c>
      <x:c r="R8" s="28" t="n">
        <x:v>50</x:v>
      </x:c>
      <x:c r="S8" s="28" t="str">
        <x:v>Finite content and desire to spend remain unvalidated.</x:v>
      </x:c>
    </x:row>
    <x:row r="9" ht="69" customHeight="1">
      <x:c r="A9" s="28" t="str">
        <x:v>Light payer</x:v>
      </x:c>
      <x:c r="B9" s="28" t="n">
        <x:f>'Daily Ledger'!C491</x:f>
        <x:v>10</x:v>
      </x:c>
      <x:c r="C9" s="28" t="n">
        <x:f>'Daily Ledger'!C514</x:f>
        <x:v>22</x:v>
      </x:c>
      <x:c r="D9" s="46" t="n">
        <x:v>5.5</x:v>
      </x:c>
      <x:c r="E9" s="46" t="n">
        <x:v>25</x:v>
      </x:c>
      <x:c r="F9" s="46" t="n">
        <x:v>53</x:v>
      </x:c>
      <x:c r="G9" s="46" t="n">
        <x:v>91.5</x:v>
      </x:c>
      <x:c r="H9" s="38" t="n">
        <x:f>'Daily Ledger'!Q514</x:f>
        <x:v>109741</x:v>
      </x:c>
      <x:c r="I9" s="38" t="n">
        <x:f>'Daily Ledger'!Q574</x:f>
        <x:v>575853</x:v>
      </x:c>
      <x:c r="J9" s="38" t="n">
        <x:f>'Daily Ledger'!Q604</x:f>
        <x:v>1134598</x:v>
      </x:c>
      <x:c r="K9" s="38" t="n">
        <x:f>'Daily Ledger'!E604</x:f>
        <x:v>100</x:v>
      </x:c>
      <x:c r="L9" s="38" t="n">
        <x:f>'Daily Ledger'!AB604</x:f>
        <x:v>10</x:v>
      </x:c>
      <x:c r="M9" s="38" t="n">
        <x:f>MIN('Daily Ledger'!Q485:Q604)</x:f>
        <x:v>902</x:v>
      </x:c>
      <x:c r="N9" s="38" t="n">
        <x:f>SUM('Daily Ledger'!AD485:AD604)</x:f>
        <x:v>0</x:v>
      </x:c>
      <x:c r="O9" s="48" t="n">
        <x:f>'Daily Ledger'!X604</x:f>
        <x:v>6.98</x:v>
      </x:c>
      <x:c r="P9" s="46" t="n">
        <x:f>J9/'XP &amp; Unlocks'!D44</x:f>
        <x:v>13.727743496672716</x:v>
      </x:c>
      <x:c r="Q9" s="28" t="n">
        <x:v>40</x:v>
      </x:c>
      <x:c r="R9" s="28" t="n">
        <x:v>40</x:v>
      </x:c>
      <x:c r="S9" s="28" t="str">
        <x:v>Finite content and desire to spend remain unvalidated.</x:v>
      </x:c>
    </x:row>
    <x:row r="10" ht="69" customHeight="1">
      <x:c r="A10" s="28" t="str">
        <x:v>Ad-supported</x:v>
      </x:c>
      <x:c r="B10" s="28" t="n">
        <x:f>'Daily Ledger'!C611</x:f>
        <x:v>10</x:v>
      </x:c>
      <x:c r="C10" s="28" t="n">
        <x:f>'Daily Ledger'!C634</x:f>
        <x:v>22</x:v>
      </x:c>
      <x:c r="D10" s="46" t="n">
        <x:v>5.5</x:v>
      </x:c>
      <x:c r="E10" s="46" t="n">
        <x:v>25</x:v>
      </x:c>
      <x:c r="F10" s="46" t="n">
        <x:v>53</x:v>
      </x:c>
      <x:c r="G10" s="46" t="n">
        <x:v>91.5</x:v>
      </x:c>
      <x:c r="H10" s="38" t="n">
        <x:f>'Daily Ledger'!Q634</x:f>
        <x:v>128551</x:v>
      </x:c>
      <x:c r="I10" s="38" t="n">
        <x:f>'Daily Ledger'!Q694</x:f>
        <x:v>791847</x:v>
      </x:c>
      <x:c r="J10" s="38" t="n">
        <x:f>'Daily Ledger'!Q724</x:f>
        <x:v>1498714</x:v>
      </x:c>
      <x:c r="K10" s="38" t="n">
        <x:f>'Daily Ledger'!E724</x:f>
        <x:v>100</x:v>
      </x:c>
      <x:c r="L10" s="38" t="n">
        <x:f>'Daily Ledger'!AB724</x:f>
        <x:v>10</x:v>
      </x:c>
      <x:c r="M10" s="38" t="n">
        <x:f>MIN('Daily Ledger'!Q605:Q724)</x:f>
        <x:v>902</x:v>
      </x:c>
      <x:c r="N10" s="38" t="n">
        <x:f>SUM('Daily Ledger'!AD605:AD724)</x:f>
        <x:v>0</x:v>
      </x:c>
      <x:c r="O10" s="48" t="n">
        <x:f>'Daily Ledger'!X724</x:f>
        <x:v>0</x:v>
      </x:c>
      <x:c r="P10" s="46" t="n">
        <x:f>J10/'XP &amp; Unlocks'!D44</x:f>
        <x:v>18.133260738052027</x:v>
      </x:c>
      <x:c r="Q10" s="28" t="n">
        <x:v>40</x:v>
      </x:c>
      <x:c r="R10" s="28" t="n">
        <x:v>40</x:v>
      </x:c>
      <x:c r="S10" s="28" t="str">
        <x:v>Finite content and desire to spend remain unvalidated.</x:v>
      </x:c>
    </x:row>
    <x:row r="11" ht="69" customHeight="1">
      <x:c r="A11" s="28" t="str">
        <x:v>Returning F2P</x:v>
      </x:c>
      <x:c r="B11" s="28" t="n">
        <x:f>'Daily Ledger'!C731</x:f>
        <x:v>10</x:v>
      </x:c>
      <x:c r="C11" s="28" t="n">
        <x:f>'Daily Ledger'!C754</x:f>
        <x:v>20</x:v>
      </x:c>
      <x:c r="D11" s="46" t="n">
        <x:v>5.5</x:v>
      </x:c>
      <x:c r="E11" s="46" t="n">
        <x:v>28</x:v>
      </x:c>
      <x:c r="F11" s="46" t="n">
        <x:v>56</x:v>
      </x:c>
      <x:c r="G11" s="46" t="n">
        <x:v>95</x:v>
      </x:c>
      <x:c r="H11" s="38" t="n">
        <x:f>'Daily Ledger'!Q754</x:f>
        <x:v>185237</x:v>
      </x:c>
      <x:c r="I11" s="38" t="n">
        <x:f>'Daily Ledger'!Q814</x:f>
        <x:v>271408</x:v>
      </x:c>
      <x:c r="J11" s="38" t="n">
        <x:f>'Daily Ledger'!Q844</x:f>
        <x:v>865509</x:v>
      </x:c>
      <x:c r="K11" s="38" t="n">
        <x:f>'Daily Ledger'!E844</x:f>
        <x:v>100</x:v>
      </x:c>
      <x:c r="L11" s="38" t="n">
        <x:f>'Daily Ledger'!AB844</x:f>
        <x:v>9</x:v>
      </x:c>
      <x:c r="M11" s="38" t="n">
        <x:f>MIN('Daily Ledger'!Q725:Q844)</x:f>
        <x:v>902</x:v>
      </x:c>
      <x:c r="N11" s="38" t="n">
        <x:f>SUM('Daily Ledger'!AD725:AD844)</x:f>
        <x:v>0</x:v>
      </x:c>
      <x:c r="O11" s="48" t="n">
        <x:f>'Daily Ledger'!X844</x:f>
        <x:v>0</x:v>
      </x:c>
      <x:c r="P11" s="46" t="n">
        <x:f>J11/'XP &amp; Unlocks'!D44</x:f>
        <x:v>10.471978221415608</x:v>
      </x:c>
      <x:c r="Q11" s="28" t="n">
        <x:v>40</x:v>
      </x:c>
      <x:c r="R11" s="28" t="n">
        <x:v>39</x:v>
      </x:c>
      <x:c r="S11" s="28" t="str">
        <x:v>Finite content and desire to spend remain unvalidated.</x:v>
      </x:c>
    </x:row>
    <x:row r="12" ht="69" customHeight="1">
      <x:c r="A12" s="28" t="str">
        <x:v>Paid capacity ceiling</x:v>
      </x:c>
      <x:c r="B12" s="28" t="n">
        <x:f>'Daily Ledger'!C851</x:f>
        <x:v>10</x:v>
      </x:c>
      <x:c r="C12" s="28" t="n">
        <x:f>'Daily Ledger'!C874</x:f>
        <x:v>22</x:v>
      </x:c>
      <x:c r="D12" s="46" t="n">
        <x:v>5.5</x:v>
      </x:c>
      <x:c r="E12" s="46" t="n">
        <x:v>25</x:v>
      </x:c>
      <x:c r="F12" s="46" t="n">
        <x:v>53</x:v>
      </x:c>
      <x:c r="G12" s="46" t="n">
        <x:v>91.5</x:v>
      </x:c>
      <x:c r="H12" s="38" t="n">
        <x:f>'Daily Ledger'!Q874</x:f>
        <x:v>581871</x:v>
      </x:c>
      <x:c r="I12" s="38" t="n">
        <x:f>'Daily Ledger'!Q934</x:f>
        <x:v>3622983</x:v>
      </x:c>
      <x:c r="J12" s="38" t="n">
        <x:f>'Daily Ledger'!Q964</x:f>
        <x:v>4881728</x:v>
      </x:c>
      <x:c r="K12" s="38" t="n">
        <x:f>'Daily Ledger'!E964</x:f>
        <x:v>100</x:v>
      </x:c>
      <x:c r="L12" s="38" t="n">
        <x:f>'Daily Ledger'!AB964</x:f>
        <x:v>10</x:v>
      </x:c>
      <x:c r="M12" s="38" t="n">
        <x:f>MIN('Daily Ledger'!Q845:Q964)</x:f>
        <x:v>1202</x:v>
      </x:c>
      <x:c r="N12" s="38" t="n">
        <x:f>SUM('Daily Ledger'!AD845:AD964)</x:f>
        <x:v>0</x:v>
      </x:c>
      <x:c r="O12" s="48" t="n">
        <x:f>'Daily Ledger'!X964</x:f>
        <x:v>49.95</x:v>
      </x:c>
      <x:c r="P12" s="46" t="n">
        <x:f>J12/'XP &amp; Unlocks'!D44</x:f>
        <x:v>59.06506957047792</x:v>
      </x:c>
      <x:c r="Q12" s="28" t="n">
        <x:v>40</x:v>
      </x:c>
      <x:c r="R12" s="28" t="n">
        <x:v>40</x:v>
      </x:c>
      <x:c r="S12" s="28" t="str">
        <x:v>Pearl-funded capacity leaves high coin surplus; not an XP shortcut in this actor.</x:v>
      </x:c>
    </x:row>
  </x:sheetData>
  <x:mergeCells>
    <x:mergeCell ref="A1:S1"/>
    <x:mergeCell ref="A2:S2"/>
  </x:mergeCells>
  <x:pageMargins left="0.7" right="0.7" top="0.75" bottom="0.75" header="0.3" footer="0.3"/>
  <x:tableParts count="1">
    <x:tablePart xmlns:r="http://schemas.openxmlformats.org/officeDocument/2006/relationships" r:id="R7feac7b226904afc"/>
  </x:tableParts>
</x:worksheet>
</file>

<file path=xl/worksheets/sheet2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7" hidden="0" customWidth="1"/>
    <x:col min="5" max="5" width="16"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17" hidden="0" customWidth="1"/>
    <x:col min="26" max="26" width="19" hidden="0" customWidth="1"/>
    <x:col min="27" max="27" width="17" hidden="0" customWidth="1"/>
    <x:col min="28" max="28" width="20" hidden="0" customWidth="1"/>
    <x:col min="29" max="29" width="21" hidden="0" customWidth="1"/>
    <x:col min="30" max="30" width="18" hidden="0" customWidth="1"/>
    <x:col min="31" max="31" width="20" hidden="0" customWidth="1"/>
  </x:cols>
  <x:sheetData>
    <x:row r="1" ht="34" customHeight="1">
      <x:c r="A1" s="6" t="str">
        <x:v>120-DAY EVENT LEDGER | every coin source and sink</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row>
    <x:row r="2" ht="32" customHeight="1">
      <x:c r="A2" s="13" t="str">
        <x:v>Frozen deterministic simulation output. Formula columns recompute cash reconciliation, not player behavior. Original tuning is shipped in the companion model config.</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3">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row>
    <x:row r="4" ht="32" customHeight="1">
      <x:c r="A4" s="21" t="str">
        <x:v>Actor</x:v>
      </x:c>
      <x:c r="B4" s="21" t="str">
        <x:v>Day</x:v>
      </x:c>
      <x:c r="C4" s="21" t="str">
        <x:v>Level</x:v>
      </x:c>
      <x:c r="D4" s="21" t="str">
        <x:v>Account XP</x:v>
      </x:c>
      <x:c r="E4" s="21" t="str">
        <x:v>Owned slots</x:v>
      </x:c>
      <x:c r="F4" s="21" t="str">
        <x:v>Opening coins</x:v>
      </x:c>
      <x:c r="G4" s="21" t="str">
        <x:v>Harvest settlement</x:v>
      </x:c>
      <x:c r="H4" s="21" t="str">
        <x:v>Egg principal spent</x:v>
      </x:c>
      <x:c r="I4" s="21" t="str">
        <x:v>Quest coins</x:v>
      </x:c>
      <x:c r="J4" s="21" t="str">
        <x:v>Level coins</x:v>
      </x:c>
      <x:c r="K4" s="21" t="str">
        <x:v>Paid coins</x:v>
      </x:c>
      <x:c r="L4" s="21" t="str">
        <x:v>Ad coins</x:v>
      </x:c>
      <x:c r="M4" s="21" t="str">
        <x:v>Tank coins</x:v>
      </x:c>
      <x:c r="N4" s="21" t="str">
        <x:v>Decor coins</x:v>
      </x:c>
      <x:c r="O4" s="21" t="str">
        <x:v>Project coins</x:v>
      </x:c>
      <x:c r="P4" s="21" t="str">
        <x:v>Recomputed closing</x:v>
      </x:c>
      <x:c r="Q4" s="21" t="str">
        <x:v>Simulation closing</x:v>
      </x:c>
      <x:c r="R4" s="21" t="str">
        <x:v>Cash residual</x:v>
      </x:c>
      <x:c r="S4" s="21" t="str">
        <x:v>Fish net profit</x:v>
      </x:c>
      <x:c r="T4" s="21" t="str">
        <x:v>Account XP delta</x:v>
      </x:c>
      <x:c r="U4" s="21" t="str">
        <x:v>Pearl balance</x:v>
      </x:c>
      <x:c r="V4" s="21" t="str">
        <x:v>Pearls in</x:v>
      </x:c>
      <x:c r="W4" s="21" t="str">
        <x:v>Pearls out</x:v>
      </x:c>
      <x:c r="X4" s="21" t="str">
        <x:v>Cumulative USD</x:v>
      </x:c>
      <x:c r="Y4" s="21" t="str">
        <x:v>Adults settled</x:v>
      </x:c>
      <x:c r="Z4" s="21" t="str">
        <x:v>Unique species</x:v>
      </x:c>
      <x:c r="AA4" s="21" t="str">
        <x:v>Decor owned</x:v>
      </x:c>
      <x:c r="AB4" s="21" t="str">
        <x:v>Projects complete</x:v>
      </x:c>
      <x:c r="AC4" s="21" t="str">
        <x:v>Inventory principal</x:v>
      </x:c>
      <x:c r="AD4" s="21" t="str">
        <x:v>Blocked slots</x:v>
      </x:c>
      <x:c r="AE4" s="21" t="str">
        <x:v>Opening residual</x:v>
      </x:c>
    </x:row>
    <x:row r="5" ht="27" customHeight="1">
      <x:c r="A5" s="28" t="str">
        <x:v>Casual F2P</x:v>
      </x:c>
      <x:c r="B5" s="38" t="n">
        <x:v>1</x:v>
      </x:c>
      <x:c r="C5" s="38" t="n">
        <x:v>2</x:v>
      </x:c>
      <x:c r="D5" s="38" t="n">
        <x:v>80</x:v>
      </x:c>
      <x:c r="E5" s="38" t="n">
        <x:v>10</x:v>
      </x:c>
      <x:c r="F5" s="38" t="n">
        <x:v>731</x:v>
      </x:c>
      <x:c r="G5" s="38" t="n">
        <x:v>0</x:v>
      </x:c>
      <x:c r="H5" s="38" t="n">
        <x:v>432</x:v>
      </x:c>
      <x:c r="I5" s="38" t="n">
        <x:v>0</x:v>
      </x:c>
      <x:c r="J5" s="38" t="n">
        <x:v>0</x:v>
      </x:c>
      <x:c r="K5" s="38" t="n">
        <x:v>0</x:v>
      </x:c>
      <x:c r="L5" s="38" t="n">
        <x:v>0</x:v>
      </x:c>
      <x:c r="M5" s="38" t="n">
        <x:v>0</x:v>
      </x:c>
      <x:c r="N5" s="38" t="n">
        <x:v>0</x:v>
      </x:c>
      <x:c r="O5" s="38" t="n">
        <x:v>0</x:v>
      </x:c>
      <x:c r="P5" s="38" t="n">
        <x:f>F5+G5-H5+I5+J5+K5+L5-M5-N5-O5</x:f>
        <x:v>299</x:v>
      </x:c>
      <x:c r="Q5" s="38" t="n">
        <x:v>299</x:v>
      </x:c>
      <x:c r="R5" s="38" t="n">
        <x:f>P5-Q5</x:f>
        <x:v>0</x:v>
      </x:c>
      <x:c r="S5" s="38" t="n">
        <x:v>0</x:v>
      </x:c>
      <x:c r="T5" s="38" t="n">
        <x:v>0</x:v>
      </x:c>
      <x:c r="U5" s="38" t="n">
        <x:v>1</x:v>
      </x:c>
      <x:c r="V5" s="38" t="n">
        <x:v>0</x:v>
      </x:c>
      <x:c r="W5" s="38" t="n">
        <x:v>0</x:v>
      </x:c>
      <x:c r="X5" s="44" t="n">
        <x:v>0</x:v>
      </x:c>
      <x:c r="Y5" s="38" t="n">
        <x:v>0</x:v>
      </x:c>
      <x:c r="Z5" s="38" t="n">
        <x:v>0</x:v>
      </x:c>
      <x:c r="AA5" s="38" t="n">
        <x:v>1</x:v>
      </x:c>
      <x:c r="AB5" s="38" t="n">
        <x:v>0</x:v>
      </x:c>
      <x:c r="AC5" s="38" t="n">
        <x:v>432</x:v>
      </x:c>
      <x:c r="AD5" s="38" t="n">
        <x:v>0</x:v>
      </x:c>
      <x:c r="AE5" s="38" t="n">
        <x:f>IF(B5=1,0,F5-Q4)</x:f>
        <x:v>0</x:v>
      </x:c>
    </x:row>
    <x:row r="6" ht="27" customHeight="1">
      <x:c r="A6" s="28" t="str">
        <x:v>Casual F2P</x:v>
      </x:c>
      <x:c r="B6" s="38" t="n">
        <x:v>2</x:v>
      </x:c>
      <x:c r="C6" s="38" t="n">
        <x:v>4</x:v>
      </x:c>
      <x:c r="D6" s="38" t="n">
        <x:v>625</x:v>
      </x:c>
      <x:c r="E6" s="38" t="n">
        <x:v>15</x:v>
      </x:c>
      <x:c r="F6" s="38" t="n">
        <x:v>299</x:v>
      </x:c>
      <x:c r="G6" s="38" t="n">
        <x:v>2500</x:v>
      </x:c>
      <x:c r="H6" s="38" t="n">
        <x:v>1154</x:v>
      </x:c>
      <x:c r="I6" s="38" t="n">
        <x:v>0</x:v>
      </x:c>
      <x:c r="J6" s="38" t="n">
        <x:v>150</x:v>
      </x:c>
      <x:c r="K6" s="38" t="n">
        <x:v>0</x:v>
      </x:c>
      <x:c r="L6" s="38" t="n">
        <x:v>0</x:v>
      </x:c>
      <x:c r="M6" s="38" t="n">
        <x:v>300</x:v>
      </x:c>
      <x:c r="N6" s="38" t="n">
        <x:v>0</x:v>
      </x:c>
      <x:c r="O6" s="38" t="n">
        <x:v>0</x:v>
      </x:c>
      <x:c r="P6" s="38" t="n">
        <x:f>F6+G6-H6+I6+J6+K6+L6-M6-N6-O6</x:f>
        <x:v>1495</x:v>
      </x:c>
      <x:c r="Q6" s="38" t="n">
        <x:v>1495</x:v>
      </x:c>
      <x:c r="R6" s="38" t="n">
        <x:f>P6-Q6</x:f>
        <x:v>0</x:v>
      </x:c>
      <x:c r="S6" s="38" t="n">
        <x:v>2068</x:v>
      </x:c>
      <x:c r="T6" s="38" t="n">
        <x:v>545</x:v>
      </x:c>
      <x:c r="U6" s="38" t="n">
        <x:v>2</x:v>
      </x:c>
      <x:c r="V6" s="38" t="n">
        <x:v>1</x:v>
      </x:c>
      <x:c r="W6" s="38" t="n">
        <x:v>0</x:v>
      </x:c>
      <x:c r="X6" s="44" t="n">
        <x:v>0</x:v>
      </x:c>
      <x:c r="Y6" s="38" t="n">
        <x:v>10</x:v>
      </x:c>
      <x:c r="Z6" s="38" t="n">
        <x:v>4</x:v>
      </x:c>
      <x:c r="AA6" s="38" t="n">
        <x:v>1</x:v>
      </x:c>
      <x:c r="AB6" s="38" t="n">
        <x:v>0</x:v>
      </x:c>
      <x:c r="AC6" s="38" t="n">
        <x:v>1154</x:v>
      </x:c>
      <x:c r="AD6" s="38" t="n">
        <x:v>0</x:v>
      </x:c>
      <x:c r="AE6" s="38" t="n">
        <x:f>IF(B6=1,0,F6-Q5)</x:f>
        <x:v>0</x:v>
      </x:c>
    </x:row>
    <x:row r="7" ht="27" customHeight="1">
      <x:c r="A7" s="28" t="str">
        <x:v>Casual F2P</x:v>
      </x:c>
      <x:c r="B7" s="38" t="n">
        <x:v>3</x:v>
      </x:c>
      <x:c r="C7" s="38" t="n">
        <x:v>5</x:v>
      </x:c>
      <x:c r="D7" s="38" t="n">
        <x:v>1835</x:v>
      </x:c>
      <x:c r="E7" s="38" t="n">
        <x:v>15</x:v>
      </x:c>
      <x:c r="F7" s="38" t="n">
        <x:v>1495</x:v>
      </x:c>
      <x:c r="G7" s="38" t="n">
        <x:v>5772</x:v>
      </x:c>
      <x:c r="H7" s="38" t="n">
        <x:v>2595</x:v>
      </x:c>
      <x:c r="I7" s="38" t="n">
        <x:v>204</x:v>
      </x:c>
      <x:c r="J7" s="38" t="n">
        <x:v>80</x:v>
      </x:c>
      <x:c r="K7" s="38" t="n">
        <x:v>0</x:v>
      </x:c>
      <x:c r="L7" s="38" t="n">
        <x:v>0</x:v>
      </x:c>
      <x:c r="M7" s="38" t="n">
        <x:v>0</x:v>
      </x:c>
      <x:c r="N7" s="38" t="n">
        <x:v>0</x:v>
      </x:c>
      <x:c r="O7" s="38" t="n">
        <x:v>0</x:v>
      </x:c>
      <x:c r="P7" s="38" t="n">
        <x:f>F7+G7-H7+I7+J7+K7+L7-M7-N7-O7</x:f>
        <x:v>4956</x:v>
      </x:c>
      <x:c r="Q7" s="38" t="n">
        <x:v>4956</x:v>
      </x:c>
      <x:c r="R7" s="38" t="n">
        <x:f>P7-Q7</x:f>
        <x:v>0</x:v>
      </x:c>
      <x:c r="S7" s="38" t="n">
        <x:v>4618</x:v>
      </x:c>
      <x:c r="T7" s="38" t="n">
        <x:v>1210</x:v>
      </x:c>
      <x:c r="U7" s="38" t="n">
        <x:v>5</x:v>
      </x:c>
      <x:c r="V7" s="38" t="n">
        <x:v>3</x:v>
      </x:c>
      <x:c r="W7" s="38" t="n">
        <x:v>0</x:v>
      </x:c>
      <x:c r="X7" s="44" t="n">
        <x:v>0</x:v>
      </x:c>
      <x:c r="Y7" s="38" t="n">
        <x:v>15</x:v>
      </x:c>
      <x:c r="Z7" s="38" t="n">
        <x:v>6</x:v>
      </x:c>
      <x:c r="AA7" s="38" t="n">
        <x:v>1</x:v>
      </x:c>
      <x:c r="AB7" s="38" t="n">
        <x:v>0</x:v>
      </x:c>
      <x:c r="AC7" s="38" t="n">
        <x:v>2595</x:v>
      </x:c>
      <x:c r="AD7" s="38" t="n">
        <x:v>0</x:v>
      </x:c>
      <x:c r="AE7" s="38" t="n">
        <x:f>IF(B7=1,0,F7-Q6)</x:f>
        <x:v>0</x:v>
      </x:c>
    </x:row>
    <x:row r="8" ht="27" customHeight="1">
      <x:c r="A8" s="28" t="str">
        <x:v>Casual F2P</x:v>
      </x:c>
      <x:c r="B8" s="38" t="n">
        <x:v>4</x:v>
      </x:c>
      <x:c r="C8" s="38" t="n">
        <x:v>6</x:v>
      </x:c>
      <x:c r="D8" s="38" t="n">
        <x:v>2018</x:v>
      </x:c>
      <x:c r="E8" s="38" t="n">
        <x:v>15</x:v>
      </x:c>
      <x:c r="F8" s="38" t="n">
        <x:v>4956</x:v>
      </x:c>
      <x:c r="G8" s="38" t="n">
        <x:v>443</x:v>
      </x:c>
      <x:c r="H8" s="38" t="n">
        <x:v>48</x:v>
      </x:c>
      <x:c r="I8" s="38" t="n">
        <x:v>212</x:v>
      </x:c>
      <x:c r="J8" s="38" t="n">
        <x:v>85</x:v>
      </x:c>
      <x:c r="K8" s="38" t="n">
        <x:v>0</x:v>
      </x:c>
      <x:c r="L8" s="38" t="n">
        <x:v>0</x:v>
      </x:c>
      <x:c r="M8" s="38" t="n">
        <x:v>0</x:v>
      </x:c>
      <x:c r="N8" s="38" t="n">
        <x:v>0</x:v>
      </x:c>
      <x:c r="O8" s="38" t="n">
        <x:v>0</x:v>
      </x:c>
      <x:c r="P8" s="38" t="n">
        <x:f>F8+G8-H8+I8+J8+K8+L8-M8-N8-O8</x:f>
        <x:v>5648</x:v>
      </x:c>
      <x:c r="Q8" s="38" t="n">
        <x:v>5648</x:v>
      </x:c>
      <x:c r="R8" s="38" t="n">
        <x:f>P8-Q8</x:f>
        <x:v>0</x:v>
      </x:c>
      <x:c r="S8" s="38" t="n">
        <x:v>354</x:v>
      </x:c>
      <x:c r="T8" s="38" t="n">
        <x:v>183</x:v>
      </x:c>
      <x:c r="U8" s="38" t="n">
        <x:v>6</x:v>
      </x:c>
      <x:c r="V8" s="38" t="n">
        <x:v>1</x:v>
      </x:c>
      <x:c r="W8" s="38" t="n">
        <x:v>0</x:v>
      </x:c>
      <x:c r="X8" s="44" t="n">
        <x:v>0</x:v>
      </x:c>
      <x:c r="Y8" s="38" t="n">
        <x:v>1</x:v>
      </x:c>
      <x:c r="Z8" s="38" t="n">
        <x:v>7</x:v>
      </x:c>
      <x:c r="AA8" s="38" t="n">
        <x:v>1</x:v>
      </x:c>
      <x:c r="AB8" s="38" t="n">
        <x:v>0</x:v>
      </x:c>
      <x:c r="AC8" s="38" t="n">
        <x:v>2554</x:v>
      </x:c>
      <x:c r="AD8" s="38" t="n">
        <x:v>0</x:v>
      </x:c>
      <x:c r="AE8" s="38" t="n">
        <x:f>IF(B8=1,0,F8-Q7)</x:f>
        <x:v>0</x:v>
      </x:c>
    </x:row>
    <x:row r="9" ht="27" customHeight="1">
      <x:c r="A9" s="28" t="str">
        <x:v>Casual F2P</x:v>
      </x:c>
      <x:c r="B9" s="38" t="n">
        <x:v>5</x:v>
      </x:c>
      <x:c r="C9" s="38" t="n">
        <x:v>7</x:v>
      </x:c>
      <x:c r="D9" s="38" t="n">
        <x:v>4515</x:v>
      </x:c>
      <x:c r="E9" s="38" t="n">
        <x:v>25</x:v>
      </x:c>
      <x:c r="F9" s="38" t="n">
        <x:v>5648</x:v>
      </x:c>
      <x:c r="G9" s="38" t="n">
        <x:v>12769</x:v>
      </x:c>
      <x:c r="H9" s="38" t="n">
        <x:v>4825</x:v>
      </x:c>
      <x:c r="I9" s="38" t="n">
        <x:v>221</x:v>
      </x:c>
      <x:c r="J9" s="38" t="n">
        <x:v>145</x:v>
      </x:c>
      <x:c r="K9" s="38" t="n">
        <x:v>0</x:v>
      </x:c>
      <x:c r="L9" s="38" t="n">
        <x:v>0</x:v>
      </x:c>
      <x:c r="M9" s="38" t="n">
        <x:v>6500</x:v>
      </x:c>
      <x:c r="N9" s="38" t="n">
        <x:v>0</x:v>
      </x:c>
      <x:c r="O9" s="38" t="n">
        <x:v>0</x:v>
      </x:c>
      <x:c r="P9" s="38" t="n">
        <x:f>F9+G9-H9+I9+J9+K9+L9-M9-N9-O9</x:f>
        <x:v>7458</x:v>
      </x:c>
      <x:c r="Q9" s="38" t="n">
        <x:v>7458</x:v>
      </x:c>
      <x:c r="R9" s="38" t="n">
        <x:f>P9-Q9</x:f>
        <x:v>0</x:v>
      </x:c>
      <x:c r="S9" s="38" t="n">
        <x:v>10215</x:v>
      </x:c>
      <x:c r="T9" s="38" t="n">
        <x:v>2497</x:v>
      </x:c>
      <x:c r="U9" s="38" t="n">
        <x:v>8</x:v>
      </x:c>
      <x:c r="V9" s="38" t="n">
        <x:v>2</x:v>
      </x:c>
      <x:c r="W9" s="38" t="n">
        <x:v>0</x:v>
      </x:c>
      <x:c r="X9" s="44" t="n">
        <x:v>0</x:v>
      </x:c>
      <x:c r="Y9" s="38" t="n">
        <x:v>15</x:v>
      </x:c>
      <x:c r="Z9" s="38" t="n">
        <x:v>9</x:v>
      </x:c>
      <x:c r="AA9" s="38" t="n">
        <x:v>1</x:v>
      </x:c>
      <x:c r="AB9" s="38" t="n">
        <x:v>0</x:v>
      </x:c>
      <x:c r="AC9" s="38" t="n">
        <x:v>4825</x:v>
      </x:c>
      <x:c r="AD9" s="38" t="n">
        <x:v>0</x:v>
      </x:c>
      <x:c r="AE9" s="38" t="n">
        <x:f>IF(B9=1,0,F9-Q8)</x:f>
        <x:v>0</x:v>
      </x:c>
    </x:row>
    <x:row r="10" ht="27" customHeight="1">
      <x:c r="A10" s="28" t="str">
        <x:v>Casual F2P</x:v>
      </x:c>
      <x:c r="B10" s="38" t="n">
        <x:v>6</x:v>
      </x:c>
      <x:c r="C10" s="38" t="n">
        <x:v>7</x:v>
      </x:c>
      <x:c r="D10" s="38" t="n">
        <x:v>4685</x:v>
      </x:c>
      <x:c r="E10" s="38" t="n">
        <x:v>25</x:v>
      </x:c>
      <x:c r="F10" s="38" t="n">
        <x:v>7458</x:v>
      </x:c>
      <x:c r="G10" s="38" t="n">
        <x:v>0</x:v>
      </x:c>
      <x:c r="H10" s="38" t="n">
        <x:v>0</x:v>
      </x:c>
      <x:c r="I10" s="38" t="n">
        <x:v>381</x:v>
      </x:c>
      <x:c r="J10" s="38" t="n">
        <x:v>0</x:v>
      </x:c>
      <x:c r="K10" s="38" t="n">
        <x:v>0</x:v>
      </x:c>
      <x:c r="L10" s="38" t="n">
        <x:v>0</x:v>
      </x:c>
      <x:c r="M10" s="38" t="n">
        <x:v>0</x:v>
      </x:c>
      <x:c r="N10" s="38" t="n">
        <x:v>70</x:v>
      </x:c>
      <x:c r="O10" s="38" t="n">
        <x:v>0</x:v>
      </x:c>
      <x:c r="P10" s="38" t="n">
        <x:f>F10+G10-H10+I10+J10+K10+L10-M10-N10-O10</x:f>
        <x:v>7769</x:v>
      </x:c>
      <x:c r="Q10" s="38" t="n">
        <x:v>7769</x:v>
      </x:c>
      <x:c r="R10" s="38" t="n">
        <x:f>P10-Q10</x:f>
        <x:v>0</x:v>
      </x:c>
      <x:c r="S10" s="38" t="n">
        <x:v>0</x:v>
      </x:c>
      <x:c r="T10" s="38" t="n">
        <x:v>170</x:v>
      </x:c>
      <x:c r="U10" s="38" t="n">
        <x:v>8</x:v>
      </x:c>
      <x:c r="V10" s="38" t="n">
        <x:v>0</x:v>
      </x:c>
      <x:c r="W10" s="38" t="n">
        <x:v>0</x:v>
      </x:c>
      <x:c r="X10" s="44" t="n">
        <x:v>0</x:v>
      </x:c>
      <x:c r="Y10" s="38" t="n">
        <x:v>0</x:v>
      </x:c>
      <x:c r="Z10" s="38" t="n">
        <x:v>9</x:v>
      </x:c>
      <x:c r="AA10" s="38" t="n">
        <x:v>2</x:v>
      </x:c>
      <x:c r="AB10" s="38" t="n">
        <x:v>0</x:v>
      </x:c>
      <x:c r="AC10" s="38" t="n">
        <x:v>4825</x:v>
      </x:c>
      <x:c r="AD10" s="38" t="n">
        <x:v>0</x:v>
      </x:c>
      <x:c r="AE10" s="38" t="n">
        <x:f>IF(B10=1,0,F10-Q9)</x:f>
        <x:v>0</x:v>
      </x:c>
    </x:row>
    <x:row r="11" ht="27" customHeight="1">
      <x:c r="A11" s="28" t="str">
        <x:v>Casual F2P</x:v>
      </x:c>
      <x:c r="B11" s="38" t="n">
        <x:v>7</x:v>
      </x:c>
      <x:c r="C11" s="38" t="n">
        <x:v>9</x:v>
      </x:c>
      <x:c r="D11" s="38" t="n">
        <x:v>9904</x:v>
      </x:c>
      <x:c r="E11" s="38" t="n">
        <x:v>30</x:v>
      </x:c>
      <x:c r="F11" s="38" t="n">
        <x:v>7769</x:v>
      </x:c>
      <x:c r="G11" s="38" t="n">
        <x:v>24100</x:v>
      </x:c>
      <x:c r="H11" s="38" t="n">
        <x:v>5911</x:v>
      </x:c>
      <x:c r="I11" s="38" t="n">
        <x:v>1974</x:v>
      </x:c>
      <x:c r="J11" s="38" t="n">
        <x:v>335</x:v>
      </x:c>
      <x:c r="K11" s="38" t="n">
        <x:v>0</x:v>
      </x:c>
      <x:c r="L11" s="38" t="n">
        <x:v>0</x:v>
      </x:c>
      <x:c r="M11" s="38" t="n">
        <x:v>15000</x:v>
      </x:c>
      <x:c r="N11" s="38" t="n">
        <x:v>0</x:v>
      </x:c>
      <x:c r="O11" s="38" t="n">
        <x:v>0</x:v>
      </x:c>
      <x:c r="P11" s="38" t="n">
        <x:f>F11+G11-H11+I11+J11+K11+L11-M11-N11-O11</x:f>
        <x:v>13267</x:v>
      </x:c>
      <x:c r="Q11" s="38" t="n">
        <x:v>13267</x:v>
      </x:c>
      <x:c r="R11" s="38" t="n">
        <x:f>P11-Q11</x:f>
        <x:v>0</x:v>
      </x:c>
      <x:c r="S11" s="38" t="n">
        <x:v>19275</x:v>
      </x:c>
      <x:c r="T11" s="38" t="n">
        <x:v>5219</x:v>
      </x:c>
      <x:c r="U11" s="38" t="n">
        <x:v>11</x:v>
      </x:c>
      <x:c r="V11" s="38" t="n">
        <x:v>3</x:v>
      </x:c>
      <x:c r="W11" s="38" t="n">
        <x:v>0</x:v>
      </x:c>
      <x:c r="X11" s="44" t="n">
        <x:v>0</x:v>
      </x:c>
      <x:c r="Y11" s="38" t="n">
        <x:v>25</x:v>
      </x:c>
      <x:c r="Z11" s="38" t="n">
        <x:v>9</x:v>
      </x:c>
      <x:c r="AA11" s="38" t="n">
        <x:v>2</x:v>
      </x:c>
      <x:c r="AB11" s="38" t="n">
        <x:v>0</x:v>
      </x:c>
      <x:c r="AC11" s="38" t="n">
        <x:v>5911</x:v>
      </x:c>
      <x:c r="AD11" s="38" t="n">
        <x:v>0</x:v>
      </x:c>
      <x:c r="AE11" s="38" t="n">
        <x:f>IF(B11=1,0,F11-Q10)</x:f>
        <x:v>0</x:v>
      </x:c>
    </x:row>
    <x:row r="12" ht="27" customHeight="1">
      <x:c r="A12" s="28" t="str">
        <x:v>Casual F2P</x:v>
      </x:c>
      <x:c r="B12" s="38" t="n">
        <x:v>8</x:v>
      </x:c>
      <x:c r="C12" s="38" t="n">
        <x:v>9</x:v>
      </x:c>
      <x:c r="D12" s="38" t="n">
        <x:v>10208</x:v>
      </x:c>
      <x:c r="E12" s="38" t="n">
        <x:v>30</x:v>
      </x:c>
      <x:c r="F12" s="38" t="n">
        <x:v>13267</x:v>
      </x:c>
      <x:c r="G12" s="38" t="n">
        <x:v>576</x:v>
      </x:c>
      <x:c r="H12" s="38" t="n">
        <x:v>414</x:v>
      </x:c>
      <x:c r="I12" s="38" t="n">
        <x:v>490</x:v>
      </x:c>
      <x:c r="J12" s="38" t="n">
        <x:v>0</x:v>
      </x:c>
      <x:c r="K12" s="38" t="n">
        <x:v>0</x:v>
      </x:c>
      <x:c r="L12" s="38" t="n">
        <x:v>0</x:v>
      </x:c>
      <x:c r="M12" s="38" t="n">
        <x:v>0</x:v>
      </x:c>
      <x:c r="N12" s="38" t="n">
        <x:v>0</x:v>
      </x:c>
      <x:c r="O12" s="38" t="n">
        <x:v>0</x:v>
      </x:c>
      <x:c r="P12" s="38" t="n">
        <x:f>F12+G12-H12+I12+J12+K12+L12-M12-N12-O12</x:f>
        <x:v>13919</x:v>
      </x:c>
      <x:c r="Q12" s="38" t="n">
        <x:v>13919</x:v>
      </x:c>
      <x:c r="R12" s="38" t="n">
        <x:f>P12-Q12</x:f>
        <x:v>0</x:v>
      </x:c>
      <x:c r="S12" s="38" t="n">
        <x:v>461</x:v>
      </x:c>
      <x:c r="T12" s="38" t="n">
        <x:v>304</x:v>
      </x:c>
      <x:c r="U12" s="38" t="n">
        <x:v>13</x:v>
      </x:c>
      <x:c r="V12" s="38" t="n">
        <x:v>2</x:v>
      </x:c>
      <x:c r="W12" s="38" t="n">
        <x:v>0</x:v>
      </x:c>
      <x:c r="X12" s="44" t="n">
        <x:v>0</x:v>
      </x:c>
      <x:c r="Y12" s="38" t="n">
        <x:v>2</x:v>
      </x:c>
      <x:c r="Z12" s="38" t="n">
        <x:v>11</x:v>
      </x:c>
      <x:c r="AA12" s="38" t="n">
        <x:v>2</x:v>
      </x:c>
      <x:c r="AB12" s="38" t="n">
        <x:v>0</x:v>
      </x:c>
      <x:c r="AC12" s="38" t="n">
        <x:v>6210</x:v>
      </x:c>
      <x:c r="AD12" s="38" t="n">
        <x:v>0</x:v>
      </x:c>
      <x:c r="AE12" s="38" t="n">
        <x:f>IF(B12=1,0,F12-Q11)</x:f>
        <x:v>0</x:v>
      </x:c>
    </x:row>
    <x:row r="13" ht="27" customHeight="1">
      <x:c r="A13" s="28" t="str">
        <x:v>Casual F2P</x:v>
      </x:c>
      <x:c r="B13" s="38" t="n">
        <x:v>9</x:v>
      </x:c>
      <x:c r="C13" s="38" t="n">
        <x:v>11</x:v>
      </x:c>
      <x:c r="D13" s="38" t="n">
        <x:v>15315</x:v>
      </x:c>
      <x:c r="E13" s="38" t="n">
        <x:v>30</x:v>
      </x:c>
      <x:c r="F13" s="38" t="n">
        <x:v>13919</x:v>
      </x:c>
      <x:c r="G13" s="38" t="n">
        <x:v>28924</x:v>
      </x:c>
      <x:c r="H13" s="38" t="n">
        <x:v>5991</x:v>
      </x:c>
      <x:c r="I13" s="38" t="n">
        <x:v>490</x:v>
      </x:c>
      <x:c r="J13" s="38" t="n">
        <x:v>385</x:v>
      </x:c>
      <x:c r="K13" s="38" t="n">
        <x:v>0</x:v>
      </x:c>
      <x:c r="L13" s="38" t="n">
        <x:v>0</x:v>
      </x:c>
      <x:c r="M13" s="38" t="n">
        <x:v>0</x:v>
      </x:c>
      <x:c r="N13" s="38" t="n">
        <x:v>0</x:v>
      </x:c>
      <x:c r="O13" s="38" t="n">
        <x:v>1325</x:v>
      </x:c>
      <x:c r="P13" s="38" t="n">
        <x:f>F13+G13-H13+I13+J13+K13+L13-M13-N13-O13</x:f>
        <x:v>36402</x:v>
      </x:c>
      <x:c r="Q13" s="38" t="n">
        <x:v>36402</x:v>
      </x:c>
      <x:c r="R13" s="38" t="n">
        <x:f>P13-Q13</x:f>
        <x:v>0</x:v>
      </x:c>
      <x:c r="S13" s="38" t="n">
        <x:v>23128</x:v>
      </x:c>
      <x:c r="T13" s="38" t="n">
        <x:v>5107</x:v>
      </x:c>
      <x:c r="U13" s="38" t="n">
        <x:v>16</x:v>
      </x:c>
      <x:c r="V13" s="38" t="n">
        <x:v>3</x:v>
      </x:c>
      <x:c r="W13" s="38" t="n">
        <x:v>0</x:v>
      </x:c>
      <x:c r="X13" s="44" t="n">
        <x:v>0</x:v>
      </x:c>
      <x:c r="Y13" s="38" t="n">
        <x:v>28</x:v>
      </x:c>
      <x:c r="Z13" s="38" t="n">
        <x:v>11</x:v>
      </x:c>
      <x:c r="AA13" s="38" t="n">
        <x:v>2</x:v>
      </x:c>
      <x:c r="AB13" s="38" t="n">
        <x:v>1</x:v>
      </x:c>
      <x:c r="AC13" s="38" t="n">
        <x:v>6405</x:v>
      </x:c>
      <x:c r="AD13" s="38" t="n">
        <x:v>0</x:v>
      </x:c>
      <x:c r="AE13" s="38" t="n">
        <x:f>IF(B13=1,0,F13-Q12)</x:f>
        <x:v>0</x:v>
      </x:c>
    </x:row>
    <x:row r="14" ht="27" customHeight="1">
      <x:c r="A14" s="28" t="str">
        <x:v>Casual F2P</x:v>
      </x:c>
      <x:c r="B14" s="38" t="n">
        <x:v>10</x:v>
      </x:c>
      <x:c r="C14" s="38" t="n">
        <x:v>11</x:v>
      </x:c>
      <x:c r="D14" s="38" t="n">
        <x:v>15926</x:v>
      </x:c>
      <x:c r="E14" s="38" t="n">
        <x:v>30</x:v>
      </x:c>
      <x:c r="F14" s="38" t="n">
        <x:v>36402</x:v>
      </x:c>
      <x:c r="G14" s="38" t="n">
        <x:v>2321</x:v>
      </x:c>
      <x:c r="H14" s="38" t="n">
        <x:v>660</x:v>
      </x:c>
      <x:c r="I14" s="38" t="n">
        <x:v>522</x:v>
      </x:c>
      <x:c r="J14" s="38" t="n">
        <x:v>0</x:v>
      </x:c>
      <x:c r="K14" s="38" t="n">
        <x:v>0</x:v>
      </x:c>
      <x:c r="L14" s="38" t="n">
        <x:v>0</x:v>
      </x:c>
      <x:c r="M14" s="38" t="n">
        <x:v>0</x:v>
      </x:c>
      <x:c r="N14" s="38" t="n">
        <x:v>0</x:v>
      </x:c>
      <x:c r="O14" s="38" t="n">
        <x:v>6325</x:v>
      </x:c>
      <x:c r="P14" s="38" t="n">
        <x:f>F14+G14-H14+I14+J14+K14+L14-M14-N14-O14</x:f>
        <x:v>32260</x:v>
      </x:c>
      <x:c r="Q14" s="38" t="n">
        <x:v>32260</x:v>
      </x:c>
      <x:c r="R14" s="38" t="n">
        <x:f>P14-Q14</x:f>
        <x:v>0</x:v>
      </x:c>
      <x:c r="S14" s="38" t="n">
        <x:v>1856</x:v>
      </x:c>
      <x:c r="T14" s="38" t="n">
        <x:v>611</x:v>
      </x:c>
      <x:c r="U14" s="38" t="n">
        <x:v>16</x:v>
      </x:c>
      <x:c r="V14" s="38" t="n">
        <x:v>0</x:v>
      </x:c>
      <x:c r="W14" s="38" t="n">
        <x:v>0</x:v>
      </x:c>
      <x:c r="X14" s="44" t="n">
        <x:v>0</x:v>
      </x:c>
      <x:c r="Y14" s="38" t="n">
        <x:v>3</x:v>
      </x:c>
      <x:c r="Z14" s="38" t="n">
        <x:v>12</x:v>
      </x:c>
      <x:c r="AA14" s="38" t="n">
        <x:v>2</x:v>
      </x:c>
      <x:c r="AB14" s="38" t="n">
        <x:v>2</x:v>
      </x:c>
      <x:c r="AC14" s="38" t="n">
        <x:v>6600</x:v>
      </x:c>
      <x:c r="AD14" s="38" t="n">
        <x:v>0</x:v>
      </x:c>
      <x:c r="AE14" s="38" t="n">
        <x:f>IF(B14=1,0,F14-Q13)</x:f>
        <x:v>0</x:v>
      </x:c>
    </x:row>
    <x:row r="15" ht="27" customHeight="1">
      <x:c r="A15" s="28" t="str">
        <x:v>Casual F2P</x:v>
      </x:c>
      <x:c r="B15" s="38" t="n">
        <x:v>11</x:v>
      </x:c>
      <x:c r="C15" s="38" t="n">
        <x:v>12</x:v>
      </x:c>
      <x:c r="D15" s="38" t="n">
        <x:v>20943</x:v>
      </x:c>
      <x:c r="E15" s="38" t="n">
        <x:v>35</x:v>
      </x:c>
      <x:c r="F15" s="38" t="n">
        <x:v>32260</x:v>
      </x:c>
      <x:c r="G15" s="38" t="n">
        <x:v>29700</x:v>
      </x:c>
      <x:c r="H15" s="38" t="n">
        <x:v>7264</x:v>
      </x:c>
      <x:c r="I15" s="38" t="n">
        <x:v>522</x:v>
      </x:c>
      <x:c r="J15" s="38" t="n">
        <x:v>235</x:v>
      </x:c>
      <x:c r="K15" s="38" t="n">
        <x:v>0</x:v>
      </x:c>
      <x:c r="L15" s="38" t="n">
        <x:v>0</x:v>
      </x:c>
      <x:c r="M15" s="38" t="n">
        <x:v>40000</x:v>
      </x:c>
      <x:c r="N15" s="38" t="n">
        <x:v>70</x:v>
      </x:c>
      <x:c r="O15" s="38" t="n">
        <x:v>0</x:v>
      </x:c>
      <x:c r="P15" s="38" t="n">
        <x:f>F15+G15-H15+I15+J15+K15+L15-M15-N15-O15</x:f>
        <x:v>15383</x:v>
      </x:c>
      <x:c r="Q15" s="38" t="n">
        <x:v>15383</x:v>
      </x:c>
      <x:c r="R15" s="38" t="n">
        <x:f>P15-Q15</x:f>
        <x:v>0</x:v>
      </x:c>
      <x:c r="S15" s="38" t="n">
        <x:v>23760</x:v>
      </x:c>
      <x:c r="T15" s="38" t="n">
        <x:v>5017</x:v>
      </x:c>
      <x:c r="U15" s="38" t="n">
        <x:v>17</x:v>
      </x:c>
      <x:c r="V15" s="38" t="n">
        <x:v>1</x:v>
      </x:c>
      <x:c r="W15" s="38" t="n">
        <x:v>0</x:v>
      </x:c>
      <x:c r="X15" s="44" t="n">
        <x:v>0</x:v>
      </x:c>
      <x:c r="Y15" s="38" t="n">
        <x:v>27</x:v>
      </x:c>
      <x:c r="Z15" s="38" t="n">
        <x:v>13</x:v>
      </x:c>
      <x:c r="AA15" s="38" t="n">
        <x:v>3</x:v>
      </x:c>
      <x:c r="AB15" s="38" t="n">
        <x:v>2</x:v>
      </x:c>
      <x:c r="AC15" s="38" t="n">
        <x:v>7924</x:v>
      </x:c>
      <x:c r="AD15" s="38" t="n">
        <x:v>0</x:v>
      </x:c>
      <x:c r="AE15" s="38" t="n">
        <x:f>IF(B15=1,0,F15-Q14)</x:f>
        <x:v>0</x:v>
      </x:c>
    </x:row>
    <x:row r="16" ht="27" customHeight="1">
      <x:c r="A16" s="28" t="str">
        <x:v>Casual F2P</x:v>
      </x:c>
      <x:c r="B16" s="38" t="n">
        <x:v>12</x:v>
      </x:c>
      <x:c r="C16" s="38" t="n">
        <x:v>12</x:v>
      </x:c>
      <x:c r="D16" s="38" t="n">
        <x:v>21726</x:v>
      </x:c>
      <x:c r="E16" s="38" t="n">
        <x:v>35</x:v>
      </x:c>
      <x:c r="F16" s="38" t="n">
        <x:v>15383</x:v>
      </x:c>
      <x:c r="G16" s="38" t="n">
        <x:v>3300</x:v>
      </x:c>
      <x:c r="H16" s="38" t="n">
        <x:v>681</x:v>
      </x:c>
      <x:c r="I16" s="38" t="n">
        <x:v>628</x:v>
      </x:c>
      <x:c r="J16" s="38" t="n">
        <x:v>0</x:v>
      </x:c>
      <x:c r="K16" s="38" t="n">
        <x:v>0</x:v>
      </x:c>
      <x:c r="L16" s="38" t="n">
        <x:v>0</x:v>
      </x:c>
      <x:c r="M16" s="38" t="n">
        <x:v>0</x:v>
      </x:c>
      <x:c r="N16" s="38" t="n">
        <x:v>0</x:v>
      </x:c>
      <x:c r="O16" s="38" t="n">
        <x:v>0</x:v>
      </x:c>
      <x:c r="P16" s="38" t="n">
        <x:f>F16+G16-H16+I16+J16+K16+L16-M16-N16-O16</x:f>
        <x:v>18630</x:v>
      </x:c>
      <x:c r="Q16" s="38" t="n">
        <x:v>18630</x:v>
      </x:c>
      <x:c r="R16" s="38" t="n">
        <x:f>P16-Q16</x:f>
        <x:v>0</x:v>
      </x:c>
      <x:c r="S16" s="38" t="n">
        <x:v>2640</x:v>
      </x:c>
      <x:c r="T16" s="38" t="n">
        <x:v>783</x:v>
      </x:c>
      <x:c r="U16" s="38" t="n">
        <x:v>17</x:v>
      </x:c>
      <x:c r="V16" s="38" t="n">
        <x:v>0</x:v>
      </x:c>
      <x:c r="W16" s="38" t="n">
        <x:v>0</x:v>
      </x:c>
      <x:c r="X16" s="44" t="n">
        <x:v>0</x:v>
      </x:c>
      <x:c r="Y16" s="38" t="n">
        <x:v>3</x:v>
      </x:c>
      <x:c r="Z16" s="38" t="n">
        <x:v>13</x:v>
      </x:c>
      <x:c r="AA16" s="38" t="n">
        <x:v>3</x:v>
      </x:c>
      <x:c r="AB16" s="38" t="n">
        <x:v>2</x:v>
      </x:c>
      <x:c r="AC16" s="38" t="n">
        <x:v>7945</x:v>
      </x:c>
      <x:c r="AD16" s="38" t="n">
        <x:v>0</x:v>
      </x:c>
      <x:c r="AE16" s="38" t="n">
        <x:f>IF(B16=1,0,F16-Q15)</x:f>
        <x:v>0</x:v>
      </x:c>
    </x:row>
    <x:row r="17" ht="27" customHeight="1">
      <x:c r="A17" s="28" t="str">
        <x:v>Casual F2P</x:v>
      </x:c>
      <x:c r="B17" s="38" t="n">
        <x:v>13</x:v>
      </x:c>
      <x:c r="C17" s="38" t="n">
        <x:v>13</x:v>
      </x:c>
      <x:c r="D17" s="38" t="n">
        <x:v>27735</x:v>
      </x:c>
      <x:c r="E17" s="38" t="n">
        <x:v>35</x:v>
      </x:c>
      <x:c r="F17" s="38" t="n">
        <x:v>18630</x:v>
      </x:c>
      <x:c r="G17" s="38" t="n">
        <x:v>36320</x:v>
      </x:c>
      <x:c r="H17" s="38" t="n">
        <x:v>7370</x:v>
      </x:c>
      <x:c r="I17" s="38" t="n">
        <x:v>628</x:v>
      </x:c>
      <x:c r="J17" s="38" t="n">
        <x:v>245</x:v>
      </x:c>
      <x:c r="K17" s="38" t="n">
        <x:v>0</x:v>
      </x:c>
      <x:c r="L17" s="38" t="n">
        <x:v>0</x:v>
      </x:c>
      <x:c r="M17" s="38" t="n">
        <x:v>0</x:v>
      </x:c>
      <x:c r="N17" s="38" t="n">
        <x:v>0</x:v>
      </x:c>
      <x:c r="O17" s="38" t="n">
        <x:v>0</x:v>
      </x:c>
      <x:c r="P17" s="38" t="n">
        <x:f>F17+G17-H17+I17+J17+K17+L17-M17-N17-O17</x:f>
        <x:v>48453</x:v>
      </x:c>
      <x:c r="Q17" s="38" t="n">
        <x:v>48453</x:v>
      </x:c>
      <x:c r="R17" s="38" t="n">
        <x:f>P17-Q17</x:f>
        <x:v>0</x:v>
      </x:c>
      <x:c r="S17" s="38" t="n">
        <x:v>29056</x:v>
      </x:c>
      <x:c r="T17" s="38" t="n">
        <x:v>6009</x:v>
      </x:c>
      <x:c r="U17" s="38" t="n">
        <x:v>17</x:v>
      </x:c>
      <x:c r="V17" s="38" t="n">
        <x:v>0</x:v>
      </x:c>
      <x:c r="W17" s="38" t="n">
        <x:v>0</x:v>
      </x:c>
      <x:c r="X17" s="44" t="n">
        <x:v>0</x:v>
      </x:c>
      <x:c r="Y17" s="38" t="n">
        <x:v>32</x:v>
      </x:c>
      <x:c r="Z17" s="38" t="n">
        <x:v>14</x:v>
      </x:c>
      <x:c r="AA17" s="38" t="n">
        <x:v>3</x:v>
      </x:c>
      <x:c r="AB17" s="38" t="n">
        <x:v>2</x:v>
      </x:c>
      <x:c r="AC17" s="38" t="n">
        <x:v>8051</x:v>
      </x:c>
      <x:c r="AD17" s="38" t="n">
        <x:v>0</x:v>
      </x:c>
      <x:c r="AE17" s="38" t="n">
        <x:f>IF(B17=1,0,F17-Q16)</x:f>
        <x:v>0</x:v>
      </x:c>
    </x:row>
    <x:row r="18" ht="27" customHeight="1">
      <x:c r="A18" s="28" t="str">
        <x:v>Casual F2P</x:v>
      </x:c>
      <x:c r="B18" s="38" t="n">
        <x:v>14</x:v>
      </x:c>
      <x:c r="C18" s="38" t="n">
        <x:v>13</x:v>
      </x:c>
      <x:c r="D18" s="38" t="n">
        <x:v>30171</x:v>
      </x:c>
      <x:c r="E18" s="38" t="n">
        <x:v>35</x:v>
      </x:c>
      <x:c r="F18" s="38" t="n">
        <x:v>48453</x:v>
      </x:c>
      <x:c r="G18" s="38" t="n">
        <x:v>3983</x:v>
      </x:c>
      <x:c r="H18" s="38" t="n">
        <x:v>936</x:v>
      </x:c>
      <x:c r="I18" s="38" t="n">
        <x:v>4319</x:v>
      </x:c>
      <x:c r="J18" s="38" t="n">
        <x:v>0</x:v>
      </x:c>
      <x:c r="K18" s="38" t="n">
        <x:v>0</x:v>
      </x:c>
      <x:c r="L18" s="38" t="n">
        <x:v>0</x:v>
      </x:c>
      <x:c r="M18" s="38" t="n">
        <x:v>0</x:v>
      </x:c>
      <x:c r="N18" s="38" t="n">
        <x:v>0</x:v>
      </x:c>
      <x:c r="O18" s="38" t="n">
        <x:v>0</x:v>
      </x:c>
      <x:c r="P18" s="38" t="n">
        <x:f>F18+G18-H18+I18+J18+K18+L18-M18-N18-O18</x:f>
        <x:v>55819</x:v>
      </x:c>
      <x:c r="Q18" s="38" t="n">
        <x:v>55819</x:v>
      </x:c>
      <x:c r="R18" s="38" t="n">
        <x:f>P18-Q18</x:f>
        <x:v>0</x:v>
      </x:c>
      <x:c r="S18" s="38" t="n">
        <x:v>3186</x:v>
      </x:c>
      <x:c r="T18" s="38" t="n">
        <x:v>2436</x:v>
      </x:c>
      <x:c r="U18" s="38" t="n">
        <x:v>21</x:v>
      </x:c>
      <x:c r="V18" s="38" t="n">
        <x:v>4</x:v>
      </x:c>
      <x:c r="W18" s="38" t="n">
        <x:v>0</x:v>
      </x:c>
      <x:c r="X18" s="44" t="n">
        <x:v>0</x:v>
      </x:c>
      <x:c r="Y18" s="38" t="n">
        <x:v>4</x:v>
      </x:c>
      <x:c r="Z18" s="38" t="n">
        <x:v>15</x:v>
      </x:c>
      <x:c r="AA18" s="38" t="n">
        <x:v>3</x:v>
      </x:c>
      <x:c r="AB18" s="38" t="n">
        <x:v>2</x:v>
      </x:c>
      <x:c r="AC18" s="38" t="n">
        <x:v>8190</x:v>
      </x:c>
      <x:c r="AD18" s="38" t="n">
        <x:v>0</x:v>
      </x:c>
      <x:c r="AE18" s="38" t="n">
        <x:f>IF(B18=1,0,F18-Q17)</x:f>
        <x:v>0</x:v>
      </x:c>
    </x:row>
    <x:row r="19" ht="27" customHeight="1">
      <x:c r="A19" s="28" t="str">
        <x:v>Casual F2P</x:v>
      </x:c>
      <x:c r="B19" s="38" t="n">
        <x:v>15</x:v>
      </x:c>
      <x:c r="C19" s="38" t="n">
        <x:v>14</x:v>
      </x:c>
      <x:c r="D19" s="38" t="n">
        <x:v>36033</x:v>
      </x:c>
      <x:c r="E19" s="38" t="n">
        <x:v>35</x:v>
      </x:c>
      <x:c r="F19" s="38" t="n">
        <x:v>55819</x:v>
      </x:c>
      <x:c r="G19" s="38" t="n">
        <x:v>36239</x:v>
      </x:c>
      <x:c r="H19" s="38" t="n">
        <x:v>7244</x:v>
      </x:c>
      <x:c r="I19" s="38" t="n">
        <x:v>647</x:v>
      </x:c>
      <x:c r="J19" s="38" t="n">
        <x:v>250</x:v>
      </x:c>
      <x:c r="K19" s="38" t="n">
        <x:v>0</x:v>
      </x:c>
      <x:c r="L19" s="38" t="n">
        <x:v>0</x:v>
      </x:c>
      <x:c r="M19" s="38" t="n">
        <x:v>0</x:v>
      </x:c>
      <x:c r="N19" s="38" t="n">
        <x:v>0</x:v>
      </x:c>
      <x:c r="O19" s="38" t="n">
        <x:v>0</x:v>
      </x:c>
      <x:c r="P19" s="38" t="n">
        <x:f>F19+G19-H19+I19+J19+K19+L19-M19-N19-O19</x:f>
        <x:v>85711</x:v>
      </x:c>
      <x:c r="Q19" s="38" t="n">
        <x:v>85711</x:v>
      </x:c>
      <x:c r="R19" s="38" t="n">
        <x:f>P19-Q19</x:f>
        <x:v>0</x:v>
      </x:c>
      <x:c r="S19" s="38" t="n">
        <x:v>28985</x:v>
      </x:c>
      <x:c r="T19" s="38" t="n">
        <x:v>5862</x:v>
      </x:c>
      <x:c r="U19" s="38" t="n">
        <x:v>22</x:v>
      </x:c>
      <x:c r="V19" s="38" t="n">
        <x:v>1</x:v>
      </x:c>
      <x:c r="W19" s="38" t="n">
        <x:v>0</x:v>
      </x:c>
      <x:c r="X19" s="44" t="n">
        <x:v>0</x:v>
      </x:c>
      <x:c r="Y19" s="38" t="n">
        <x:v>31</x:v>
      </x:c>
      <x:c r="Z19" s="38" t="n">
        <x:v>15</x:v>
      </x:c>
      <x:c r="AA19" s="38" t="n">
        <x:v>3</x:v>
      </x:c>
      <x:c r="AB19" s="38" t="n">
        <x:v>2</x:v>
      </x:c>
      <x:c r="AC19" s="38" t="n">
        <x:v>8180</x:v>
      </x:c>
      <x:c r="AD19" s="38" t="n">
        <x:v>0</x:v>
      </x:c>
      <x:c r="AE19" s="38" t="n">
        <x:f>IF(B19=1,0,F19-Q18)</x:f>
        <x:v>0</x:v>
      </x:c>
    </x:row>
    <x:row r="20" ht="27" customHeight="1">
      <x:c r="A20" s="28" t="str">
        <x:v>Casual F2P</x:v>
      </x:c>
      <x:c r="B20" s="38" t="n">
        <x:v>16</x:v>
      </x:c>
      <x:c r="C20" s="38" t="n">
        <x:v>14</x:v>
      </x:c>
      <x:c r="D20" s="38" t="n">
        <x:v>37023</x:v>
      </x:c>
      <x:c r="E20" s="38" t="n">
        <x:v>35</x:v>
      </x:c>
      <x:c r="F20" s="38" t="n">
        <x:v>85711</x:v>
      </x:c>
      <x:c r="G20" s="38" t="n">
        <x:v>4746</x:v>
      </x:c>
      <x:c r="H20" s="38" t="n">
        <x:v>1205</x:v>
      </x:c>
      <x:c r="I20" s="38" t="n">
        <x:v>666</x:v>
      </x:c>
      <x:c r="J20" s="38" t="n">
        <x:v>0</x:v>
      </x:c>
      <x:c r="K20" s="38" t="n">
        <x:v>0</x:v>
      </x:c>
      <x:c r="L20" s="38" t="n">
        <x:v>0</x:v>
      </x:c>
      <x:c r="M20" s="38" t="n">
        <x:v>0</x:v>
      </x:c>
      <x:c r="N20" s="38" t="n">
        <x:v>70</x:v>
      </x:c>
      <x:c r="O20" s="38" t="n">
        <x:v>0</x:v>
      </x:c>
      <x:c r="P20" s="38" t="n">
        <x:f>F20+G20-H20+I20+J20+K20+L20-M20-N20-O20</x:f>
        <x:v>89848</x:v>
      </x:c>
      <x:c r="Q20" s="38" t="n">
        <x:v>89848</x:v>
      </x:c>
      <x:c r="R20" s="38" t="n">
        <x:f>P20-Q20</x:f>
        <x:v>0</x:v>
      </x:c>
      <x:c r="S20" s="38" t="n">
        <x:v>3796</x:v>
      </x:c>
      <x:c r="T20" s="38" t="n">
        <x:v>990</x:v>
      </x:c>
      <x:c r="U20" s="38" t="n">
        <x:v>22</x:v>
      </x:c>
      <x:c r="V20" s="38" t="n">
        <x:v>0</x:v>
      </x:c>
      <x:c r="W20" s="38" t="n">
        <x:v>0</x:v>
      </x:c>
      <x:c r="X20" s="44" t="n">
        <x:v>0</x:v>
      </x:c>
      <x:c r="Y20" s="38" t="n">
        <x:v>5</x:v>
      </x:c>
      <x:c r="Z20" s="38" t="n">
        <x:v>16</x:v>
      </x:c>
      <x:c r="AA20" s="38" t="n">
        <x:v>4</x:v>
      </x:c>
      <x:c r="AB20" s="38" t="n">
        <x:v>2</x:v>
      </x:c>
      <x:c r="AC20" s="38" t="n">
        <x:v>8435</x:v>
      </x:c>
      <x:c r="AD20" s="38" t="n">
        <x:v>0</x:v>
      </x:c>
      <x:c r="AE20" s="38" t="n">
        <x:f>IF(B20=1,0,F20-Q19)</x:f>
        <x:v>0</x:v>
      </x:c>
    </x:row>
    <x:row r="21" ht="27" customHeight="1">
      <x:c r="A21" s="28" t="str">
        <x:v>Casual F2P</x:v>
      </x:c>
      <x:c r="B21" s="38" t="n">
        <x:v>17</x:v>
      </x:c>
      <x:c r="C21" s="38" t="n">
        <x:v>15</x:v>
      </x:c>
      <x:c r="D21" s="38" t="n">
        <x:v>42766</x:v>
      </x:c>
      <x:c r="E21" s="38" t="n">
        <x:v>35</x:v>
      </x:c>
      <x:c r="F21" s="38" t="n">
        <x:v>89848</x:v>
      </x:c>
      <x:c r="G21" s="38" t="n">
        <x:v>36090</x:v>
      </x:c>
      <x:c r="H21" s="38" t="n">
        <x:v>7262</x:v>
      </x:c>
      <x:c r="I21" s="38" t="n">
        <x:v>666</x:v>
      </x:c>
      <x:c r="J21" s="38" t="n">
        <x:v>255</x:v>
      </x:c>
      <x:c r="K21" s="38" t="n">
        <x:v>0</x:v>
      </x:c>
      <x:c r="L21" s="38" t="n">
        <x:v>0</x:v>
      </x:c>
      <x:c r="M21" s="38" t="n">
        <x:v>0</x:v>
      </x:c>
      <x:c r="N21" s="38" t="n">
        <x:v>0</x:v>
      </x:c>
      <x:c r="O21" s="38" t="n">
        <x:v>17115</x:v>
      </x:c>
      <x:c r="P21" s="38" t="n">
        <x:f>F21+G21-H21+I21+J21+K21+L21-M21-N21-O21</x:f>
        <x:v>102482</x:v>
      </x:c>
      <x:c r="Q21" s="38" t="n">
        <x:v>102482</x:v>
      </x:c>
      <x:c r="R21" s="38" t="n">
        <x:f>P21-Q21</x:f>
        <x:v>0</x:v>
      </x:c>
      <x:c r="S21" s="38" t="n">
        <x:v>28860</x:v>
      </x:c>
      <x:c r="T21" s="38" t="n">
        <x:v>5743</x:v>
      </x:c>
      <x:c r="U21" s="38" t="n">
        <x:v>25</x:v>
      </x:c>
      <x:c r="V21" s="38" t="n">
        <x:v>3</x:v>
      </x:c>
      <x:c r="W21" s="38" t="n">
        <x:v>0</x:v>
      </x:c>
      <x:c r="X21" s="44" t="n">
        <x:v>0</x:v>
      </x:c>
      <x:c r="Y21" s="38" t="n">
        <x:v>30</x:v>
      </x:c>
      <x:c r="Z21" s="38" t="n">
        <x:v>16</x:v>
      </x:c>
      <x:c r="AA21" s="38" t="n">
        <x:v>4</x:v>
      </x:c>
      <x:c r="AB21" s="38" t="n">
        <x:v>3</x:v>
      </x:c>
      <x:c r="AC21" s="38" t="n">
        <x:v>8467</x:v>
      </x:c>
      <x:c r="AD21" s="38" t="n">
        <x:v>0</x:v>
      </x:c>
      <x:c r="AE21" s="38" t="n">
        <x:f>IF(B21=1,0,F21-Q20)</x:f>
        <x:v>0</x:v>
      </x:c>
    </x:row>
    <x:row r="22" ht="27" customHeight="1">
      <x:c r="A22" s="28" t="str">
        <x:v>Casual F2P</x:v>
      </x:c>
      <x:c r="B22" s="38" t="n">
        <x:v>18</x:v>
      </x:c>
      <x:c r="C22" s="38" t="n">
        <x:v>15</x:v>
      </x:c>
      <x:c r="D22" s="38" t="n">
        <x:v>43979</x:v>
      </x:c>
      <x:c r="E22" s="38" t="n">
        <x:v>35</x:v>
      </x:c>
      <x:c r="F22" s="38" t="n">
        <x:v>102482</x:v>
      </x:c>
      <x:c r="G22" s="38" t="n">
        <x:v>6365</x:v>
      </x:c>
      <x:c r="H22" s="38" t="n">
        <x:v>1488</x:v>
      </x:c>
      <x:c r="I22" s="38" t="n">
        <x:v>685</x:v>
      </x:c>
      <x:c r="J22" s="38" t="n">
        <x:v>0</x:v>
      </x:c>
      <x:c r="K22" s="38" t="n">
        <x:v>0</x:v>
      </x:c>
      <x:c r="L22" s="38" t="n">
        <x:v>0</x:v>
      </x:c>
      <x:c r="M22" s="38" t="n">
        <x:v>0</x:v>
      </x:c>
      <x:c r="N22" s="38" t="n">
        <x:v>0</x:v>
      </x:c>
      <x:c r="O22" s="38" t="n">
        <x:v>0</x:v>
      </x:c>
      <x:c r="P22" s="38" t="n">
        <x:f>F22+G22-H22+I22+J22+K22+L22-M22-N22-O22</x:f>
        <x:v>108044</x:v>
      </x:c>
      <x:c r="Q22" s="38" t="n">
        <x:v>108044</x:v>
      </x:c>
      <x:c r="R22" s="38" t="n">
        <x:f>P22-Q22</x:f>
        <x:v>0</x:v>
      </x:c>
      <x:c r="S22" s="38" t="n">
        <x:v>5090</x:v>
      </x:c>
      <x:c r="T22" s="38" t="n">
        <x:v>1213</x:v>
      </x:c>
      <x:c r="U22" s="38" t="n">
        <x:v>25</x:v>
      </x:c>
      <x:c r="V22" s="38" t="n">
        <x:v>0</x:v>
      </x:c>
      <x:c r="W22" s="38" t="n">
        <x:v>0</x:v>
      </x:c>
      <x:c r="X22" s="44" t="n">
        <x:v>0</x:v>
      </x:c>
      <x:c r="Y22" s="38" t="n">
        <x:v>6</x:v>
      </x:c>
      <x:c r="Z22" s="38" t="n">
        <x:v>17</x:v>
      </x:c>
      <x:c r="AA22" s="38" t="n">
        <x:v>4</x:v>
      </x:c>
      <x:c r="AB22" s="38" t="n">
        <x:v>3</x:v>
      </x:c>
      <x:c r="AC22" s="38" t="n">
        <x:v>8680</x:v>
      </x:c>
      <x:c r="AD22" s="38" t="n">
        <x:v>0</x:v>
      </x:c>
      <x:c r="AE22" s="38" t="n">
        <x:f>IF(B22=1,0,F22-Q21)</x:f>
        <x:v>0</x:v>
      </x:c>
    </x:row>
    <x:row r="23" ht="27" customHeight="1">
      <x:c r="A23" s="28" t="str">
        <x:v>Casual F2P</x:v>
      </x:c>
      <x:c r="B23" s="38" t="n">
        <x:v>19</x:v>
      </x:c>
      <x:c r="C23" s="38" t="n">
        <x:v>16</x:v>
      </x:c>
      <x:c r="D23" s="38" t="n">
        <x:v>49599</x:v>
      </x:c>
      <x:c r="E23" s="38" t="n">
        <x:v>45</x:v>
      </x:c>
      <x:c r="F23" s="38" t="n">
        <x:v>108044</x:v>
      </x:c>
      <x:c r="G23" s="38" t="n">
        <x:v>35902</x:v>
      </x:c>
      <x:c r="H23" s="38" t="n">
        <x:v>9778</x:v>
      </x:c>
      <x:c r="I23" s="38" t="n">
        <x:v>685</x:v>
      </x:c>
      <x:c r="J23" s="38" t="n">
        <x:v>340</x:v>
      </x:c>
      <x:c r="K23" s="38" t="n">
        <x:v>0</x:v>
      </x:c>
      <x:c r="L23" s="38" t="n">
        <x:v>0</x:v>
      </x:c>
      <x:c r="M23" s="38" t="n">
        <x:v>120000</x:v>
      </x:c>
      <x:c r="N23" s="38" t="n">
        <x:v>0</x:v>
      </x:c>
      <x:c r="O23" s="38" t="n">
        <x:v>0</x:v>
      </x:c>
      <x:c r="P23" s="38" t="n">
        <x:f>F23+G23-H23+I23+J23+K23+L23-M23-N23-O23</x:f>
        <x:v>15193</x:v>
      </x:c>
      <x:c r="Q23" s="38" t="n">
        <x:v>15193</x:v>
      </x:c>
      <x:c r="R23" s="38" t="n">
        <x:f>P23-Q23</x:f>
        <x:v>0</x:v>
      </x:c>
      <x:c r="S23" s="38" t="n">
        <x:v>28710</x:v>
      </x:c>
      <x:c r="T23" s="38" t="n">
        <x:v>5620</x:v>
      </x:c>
      <x:c r="U23" s="38" t="n">
        <x:v>26</x:v>
      </x:c>
      <x:c r="V23" s="38" t="n">
        <x:v>1</x:v>
      </x:c>
      <x:c r="W23" s="38" t="n">
        <x:v>0</x:v>
      </x:c>
      <x:c r="X23" s="44" t="n">
        <x:v>0</x:v>
      </x:c>
      <x:c r="Y23" s="38" t="n">
        <x:v>29</x:v>
      </x:c>
      <x:c r="Z23" s="38" t="n">
        <x:v>17</x:v>
      </x:c>
      <x:c r="AA23" s="38" t="n">
        <x:v>4</x:v>
      </x:c>
      <x:c r="AB23" s="38" t="n">
        <x:v>3</x:v>
      </x:c>
      <x:c r="AC23" s="38" t="n">
        <x:v>11266</x:v>
      </x:c>
      <x:c r="AD23" s="38" t="n">
        <x:v>0</x:v>
      </x:c>
      <x:c r="AE23" s="38" t="n">
        <x:f>IF(B23=1,0,F23-Q22)</x:f>
        <x:v>0</x:v>
      </x:c>
    </x:row>
    <x:row r="24" ht="27" customHeight="1">
      <x:c r="A24" s="28" t="str">
        <x:v>Casual F2P</x:v>
      </x:c>
      <x:c r="B24" s="38" t="n">
        <x:v>20</x:v>
      </x:c>
      <x:c r="C24" s="38" t="n">
        <x:v>16</x:v>
      </x:c>
      <x:c r="D24" s="38" t="n">
        <x:v>51132</x:v>
      </x:c>
      <x:c r="E24" s="38" t="n">
        <x:v>45</x:v>
      </x:c>
      <x:c r="F24" s="38" t="n">
        <x:v>15193</x:v>
      </x:c>
      <x:c r="G24" s="38" t="n">
        <x:v>8056</x:v>
      </x:c>
      <x:c r="H24" s="38" t="n">
        <x:v>1778</x:v>
      </x:c>
      <x:c r="I24" s="38" t="n">
        <x:v>904</x:v>
      </x:c>
      <x:c r="J24" s="38" t="n">
        <x:v>0</x:v>
      </x:c>
      <x:c r="K24" s="38" t="n">
        <x:v>0</x:v>
      </x:c>
      <x:c r="L24" s="38" t="n">
        <x:v>0</x:v>
      </x:c>
      <x:c r="M24" s="38" t="n">
        <x:v>0</x:v>
      </x:c>
      <x:c r="N24" s="38" t="n">
        <x:v>0</x:v>
      </x:c>
      <x:c r="O24" s="38" t="n">
        <x:v>0</x:v>
      </x:c>
      <x:c r="P24" s="38" t="n">
        <x:f>F24+G24-H24+I24+J24+K24+L24-M24-N24-O24</x:f>
        <x:v>22375</x:v>
      </x:c>
      <x:c r="Q24" s="38" t="n">
        <x:v>22375</x:v>
      </x:c>
      <x:c r="R24" s="38" t="n">
        <x:f>P24-Q24</x:f>
        <x:v>0</x:v>
      </x:c>
      <x:c r="S24" s="38" t="n">
        <x:v>6442</x:v>
      </x:c>
      <x:c r="T24" s="38" t="n">
        <x:v>1533</x:v>
      </x:c>
      <x:c r="U24" s="38" t="n">
        <x:v>26</x:v>
      </x:c>
      <x:c r="V24" s="38" t="n">
        <x:v>0</x:v>
      </x:c>
      <x:c r="W24" s="38" t="n">
        <x:v>0</x:v>
      </x:c>
      <x:c r="X24" s="44" t="n">
        <x:v>0</x:v>
      </x:c>
      <x:c r="Y24" s="38" t="n">
        <x:v>7</x:v>
      </x:c>
      <x:c r="Z24" s="38" t="n">
        <x:v>18</x:v>
      </x:c>
      <x:c r="AA24" s="38" t="n">
        <x:v>4</x:v>
      </x:c>
      <x:c r="AB24" s="38" t="n">
        <x:v>3</x:v>
      </x:c>
      <x:c r="AC24" s="38" t="n">
        <x:v>11430</x:v>
      </x:c>
      <x:c r="AD24" s="38" t="n">
        <x:v>0</x:v>
      </x:c>
      <x:c r="AE24" s="38" t="n">
        <x:f>IF(B24=1,0,F24-Q23)</x:f>
        <x:v>0</x:v>
      </x:c>
    </x:row>
    <x:row r="25" ht="27" customHeight="1">
      <x:c r="A25" s="28" t="str">
        <x:v>Casual F2P</x:v>
      </x:c>
      <x:c r="B25" s="38" t="n">
        <x:v>21</x:v>
      </x:c>
      <x:c r="C25" s="38" t="n">
        <x:v>17</x:v>
      </x:c>
      <x:c r="D25" s="38" t="n">
        <x:v>60413</x:v>
      </x:c>
      <x:c r="E25" s="38" t="n">
        <x:v>45</x:v>
      </x:c>
      <x:c r="F25" s="38" t="n">
        <x:v>22375</x:v>
      </x:c>
      <x:c r="G25" s="38" t="n">
        <x:v>48298</x:v>
      </x:c>
      <x:c r="H25" s="38" t="n">
        <x:v>9918</x:v>
      </x:c>
      <x:c r="I25" s="38" t="n">
        <x:v>5755</x:v>
      </x:c>
      <x:c r="J25" s="38" t="n">
        <x:v>350</x:v>
      </x:c>
      <x:c r="K25" s="38" t="n">
        <x:v>0</x:v>
      </x:c>
      <x:c r="L25" s="38" t="n">
        <x:v>0</x:v>
      </x:c>
      <x:c r="M25" s="38" t="n">
        <x:v>0</x:v>
      </x:c>
      <x:c r="N25" s="38" t="n">
        <x:v>110</x:v>
      </x:c>
      <x:c r="O25" s="38" t="n">
        <x:v>0</x:v>
      </x:c>
      <x:c r="P25" s="38" t="n">
        <x:f>F25+G25-H25+I25+J25+K25+L25-M25-N25-O25</x:f>
        <x:v>66750</x:v>
      </x:c>
      <x:c r="Q25" s="38" t="n">
        <x:v>66750</x:v>
      </x:c>
      <x:c r="R25" s="38" t="n">
        <x:f>P25-Q25</x:f>
        <x:v>0</x:v>
      </x:c>
      <x:c r="S25" s="38" t="n">
        <x:v>38646</x:v>
      </x:c>
      <x:c r="T25" s="38" t="n">
        <x:v>9281</x:v>
      </x:c>
      <x:c r="U25" s="38" t="n">
        <x:v>28</x:v>
      </x:c>
      <x:c r="V25" s="38" t="n">
        <x:v>2</x:v>
      </x:c>
      <x:c r="W25" s="38" t="n">
        <x:v>0</x:v>
      </x:c>
      <x:c r="X25" s="44" t="n">
        <x:v>0</x:v>
      </x:c>
      <x:c r="Y25" s="38" t="n">
        <x:v>38</x:v>
      </x:c>
      <x:c r="Z25" s="38" t="n">
        <x:v>18</x:v>
      </x:c>
      <x:c r="AA25" s="38" t="n">
        <x:v>5</x:v>
      </x:c>
      <x:c r="AB25" s="38" t="n">
        <x:v>3</x:v>
      </x:c>
      <x:c r="AC25" s="38" t="n">
        <x:v>11696</x:v>
      </x:c>
      <x:c r="AD25" s="38" t="n">
        <x:v>0</x:v>
      </x:c>
      <x:c r="AE25" s="38" t="n">
        <x:f>IF(B25=1,0,F25-Q24)</x:f>
        <x:v>0</x:v>
      </x:c>
    </x:row>
    <x:row r="26" ht="27" customHeight="1">
      <x:c r="A26" s="28" t="str">
        <x:v>Casual F2P</x:v>
      </x:c>
      <x:c r="B26" s="38" t="n">
        <x:v>22</x:v>
      </x:c>
      <x:c r="C26" s="38" t="n">
        <x:v>17</x:v>
      </x:c>
      <x:c r="D26" s="38" t="n">
        <x:v>62049</x:v>
      </x:c>
      <x:c r="E26" s="38" t="n">
        <x:v>45</x:v>
      </x:c>
      <x:c r="F26" s="38" t="n">
        <x:v>66750</x:v>
      </x:c>
      <x:c r="G26" s="38" t="n">
        <x:v>8897</x:v>
      </x:c>
      <x:c r="H26" s="38" t="n">
        <x:v>1827</x:v>
      </x:c>
      <x:c r="I26" s="38" t="n">
        <x:v>929</x:v>
      </x:c>
      <x:c r="J26" s="38" t="n">
        <x:v>0</x:v>
      </x:c>
      <x:c r="K26" s="38" t="n">
        <x:v>0</x:v>
      </x:c>
      <x:c r="L26" s="38" t="n">
        <x:v>0</x:v>
      </x:c>
      <x:c r="M26" s="38" t="n">
        <x:v>0</x:v>
      </x:c>
      <x:c r="N26" s="38" t="n">
        <x:v>0</x:v>
      </x:c>
      <x:c r="O26" s="38" t="n">
        <x:v>0</x:v>
      </x:c>
      <x:c r="P26" s="38" t="n">
        <x:f>F26+G26-H26+I26+J26+K26+L26-M26-N26-O26</x:f>
        <x:v>74749</x:v>
      </x:c>
      <x:c r="Q26" s="38" t="n">
        <x:v>74749</x:v>
      </x:c>
      <x:c r="R26" s="38" t="n">
        <x:f>P26-Q26</x:f>
        <x:v>0</x:v>
      </x:c>
      <x:c r="S26" s="38" t="n">
        <x:v>7119</x:v>
      </x:c>
      <x:c r="T26" s="38" t="n">
        <x:v>1636</x:v>
      </x:c>
      <x:c r="U26" s="38" t="n">
        <x:v>32</x:v>
      </x:c>
      <x:c r="V26" s="38" t="n">
        <x:v>4</x:v>
      </x:c>
      <x:c r="W26" s="38" t="n">
        <x:v>0</x:v>
      </x:c>
      <x:c r="X26" s="44" t="n">
        <x:v>0</x:v>
      </x:c>
      <x:c r="Y26" s="38" t="n">
        <x:v>7</x:v>
      </x:c>
      <x:c r="Z26" s="38" t="n">
        <x:v>18</x:v>
      </x:c>
      <x:c r="AA26" s="38" t="n">
        <x:v>5</x:v>
      </x:c>
      <x:c r="AB26" s="38" t="n">
        <x:v>3</x:v>
      </x:c>
      <x:c r="AC26" s="38" t="n">
        <x:v>11745</x:v>
      </x:c>
      <x:c r="AD26" s="38" t="n">
        <x:v>0</x:v>
      </x:c>
      <x:c r="AE26" s="38" t="n">
        <x:f>IF(B26=1,0,F26-Q25)</x:f>
        <x:v>0</x:v>
      </x:c>
    </x:row>
    <x:row r="27" ht="27" customHeight="1">
      <x:c r="A27" s="28" t="str">
        <x:v>Casual F2P</x:v>
      </x:c>
      <x:c r="B27" s="38" t="n">
        <x:v>23</x:v>
      </x:c>
      <x:c r="C27" s="38" t="n">
        <x:v>18</x:v>
      </x:c>
      <x:c r="D27" s="38" t="n">
        <x:v>69527</x:v>
      </x:c>
      <x:c r="E27" s="38" t="n">
        <x:v>50</x:v>
      </x:c>
      <x:c r="F27" s="38" t="n">
        <x:v>74749</x:v>
      </x:c>
      <x:c r="G27" s="38" t="n">
        <x:v>49590</x:v>
      </x:c>
      <x:c r="H27" s="38" t="n">
        <x:v>11261</x:v>
      </x:c>
      <x:c r="I27" s="38" t="n">
        <x:v>929</x:v>
      </x:c>
      <x:c r="J27" s="38" t="n">
        <x:v>395</x:v>
      </x:c>
      <x:c r="K27" s="38" t="n">
        <x:v>0</x:v>
      </x:c>
      <x:c r="L27" s="38" t="n">
        <x:v>0</x:v>
      </x:c>
      <x:c r="M27" s="38" t="n">
        <x:v>105000</x:v>
      </x:c>
      <x:c r="N27" s="38" t="n">
        <x:v>0</x:v>
      </x:c>
      <x:c r="O27" s="38" t="n">
        <x:v>0</x:v>
      </x:c>
      <x:c r="P27" s="38" t="n">
        <x:f>F27+G27-H27+I27+J27+K27+L27-M27-N27-O27</x:f>
        <x:v>9402</x:v>
      </x:c>
      <x:c r="Q27" s="38" t="n">
        <x:v>9402</x:v>
      </x:c>
      <x:c r="R27" s="38" t="n">
        <x:f>P27-Q27</x:f>
        <x:v>0</x:v>
      </x:c>
      <x:c r="S27" s="38" t="n">
        <x:v>39672</x:v>
      </x:c>
      <x:c r="T27" s="38" t="n">
        <x:v>7478</x:v>
      </x:c>
      <x:c r="U27" s="38" t="n">
        <x:v>33</x:v>
      </x:c>
      <x:c r="V27" s="38" t="n">
        <x:v>1</x:v>
      </x:c>
      <x:c r="W27" s="38" t="n">
        <x:v>0</x:v>
      </x:c>
      <x:c r="X27" s="44" t="n">
        <x:v>0</x:v>
      </x:c>
      <x:c r="Y27" s="38" t="n">
        <x:v>38</x:v>
      </x:c>
      <x:c r="Z27" s="38" t="n">
        <x:v>19</x:v>
      </x:c>
      <x:c r="AA27" s="38" t="n">
        <x:v>5</x:v>
      </x:c>
      <x:c r="AB27" s="38" t="n">
        <x:v>3</x:v>
      </x:c>
      <x:c r="AC27" s="38" t="n">
        <x:v>13088</x:v>
      </x:c>
      <x:c r="AD27" s="38" t="n">
        <x:v>0</x:v>
      </x:c>
      <x:c r="AE27" s="38" t="n">
        <x:f>IF(B27=1,0,F27-Q26)</x:f>
        <x:v>0</x:v>
      </x:c>
    </x:row>
    <x:row r="28" ht="27" customHeight="1">
      <x:c r="A28" s="28" t="str">
        <x:v>Casual F2P</x:v>
      </x:c>
      <x:c r="B28" s="38" t="n">
        <x:v>24</x:v>
      </x:c>
      <x:c r="C28" s="38" t="n">
        <x:v>18</x:v>
      </x:c>
      <x:c r="D28" s="38" t="n">
        <x:v>71219</x:v>
      </x:c>
      <x:c r="E28" s="38" t="n">
        <x:v>50</x:v>
      </x:c>
      <x:c r="F28" s="38" t="n">
        <x:v>9402</x:v>
      </x:c>
      <x:c r="G28" s="38" t="n">
        <x:v>9152</x:v>
      </x:c>
      <x:c r="H28" s="38" t="n">
        <x:v>2144</x:v>
      </x:c>
      <x:c r="I28" s="38" t="n">
        <x:v>1059</x:v>
      </x:c>
      <x:c r="J28" s="38" t="n">
        <x:v>0</x:v>
      </x:c>
      <x:c r="K28" s="38" t="n">
        <x:v>0</x:v>
      </x:c>
      <x:c r="L28" s="38" t="n">
        <x:v>0</x:v>
      </x:c>
      <x:c r="M28" s="38" t="n">
        <x:v>0</x:v>
      </x:c>
      <x:c r="N28" s="38" t="n">
        <x:v>0</x:v>
      </x:c>
      <x:c r="O28" s="38" t="n">
        <x:v>0</x:v>
      </x:c>
      <x:c r="P28" s="38" t="n">
        <x:f>F28+G28-H28+I28+J28+K28+L28-M28-N28-O28</x:f>
        <x:v>17469</x:v>
      </x:c>
      <x:c r="Q28" s="38" t="n">
        <x:v>17469</x:v>
      </x:c>
      <x:c r="R28" s="38" t="n">
        <x:f>P28-Q28</x:f>
        <x:v>0</x:v>
      </x:c>
      <x:c r="S28" s="38" t="n">
        <x:v>7320</x:v>
      </x:c>
      <x:c r="T28" s="38" t="n">
        <x:v>1692</x:v>
      </x:c>
      <x:c r="U28" s="38" t="n">
        <x:v>35</x:v>
      </x:c>
      <x:c r="V28" s="38" t="n">
        <x:v>2</x:v>
      </x:c>
      <x:c r="W28" s="38" t="n">
        <x:v>0</x:v>
      </x:c>
      <x:c r="X28" s="44" t="n">
        <x:v>0</x:v>
      </x:c>
      <x:c r="Y28" s="38" t="n">
        <x:v>8</x:v>
      </x:c>
      <x:c r="Z28" s="38" t="n">
        <x:v>20</x:v>
      </x:c>
      <x:c r="AA28" s="38" t="n">
        <x:v>5</x:v>
      </x:c>
      <x:c r="AB28" s="38" t="n">
        <x:v>3</x:v>
      </x:c>
      <x:c r="AC28" s="38" t="n">
        <x:v>13400</x:v>
      </x:c>
      <x:c r="AD28" s="38" t="n">
        <x:v>0</x:v>
      </x:c>
      <x:c r="AE28" s="38" t="n">
        <x:f>IF(B28=1,0,F28-Q27)</x:f>
        <x:v>0</x:v>
      </x:c>
    </x:row>
    <x:row r="29" ht="27" customHeight="1">
      <x:c r="A29" s="28" t="str">
        <x:v>Casual F2P</x:v>
      </x:c>
      <x:c r="B29" s="38" t="n">
        <x:v>25</x:v>
      </x:c>
      <x:c r="C29" s="38" t="n">
        <x:v>18</x:v>
      </x:c>
      <x:c r="D29" s="38" t="n">
        <x:v>79531</x:v>
      </x:c>
      <x:c r="E29" s="38" t="n">
        <x:v>50</x:v>
      </x:c>
      <x:c r="F29" s="38" t="n">
        <x:v>17469</x:v>
      </x:c>
      <x:c r="G29" s="38" t="n">
        <x:v>56280</x:v>
      </x:c>
      <x:c r="H29" s="38" t="n">
        <x:v>11256</x:v>
      </x:c>
      <x:c r="I29" s="38" t="n">
        <x:v>1059</x:v>
      </x:c>
      <x:c r="J29" s="38" t="n">
        <x:v>0</x:v>
      </x:c>
      <x:c r="K29" s="38" t="n">
        <x:v>0</x:v>
      </x:c>
      <x:c r="L29" s="38" t="n">
        <x:v>0</x:v>
      </x:c>
      <x:c r="M29" s="38" t="n">
        <x:v>0</x:v>
      </x:c>
      <x:c r="N29" s="38" t="n">
        <x:v>0</x:v>
      </x:c>
      <x:c r="O29" s="38" t="n">
        <x:v>0</x:v>
      </x:c>
      <x:c r="P29" s="38" t="n">
        <x:f>F29+G29-H29+I29+J29+K29+L29-M29-N29-O29</x:f>
        <x:v>63552</x:v>
      </x:c>
      <x:c r="Q29" s="38" t="n">
        <x:v>63552</x:v>
      </x:c>
      <x:c r="R29" s="38" t="n">
        <x:f>P29-Q29</x:f>
        <x:v>0</x:v>
      </x:c>
      <x:c r="S29" s="38" t="n">
        <x:v>45024</x:v>
      </x:c>
      <x:c r="T29" s="38" t="n">
        <x:v>8312</x:v>
      </x:c>
      <x:c r="U29" s="38" t="n">
        <x:v>35</x:v>
      </x:c>
      <x:c r="V29" s="38" t="n">
        <x:v>0</x:v>
      </x:c>
      <x:c r="W29" s="38" t="n">
        <x:v>0</x:v>
      </x:c>
      <x:c r="X29" s="44" t="n">
        <x:v>0</x:v>
      </x:c>
      <x:c r="Y29" s="38" t="n">
        <x:v>42</x:v>
      </x:c>
      <x:c r="Z29" s="38" t="n">
        <x:v>20</x:v>
      </x:c>
      <x:c r="AA29" s="38" t="n">
        <x:v>5</x:v>
      </x:c>
      <x:c r="AB29" s="38" t="n">
        <x:v>3</x:v>
      </x:c>
      <x:c r="AC29" s="38" t="n">
        <x:v>13400</x:v>
      </x:c>
      <x:c r="AD29" s="38" t="n">
        <x:v>0</x:v>
      </x:c>
      <x:c r="AE29" s="38" t="n">
        <x:f>IF(B29=1,0,F29-Q28)</x:f>
        <x:v>0</x:v>
      </x:c>
    </x:row>
    <x:row r="30" ht="27" customHeight="1">
      <x:c r="A30" s="28" t="str">
        <x:v>Casual F2P</x:v>
      </x:c>
      <x:c r="B30" s="38" t="n">
        <x:v>26</x:v>
      </x:c>
      <x:c r="C30" s="38" t="n">
        <x:v>18</x:v>
      </x:c>
      <x:c r="D30" s="38" t="n">
        <x:v>81417</x:v>
      </x:c>
      <x:c r="E30" s="38" t="n">
        <x:v>50</x:v>
      </x:c>
      <x:c r="F30" s="38" t="n">
        <x:v>63552</x:v>
      </x:c>
      <x:c r="G30" s="38" t="n">
        <x:v>10720</x:v>
      </x:c>
      <x:c r="H30" s="38" t="n">
        <x:v>2144</x:v>
      </x:c>
      <x:c r="I30" s="38" t="n">
        <x:v>1059</x:v>
      </x:c>
      <x:c r="J30" s="38" t="n">
        <x:v>0</x:v>
      </x:c>
      <x:c r="K30" s="38" t="n">
        <x:v>0</x:v>
      </x:c>
      <x:c r="L30" s="38" t="n">
        <x:v>0</x:v>
      </x:c>
      <x:c r="M30" s="38" t="n">
        <x:v>0</x:v>
      </x:c>
      <x:c r="N30" s="38" t="n">
        <x:v>110</x:v>
      </x:c>
      <x:c r="O30" s="38" t="n">
        <x:v>0</x:v>
      </x:c>
      <x:c r="P30" s="38" t="n">
        <x:f>F30+G30-H30+I30+J30+K30+L30-M30-N30-O30</x:f>
        <x:v>73077</x:v>
      </x:c>
      <x:c r="Q30" s="38" t="n">
        <x:v>73077</x:v>
      </x:c>
      <x:c r="R30" s="38" t="n">
        <x:f>P30-Q30</x:f>
        <x:v>0</x:v>
      </x:c>
      <x:c r="S30" s="38" t="n">
        <x:v>8576</x:v>
      </x:c>
      <x:c r="T30" s="38" t="n">
        <x:v>1886</x:v>
      </x:c>
      <x:c r="U30" s="38" t="n">
        <x:v>35</x:v>
      </x:c>
      <x:c r="V30" s="38" t="n">
        <x:v>0</x:v>
      </x:c>
      <x:c r="W30" s="38" t="n">
        <x:v>0</x:v>
      </x:c>
      <x:c r="X30" s="44" t="n">
        <x:v>0</x:v>
      </x:c>
      <x:c r="Y30" s="38" t="n">
        <x:v>8</x:v>
      </x:c>
      <x:c r="Z30" s="38" t="n">
        <x:v>20</x:v>
      </x:c>
      <x:c r="AA30" s="38" t="n">
        <x:v>6</x:v>
      </x:c>
      <x:c r="AB30" s="38" t="n">
        <x:v>3</x:v>
      </x:c>
      <x:c r="AC30" s="38" t="n">
        <x:v>13400</x:v>
      </x:c>
      <x:c r="AD30" s="38" t="n">
        <x:v>0</x:v>
      </x:c>
      <x:c r="AE30" s="38" t="n">
        <x:f>IF(B30=1,0,F30-Q29)</x:f>
        <x:v>0</x:v>
      </x:c>
    </x:row>
    <x:row r="31" ht="27" customHeight="1">
      <x:c r="A31" s="28" t="str">
        <x:v>Casual F2P</x:v>
      </x:c>
      <x:c r="B31" s="38" t="n">
        <x:v>27</x:v>
      </x:c>
      <x:c r="C31" s="38" t="n">
        <x:v>19</x:v>
      </x:c>
      <x:c r="D31" s="38" t="n">
        <x:v>89729</x:v>
      </x:c>
      <x:c r="E31" s="38" t="n">
        <x:v>50</x:v>
      </x:c>
      <x:c r="F31" s="38" t="n">
        <x:v>73077</x:v>
      </x:c>
      <x:c r="G31" s="38" t="n">
        <x:v>56280</x:v>
      </x:c>
      <x:c r="H31" s="38" t="n">
        <x:v>11346</x:v>
      </x:c>
      <x:c r="I31" s="38" t="n">
        <x:v>1059</x:v>
      </x:c>
      <x:c r="J31" s="38" t="n">
        <x:v>405</x:v>
      </x:c>
      <x:c r="K31" s="38" t="n">
        <x:v>0</x:v>
      </x:c>
      <x:c r="L31" s="38" t="n">
        <x:v>0</x:v>
      </x:c>
      <x:c r="M31" s="38" t="n">
        <x:v>0</x:v>
      </x:c>
      <x:c r="N31" s="38" t="n">
        <x:v>0</x:v>
      </x:c>
      <x:c r="O31" s="38" t="n">
        <x:v>0</x:v>
      </x:c>
      <x:c r="P31" s="38" t="n">
        <x:f>F31+G31-H31+I31+J31+K31+L31-M31-N31-O31</x:f>
        <x:v>119475</x:v>
      </x:c>
      <x:c r="Q31" s="38" t="n">
        <x:v>119475</x:v>
      </x:c>
      <x:c r="R31" s="38" t="n">
        <x:f>P31-Q31</x:f>
        <x:v>0</x:v>
      </x:c>
      <x:c r="S31" s="38" t="n">
        <x:v>45024</x:v>
      </x:c>
      <x:c r="T31" s="38" t="n">
        <x:v>8312</x:v>
      </x:c>
      <x:c r="U31" s="38" t="n">
        <x:v>35</x:v>
      </x:c>
      <x:c r="V31" s="38" t="n">
        <x:v>0</x:v>
      </x:c>
      <x:c r="W31" s="38" t="n">
        <x:v>0</x:v>
      </x:c>
      <x:c r="X31" s="44" t="n">
        <x:v>0</x:v>
      </x:c>
      <x:c r="Y31" s="38" t="n">
        <x:v>42</x:v>
      </x:c>
      <x:c r="Z31" s="38" t="n">
        <x:v>20</x:v>
      </x:c>
      <x:c r="AA31" s="38" t="n">
        <x:v>6</x:v>
      </x:c>
      <x:c r="AB31" s="38" t="n">
        <x:v>3</x:v>
      </x:c>
      <x:c r="AC31" s="38" t="n">
        <x:v>13490</x:v>
      </x:c>
      <x:c r="AD31" s="38" t="n">
        <x:v>0</x:v>
      </x:c>
      <x:c r="AE31" s="38" t="n">
        <x:f>IF(B31=1,0,F31-Q30)</x:f>
        <x:v>0</x:v>
      </x:c>
    </x:row>
    <x:row r="32" ht="27" customHeight="1">
      <x:c r="A32" s="28" t="str">
        <x:v>Casual F2P</x:v>
      </x:c>
      <x:c r="B32" s="38" t="n">
        <x:v>28</x:v>
      </x:c>
      <x:c r="C32" s="38" t="n">
        <x:v>19</x:v>
      </x:c>
      <x:c r="D32" s="38" t="n">
        <x:v>94174</x:v>
      </x:c>
      <x:c r="E32" s="38" t="n">
        <x:v>50</x:v>
      </x:c>
      <x:c r="F32" s="38" t="n">
        <x:v>119475</x:v>
      </x:c>
      <x:c r="G32" s="38" t="n">
        <x:v>11073</x:v>
      </x:c>
      <x:c r="H32" s="38" t="n">
        <x:v>2475</x:v>
      </x:c>
      <x:c r="I32" s="38" t="n">
        <x:v>8052</x:v>
      </x:c>
      <x:c r="J32" s="38" t="n">
        <x:v>0</x:v>
      </x:c>
      <x:c r="K32" s="38" t="n">
        <x:v>0</x:v>
      </x:c>
      <x:c r="L32" s="38" t="n">
        <x:v>0</x:v>
      </x:c>
      <x:c r="M32" s="38" t="n">
        <x:v>0</x:v>
      </x:c>
      <x:c r="N32" s="38" t="n">
        <x:v>0</x:v>
      </x:c>
      <x:c r="O32" s="38" t="n">
        <x:v>0</x:v>
      </x:c>
      <x:c r="P32" s="38" t="n">
        <x:f>F32+G32-H32+I32+J32+K32+L32-M32-N32-O32</x:f>
        <x:v>136125</x:v>
      </x:c>
      <x:c r="Q32" s="38" t="n">
        <x:v>136125</x:v>
      </x:c>
      <x:c r="R32" s="38" t="n">
        <x:f>P32-Q32</x:f>
        <x:v>0</x:v>
      </x:c>
      <x:c r="S32" s="38" t="n">
        <x:v>8858</x:v>
      </x:c>
      <x:c r="T32" s="38" t="n">
        <x:v>4445</x:v>
      </x:c>
      <x:c r="U32" s="38" t="n">
        <x:v>37</x:v>
      </x:c>
      <x:c r="V32" s="38" t="n">
        <x:v>2</x:v>
      </x:c>
      <x:c r="W32" s="38" t="n">
        <x:v>0</x:v>
      </x:c>
      <x:c r="X32" s="44" t="n">
        <x:v>0</x:v>
      </x:c>
      <x:c r="Y32" s="38" t="n">
        <x:v>9</x:v>
      </x:c>
      <x:c r="Z32" s="38" t="n">
        <x:v>21</x:v>
      </x:c>
      <x:c r="AA32" s="38" t="n">
        <x:v>6</x:v>
      </x:c>
      <x:c r="AB32" s="38" t="n">
        <x:v>3</x:v>
      </x:c>
      <x:c r="AC32" s="38" t="n">
        <x:v>13750</x:v>
      </x:c>
      <x:c r="AD32" s="38" t="n">
        <x:v>0</x:v>
      </x:c>
      <x:c r="AE32" s="38" t="n">
        <x:f>IF(B32=1,0,F32-Q31)</x:f>
        <x:v>0</x:v>
      </x:c>
    </x:row>
    <x:row r="33" ht="27" customHeight="1">
      <x:c r="A33" s="28" t="str">
        <x:v>Casual F2P</x:v>
      </x:c>
      <x:c r="B33" s="38" t="n">
        <x:v>29</x:v>
      </x:c>
      <x:c r="C33" s="38" t="n">
        <x:v>20</x:v>
      </x:c>
      <x:c r="D33" s="38" t="n">
        <x:v>102383</x:v>
      </x:c>
      <x:c r="E33" s="38" t="n">
        <x:v>50</x:v>
      </x:c>
      <x:c r="F33" s="38" t="n">
        <x:v>136125</x:v>
      </x:c>
      <x:c r="G33" s="38" t="n">
        <x:v>56334</x:v>
      </x:c>
      <x:c r="H33" s="38" t="n">
        <x:v>11419</x:v>
      </x:c>
      <x:c r="I33" s="38" t="n">
        <x:v>1086</x:v>
      </x:c>
      <x:c r="J33" s="38" t="n">
        <x:v>415</x:v>
      </x:c>
      <x:c r="K33" s="38" t="n">
        <x:v>0</x:v>
      </x:c>
      <x:c r="L33" s="38" t="n">
        <x:v>0</x:v>
      </x:c>
      <x:c r="M33" s="38" t="n">
        <x:v>0</x:v>
      </x:c>
      <x:c r="N33" s="38" t="n">
        <x:v>0</x:v>
      </x:c>
      <x:c r="O33" s="38" t="n">
        <x:v>41740</x:v>
      </x:c>
      <x:c r="P33" s="38" t="n">
        <x:f>F33+G33-H33+I33+J33+K33+L33-M33-N33-O33</x:f>
        <x:v>140801</x:v>
      </x:c>
      <x:c r="Q33" s="38" t="n">
        <x:v>140801</x:v>
      </x:c>
      <x:c r="R33" s="38" t="n">
        <x:f>P33-Q33</x:f>
        <x:v>0</x:v>
      </x:c>
      <x:c r="S33" s="38" t="n">
        <x:v>45059</x:v>
      </x:c>
      <x:c r="T33" s="38" t="n">
        <x:v>8209</x:v>
      </x:c>
      <x:c r="U33" s="38" t="n">
        <x:v>40</x:v>
      </x:c>
      <x:c r="V33" s="38" t="n">
        <x:v>3</x:v>
      </x:c>
      <x:c r="W33" s="38" t="n">
        <x:v>0</x:v>
      </x:c>
      <x:c r="X33" s="44" t="n">
        <x:v>0</x:v>
      </x:c>
      <x:c r="Y33" s="38" t="n">
        <x:v>41</x:v>
      </x:c>
      <x:c r="Z33" s="38" t="n">
        <x:v>21</x:v>
      </x:c>
      <x:c r="AA33" s="38" t="n">
        <x:v>6</x:v>
      </x:c>
      <x:c r="AB33" s="38" t="n">
        <x:v>4</x:v>
      </x:c>
      <x:c r="AC33" s="38" t="n">
        <x:v>13894</x:v>
      </x:c>
      <x:c r="AD33" s="38" t="n">
        <x:v>0</x:v>
      </x:c>
      <x:c r="AE33" s="38" t="n">
        <x:f>IF(B33=1,0,F33-Q32)</x:f>
        <x:v>0</x:v>
      </x:c>
    </x:row>
    <x:row r="34" ht="27" customHeight="1">
      <x:c r="A34" s="28" t="str">
        <x:v>Casual F2P</x:v>
      </x:c>
      <x:c r="B34" s="38" t="n">
        <x:v>30</x:v>
      </x:c>
      <x:c r="C34" s="38" t="n">
        <x:v>20</x:v>
      </x:c>
      <x:c r="D34" s="38" t="n">
        <x:v>104578</x:v>
      </x:c>
      <x:c r="E34" s="38" t="n">
        <x:v>50</x:v>
      </x:c>
      <x:c r="F34" s="38" t="n">
        <x:v>140801</x:v>
      </x:c>
      <x:c r="G34" s="38" t="n">
        <x:v>13062</x:v>
      </x:c>
      <x:c r="H34" s="38" t="n">
        <x:v>2820</x:v>
      </x:c>
      <x:c r="I34" s="38" t="n">
        <x:v>1113</x:v>
      </x:c>
      <x:c r="J34" s="38" t="n">
        <x:v>0</x:v>
      </x:c>
      <x:c r="K34" s="38" t="n">
        <x:v>0</x:v>
      </x:c>
      <x:c r="L34" s="38" t="n">
        <x:v>0</x:v>
      </x:c>
      <x:c r="M34" s="38" t="n">
        <x:v>0</x:v>
      </x:c>
      <x:c r="N34" s="38" t="n">
        <x:v>0</x:v>
      </x:c>
      <x:c r="O34" s="38" t="n">
        <x:v>0</x:v>
      </x:c>
      <x:c r="P34" s="38" t="n">
        <x:f>F34+G34-H34+I34+J34+K34+L34-M34-N34-O34</x:f>
        <x:v>152156</x:v>
      </x:c>
      <x:c r="Q34" s="38" t="n">
        <x:v>152156</x:v>
      </x:c>
      <x:c r="R34" s="38" t="n">
        <x:f>P34-Q34</x:f>
        <x:v>0</x:v>
      </x:c>
      <x:c r="S34" s="38" t="n">
        <x:v>10448</x:v>
      </x:c>
      <x:c r="T34" s="38" t="n">
        <x:v>2195</x:v>
      </x:c>
      <x:c r="U34" s="38" t="n">
        <x:v>40</x:v>
      </x:c>
      <x:c r="V34" s="38" t="n">
        <x:v>0</x:v>
      </x:c>
      <x:c r="W34" s="38" t="n">
        <x:v>0</x:v>
      </x:c>
      <x:c r="X34" s="44" t="n">
        <x:v>0</x:v>
      </x:c>
      <x:c r="Y34" s="38" t="n">
        <x:v>10</x:v>
      </x:c>
      <x:c r="Z34" s="38" t="n">
        <x:v>22</x:v>
      </x:c>
      <x:c r="AA34" s="38" t="n">
        <x:v>6</x:v>
      </x:c>
      <x:c r="AB34" s="38" t="n">
        <x:v>4</x:v>
      </x:c>
      <x:c r="AC34" s="38" t="n">
        <x:v>14100</x:v>
      </x:c>
      <x:c r="AD34" s="38" t="n">
        <x:v>0</x:v>
      </x:c>
      <x:c r="AE34" s="38" t="n">
        <x:f>IF(B34=1,0,F34-Q33)</x:f>
        <x:v>0</x:v>
      </x:c>
    </x:row>
    <x:row r="35" ht="27" customHeight="1">
      <x:c r="A35" s="28" t="str">
        <x:v>Casual F2P</x:v>
      </x:c>
      <x:c r="B35" s="38" t="n">
        <x:v>31</x:v>
      </x:c>
      <x:c r="C35" s="38" t="n">
        <x:v>21</x:v>
      </x:c>
      <x:c r="D35" s="38" t="n">
        <x:v>112679</x:v>
      </x:c>
      <x:c r="E35" s="38" t="n">
        <x:v>50</x:v>
      </x:c>
      <x:c r="F35" s="38" t="n">
        <x:v>152156</x:v>
      </x:c>
      <x:c r="G35" s="38" t="n">
        <x:v>56320</x:v>
      </x:c>
      <x:c r="H35" s="38" t="n">
        <x:v>11560</x:v>
      </x:c>
      <x:c r="I35" s="38" t="n">
        <x:v>1113</x:v>
      </x:c>
      <x:c r="J35" s="38" t="n">
        <x:v>470</x:v>
      </x:c>
      <x:c r="K35" s="38" t="n">
        <x:v>0</x:v>
      </x:c>
      <x:c r="L35" s="38" t="n">
        <x:v>0</x:v>
      </x:c>
      <x:c r="M35" s="38" t="n">
        <x:v>0</x:v>
      </x:c>
      <x:c r="N35" s="38" t="n">
        <x:v>305</x:v>
      </x:c>
      <x:c r="O35" s="38" t="n">
        <x:v>0</x:v>
      </x:c>
      <x:c r="P35" s="38" t="n">
        <x:f>F35+G35-H35+I35+J35+K35+L35-M35-N35-O35</x:f>
        <x:v>198194</x:v>
      </x:c>
      <x:c r="Q35" s="38" t="n">
        <x:v>198194</x:v>
      </x:c>
      <x:c r="R35" s="38" t="n">
        <x:f>P35-Q35</x:f>
        <x:v>0</x:v>
      </x:c>
      <x:c r="S35" s="38" t="n">
        <x:v>45040</x:v>
      </x:c>
      <x:c r="T35" s="38" t="n">
        <x:v>8101</x:v>
      </x:c>
      <x:c r="U35" s="38" t="n">
        <x:v>40</x:v>
      </x:c>
      <x:c r="V35" s="38" t="n">
        <x:v>0</x:v>
      </x:c>
      <x:c r="W35" s="38" t="n">
        <x:v>0</x:v>
      </x:c>
      <x:c r="X35" s="44" t="n">
        <x:v>0</x:v>
      </x:c>
      <x:c r="Y35" s="38" t="n">
        <x:v>40</x:v>
      </x:c>
      <x:c r="Z35" s="38" t="n">
        <x:v>22</x:v>
      </x:c>
      <x:c r="AA35" s="38" t="n">
        <x:v>7</x:v>
      </x:c>
      <x:c r="AB35" s="38" t="n">
        <x:v>4</x:v>
      </x:c>
      <x:c r="AC35" s="38" t="n">
        <x:v>14380</x:v>
      </x:c>
      <x:c r="AD35" s="38" t="n">
        <x:v>0</x:v>
      </x:c>
      <x:c r="AE35" s="38" t="n">
        <x:f>IF(B35=1,0,F35-Q34)</x:f>
        <x:v>0</x:v>
      </x:c>
    </x:row>
    <x:row r="36" ht="27" customHeight="1">
      <x:c r="A36" s="28" t="str">
        <x:v>Casual F2P</x:v>
      </x:c>
      <x:c r="B36" s="38" t="n">
        <x:v>32</x:v>
      </x:c>
      <x:c r="C36" s="38" t="n">
        <x:v>21</x:v>
      </x:c>
      <x:c r="D36" s="38" t="n">
        <x:v>115031</x:v>
      </x:c>
      <x:c r="E36" s="38" t="n">
        <x:v>50</x:v>
      </x:c>
      <x:c r="F36" s="38" t="n">
        <x:v>198194</x:v>
      </x:c>
      <x:c r="G36" s="38" t="n">
        <x:v>14080</x:v>
      </x:c>
      <x:c r="H36" s="38" t="n">
        <x:v>2890</x:v>
      </x:c>
      <x:c r="I36" s="38" t="n">
        <x:v>1254</x:v>
      </x:c>
      <x:c r="J36" s="38" t="n">
        <x:v>0</x:v>
      </x:c>
      <x:c r="K36" s="38" t="n">
        <x:v>0</x:v>
      </x:c>
      <x:c r="L36" s="38" t="n">
        <x:v>0</x:v>
      </x:c>
      <x:c r="M36" s="38" t="n">
        <x:v>0</x:v>
      </x:c>
      <x:c r="N36" s="38" t="n">
        <x:v>0</x:v>
      </x:c>
      <x:c r="O36" s="38" t="n">
        <x:v>0</x:v>
      </x:c>
      <x:c r="P36" s="38" t="n">
        <x:f>F36+G36-H36+I36+J36+K36+L36-M36-N36-O36</x:f>
        <x:v>210638</x:v>
      </x:c>
      <x:c r="Q36" s="38" t="n">
        <x:v>210638</x:v>
      </x:c>
      <x:c r="R36" s="38" t="n">
        <x:f>P36-Q36</x:f>
        <x:v>0</x:v>
      </x:c>
      <x:c r="S36" s="38" t="n">
        <x:v>11260</x:v>
      </x:c>
      <x:c r="T36" s="38" t="n">
        <x:v>2352</x:v>
      </x:c>
      <x:c r="U36" s="38" t="n">
        <x:v>40</x:v>
      </x:c>
      <x:c r="V36" s="38" t="n">
        <x:v>0</x:v>
      </x:c>
      <x:c r="W36" s="38" t="n">
        <x:v>0</x:v>
      </x:c>
      <x:c r="X36" s="44" t="n">
        <x:v>0</x:v>
      </x:c>
      <x:c r="Y36" s="38" t="n">
        <x:v>10</x:v>
      </x:c>
      <x:c r="Z36" s="38" t="n">
        <x:v>22</x:v>
      </x:c>
      <x:c r="AA36" s="38" t="n">
        <x:v>7</x:v>
      </x:c>
      <x:c r="AB36" s="38" t="n">
        <x:v>4</x:v>
      </x:c>
      <x:c r="AC36" s="38" t="n">
        <x:v>14450</x:v>
      </x:c>
      <x:c r="AD36" s="38" t="n">
        <x:v>0</x:v>
      </x:c>
      <x:c r="AE36" s="38" t="n">
        <x:f>IF(B36=1,0,F36-Q35)</x:f>
        <x:v>0</x:v>
      </x:c>
    </x:row>
    <x:row r="37" ht="27" customHeight="1">
      <x:c r="A37" s="28" t="str">
        <x:v>Casual F2P</x:v>
      </x:c>
      <x:c r="B37" s="38" t="n">
        <x:v>33</x:v>
      </x:c>
      <x:c r="C37" s="38" t="n">
        <x:v>21</x:v>
      </x:c>
      <x:c r="D37" s="38" t="n">
        <x:v>123213</x:v>
      </x:c>
      <x:c r="E37" s="38" t="n">
        <x:v>55</x:v>
      </x:c>
      <x:c r="F37" s="38" t="n">
        <x:v>210638</x:v>
      </x:c>
      <x:c r="G37" s="38" t="n">
        <x:v>57720</x:v>
      </x:c>
      <x:c r="H37" s="38" t="n">
        <x:v>13005</x:v>
      </x:c>
      <x:c r="I37" s="38" t="n">
        <x:v>1254</x:v>
      </x:c>
      <x:c r="J37" s="38" t="n">
        <x:v>0</x:v>
      </x:c>
      <x:c r="K37" s="38" t="n">
        <x:v>0</x:v>
      </x:c>
      <x:c r="L37" s="38" t="n">
        <x:v>0</x:v>
      </x:c>
      <x:c r="M37" s="38" t="n">
        <x:v>200000</x:v>
      </x:c>
      <x:c r="N37" s="38" t="n">
        <x:v>0</x:v>
      </x:c>
      <x:c r="O37" s="38" t="n">
        <x:v>0</x:v>
      </x:c>
      <x:c r="P37" s="38" t="n">
        <x:f>F37+G37-H37+I37+J37+K37+L37-M37-N37-O37</x:f>
        <x:v>56607</x:v>
      </x:c>
      <x:c r="Q37" s="38" t="n">
        <x:v>56607</x:v>
      </x:c>
      <x:c r="R37" s="38" t="n">
        <x:f>P37-Q37</x:f>
        <x:v>0</x:v>
      </x:c>
      <x:c r="S37" s="38" t="n">
        <x:v>46160</x:v>
      </x:c>
      <x:c r="T37" s="38" t="n">
        <x:v>8182</x:v>
      </x:c>
      <x:c r="U37" s="38" t="n">
        <x:v>40</x:v>
      </x:c>
      <x:c r="V37" s="38" t="n">
        <x:v>0</x:v>
      </x:c>
      <x:c r="W37" s="38" t="n">
        <x:v>0</x:v>
      </x:c>
      <x:c r="X37" s="44" t="n">
        <x:v>0</x:v>
      </x:c>
      <x:c r="Y37" s="38" t="n">
        <x:v>40</x:v>
      </x:c>
      <x:c r="Z37" s="38" t="n">
        <x:v>22</x:v>
      </x:c>
      <x:c r="AA37" s="38" t="n">
        <x:v>7</x:v>
      </x:c>
      <x:c r="AB37" s="38" t="n">
        <x:v>4</x:v>
      </x:c>
      <x:c r="AC37" s="38" t="n">
        <x:v>15895</x:v>
      </x:c>
      <x:c r="AD37" s="38" t="n">
        <x:v>0</x:v>
      </x:c>
      <x:c r="AE37" s="38" t="n">
        <x:f>IF(B37=1,0,F37-Q36)</x:f>
        <x:v>0</x:v>
      </x:c>
    </x:row>
    <x:row r="38" ht="27" customHeight="1">
      <x:c r="A38" s="28" t="str">
        <x:v>Casual F2P</x:v>
      </x:c>
      <x:c r="B38" s="38" t="n">
        <x:v>34</x:v>
      </x:c>
      <x:c r="C38" s="38" t="n">
        <x:v>22</x:v>
      </x:c>
      <x:c r="D38" s="38" t="n">
        <x:v>125575</x:v>
      </x:c>
      <x:c r="E38" s="38" t="n">
        <x:v>55</x:v>
      </x:c>
      <x:c r="F38" s="38" t="n">
        <x:v>56607</x:v>
      </x:c>
      <x:c r="G38" s="38" t="n">
        <x:v>14430</x:v>
      </x:c>
      <x:c r="H38" s="38" t="n">
        <x:v>2816</x:v>
      </x:c>
      <x:c r="I38" s="38" t="n">
        <x:v>1254</x:v>
      </x:c>
      <x:c r="J38" s="38" t="n">
        <x:v>480</x:v>
      </x:c>
      <x:c r="K38" s="38" t="n">
        <x:v>0</x:v>
      </x:c>
      <x:c r="L38" s="38" t="n">
        <x:v>0</x:v>
      </x:c>
      <x:c r="M38" s="38" t="n">
        <x:v>0</x:v>
      </x:c>
      <x:c r="N38" s="38" t="n">
        <x:v>0</x:v>
      </x:c>
      <x:c r="O38" s="38" t="n">
        <x:v>0</x:v>
      </x:c>
      <x:c r="P38" s="38" t="n">
        <x:f>F38+G38-H38+I38+J38+K38+L38-M38-N38-O38</x:f>
        <x:v>69955</x:v>
      </x:c>
      <x:c r="Q38" s="38" t="n">
        <x:v>69955</x:v>
      </x:c>
      <x:c r="R38" s="38" t="n">
        <x:f>P38-Q38</x:f>
        <x:v>0</x:v>
      </x:c>
      <x:c r="S38" s="38" t="n">
        <x:v>11540</x:v>
      </x:c>
      <x:c r="T38" s="38" t="n">
        <x:v>2362</x:v>
      </x:c>
      <x:c r="U38" s="38" t="n">
        <x:v>41</x:v>
      </x:c>
      <x:c r="V38" s="38" t="n">
        <x:v>1</x:v>
      </x:c>
      <x:c r="W38" s="38" t="n">
        <x:v>0</x:v>
      </x:c>
      <x:c r="X38" s="44" t="n">
        <x:v>0</x:v>
      </x:c>
      <x:c r="Y38" s="38" t="n">
        <x:v>10</x:v>
      </x:c>
      <x:c r="Z38" s="38" t="n">
        <x:v>22</x:v>
      </x:c>
      <x:c r="AA38" s="38" t="n">
        <x:v>7</x:v>
      </x:c>
      <x:c r="AB38" s="38" t="n">
        <x:v>4</x:v>
      </x:c>
      <x:c r="AC38" s="38" t="n">
        <x:v>15821</x:v>
      </x:c>
      <x:c r="AD38" s="38" t="n">
        <x:v>0</x:v>
      </x:c>
      <x:c r="AE38" s="38" t="n">
        <x:f>IF(B38=1,0,F38-Q37)</x:f>
        <x:v>0</x:v>
      </x:c>
    </x:row>
    <x:row r="39" ht="27" customHeight="1">
      <x:c r="A39" s="28" t="str">
        <x:v>Casual F2P</x:v>
      </x:c>
      <x:c r="B39" s="38" t="n">
        <x:v>35</x:v>
      </x:c>
      <x:c r="C39" s="38" t="n">
        <x:v>22</x:v>
      </x:c>
      <x:c r="D39" s="38" t="n">
        <x:v>137650</x:v>
      </x:c>
      <x:c r="E39" s="38" t="n">
        <x:v>55</x:v>
      </x:c>
      <x:c r="F39" s="38" t="n">
        <x:v>69955</x:v>
      </x:c>
      <x:c r="G39" s="38" t="n">
        <x:v>65738</x:v>
      </x:c>
      <x:c r="H39" s="38" t="n">
        <x:v>13570</x:v>
      </x:c>
      <x:c r="I39" s="38" t="n">
        <x:v>9429</x:v>
      </x:c>
      <x:c r="J39" s="38" t="n">
        <x:v>0</x:v>
      </x:c>
      <x:c r="K39" s="38" t="n">
        <x:v>0</x:v>
      </x:c>
      <x:c r="L39" s="38" t="n">
        <x:v>0</x:v>
      </x:c>
      <x:c r="M39" s="38" t="n">
        <x:v>0</x:v>
      </x:c>
      <x:c r="N39" s="38" t="n">
        <x:v>0</x:v>
      </x:c>
      <x:c r="O39" s="38" t="n">
        <x:v>0</x:v>
      </x:c>
      <x:c r="P39" s="38" t="n">
        <x:f>F39+G39-H39+I39+J39+K39+L39-M39-N39-O39</x:f>
        <x:v>131552</x:v>
      </x:c>
      <x:c r="Q39" s="38" t="n">
        <x:v>131552</x:v>
      </x:c>
      <x:c r="R39" s="38" t="n">
        <x:f>P39-Q39</x:f>
        <x:v>0</x:v>
      </x:c>
      <x:c r="S39" s="38" t="n">
        <x:v>52572</x:v>
      </x:c>
      <x:c r="T39" s="38" t="n">
        <x:v>12075</x:v>
      </x:c>
      <x:c r="U39" s="38" t="n">
        <x:v>43</x:v>
      </x:c>
      <x:c r="V39" s="38" t="n">
        <x:v>2</x:v>
      </x:c>
      <x:c r="W39" s="38" t="n">
        <x:v>0</x:v>
      </x:c>
      <x:c r="X39" s="44" t="n">
        <x:v>0</x:v>
      </x:c>
      <x:c r="Y39" s="38" t="n">
        <x:v>46</x:v>
      </x:c>
      <x:c r="Z39" s="38" t="n">
        <x:v>23</x:v>
      </x:c>
      <x:c r="AA39" s="38" t="n">
        <x:v>7</x:v>
      </x:c>
      <x:c r="AB39" s="38" t="n">
        <x:v>4</x:v>
      </x:c>
      <x:c r="AC39" s="38" t="n">
        <x:v>16225</x:v>
      </x:c>
      <x:c r="AD39" s="38" t="n">
        <x:v>0</x:v>
      </x:c>
      <x:c r="AE39" s="38" t="n">
        <x:f>IF(B39=1,0,F39-Q38)</x:f>
        <x:v>0</x:v>
      </x:c>
    </x:row>
    <x:row r="40" ht="27" customHeight="1">
      <x:c r="A40" s="28" t="str">
        <x:v>Casual F2P</x:v>
      </x:c>
      <x:c r="B40" s="38" t="n">
        <x:v>36</x:v>
      </x:c>
      <x:c r="C40" s="38" t="n">
        <x:v>23</x:v>
      </x:c>
      <x:c r="D40" s="38" t="n">
        <x:v>139840</x:v>
      </x:c>
      <x:c r="E40" s="38" t="n">
        <x:v>55</x:v>
      </x:c>
      <x:c r="F40" s="38" t="n">
        <x:v>131552</x:v>
      </x:c>
      <x:c r="G40" s="38" t="n">
        <x:v>13284</x:v>
      </x:c>
      <x:c r="H40" s="38" t="n">
        <x:v>2565</x:v>
      </x:c>
      <x:c r="I40" s="38" t="n">
        <x:v>1284</x:v>
      </x:c>
      <x:c r="J40" s="38" t="n">
        <x:v>495</x:v>
      </x:c>
      <x:c r="K40" s="38" t="n">
        <x:v>0</x:v>
      </x:c>
      <x:c r="L40" s="38" t="n">
        <x:v>0</x:v>
      </x:c>
      <x:c r="M40" s="38" t="n">
        <x:v>0</x:v>
      </x:c>
      <x:c r="N40" s="38" t="n">
        <x:v>305</x:v>
      </x:c>
      <x:c r="O40" s="38" t="n">
        <x:v>0</x:v>
      </x:c>
      <x:c r="P40" s="38" t="n">
        <x:f>F40+G40-H40+I40+J40+K40+L40-M40-N40-O40</x:f>
        <x:v>143745</x:v>
      </x:c>
      <x:c r="Q40" s="38" t="n">
        <x:v>143745</x:v>
      </x:c>
      <x:c r="R40" s="38" t="n">
        <x:f>P40-Q40</x:f>
        <x:v>0</x:v>
      </x:c>
      <x:c r="S40" s="38" t="n">
        <x:v>10629</x:v>
      </x:c>
      <x:c r="T40" s="38" t="n">
        <x:v>2190</x:v>
      </x:c>
      <x:c r="U40" s="38" t="n">
        <x:v>43</x:v>
      </x:c>
      <x:c r="V40" s="38" t="n">
        <x:v>0</x:v>
      </x:c>
      <x:c r="W40" s="38" t="n">
        <x:v>0</x:v>
      </x:c>
      <x:c r="X40" s="44" t="n">
        <x:v>0</x:v>
      </x:c>
      <x:c r="Y40" s="38" t="n">
        <x:v>9</x:v>
      </x:c>
      <x:c r="Z40" s="38" t="n">
        <x:v>23</x:v>
      </x:c>
      <x:c r="AA40" s="38" t="n">
        <x:v>8</x:v>
      </x:c>
      <x:c r="AB40" s="38" t="n">
        <x:v>4</x:v>
      </x:c>
      <x:c r="AC40" s="38" t="n">
        <x:v>16135</x:v>
      </x:c>
      <x:c r="AD40" s="38" t="n">
        <x:v>0</x:v>
      </x:c>
      <x:c r="AE40" s="38" t="n">
        <x:f>IF(B40=1,0,F40-Q39)</x:f>
        <x:v>0</x:v>
      </x:c>
    </x:row>
    <x:row r="41" ht="27" customHeight="1">
      <x:c r="A41" s="28" t="str">
        <x:v>Casual F2P</x:v>
      </x:c>
      <x:c r="B41" s="38" t="n">
        <x:v>37</x:v>
      </x:c>
      <x:c r="C41" s="38" t="n">
        <x:v>23</x:v>
      </x:c>
      <x:c r="D41" s="38" t="n">
        <x:v>149383</x:v>
      </x:c>
      <x:c r="E41" s="38" t="n">
        <x:v>55</x:v>
      </x:c>
      <x:c r="F41" s="38" t="n">
        <x:v>143745</x:v>
      </x:c>
      <x:c r="G41" s="38" t="n">
        <x:v>68642</x:v>
      </x:c>
      <x:c r="H41" s="38" t="n">
        <x:v>14194</x:v>
      </x:c>
      <x:c r="I41" s="38" t="n">
        <x:v>1313</x:v>
      </x:c>
      <x:c r="J41" s="38" t="n">
        <x:v>0</x:v>
      </x:c>
      <x:c r="K41" s="38" t="n">
        <x:v>0</x:v>
      </x:c>
      <x:c r="L41" s="38" t="n">
        <x:v>0</x:v>
      </x:c>
      <x:c r="M41" s="38" t="n">
        <x:v>0</x:v>
      </x:c>
      <x:c r="N41" s="38" t="n">
        <x:v>0</x:v>
      </x:c>
      <x:c r="O41" s="38" t="n">
        <x:v>0</x:v>
      </x:c>
      <x:c r="P41" s="38" t="n">
        <x:f>F41+G41-H41+I41+J41+K41+L41-M41-N41-O41</x:f>
        <x:v>199506</x:v>
      </x:c>
      <x:c r="Q41" s="38" t="n">
        <x:v>199506</x:v>
      </x:c>
      <x:c r="R41" s="38" t="n">
        <x:f>P41-Q41</x:f>
        <x:v>0</x:v>
      </x:c>
      <x:c r="S41" s="38" t="n">
        <x:v>54923</x:v>
      </x:c>
      <x:c r="T41" s="38" t="n">
        <x:v>9543</x:v>
      </x:c>
      <x:c r="U41" s="38" t="n">
        <x:v>43</x:v>
      </x:c>
      <x:c r="V41" s="38" t="n">
        <x:v>0</x:v>
      </x:c>
      <x:c r="W41" s="38" t="n">
        <x:v>0</x:v>
      </x:c>
      <x:c r="X41" s="44" t="n">
        <x:v>0</x:v>
      </x:c>
      <x:c r="Y41" s="38" t="n">
        <x:v>47</x:v>
      </x:c>
      <x:c r="Z41" s="38" t="n">
        <x:v>24</x:v>
      </x:c>
      <x:c r="AA41" s="38" t="n">
        <x:v>8</x:v>
      </x:c>
      <x:c r="AB41" s="38" t="n">
        <x:v>4</x:v>
      </x:c>
      <x:c r="AC41" s="38" t="n">
        <x:v>16610</x:v>
      </x:c>
      <x:c r="AD41" s="38" t="n">
        <x:v>0</x:v>
      </x:c>
      <x:c r="AE41" s="38" t="n">
        <x:f>IF(B41=1,0,F41-Q40)</x:f>
        <x:v>0</x:v>
      </x:c>
    </x:row>
    <x:row r="42" ht="27" customHeight="1">
      <x:c r="A42" s="28" t="str">
        <x:v>Casual F2P</x:v>
      </x:c>
      <x:c r="B42" s="38" t="n">
        <x:v>38</x:v>
      </x:c>
      <x:c r="C42" s="38" t="n">
        <x:v>23</x:v>
      </x:c>
      <x:c r="D42" s="38" t="n">
        <x:v>151396</x:v>
      </x:c>
      <x:c r="E42" s="38" t="n">
        <x:v>55</x:v>
      </x:c>
      <x:c r="F42" s="38" t="n">
        <x:v>199506</x:v>
      </x:c>
      <x:c r="G42" s="38" t="n">
        <x:v>12080</x:v>
      </x:c>
      <x:c r="H42" s="38" t="n">
        <x:v>2416</x:v>
      </x:c>
      <x:c r="I42" s="38" t="n">
        <x:v>1313</x:v>
      </x:c>
      <x:c r="J42" s="38" t="n">
        <x:v>0</x:v>
      </x:c>
      <x:c r="K42" s="38" t="n">
        <x:v>0</x:v>
      </x:c>
      <x:c r="L42" s="38" t="n">
        <x:v>0</x:v>
      </x:c>
      <x:c r="M42" s="38" t="n">
        <x:v>0</x:v>
      </x:c>
      <x:c r="N42" s="38" t="n">
        <x:v>0</x:v>
      </x:c>
      <x:c r="O42" s="38" t="n">
        <x:v>0</x:v>
      </x:c>
      <x:c r="P42" s="38" t="n">
        <x:f>F42+G42-H42+I42+J42+K42+L42-M42-N42-O42</x:f>
        <x:v>210483</x:v>
      </x:c>
      <x:c r="Q42" s="38" t="n">
        <x:v>210483</x:v>
      </x:c>
      <x:c r="R42" s="38" t="n">
        <x:f>P42-Q42</x:f>
        <x:v>0</x:v>
      </x:c>
      <x:c r="S42" s="38" t="n">
        <x:v>9664</x:v>
      </x:c>
      <x:c r="T42" s="38" t="n">
        <x:v>2013</x:v>
      </x:c>
      <x:c r="U42" s="38" t="n">
        <x:v>43</x:v>
      </x:c>
      <x:c r="V42" s="38" t="n">
        <x:v>0</x:v>
      </x:c>
      <x:c r="W42" s="38" t="n">
        <x:v>0</x:v>
      </x:c>
      <x:c r="X42" s="44" t="n">
        <x:v>0</x:v>
      </x:c>
      <x:c r="Y42" s="38" t="n">
        <x:v>8</x:v>
      </x:c>
      <x:c r="Z42" s="38" t="n">
        <x:v>24</x:v>
      </x:c>
      <x:c r="AA42" s="38" t="n">
        <x:v>8</x:v>
      </x:c>
      <x:c r="AB42" s="38" t="n">
        <x:v>4</x:v>
      </x:c>
      <x:c r="AC42" s="38" t="n">
        <x:v>16610</x:v>
      </x:c>
      <x:c r="AD42" s="38" t="n">
        <x:v>0</x:v>
      </x:c>
      <x:c r="AE42" s="38" t="n">
        <x:f>IF(B42=1,0,F42-Q41)</x:f>
        <x:v>0</x:v>
      </x:c>
    </x:row>
    <x:row r="43" ht="27" customHeight="1">
      <x:c r="A43" s="28" t="str">
        <x:v>Casual F2P</x:v>
      </x:c>
      <x:c r="B43" s="38" t="n">
        <x:v>39</x:v>
      </x:c>
      <x:c r="C43" s="38" t="n">
        <x:v>24</x:v>
      </x:c>
      <x:c r="D43" s="38" t="n">
        <x:v>161131</x:v>
      </x:c>
      <x:c r="E43" s="38" t="n">
        <x:v>55</x:v>
      </x:c>
      <x:c r="F43" s="38" t="n">
        <x:v>210483</x:v>
      </x:c>
      <x:c r="G43" s="38" t="n">
        <x:v>70970</x:v>
      </x:c>
      <x:c r="H43" s="38" t="n">
        <x:v>14523</x:v>
      </x:c>
      <x:c r="I43" s="38" t="n">
        <x:v>1313</x:v>
      </x:c>
      <x:c r="J43" s="38" t="n">
        <x:v>505</x:v>
      </x:c>
      <x:c r="K43" s="38" t="n">
        <x:v>0</x:v>
      </x:c>
      <x:c r="L43" s="38" t="n">
        <x:v>0</x:v>
      </x:c>
      <x:c r="M43" s="38" t="n">
        <x:v>0</x:v>
      </x:c>
      <x:c r="N43" s="38" t="n">
        <x:v>0</x:v>
      </x:c>
      <x:c r="O43" s="38" t="n">
        <x:v>0</x:v>
      </x:c>
      <x:c r="P43" s="38" t="n">
        <x:f>F43+G43-H43+I43+J43+K43+L43-M43-N43-O43</x:f>
        <x:v>268748</x:v>
      </x:c>
      <x:c r="Q43" s="38" t="n">
        <x:v>268748</x:v>
      </x:c>
      <x:c r="R43" s="38" t="n">
        <x:f>P43-Q43</x:f>
        <x:v>0</x:v>
      </x:c>
      <x:c r="S43" s="38" t="n">
        <x:v>56776</x:v>
      </x:c>
      <x:c r="T43" s="38" t="n">
        <x:v>9735</x:v>
      </x:c>
      <x:c r="U43" s="38" t="n">
        <x:v>44</x:v>
      </x:c>
      <x:c r="V43" s="38" t="n">
        <x:v>1</x:v>
      </x:c>
      <x:c r="W43" s="38" t="n">
        <x:v>0</x:v>
      </x:c>
      <x:c r="X43" s="44" t="n">
        <x:v>0</x:v>
      </x:c>
      <x:c r="Y43" s="38" t="n">
        <x:v>47</x:v>
      </x:c>
      <x:c r="Z43" s="38" t="n">
        <x:v>24</x:v>
      </x:c>
      <x:c r="AA43" s="38" t="n">
        <x:v>8</x:v>
      </x:c>
      <x:c r="AB43" s="38" t="n">
        <x:v>4</x:v>
      </x:c>
      <x:c r="AC43" s="38" t="n">
        <x:v>16939</x:v>
      </x:c>
      <x:c r="AD43" s="38" t="n">
        <x:v>0</x:v>
      </x:c>
      <x:c r="AE43" s="38" t="n">
        <x:f>IF(B43=1,0,F43-Q42)</x:f>
        <x:v>0</x:v>
      </x:c>
    </x:row>
    <x:row r="44" ht="27" customHeight="1">
      <x:c r="A44" s="28" t="str">
        <x:v>Casual F2P</x:v>
      </x:c>
      <x:c r="B44" s="38" t="n">
        <x:v>40</x:v>
      </x:c>
      <x:c r="C44" s="38" t="n">
        <x:v>24</x:v>
      </x:c>
      <x:c r="D44" s="38" t="n">
        <x:v>163148</x:v>
      </x:c>
      <x:c r="E44" s="38" t="n">
        <x:v>55</x:v>
      </x:c>
      <x:c r="F44" s="38" t="n">
        <x:v>268748</x:v>
      </x:c>
      <x:c r="G44" s="38" t="n">
        <x:v>12080</x:v>
      </x:c>
      <x:c r="H44" s="38" t="n">
        <x:v>2472</x:v>
      </x:c>
      <x:c r="I44" s="38" t="n">
        <x:v>1343</x:v>
      </x:c>
      <x:c r="J44" s="38" t="n">
        <x:v>0</x:v>
      </x:c>
      <x:c r="K44" s="38" t="n">
        <x:v>0</x:v>
      </x:c>
      <x:c r="L44" s="38" t="n">
        <x:v>0</x:v>
      </x:c>
      <x:c r="M44" s="38" t="n">
        <x:v>0</x:v>
      </x:c>
      <x:c r="N44" s="38" t="n">
        <x:v>0</x:v>
      </x:c>
      <x:c r="O44" s="38" t="n">
        <x:v>0</x:v>
      </x:c>
      <x:c r="P44" s="38" t="n">
        <x:f>F44+G44-H44+I44+J44+K44+L44-M44-N44-O44</x:f>
        <x:v>279699</x:v>
      </x:c>
      <x:c r="Q44" s="38" t="n">
        <x:v>279699</x:v>
      </x:c>
      <x:c r="R44" s="38" t="n">
        <x:f>P44-Q44</x:f>
        <x:v>0</x:v>
      </x:c>
      <x:c r="S44" s="38" t="n">
        <x:v>9664</x:v>
      </x:c>
      <x:c r="T44" s="38" t="n">
        <x:v>2017</x:v>
      </x:c>
      <x:c r="U44" s="38" t="n">
        <x:v>44</x:v>
      </x:c>
      <x:c r="V44" s="38" t="n">
        <x:v>0</x:v>
      </x:c>
      <x:c r="W44" s="38" t="n">
        <x:v>0</x:v>
      </x:c>
      <x:c r="X44" s="44" t="n">
        <x:v>0</x:v>
      </x:c>
      <x:c r="Y44" s="38" t="n">
        <x:v>8</x:v>
      </x:c>
      <x:c r="Z44" s="38" t="n">
        <x:v>24</x:v>
      </x:c>
      <x:c r="AA44" s="38" t="n">
        <x:v>8</x:v>
      </x:c>
      <x:c r="AB44" s="38" t="n">
        <x:v>4</x:v>
      </x:c>
      <x:c r="AC44" s="38" t="n">
        <x:v>16995</x:v>
      </x:c>
      <x:c r="AD44" s="38" t="n">
        <x:v>0</x:v>
      </x:c>
      <x:c r="AE44" s="38" t="n">
        <x:f>IF(B44=1,0,F44-Q43)</x:f>
        <x:v>0</x:v>
      </x:c>
    </x:row>
    <x:row r="45" ht="27" customHeight="1">
      <x:c r="A45" s="28" t="str">
        <x:v>Casual F2P</x:v>
      </x:c>
      <x:c r="B45" s="38" t="n">
        <x:v>41</x:v>
      </x:c>
      <x:c r="C45" s="38" t="n">
        <x:v>24</x:v>
      </x:c>
      <x:c r="D45" s="38" t="n">
        <x:v>172934</x:v>
      </x:c>
      <x:c r="E45" s="38" t="n">
        <x:v>55</x:v>
      </x:c>
      <x:c r="F45" s="38" t="n">
        <x:v>279699</x:v>
      </x:c>
      <x:c r="G45" s="38" t="n">
        <x:v>72615</x:v>
      </x:c>
      <x:c r="H45" s="38" t="n">
        <x:v>14523</x:v>
      </x:c>
      <x:c r="I45" s="38" t="n">
        <x:v>1343</x:v>
      </x:c>
      <x:c r="J45" s="38" t="n">
        <x:v>0</x:v>
      </x:c>
      <x:c r="K45" s="38" t="n">
        <x:v>0</x:v>
      </x:c>
      <x:c r="L45" s="38" t="n">
        <x:v>0</x:v>
      </x:c>
      <x:c r="M45" s="38" t="n">
        <x:v>0</x:v>
      </x:c>
      <x:c r="N45" s="38" t="n">
        <x:v>320</x:v>
      </x:c>
      <x:c r="O45" s="38" t="n">
        <x:v>0</x:v>
      </x:c>
      <x:c r="P45" s="38" t="n">
        <x:f>F45+G45-H45+I45+J45+K45+L45-M45-N45-O45</x:f>
        <x:v>338814</x:v>
      </x:c>
      <x:c r="Q45" s="38" t="n">
        <x:v>338814</x:v>
      </x:c>
      <x:c r="R45" s="38" t="n">
        <x:f>P45-Q45</x:f>
        <x:v>0</x:v>
      </x:c>
      <x:c r="S45" s="38" t="n">
        <x:v>58092</x:v>
      </x:c>
      <x:c r="T45" s="38" t="n">
        <x:v>9786</x:v>
      </x:c>
      <x:c r="U45" s="38" t="n">
        <x:v>46</x:v>
      </x:c>
      <x:c r="V45" s="38" t="n">
        <x:v>2</x:v>
      </x:c>
      <x:c r="W45" s="38" t="n">
        <x:v>0</x:v>
      </x:c>
      <x:c r="X45" s="44" t="n">
        <x:v>0</x:v>
      </x:c>
      <x:c r="Y45" s="38" t="n">
        <x:v>47</x:v>
      </x:c>
      <x:c r="Z45" s="38" t="n">
        <x:v>25</x:v>
      </x:c>
      <x:c r="AA45" s="38" t="n">
        <x:v>9</x:v>
      </x:c>
      <x:c r="AB45" s="38" t="n">
        <x:v>4</x:v>
      </x:c>
      <x:c r="AC45" s="38" t="n">
        <x:v>16995</x:v>
      </x:c>
      <x:c r="AD45" s="38" t="n">
        <x:v>0</x:v>
      </x:c>
      <x:c r="AE45" s="38" t="n">
        <x:f>IF(B45=1,0,F45-Q44)</x:f>
        <x:v>0</x:v>
      </x:c>
    </x:row>
    <x:row r="46" ht="27" customHeight="1">
      <x:c r="A46" s="28" t="str">
        <x:v>Casual F2P</x:v>
      </x:c>
      <x:c r="B46" s="38" t="n">
        <x:v>42</x:v>
      </x:c>
      <x:c r="C46" s="38" t="n">
        <x:v>25</x:v>
      </x:c>
      <x:c r="D46" s="38" t="n">
        <x:v>178153</x:v>
      </x:c>
      <x:c r="E46" s="38" t="n">
        <x:v>65</x:v>
      </x:c>
      <x:c r="F46" s="38" t="n">
        <x:v>338814</x:v>
      </x:c>
      <x:c r="G46" s="38" t="n">
        <x:v>12360</x:v>
      </x:c>
      <x:c r="H46" s="38" t="n">
        <x:v>5392</x:v>
      </x:c>
      <x:c r="I46" s="38" t="n">
        <x:v>10971</x:v>
      </x:c>
      <x:c r="J46" s="38" t="n">
        <x:v>610</x:v>
      </x:c>
      <x:c r="K46" s="38" t="n">
        <x:v>0</x:v>
      </x:c>
      <x:c r="L46" s="38" t="n">
        <x:v>0</x:v>
      </x:c>
      <x:c r="M46" s="38" t="n">
        <x:v>300000</x:v>
      </x:c>
      <x:c r="N46" s="38" t="n">
        <x:v>0</x:v>
      </x:c>
      <x:c r="O46" s="38" t="n">
        <x:v>0</x:v>
      </x:c>
      <x:c r="P46" s="38" t="n">
        <x:f>F46+G46-H46+I46+J46+K46+L46-M46-N46-O46</x:f>
        <x:v>57363</x:v>
      </x:c>
      <x:c r="Q46" s="38" t="n">
        <x:v>57363</x:v>
      </x:c>
      <x:c r="R46" s="38" t="n">
        <x:f>P46-Q46</x:f>
        <x:v>0</x:v>
      </x:c>
      <x:c r="S46" s="38" t="n">
        <x:v>9888</x:v>
      </x:c>
      <x:c r="T46" s="38" t="n">
        <x:v>5219</x:v>
      </x:c>
      <x:c r="U46" s="38" t="n">
        <x:v>51</x:v>
      </x:c>
      <x:c r="V46" s="38" t="n">
        <x:v>5</x:v>
      </x:c>
      <x:c r="W46" s="38" t="n">
        <x:v>0</x:v>
      </x:c>
      <x:c r="X46" s="44" t="n">
        <x:v>0</x:v>
      </x:c>
      <x:c r="Y46" s="38" t="n">
        <x:v>8</x:v>
      </x:c>
      <x:c r="Z46" s="38" t="n">
        <x:v>25</x:v>
      </x:c>
      <x:c r="AA46" s="38" t="n">
        <x:v>9</x:v>
      </x:c>
      <x:c r="AB46" s="38" t="n">
        <x:v>4</x:v>
      </x:c>
      <x:c r="AC46" s="38" t="n">
        <x:v>19915</x:v>
      </x:c>
      <x:c r="AD46" s="38" t="n">
        <x:v>0</x:v>
      </x:c>
      <x:c r="AE46" s="38" t="n">
        <x:f>IF(B46=1,0,F46-Q45)</x:f>
        <x:v>0</x:v>
      </x:c>
    </x:row>
    <x:row r="47" ht="27" customHeight="1">
      <x:c r="A47" s="28" t="str">
        <x:v>Casual F2P</x:v>
      </x:c>
      <x:c r="B47" s="38" t="n">
        <x:v>43</x:v>
      </x:c>
      <x:c r="C47" s="38" t="n">
        <x:v>25</x:v>
      </x:c>
      <x:c r="D47" s="38" t="n">
        <x:v>188035</x:v>
      </x:c>
      <x:c r="E47" s="38" t="n">
        <x:v>65</x:v>
      </x:c>
      <x:c r="F47" s="38" t="n">
        <x:v>57363</x:v>
      </x:c>
      <x:c r="G47" s="38" t="n">
        <x:v>72716</x:v>
      </x:c>
      <x:c r="H47" s="38" t="n">
        <x:v>15168</x:v>
      </x:c>
      <x:c r="I47" s="38" t="n">
        <x:v>1622</x:v>
      </x:c>
      <x:c r="J47" s="38" t="n">
        <x:v>0</x:v>
      </x:c>
      <x:c r="K47" s="38" t="n">
        <x:v>0</x:v>
      </x:c>
      <x:c r="L47" s="38" t="n">
        <x:v>0</x:v>
      </x:c>
      <x:c r="M47" s="38" t="n">
        <x:v>0</x:v>
      </x:c>
      <x:c r="N47" s="38" t="n">
        <x:v>0</x:v>
      </x:c>
      <x:c r="O47" s="38" t="n">
        <x:v>55432</x:v>
      </x:c>
      <x:c r="P47" s="38" t="n">
        <x:f>F47+G47-H47+I47+J47+K47+L47-M47-N47-O47</x:f>
        <x:v>61101</x:v>
      </x:c>
      <x:c r="Q47" s="38" t="n">
        <x:v>61101</x:v>
      </x:c>
      <x:c r="R47" s="38" t="n">
        <x:f>P47-Q47</x:f>
        <x:v>0</x:v>
      </x:c>
      <x:c r="S47" s="38" t="n">
        <x:v>58173</x:v>
      </x:c>
      <x:c r="T47" s="38" t="n">
        <x:v>9882</x:v>
      </x:c>
      <x:c r="U47" s="38" t="n">
        <x:v>51</x:v>
      </x:c>
      <x:c r="V47" s="38" t="n">
        <x:v>0</x:v>
      </x:c>
      <x:c r="W47" s="38" t="n">
        <x:v>0</x:v>
      </x:c>
      <x:c r="X47" s="44" t="n">
        <x:v>0</x:v>
      </x:c>
      <x:c r="Y47" s="38" t="n">
        <x:v>48</x:v>
      </x:c>
      <x:c r="Z47" s="38" t="n">
        <x:v>26</x:v>
      </x:c>
      <x:c r="AA47" s="38" t="n">
        <x:v>9</x:v>
      </x:c>
      <x:c r="AB47" s="38" t="n">
        <x:v>4</x:v>
      </x:c>
      <x:c r="AC47" s="38" t="n">
        <x:v>20540</x:v>
      </x:c>
      <x:c r="AD47" s="38" t="n">
        <x:v>0</x:v>
      </x:c>
      <x:c r="AE47" s="38" t="n">
        <x:f>IF(B47=1,0,F47-Q46)</x:f>
        <x:v>0</x:v>
      </x:c>
    </x:row>
    <x:row r="48" ht="27" customHeight="1">
      <x:c r="A48" s="28" t="str">
        <x:v>Casual F2P</x:v>
      </x:c>
      <x:c r="B48" s="38" t="n">
        <x:v>44</x:v>
      </x:c>
      <x:c r="C48" s="38" t="n">
        <x:v>25</x:v>
      </x:c>
      <x:c r="D48" s="38" t="n">
        <x:v>191968</x:v>
      </x:c>
      <x:c r="E48" s="38" t="n">
        <x:v>65</x:v>
      </x:c>
      <x:c r="F48" s="38" t="n">
        <x:v>61101</x:v>
      </x:c>
      <x:c r="G48" s="38" t="n">
        <x:v>26843</x:v>
      </x:c>
      <x:c r="H48" s="38" t="n">
        <x:v>5372</x:v>
      </x:c>
      <x:c r="I48" s="38" t="n">
        <x:v>1622</x:v>
      </x:c>
      <x:c r="J48" s="38" t="n">
        <x:v>0</x:v>
      </x:c>
      <x:c r="K48" s="38" t="n">
        <x:v>0</x:v>
      </x:c>
      <x:c r="L48" s="38" t="n">
        <x:v>0</x:v>
      </x:c>
      <x:c r="M48" s="38" t="n">
        <x:v>0</x:v>
      </x:c>
      <x:c r="N48" s="38" t="n">
        <x:v>0</x:v>
      </x:c>
      <x:c r="O48" s="38" t="n">
        <x:v>23093</x:v>
      </x:c>
      <x:c r="P48" s="38" t="n">
        <x:f>F48+G48-H48+I48+J48+K48+L48-M48-N48-O48</x:f>
        <x:v>61101</x:v>
      </x:c>
      <x:c r="Q48" s="38" t="n">
        <x:v>61101</x:v>
      </x:c>
      <x:c r="R48" s="38" t="n">
        <x:f>P48-Q48</x:f>
        <x:v>0</x:v>
      </x:c>
      <x:c r="S48" s="38" t="n">
        <x:v>21471</x:v>
      </x:c>
      <x:c r="T48" s="38" t="n">
        <x:v>3933</x:v>
      </x:c>
      <x:c r="U48" s="38" t="n">
        <x:v>51</x:v>
      </x:c>
      <x:c r="V48" s="38" t="n">
        <x:v>0</x:v>
      </x:c>
      <x:c r="W48" s="38" t="n">
        <x:v>0</x:v>
      </x:c>
      <x:c r="X48" s="44" t="n">
        <x:v>0</x:v>
      </x:c>
      <x:c r="Y48" s="38" t="n">
        <x:v>17</x:v>
      </x:c>
      <x:c r="Z48" s="38" t="n">
        <x:v>26</x:v>
      </x:c>
      <x:c r="AA48" s="38" t="n">
        <x:v>9</x:v>
      </x:c>
      <x:c r="AB48" s="38" t="n">
        <x:v>4</x:v>
      </x:c>
      <x:c r="AC48" s="38" t="n">
        <x:v>20540</x:v>
      </x:c>
      <x:c r="AD48" s="38" t="n">
        <x:v>0</x:v>
      </x:c>
      <x:c r="AE48" s="38" t="n">
        <x:f>IF(B48=1,0,F48-Q47)</x:f>
        <x:v>0</x:v>
      </x:c>
    </x:row>
    <x:row r="49" ht="27" customHeight="1">
      <x:c r="A49" s="28" t="str">
        <x:v>Casual F2P</x:v>
      </x:c>
      <x:c r="B49" s="38" t="n">
        <x:v>45</x:v>
      </x:c>
      <x:c r="C49" s="38" t="n">
        <x:v>26</x:v>
      </x:c>
      <x:c r="D49" s="38" t="n">
        <x:v>202132</x:v>
      </x:c>
      <x:c r="E49" s="38" t="n">
        <x:v>65</x:v>
      </x:c>
      <x:c r="F49" s="38" t="n">
        <x:v>61101</x:v>
      </x:c>
      <x:c r="G49" s="38" t="n">
        <x:v>75792</x:v>
      </x:c>
      <x:c r="H49" s="38" t="n">
        <x:v>15204</x:v>
      </x:c>
      <x:c r="I49" s="38" t="n">
        <x:v>1622</x:v>
      </x:c>
      <x:c r="J49" s="38" t="n">
        <x:v>620</x:v>
      </x:c>
      <x:c r="K49" s="38" t="n">
        <x:v>0</x:v>
      </x:c>
      <x:c r="L49" s="38" t="n">
        <x:v>0</x:v>
      </x:c>
      <x:c r="M49" s="38" t="n">
        <x:v>0</x:v>
      </x:c>
      <x:c r="N49" s="38" t="n">
        <x:v>0</x:v>
      </x:c>
      <x:c r="O49" s="38" t="n">
        <x:v>2595</x:v>
      </x:c>
      <x:c r="P49" s="38" t="n">
        <x:f>F49+G49-H49+I49+J49+K49+L49-M49-N49-O49</x:f>
        <x:v>121336</x:v>
      </x:c>
      <x:c r="Q49" s="38" t="n">
        <x:v>121336</x:v>
      </x:c>
      <x:c r="R49" s="38" t="n">
        <x:f>P49-Q49</x:f>
        <x:v>0</x:v>
      </x:c>
      <x:c r="S49" s="38" t="n">
        <x:v>60624</x:v>
      </x:c>
      <x:c r="T49" s="38" t="n">
        <x:v>10164</x:v>
      </x:c>
      <x:c r="U49" s="38" t="n">
        <x:v>52</x:v>
      </x:c>
      <x:c r="V49" s="38" t="n">
        <x:v>1</x:v>
      </x:c>
      <x:c r="W49" s="38" t="n">
        <x:v>0</x:v>
      </x:c>
      <x:c r="X49" s="44" t="n">
        <x:v>0</x:v>
      </x:c>
      <x:c r="Y49" s="38" t="n">
        <x:v>48</x:v>
      </x:c>
      <x:c r="Z49" s="38" t="n">
        <x:v>26</x:v>
      </x:c>
      <x:c r="AA49" s="38" t="n">
        <x:v>9</x:v>
      </x:c>
      <x:c r="AB49" s="38" t="n">
        <x:v>5</x:v>
      </x:c>
      <x:c r="AC49" s="38" t="n">
        <x:v>20576</x:v>
      </x:c>
      <x:c r="AD49" s="38" t="n">
        <x:v>0</x:v>
      </x:c>
      <x:c r="AE49" s="38" t="n">
        <x:f>IF(B49=1,0,F49-Q48)</x:f>
        <x:v>0</x:v>
      </x:c>
    </x:row>
    <x:row r="50" ht="27" customHeight="1">
      <x:c r="A50" s="28" t="str">
        <x:v>Casual F2P</x:v>
      </x:c>
      <x:c r="B50" s="38" t="n">
        <x:v>46</x:v>
      </x:c>
      <x:c r="C50" s="38" t="n">
        <x:v>26</x:v>
      </x:c>
      <x:c r="D50" s="38" t="n">
        <x:v>206081</x:v>
      </x:c>
      <x:c r="E50" s="38" t="n">
        <x:v>65</x:v>
      </x:c>
      <x:c r="F50" s="38" t="n">
        <x:v>121336</x:v>
      </x:c>
      <x:c r="G50" s="38" t="n">
        <x:v>26957</x:v>
      </x:c>
      <x:c r="H50" s="38" t="n">
        <x:v>5814</x:v>
      </x:c>
      <x:c r="I50" s="38" t="n">
        <x:v>1658</x:v>
      </x:c>
      <x:c r="J50" s="38" t="n">
        <x:v>0</x:v>
      </x:c>
      <x:c r="K50" s="38" t="n">
        <x:v>0</x:v>
      </x:c>
      <x:c r="L50" s="38" t="n">
        <x:v>0</x:v>
      </x:c>
      <x:c r="M50" s="38" t="n">
        <x:v>0</x:v>
      </x:c>
      <x:c r="N50" s="38" t="n">
        <x:v>320</x:v>
      </x:c>
      <x:c r="O50" s="38" t="n">
        <x:v>0</x:v>
      </x:c>
      <x:c r="P50" s="38" t="n">
        <x:f>F50+G50-H50+I50+J50+K50+L50-M50-N50-O50</x:f>
        <x:v>143817</x:v>
      </x:c>
      <x:c r="Q50" s="38" t="n">
        <x:v>143817</x:v>
      </x:c>
      <x:c r="R50" s="38" t="n">
        <x:f>P50-Q50</x:f>
        <x:v>0</x:v>
      </x:c>
      <x:c r="S50" s="38" t="n">
        <x:v>21562</x:v>
      </x:c>
      <x:c r="T50" s="38" t="n">
        <x:v>3949</x:v>
      </x:c>
      <x:c r="U50" s="38" t="n">
        <x:v>52</x:v>
      </x:c>
      <x:c r="V50" s="38" t="n">
        <x:v>0</x:v>
      </x:c>
      <x:c r="W50" s="38" t="n">
        <x:v>0</x:v>
      </x:c>
      <x:c r="X50" s="44" t="n">
        <x:v>0</x:v>
      </x:c>
      <x:c r="Y50" s="38" t="n">
        <x:v>18</x:v>
      </x:c>
      <x:c r="Z50" s="38" t="n">
        <x:v>27</x:v>
      </x:c>
      <x:c r="AA50" s="38" t="n">
        <x:v>10</x:v>
      </x:c>
      <x:c r="AB50" s="38" t="n">
        <x:v>5</x:v>
      </x:c>
      <x:c r="AC50" s="38" t="n">
        <x:v>20995</x:v>
      </x:c>
      <x:c r="AD50" s="38" t="n">
        <x:v>0</x:v>
      </x:c>
      <x:c r="AE50" s="38" t="n">
        <x:f>IF(B50=1,0,F50-Q49)</x:f>
        <x:v>0</x:v>
      </x:c>
    </x:row>
    <x:row r="51" ht="27" customHeight="1">
      <x:c r="A51" s="28" t="str">
        <x:v>Casual F2P</x:v>
      </x:c>
      <x:c r="B51" s="38" t="n">
        <x:v>47</x:v>
      </x:c>
      <x:c r="C51" s="38" t="n">
        <x:v>26</x:v>
      </x:c>
      <x:c r="D51" s="38" t="n">
        <x:v>216095</x:v>
      </x:c>
      <x:c r="E51" s="38" t="n">
        <x:v>65</x:v>
      </x:c>
      <x:c r="F51" s="38" t="n">
        <x:v>143817</x:v>
      </x:c>
      <x:c r="G51" s="38" t="n">
        <x:v>75811</x:v>
      </x:c>
      <x:c r="H51" s="38" t="n">
        <x:v>15181</x:v>
      </x:c>
      <x:c r="I51" s="38" t="n">
        <x:v>1658</x:v>
      </x:c>
      <x:c r="J51" s="38" t="n">
        <x:v>0</x:v>
      </x:c>
      <x:c r="K51" s="38" t="n">
        <x:v>0</x:v>
      </x:c>
      <x:c r="L51" s="38" t="n">
        <x:v>0</x:v>
      </x:c>
      <x:c r="M51" s="38" t="n">
        <x:v>0</x:v>
      </x:c>
      <x:c r="N51" s="38" t="n">
        <x:v>0</x:v>
      </x:c>
      <x:c r="O51" s="38" t="n">
        <x:v>0</x:v>
      </x:c>
      <x:c r="P51" s="38" t="n">
        <x:f>F51+G51-H51+I51+J51+K51+L51-M51-N51-O51</x:f>
        <x:v>206105</x:v>
      </x:c>
      <x:c r="Q51" s="38" t="n">
        <x:v>206105</x:v>
      </x:c>
      <x:c r="R51" s="38" t="n">
        <x:f>P51-Q51</x:f>
        <x:v>0</x:v>
      </x:c>
      <x:c r="S51" s="38" t="n">
        <x:v>60630</x:v>
      </x:c>
      <x:c r="T51" s="38" t="n">
        <x:v>10014</x:v>
      </x:c>
      <x:c r="U51" s="38" t="n">
        <x:v>52</x:v>
      </x:c>
      <x:c r="V51" s="38" t="n">
        <x:v>0</x:v>
      </x:c>
      <x:c r="W51" s="38" t="n">
        <x:v>0</x:v>
      </x:c>
      <x:c r="X51" s="44" t="n">
        <x:v>0</x:v>
      </x:c>
      <x:c r="Y51" s="38" t="n">
        <x:v>47</x:v>
      </x:c>
      <x:c r="Z51" s="38" t="n">
        <x:v>27</x:v>
      </x:c>
      <x:c r="AA51" s="38" t="n">
        <x:v>10</x:v>
      </x:c>
      <x:c r="AB51" s="38" t="n">
        <x:v>5</x:v>
      </x:c>
      <x:c r="AC51" s="38" t="n">
        <x:v>20995</x:v>
      </x:c>
      <x:c r="AD51" s="38" t="n">
        <x:v>0</x:v>
      </x:c>
      <x:c r="AE51" s="38" t="n">
        <x:f>IF(B51=1,0,F51-Q50)</x:f>
        <x:v>0</x:v>
      </x:c>
    </x:row>
    <x:row r="52" ht="27" customHeight="1">
      <x:c r="A52" s="28" t="str">
        <x:v>Casual F2P</x:v>
      </x:c>
      <x:c r="B52" s="38" t="n">
        <x:v>48</x:v>
      </x:c>
      <x:c r="C52" s="38" t="n">
        <x:v>26</x:v>
      </x:c>
      <x:c r="D52" s="38" t="n">
        <x:v>220251</x:v>
      </x:c>
      <x:c r="E52" s="38" t="n">
        <x:v>65</x:v>
      </x:c>
      <x:c r="F52" s="38" t="n">
        <x:v>206105</x:v>
      </x:c>
      <x:c r="G52" s="38" t="n">
        <x:v>29034</x:v>
      </x:c>
      <x:c r="H52" s="38" t="n">
        <x:v>5814</x:v>
      </x:c>
      <x:c r="I52" s="38" t="n">
        <x:v>1658</x:v>
      </x:c>
      <x:c r="J52" s="38" t="n">
        <x:v>0</x:v>
      </x:c>
      <x:c r="K52" s="38" t="n">
        <x:v>0</x:v>
      </x:c>
      <x:c r="L52" s="38" t="n">
        <x:v>0</x:v>
      </x:c>
      <x:c r="M52" s="38" t="n">
        <x:v>0</x:v>
      </x:c>
      <x:c r="N52" s="38" t="n">
        <x:v>0</x:v>
      </x:c>
      <x:c r="O52" s="38" t="n">
        <x:v>0</x:v>
      </x:c>
      <x:c r="P52" s="38" t="n">
        <x:f>F52+G52-H52+I52+J52+K52+L52-M52-N52-O52</x:f>
        <x:v>230983</x:v>
      </x:c>
      <x:c r="Q52" s="38" t="n">
        <x:v>230983</x:v>
      </x:c>
      <x:c r="R52" s="38" t="n">
        <x:f>P52-Q52</x:f>
        <x:v>0</x:v>
      </x:c>
      <x:c r="S52" s="38" t="n">
        <x:v>23220</x:v>
      </x:c>
      <x:c r="T52" s="38" t="n">
        <x:v>4156</x:v>
      </x:c>
      <x:c r="U52" s="38" t="n">
        <x:v>52</x:v>
      </x:c>
      <x:c r="V52" s="38" t="n">
        <x:v>0</x:v>
      </x:c>
      <x:c r="W52" s="38" t="n">
        <x:v>0</x:v>
      </x:c>
      <x:c r="X52" s="44" t="n">
        <x:v>0</x:v>
      </x:c>
      <x:c r="Y52" s="38" t="n">
        <x:v>18</x:v>
      </x:c>
      <x:c r="Z52" s="38" t="n">
        <x:v>27</x:v>
      </x:c>
      <x:c r="AA52" s="38" t="n">
        <x:v>10</x:v>
      </x:c>
      <x:c r="AB52" s="38" t="n">
        <x:v>5</x:v>
      </x:c>
      <x:c r="AC52" s="38" t="n">
        <x:v>20995</x:v>
      </x:c>
      <x:c r="AD52" s="38" t="n">
        <x:v>0</x:v>
      </x:c>
      <x:c r="AE52" s="38" t="n">
        <x:f>IF(B52=1,0,F52-Q51)</x:f>
        <x:v>0</x:v>
      </x:c>
    </x:row>
    <x:row r="53" ht="27" customHeight="1">
      <x:c r="A53" s="28" t="str">
        <x:v>Casual F2P</x:v>
      </x:c>
      <x:c r="B53" s="38" t="n">
        <x:v>49</x:v>
      </x:c>
      <x:c r="C53" s="38" t="n">
        <x:v>27</x:v>
      </x:c>
      <x:c r="D53" s="38" t="n">
        <x:v>234134</x:v>
      </x:c>
      <x:c r="E53" s="38" t="n">
        <x:v>65</x:v>
      </x:c>
      <x:c r="F53" s="38" t="n">
        <x:v>230983</x:v>
      </x:c>
      <x:c r="G53" s="38" t="n">
        <x:v>75811</x:v>
      </x:c>
      <x:c r="H53" s="38" t="n">
        <x:v>15265</x:v>
      </x:c>
      <x:c r="I53" s="38" t="n">
        <x:v>13826</x:v>
      </x:c>
      <x:c r="J53" s="38" t="n">
        <x:v>635</x:v>
      </x:c>
      <x:c r="K53" s="38" t="n">
        <x:v>0</x:v>
      </x:c>
      <x:c r="L53" s="38" t="n">
        <x:v>0</x:v>
      </x:c>
      <x:c r="M53" s="38" t="n">
        <x:v>0</x:v>
      </x:c>
      <x:c r="N53" s="38" t="n">
        <x:v>0</x:v>
      </x:c>
      <x:c r="O53" s="38" t="n">
        <x:v>0</x:v>
      </x:c>
      <x:c r="P53" s="38" t="n">
        <x:f>F53+G53-H53+I53+J53+K53+L53-M53-N53-O53</x:f>
        <x:v>305990</x:v>
      </x:c>
      <x:c r="Q53" s="38" t="n">
        <x:v>305990</x:v>
      </x:c>
      <x:c r="R53" s="38" t="n">
        <x:f>P53-Q53</x:f>
        <x:v>0</x:v>
      </x:c>
      <x:c r="S53" s="38" t="n">
        <x:v>60630</x:v>
      </x:c>
      <x:c r="T53" s="38" t="n">
        <x:v>13883</x:v>
      </x:c>
      <x:c r="U53" s="38" t="n">
        <x:v>54</x:v>
      </x:c>
      <x:c r="V53" s="38" t="n">
        <x:v>2</x:v>
      </x:c>
      <x:c r="W53" s="38" t="n">
        <x:v>0</x:v>
      </x:c>
      <x:c r="X53" s="44" t="n">
        <x:v>0</x:v>
      </x:c>
      <x:c r="Y53" s="38" t="n">
        <x:v>47</x:v>
      </x:c>
      <x:c r="Z53" s="38" t="n">
        <x:v>27</x:v>
      </x:c>
      <x:c r="AA53" s="38" t="n">
        <x:v>10</x:v>
      </x:c>
      <x:c r="AB53" s="38" t="n">
        <x:v>5</x:v>
      </x:c>
      <x:c r="AC53" s="38" t="n">
        <x:v>21079</x:v>
      </x:c>
      <x:c r="AD53" s="38" t="n">
        <x:v>0</x:v>
      </x:c>
      <x:c r="AE53" s="38" t="n">
        <x:f>IF(B53=1,0,F53-Q52)</x:f>
        <x:v>0</x:v>
      </x:c>
    </x:row>
    <x:row r="54" ht="27" customHeight="1">
      <x:c r="A54" s="28" t="str">
        <x:v>Casual F2P</x:v>
      </x:c>
      <x:c r="B54" s="38" t="n">
        <x:v>50</x:v>
      </x:c>
      <x:c r="C54" s="38" t="n">
        <x:v>27</x:v>
      </x:c>
      <x:c r="D54" s="38" t="n">
        <x:v>238346</x:v>
      </x:c>
      <x:c r="E54" s="38" t="n">
        <x:v>65</x:v>
      </x:c>
      <x:c r="F54" s="38" t="n">
        <x:v>305990</x:v>
      </x:c>
      <x:c r="G54" s="38" t="n">
        <x:v>29458</x:v>
      </x:c>
      <x:c r="H54" s="38" t="n">
        <x:v>6270</x:v>
      </x:c>
      <x:c r="I54" s="38" t="n">
        <x:v>1693</x:v>
      </x:c>
      <x:c r="J54" s="38" t="n">
        <x:v>0</x:v>
      </x:c>
      <x:c r="K54" s="38" t="n">
        <x:v>0</x:v>
      </x:c>
      <x:c r="L54" s="38" t="n">
        <x:v>0</x:v>
      </x:c>
      <x:c r="M54" s="38" t="n">
        <x:v>0</x:v>
      </x:c>
      <x:c r="N54" s="38" t="n">
        <x:v>0</x:v>
      </x:c>
      <x:c r="O54" s="38" t="n">
        <x:v>0</x:v>
      </x:c>
      <x:c r="P54" s="38" t="n">
        <x:f>F54+G54-H54+I54+J54+K54+L54-M54-N54-O54</x:f>
        <x:v>330871</x:v>
      </x:c>
      <x:c r="Q54" s="38" t="n">
        <x:v>330871</x:v>
      </x:c>
      <x:c r="R54" s="38" t="n">
        <x:f>P54-Q54</x:f>
        <x:v>0</x:v>
      </x:c>
      <x:c r="S54" s="38" t="n">
        <x:v>23559</x:v>
      </x:c>
      <x:c r="T54" s="38" t="n">
        <x:v>4212</x:v>
      </x:c>
      <x:c r="U54" s="38" t="n">
        <x:v>58</x:v>
      </x:c>
      <x:c r="V54" s="38" t="n">
        <x:v>4</x:v>
      </x:c>
      <x:c r="W54" s="38" t="n">
        <x:v>0</x:v>
      </x:c>
      <x:c r="X54" s="44" t="n">
        <x:v>0</x:v>
      </x:c>
      <x:c r="Y54" s="38" t="n">
        <x:v>19</x:v>
      </x:c>
      <x:c r="Z54" s="38" t="n">
        <x:v>28</x:v>
      </x:c>
      <x:c r="AA54" s="38" t="n">
        <x:v>10</x:v>
      </x:c>
      <x:c r="AB54" s="38" t="n">
        <x:v>5</x:v>
      </x:c>
      <x:c r="AC54" s="38" t="n">
        <x:v>21450</x:v>
      </x:c>
      <x:c r="AD54" s="38" t="n">
        <x:v>0</x:v>
      </x:c>
      <x:c r="AE54" s="38" t="n">
        <x:f>IF(B54=1,0,F54-Q53)</x:f>
        <x:v>0</x:v>
      </x:c>
    </x:row>
    <x:row r="55" ht="27" customHeight="1">
      <x:c r="A55" s="28" t="str">
        <x:v>Casual F2P</x:v>
      </x:c>
      <x:c r="B55" s="38" t="n">
        <x:v>51</x:v>
      </x:c>
      <x:c r="C55" s="38" t="n">
        <x:v>27</x:v>
      </x:c>
      <x:c r="D55" s="38" t="n">
        <x:v>248254</x:v>
      </x:c>
      <x:c r="E55" s="38" t="n">
        <x:v>65</x:v>
      </x:c>
      <x:c r="F55" s="38" t="n">
        <x:v>330871</x:v>
      </x:c>
      <x:c r="G55" s="38" t="n">
        <x:v>75808</x:v>
      </x:c>
      <x:c r="H55" s="38" t="n">
        <x:v>15180</x:v>
      </x:c>
      <x:c r="I55" s="38" t="n">
        <x:v>1693</x:v>
      </x:c>
      <x:c r="J55" s="38" t="n">
        <x:v>0</x:v>
      </x:c>
      <x:c r="K55" s="38" t="n">
        <x:v>0</x:v>
      </x:c>
      <x:c r="L55" s="38" t="n">
        <x:v>0</x:v>
      </x:c>
      <x:c r="M55" s="38" t="n">
        <x:v>0</x:v>
      </x:c>
      <x:c r="N55" s="38" t="n">
        <x:v>330</x:v>
      </x:c>
      <x:c r="O55" s="38" t="n">
        <x:v>0</x:v>
      </x:c>
      <x:c r="P55" s="38" t="n">
        <x:f>F55+G55-H55+I55+J55+K55+L55-M55-N55-O55</x:f>
        <x:v>392862</x:v>
      </x:c>
      <x:c r="Q55" s="38" t="n">
        <x:v>392862</x:v>
      </x:c>
      <x:c r="R55" s="38" t="n">
        <x:f>P55-Q55</x:f>
        <x:v>0</x:v>
      </x:c>
      <x:c r="S55" s="38" t="n">
        <x:v>60628</x:v>
      </x:c>
      <x:c r="T55" s="38" t="n">
        <x:v>9908</x:v>
      </x:c>
      <x:c r="U55" s="38" t="n">
        <x:v>58</x:v>
      </x:c>
      <x:c r="V55" s="38" t="n">
        <x:v>0</x:v>
      </x:c>
      <x:c r="W55" s="38" t="n">
        <x:v>0</x:v>
      </x:c>
      <x:c r="X55" s="44" t="n">
        <x:v>0</x:v>
      </x:c>
      <x:c r="Y55" s="38" t="n">
        <x:v>46</x:v>
      </x:c>
      <x:c r="Z55" s="38" t="n">
        <x:v>28</x:v>
      </x:c>
      <x:c r="AA55" s="38" t="n">
        <x:v>11</x:v>
      </x:c>
      <x:c r="AB55" s="38" t="n">
        <x:v>5</x:v>
      </x:c>
      <x:c r="AC55" s="38" t="n">
        <x:v>21450</x:v>
      </x:c>
      <x:c r="AD55" s="38" t="n">
        <x:v>0</x:v>
      </x:c>
      <x:c r="AE55" s="38" t="n">
        <x:f>IF(B55=1,0,F55-Q54)</x:f>
        <x:v>0</x:v>
      </x:c>
    </x:row>
    <x:row r="56" ht="27" customHeight="1">
      <x:c r="A56" s="28" t="str">
        <x:v>Casual F2P</x:v>
      </x:c>
      <x:c r="B56" s="38" t="n">
        <x:v>52</x:v>
      </x:c>
      <x:c r="C56" s="38" t="n">
        <x:v>28</x:v>
      </x:c>
      <x:c r="D56" s="38" t="n">
        <x:v>252654</x:v>
      </x:c>
      <x:c r="E56" s="38" t="n">
        <x:v>70</x:v>
      </x:c>
      <x:c r="F56" s="38" t="n">
        <x:v>392862</x:v>
      </x:c>
      <x:c r="G56" s="38" t="n">
        <x:v>31312</x:v>
      </x:c>
      <x:c r="H56" s="38" t="n">
        <x:v>7815</x:v>
      </x:c>
      <x:c r="I56" s="38" t="n">
        <x:v>1693</x:v>
      </x:c>
      <x:c r="J56" s="38" t="n">
        <x:v>700</x:v>
      </x:c>
      <x:c r="K56" s="38" t="n">
        <x:v>0</x:v>
      </x:c>
      <x:c r="L56" s="38" t="n">
        <x:v>0</x:v>
      </x:c>
      <x:c r="M56" s="38" t="n">
        <x:v>350000</x:v>
      </x:c>
      <x:c r="N56" s="38" t="n">
        <x:v>0</x:v>
      </x:c>
      <x:c r="O56" s="38" t="n">
        <x:v>0</x:v>
      </x:c>
      <x:c r="P56" s="38" t="n">
        <x:f>F56+G56-H56+I56+J56+K56+L56-M56-N56-O56</x:f>
        <x:v>68752</x:v>
      </x:c>
      <x:c r="Q56" s="38" t="n">
        <x:v>68752</x:v>
      </x:c>
      <x:c r="R56" s="38" t="n">
        <x:f>P56-Q56</x:f>
        <x:v>0</x:v>
      </x:c>
      <x:c r="S56" s="38" t="n">
        <x:v>25042</x:v>
      </x:c>
      <x:c r="T56" s="38" t="n">
        <x:v>4400</x:v>
      </x:c>
      <x:c r="U56" s="38" t="n">
        <x:v>59</x:v>
      </x:c>
      <x:c r="V56" s="38" t="n">
        <x:v>1</x:v>
      </x:c>
      <x:c r="W56" s="38" t="n">
        <x:v>0</x:v>
      </x:c>
      <x:c r="X56" s="44" t="n">
        <x:v>0</x:v>
      </x:c>
      <x:c r="Y56" s="38" t="n">
        <x:v>19</x:v>
      </x:c>
      <x:c r="Z56" s="38" t="n">
        <x:v>28</x:v>
      </x:c>
      <x:c r="AA56" s="38" t="n">
        <x:v>11</x:v>
      </x:c>
      <x:c r="AB56" s="38" t="n">
        <x:v>5</x:v>
      </x:c>
      <x:c r="AC56" s="38" t="n">
        <x:v>22995</x:v>
      </x:c>
      <x:c r="AD56" s="38" t="n">
        <x:v>0</x:v>
      </x:c>
      <x:c r="AE56" s="38" t="n">
        <x:f>IF(B56=1,0,F56-Q55)</x:f>
        <x:v>0</x:v>
      </x:c>
    </x:row>
    <x:row r="57" ht="27" customHeight="1">
      <x:c r="A57" s="28" t="str">
        <x:v>Casual F2P</x:v>
      </x:c>
      <x:c r="B57" s="38" t="n">
        <x:v>53</x:v>
      </x:c>
      <x:c r="C57" s="38" t="n">
        <x:v>28</x:v>
      </x:c>
      <x:c r="D57" s="38" t="n">
        <x:v>262660</x:v>
      </x:c>
      <x:c r="E57" s="38" t="n">
        <x:v>70</x:v>
      </x:c>
      <x:c r="F57" s="38" t="n">
        <x:v>68752</x:v>
      </x:c>
      <x:c r="G57" s="38" t="n">
        <x:v>76241</x:v>
      </x:c>
      <x:c r="H57" s="38" t="n">
        <x:v>15792</x:v>
      </x:c>
      <x:c r="I57" s="38" t="n">
        <x:v>1861</x:v>
      </x:c>
      <x:c r="J57" s="38" t="n">
        <x:v>0</x:v>
      </x:c>
      <x:c r="K57" s="38" t="n">
        <x:v>0</x:v>
      </x:c>
      <x:c r="L57" s="38" t="n">
        <x:v>0</x:v>
      </x:c>
      <x:c r="M57" s="38" t="n">
        <x:v>0</x:v>
      </x:c>
      <x:c r="N57" s="38" t="n">
        <x:v>0</x:v>
      </x:c>
      <x:c r="O57" s="38" t="n">
        <x:v>0</x:v>
      </x:c>
      <x:c r="P57" s="38" t="n">
        <x:f>F57+G57-H57+I57+J57+K57+L57-M57-N57-O57</x:f>
        <x:v>131062</x:v>
      </x:c>
      <x:c r="Q57" s="38" t="n">
        <x:v>131062</x:v>
      </x:c>
      <x:c r="R57" s="38" t="n">
        <x:f>P57-Q57</x:f>
        <x:v>0</x:v>
      </x:c>
      <x:c r="S57" s="38" t="n">
        <x:v>60974</x:v>
      </x:c>
      <x:c r="T57" s="38" t="n">
        <x:v>10006</x:v>
      </x:c>
      <x:c r="U57" s="38" t="n">
        <x:v>59</x:v>
      </x:c>
      <x:c r="V57" s="38" t="n">
        <x:v>0</x:v>
      </x:c>
      <x:c r="W57" s="38" t="n">
        <x:v>0</x:v>
      </x:c>
      <x:c r="X57" s="44" t="n">
        <x:v>0</x:v>
      </x:c>
      <x:c r="Y57" s="38" t="n">
        <x:v>47</x:v>
      </x:c>
      <x:c r="Z57" s="38" t="n">
        <x:v>29</x:v>
      </x:c>
      <x:c r="AA57" s="38" t="n">
        <x:v>11</x:v>
      </x:c>
      <x:c r="AB57" s="38" t="n">
        <x:v>5</x:v>
      </x:c>
      <x:c r="AC57" s="38" t="n">
        <x:v>23520</x:v>
      </x:c>
      <x:c r="AD57" s="38" t="n">
        <x:v>0</x:v>
      </x:c>
      <x:c r="AE57" s="38" t="n">
        <x:f>IF(B57=1,0,F57-Q56)</x:f>
        <x:v>0</x:v>
      </x:c>
    </x:row>
    <x:row r="58" ht="27" customHeight="1">
      <x:c r="A58" s="28" t="str">
        <x:v>Casual F2P</x:v>
      </x:c>
      <x:c r="B58" s="38" t="n">
        <x:v>54</x:v>
      </x:c>
      <x:c r="C58" s="38" t="n">
        <x:v>28</x:v>
      </x:c>
      <x:c r="D58" s="38" t="n">
        <x:v>267967</x:v>
      </x:c>
      <x:c r="E58" s="38" t="n">
        <x:v>70</x:v>
      </x:c>
      <x:c r="F58" s="38" t="n">
        <x:v>131062</x:v>
      </x:c>
      <x:c r="G58" s="38" t="n">
        <x:v>38663</x:v>
      </x:c>
      <x:c r="H58" s="38" t="n">
        <x:v>7728</x:v>
      </x:c>
      <x:c r="I58" s="38" t="n">
        <x:v>1861</x:v>
      </x:c>
      <x:c r="J58" s="38" t="n">
        <x:v>0</x:v>
      </x:c>
      <x:c r="K58" s="38" t="n">
        <x:v>0</x:v>
      </x:c>
      <x:c r="L58" s="38" t="n">
        <x:v>0</x:v>
      </x:c>
      <x:c r="M58" s="38" t="n">
        <x:v>0</x:v>
      </x:c>
      <x:c r="N58" s="38" t="n">
        <x:v>0</x:v>
      </x:c>
      <x:c r="O58" s="38" t="n">
        <x:v>0</x:v>
      </x:c>
      <x:c r="P58" s="38" t="n">
        <x:f>F58+G58-H58+I58+J58+K58+L58-M58-N58-O58</x:f>
        <x:v>163858</x:v>
      </x:c>
      <x:c r="Q58" s="38" t="n">
        <x:v>163858</x:v>
      </x:c>
      <x:c r="R58" s="38" t="n">
        <x:f>P58-Q58</x:f>
        <x:v>0</x:v>
      </x:c>
      <x:c r="S58" s="38" t="n">
        <x:v>30935</x:v>
      </x:c>
      <x:c r="T58" s="38" t="n">
        <x:v>5307</x:v>
      </x:c>
      <x:c r="U58" s="38" t="n">
        <x:v>59</x:v>
      </x:c>
      <x:c r="V58" s="38" t="n">
        <x:v>0</x:v>
      </x:c>
      <x:c r="W58" s="38" t="n">
        <x:v>0</x:v>
      </x:c>
      <x:c r="X58" s="44" t="n">
        <x:v>0</x:v>
      </x:c>
      <x:c r="Y58" s="38" t="n">
        <x:v>23</x:v>
      </x:c>
      <x:c r="Z58" s="38" t="n">
        <x:v>29</x:v>
      </x:c>
      <x:c r="AA58" s="38" t="n">
        <x:v>11</x:v>
      </x:c>
      <x:c r="AB58" s="38" t="n">
        <x:v>5</x:v>
      </x:c>
      <x:c r="AC58" s="38" t="n">
        <x:v>23520</x:v>
      </x:c>
      <x:c r="AD58" s="38" t="n">
        <x:v>0</x:v>
      </x:c>
      <x:c r="AE58" s="38" t="n">
        <x:f>IF(B58=1,0,F58-Q57)</x:f>
        <x:v>0</x:v>
      </x:c>
    </x:row>
    <x:row r="59" ht="27" customHeight="1">
      <x:c r="A59" s="28" t="str">
        <x:v>Casual F2P</x:v>
      </x:c>
      <x:c r="B59" s="38" t="n">
        <x:v>55</x:v>
      </x:c>
      <x:c r="C59" s="38" t="n">
        <x:v>28</x:v>
      </x:c>
      <x:c r="D59" s="38" t="n">
        <x:v>278218</x:v>
      </x:c>
      <x:c r="E59" s="38" t="n">
        <x:v>70</x:v>
      </x:c>
      <x:c r="F59" s="38" t="n">
        <x:v>163858</x:v>
      </x:c>
      <x:c r="G59" s="38" t="n">
        <x:v>79007</x:v>
      </x:c>
      <x:c r="H59" s="38" t="n">
        <x:v>15792</x:v>
      </x:c>
      <x:c r="I59" s="38" t="n">
        <x:v>1861</x:v>
      </x:c>
      <x:c r="J59" s="38" t="n">
        <x:v>0</x:v>
      </x:c>
      <x:c r="K59" s="38" t="n">
        <x:v>0</x:v>
      </x:c>
      <x:c r="L59" s="38" t="n">
        <x:v>0</x:v>
      </x:c>
      <x:c r="M59" s="38" t="n">
        <x:v>0</x:v>
      </x:c>
      <x:c r="N59" s="38" t="n">
        <x:v>0</x:v>
      </x:c>
      <x:c r="O59" s="38" t="n">
        <x:v>0</x:v>
      </x:c>
      <x:c r="P59" s="38" t="n">
        <x:f>F59+G59-H59+I59+J59+K59+L59-M59-N59-O59</x:f>
        <x:v>228934</x:v>
      </x:c>
      <x:c r="Q59" s="38" t="n">
        <x:v>228934</x:v>
      </x:c>
      <x:c r="R59" s="38" t="n">
        <x:f>P59-Q59</x:f>
        <x:v>0</x:v>
      </x:c>
      <x:c r="S59" s="38" t="n">
        <x:v>63215</x:v>
      </x:c>
      <x:c r="T59" s="38" t="n">
        <x:v>10251</x:v>
      </x:c>
      <x:c r="U59" s="38" t="n">
        <x:v>59</x:v>
      </x:c>
      <x:c r="V59" s="38" t="n">
        <x:v>0</x:v>
      </x:c>
      <x:c r="W59" s="38" t="n">
        <x:v>0</x:v>
      </x:c>
      <x:c r="X59" s="44" t="n">
        <x:v>0</x:v>
      </x:c>
      <x:c r="Y59" s="38" t="n">
        <x:v>47</x:v>
      </x:c>
      <x:c r="Z59" s="38" t="n">
        <x:v>29</x:v>
      </x:c>
      <x:c r="AA59" s="38" t="n">
        <x:v>11</x:v>
      </x:c>
      <x:c r="AB59" s="38" t="n">
        <x:v>5</x:v>
      </x:c>
      <x:c r="AC59" s="38" t="n">
        <x:v>23520</x:v>
      </x:c>
      <x:c r="AD59" s="38" t="n">
        <x:v>0</x:v>
      </x:c>
      <x:c r="AE59" s="38" t="n">
        <x:f>IF(B59=1,0,F59-Q58)</x:f>
        <x:v>0</x:v>
      </x:c>
    </x:row>
    <x:row r="60" ht="27" customHeight="1">
      <x:c r="A60" s="28" t="str">
        <x:v>Casual F2P</x:v>
      </x:c>
      <x:c r="B60" s="38" t="n">
        <x:v>56</x:v>
      </x:c>
      <x:c r="C60" s="38" t="n">
        <x:v>29</x:v>
      </x:c>
      <x:c r="D60" s="38" t="n">
        <x:v>287456</x:v>
      </x:c>
      <x:c r="E60" s="38" t="n">
        <x:v>70</x:v>
      </x:c>
      <x:c r="F60" s="38" t="n">
        <x:v>228934</x:v>
      </x:c>
      <x:c r="G60" s="38" t="n">
        <x:v>38663</x:v>
      </x:c>
      <x:c r="H60" s="38" t="n">
        <x:v>7733</x:v>
      </x:c>
      <x:c r="I60" s="38" t="n">
        <x:v>14555</x:v>
      </x:c>
      <x:c r="J60" s="38" t="n">
        <x:v>710</x:v>
      </x:c>
      <x:c r="K60" s="38" t="n">
        <x:v>0</x:v>
      </x:c>
      <x:c r="L60" s="38" t="n">
        <x:v>0</x:v>
      </x:c>
      <x:c r="M60" s="38" t="n">
        <x:v>0</x:v>
      </x:c>
      <x:c r="N60" s="38" t="n">
        <x:v>330</x:v>
      </x:c>
      <x:c r="O60" s="38" t="n">
        <x:v>0</x:v>
      </x:c>
      <x:c r="P60" s="38" t="n">
        <x:f>F60+G60-H60+I60+J60+K60+L60-M60-N60-O60</x:f>
        <x:v>274799</x:v>
      </x:c>
      <x:c r="Q60" s="38" t="n">
        <x:v>274799</x:v>
      </x:c>
      <x:c r="R60" s="38" t="n">
        <x:f>P60-Q60</x:f>
        <x:v>0</x:v>
      </x:c>
      <x:c r="S60" s="38" t="n">
        <x:v>30935</x:v>
      </x:c>
      <x:c r="T60" s="38" t="n">
        <x:v>9238</x:v>
      </x:c>
      <x:c r="U60" s="38" t="n">
        <x:v>61</x:v>
      </x:c>
      <x:c r="V60" s="38" t="n">
        <x:v>2</x:v>
      </x:c>
      <x:c r="W60" s="38" t="n">
        <x:v>0</x:v>
      </x:c>
      <x:c r="X60" s="44" t="n">
        <x:v>0</x:v>
      </x:c>
      <x:c r="Y60" s="38" t="n">
        <x:v>23</x:v>
      </x:c>
      <x:c r="Z60" s="38" t="n">
        <x:v>29</x:v>
      </x:c>
      <x:c r="AA60" s="38" t="n">
        <x:v>12</x:v>
      </x:c>
      <x:c r="AB60" s="38" t="n">
        <x:v>5</x:v>
      </x:c>
      <x:c r="AC60" s="38" t="n">
        <x:v>23525</x:v>
      </x:c>
      <x:c r="AD60" s="38" t="n">
        <x:v>0</x:v>
      </x:c>
      <x:c r="AE60" s="38" t="n">
        <x:f>IF(B60=1,0,F60-Q59)</x:f>
        <x:v>0</x:v>
      </x:c>
    </x:row>
    <x:row r="61" ht="27" customHeight="1">
      <x:c r="A61" s="28" t="str">
        <x:v>Casual F2P</x:v>
      </x:c>
      <x:c r="B61" s="38" t="n">
        <x:v>57</x:v>
      </x:c>
      <x:c r="C61" s="38" t="n">
        <x:v>29</x:v>
      </x:c>
      <x:c r="D61" s="38" t="n">
        <x:v>297803</x:v>
      </x:c>
      <x:c r="E61" s="38" t="n">
        <x:v>70</x:v>
      </x:c>
      <x:c r="F61" s="38" t="n">
        <x:v>274799</x:v>
      </x:c>
      <x:c r="G61" s="38" t="n">
        <x:v>79940</x:v>
      </x:c>
      <x:c r="H61" s="38" t="n">
        <x:v>16464</x:v>
      </x:c>
      <x:c r="I61" s="38" t="n">
        <x:v>1898</x:v>
      </x:c>
      <x:c r="J61" s="38" t="n">
        <x:v>0</x:v>
      </x:c>
      <x:c r="K61" s="38" t="n">
        <x:v>0</x:v>
      </x:c>
      <x:c r="L61" s="38" t="n">
        <x:v>0</x:v>
      </x:c>
      <x:c r="M61" s="38" t="n">
        <x:v>0</x:v>
      </x:c>
      <x:c r="N61" s="38" t="n">
        <x:v>0</x:v>
      </x:c>
      <x:c r="O61" s="38" t="n">
        <x:v>0</x:v>
      </x:c>
      <x:c r="P61" s="38" t="n">
        <x:f>F61+G61-H61+I61+J61+K61+L61-M61-N61-O61</x:f>
        <x:v>340173</x:v>
      </x:c>
      <x:c r="Q61" s="38" t="n">
        <x:v>340173</x:v>
      </x:c>
      <x:c r="R61" s="38" t="n">
        <x:f>P61-Q61</x:f>
        <x:v>0</x:v>
      </x:c>
      <x:c r="S61" s="38" t="n">
        <x:v>63961</x:v>
      </x:c>
      <x:c r="T61" s="38" t="n">
        <x:v>10347</x:v>
      </x:c>
      <x:c r="U61" s="38" t="n">
        <x:v>63</x:v>
      </x:c>
      <x:c r="V61" s="38" t="n">
        <x:v>2</x:v>
      </x:c>
      <x:c r="W61" s="38" t="n">
        <x:v>0</x:v>
      </x:c>
      <x:c r="X61" s="44" t="n">
        <x:v>0</x:v>
      </x:c>
      <x:c r="Y61" s="38" t="n">
        <x:v>48</x:v>
      </x:c>
      <x:c r="Z61" s="38" t="n">
        <x:v>30</x:v>
      </x:c>
      <x:c r="AA61" s="38" t="n">
        <x:v>12</x:v>
      </x:c>
      <x:c r="AB61" s="38" t="n">
        <x:v>5</x:v>
      </x:c>
      <x:c r="AC61" s="38" t="n">
        <x:v>24010</x:v>
      </x:c>
      <x:c r="AD61" s="38" t="n">
        <x:v>0</x:v>
      </x:c>
      <x:c r="AE61" s="38" t="n">
        <x:f>IF(B61=1,0,F61-Q60)</x:f>
        <x:v>0</x:v>
      </x:c>
    </x:row>
    <x:row r="62" ht="27" customHeight="1">
      <x:c r="A62" s="28" t="str">
        <x:v>Casual F2P</x:v>
      </x:c>
      <x:c r="B62" s="38" t="n">
        <x:v>58</x:v>
      </x:c>
      <x:c r="C62" s="38" t="n">
        <x:v>29</x:v>
      </x:c>
      <x:c r="D62" s="38" t="n">
        <x:v>302930</x:v>
      </x:c>
      <x:c r="E62" s="38" t="n">
        <x:v>70</x:v>
      </x:c>
      <x:c r="F62" s="38" t="n">
        <x:v>340173</x:v>
      </x:c>
      <x:c r="G62" s="38" t="n">
        <x:v>37730</x:v>
      </x:c>
      <x:c r="H62" s="38" t="n">
        <x:v>7546</x:v>
      </x:c>
      <x:c r="I62" s="38" t="n">
        <x:v>1898</x:v>
      </x:c>
      <x:c r="J62" s="38" t="n">
        <x:v>0</x:v>
      </x:c>
      <x:c r="K62" s="38" t="n">
        <x:v>0</x:v>
      </x:c>
      <x:c r="L62" s="38" t="n">
        <x:v>0</x:v>
      </x:c>
      <x:c r="M62" s="38" t="n">
        <x:v>0</x:v>
      </x:c>
      <x:c r="N62" s="38" t="n">
        <x:v>0</x:v>
      </x:c>
      <x:c r="O62" s="38" t="n">
        <x:v>0</x:v>
      </x:c>
      <x:c r="P62" s="38" t="n">
        <x:f>F62+G62-H62+I62+J62+K62+L62-M62-N62-O62</x:f>
        <x:v>372255</x:v>
      </x:c>
      <x:c r="Q62" s="38" t="n">
        <x:v>372255</x:v>
      </x:c>
      <x:c r="R62" s="38" t="n">
        <x:f>P62-Q62</x:f>
        <x:v>0</x:v>
      </x:c>
      <x:c r="S62" s="38" t="n">
        <x:v>30184</x:v>
      </x:c>
      <x:c r="T62" s="38" t="n">
        <x:v>5127</x:v>
      </x:c>
      <x:c r="U62" s="38" t="n">
        <x:v>63</x:v>
      </x:c>
      <x:c r="V62" s="38" t="n">
        <x:v>0</x:v>
      </x:c>
      <x:c r="W62" s="38" t="n">
        <x:v>0</x:v>
      </x:c>
      <x:c r="X62" s="44" t="n">
        <x:v>0</x:v>
      </x:c>
      <x:c r="Y62" s="38" t="n">
        <x:v>22</x:v>
      </x:c>
      <x:c r="Z62" s="38" t="n">
        <x:v>30</x:v>
      </x:c>
      <x:c r="AA62" s="38" t="n">
        <x:v>12</x:v>
      </x:c>
      <x:c r="AB62" s="38" t="n">
        <x:v>5</x:v>
      </x:c>
      <x:c r="AC62" s="38" t="n">
        <x:v>24010</x:v>
      </x:c>
      <x:c r="AD62" s="38" t="n">
        <x:v>0</x:v>
      </x:c>
      <x:c r="AE62" s="38" t="n">
        <x:f>IF(B62=1,0,F62-Q61)</x:f>
        <x:v>0</x:v>
      </x:c>
    </x:row>
    <x:row r="63" ht="27" customHeight="1">
      <x:c r="A63" s="28" t="str">
        <x:v>Casual F2P</x:v>
      </x:c>
      <x:c r="B63" s="38" t="n">
        <x:v>59</x:v>
      </x:c>
      <x:c r="C63" s="38" t="n">
        <x:v>30</x:v>
      </x:c>
      <x:c r="D63" s="38" t="n">
        <x:v>313439</x:v>
      </x:c>
      <x:c r="E63" s="38" t="n">
        <x:v>75</x:v>
      </x:c>
      <x:c r="F63" s="38" t="n">
        <x:v>372255</x:v>
      </x:c>
      <x:c r="G63" s="38" t="n">
        <x:v>82320</x:v>
      </x:c>
      <x:c r="H63" s="38" t="n">
        <x:v>18515</x:v>
      </x:c>
      <x:c r="I63" s="38" t="n">
        <x:v>1898</x:v>
      </x:c>
      <x:c r="J63" s="38" t="n">
        <x:v>780</x:v>
      </x:c>
      <x:c r="K63" s="38" t="n">
        <x:v>0</x:v>
      </x:c>
      <x:c r="L63" s="38" t="n">
        <x:v>0</x:v>
      </x:c>
      <x:c r="M63" s="38" t="n">
        <x:v>300000</x:v>
      </x:c>
      <x:c r="N63" s="38" t="n">
        <x:v>0</x:v>
      </x:c>
      <x:c r="O63" s="38" t="n">
        <x:v>60625</x:v>
      </x:c>
      <x:c r="P63" s="38" t="n">
        <x:f>F63+G63-H63+I63+J63+K63+L63-M63-N63-O63</x:f>
        <x:v>78113</x:v>
      </x:c>
      <x:c r="Q63" s="38" t="n">
        <x:v>78113</x:v>
      </x:c>
      <x:c r="R63" s="38" t="n">
        <x:f>P63-Q63</x:f>
        <x:v>0</x:v>
      </x:c>
      <x:c r="S63" s="38" t="n">
        <x:v>65856</x:v>
      </x:c>
      <x:c r="T63" s="38" t="n">
        <x:v>10509</x:v>
      </x:c>
      <x:c r="U63" s="38" t="n">
        <x:v>66</x:v>
      </x:c>
      <x:c r="V63" s="38" t="n">
        <x:v>3</x:v>
      </x:c>
      <x:c r="W63" s="38" t="n">
        <x:v>0</x:v>
      </x:c>
      <x:c r="X63" s="44" t="n">
        <x:v>0</x:v>
      </x:c>
      <x:c r="Y63" s="38" t="n">
        <x:v>48</x:v>
      </x:c>
      <x:c r="Z63" s="38" t="n">
        <x:v>30</x:v>
      </x:c>
      <x:c r="AA63" s="38" t="n">
        <x:v>12</x:v>
      </x:c>
      <x:c r="AB63" s="38" t="n">
        <x:v>5</x:v>
      </x:c>
      <x:c r="AC63" s="38" t="n">
        <x:v>26061</x:v>
      </x:c>
      <x:c r="AD63" s="38" t="n">
        <x:v>0</x:v>
      </x:c>
      <x:c r="AE63" s="38" t="n">
        <x:f>IF(B63=1,0,F63-Q62)</x:f>
        <x:v>0</x:v>
      </x:c>
    </x:row>
    <x:row r="64" ht="27" customHeight="1">
      <x:c r="A64" s="28" t="str">
        <x:v>Casual F2P</x:v>
      </x:c>
      <x:c r="B64" s="38" t="n">
        <x:v>60</x:v>
      </x:c>
      <x:c r="C64" s="38" t="n">
        <x:v>30</x:v>
      </x:c>
      <x:c r="D64" s="38" t="n">
        <x:v>318612</x:v>
      </x:c>
      <x:c r="E64" s="38" t="n">
        <x:v>75</x:v>
      </x:c>
      <x:c r="F64" s="38" t="n">
        <x:v>78113</x:v>
      </x:c>
      <x:c r="G64" s="38" t="n">
        <x:v>37730</x:v>
      </x:c>
      <x:c r="H64" s="38" t="n">
        <x:v>7700</x:v>
      </x:c>
      <x:c r="I64" s="38" t="n">
        <x:v>2075</x:v>
      </x:c>
      <x:c r="J64" s="38" t="n">
        <x:v>0</x:v>
      </x:c>
      <x:c r="K64" s="38" t="n">
        <x:v>0</x:v>
      </x:c>
      <x:c r="L64" s="38" t="n">
        <x:v>0</x:v>
      </x:c>
      <x:c r="M64" s="38" t="n">
        <x:v>0</x:v>
      </x:c>
      <x:c r="N64" s="38" t="n">
        <x:v>0</x:v>
      </x:c>
      <x:c r="O64" s="38" t="n">
        <x:v>32105</x:v>
      </x:c>
      <x:c r="P64" s="38" t="n">
        <x:f>F64+G64-H64+I64+J64+K64+L64-M64-N64-O64</x:f>
        <x:v>78113</x:v>
      </x:c>
      <x:c r="Q64" s="38" t="n">
        <x:v>78113</x:v>
      </x:c>
      <x:c r="R64" s="38" t="n">
        <x:f>P64-Q64</x:f>
        <x:v>0</x:v>
      </x:c>
      <x:c r="S64" s="38" t="n">
        <x:v>30184</x:v>
      </x:c>
      <x:c r="T64" s="38" t="n">
        <x:v>5173</x:v>
      </x:c>
      <x:c r="U64" s="38" t="n">
        <x:v>66</x:v>
      </x:c>
      <x:c r="V64" s="38" t="n">
        <x:v>0</x:v>
      </x:c>
      <x:c r="W64" s="38" t="n">
        <x:v>0</x:v>
      </x:c>
      <x:c r="X64" s="44" t="n">
        <x:v>0</x:v>
      </x:c>
      <x:c r="Y64" s="38" t="n">
        <x:v>22</x:v>
      </x:c>
      <x:c r="Z64" s="38" t="n">
        <x:v>30</x:v>
      </x:c>
      <x:c r="AA64" s="38" t="n">
        <x:v>12</x:v>
      </x:c>
      <x:c r="AB64" s="38" t="n">
        <x:v>5</x:v>
      </x:c>
      <x:c r="AC64" s="38" t="n">
        <x:v>26215</x:v>
      </x:c>
      <x:c r="AD64" s="38" t="n">
        <x:v>0</x:v>
      </x:c>
      <x:c r="AE64" s="38" t="n">
        <x:f>IF(B64=1,0,F64-Q63)</x:f>
        <x:v>0</x:v>
      </x:c>
    </x:row>
    <x:row r="65" ht="27" customHeight="1">
      <x:c r="A65" s="28" t="str">
        <x:v>Casual F2P</x:v>
      </x:c>
      <x:c r="B65" s="38" t="n">
        <x:v>61</x:v>
      </x:c>
      <x:c r="C65" s="38" t="n">
        <x:v>30</x:v>
      </x:c>
      <x:c r="D65" s="38" t="n">
        <x:v>330329</x:v>
      </x:c>
      <x:c r="E65" s="38" t="n">
        <x:v>75</x:v>
      </x:c>
      <x:c r="F65" s="38" t="n">
        <x:v>78113</x:v>
      </x:c>
      <x:c r="G65" s="38" t="n">
        <x:v>92575</x:v>
      </x:c>
      <x:c r="H65" s="38" t="n">
        <x:v>18550</x:v>
      </x:c>
      <x:c r="I65" s="38" t="n">
        <x:v>2075</x:v>
      </x:c>
      <x:c r="J65" s="38" t="n">
        <x:v>0</x:v>
      </x:c>
      <x:c r="K65" s="38" t="n">
        <x:v>0</x:v>
      </x:c>
      <x:c r="L65" s="38" t="n">
        <x:v>0</x:v>
      </x:c>
      <x:c r="M65" s="38" t="n">
        <x:v>0</x:v>
      </x:c>
      <x:c r="N65" s="38" t="n">
        <x:v>570</x:v>
      </x:c>
      <x:c r="O65" s="38" t="n">
        <x:v>36925</x:v>
      </x:c>
      <x:c r="P65" s="38" t="n">
        <x:f>F65+G65-H65+I65+J65+K65+L65-M65-N65-O65</x:f>
        <x:v>116718</x:v>
      </x:c>
      <x:c r="Q65" s="38" t="n">
        <x:v>116718</x:v>
      </x:c>
      <x:c r="R65" s="38" t="n">
        <x:f>P65-Q65</x:f>
        <x:v>0</x:v>
      </x:c>
      <x:c r="S65" s="38" t="n">
        <x:v>74060</x:v>
      </x:c>
      <x:c r="T65" s="38" t="n">
        <x:v>11717</x:v>
      </x:c>
      <x:c r="U65" s="38" t="n">
        <x:v>66</x:v>
      </x:c>
      <x:c r="V65" s="38" t="n">
        <x:v>0</x:v>
      </x:c>
      <x:c r="W65" s="38" t="n">
        <x:v>0</x:v>
      </x:c>
      <x:c r="X65" s="44" t="n">
        <x:v>0</x:v>
      </x:c>
      <x:c r="Y65" s="38" t="n">
        <x:v>53</x:v>
      </x:c>
      <x:c r="Z65" s="38" t="n">
        <x:v>31</x:v>
      </x:c>
      <x:c r="AA65" s="38" t="n">
        <x:v>13</x:v>
      </x:c>
      <x:c r="AB65" s="38" t="n">
        <x:v>6</x:v>
      </x:c>
      <x:c r="AC65" s="38" t="n">
        <x:v>26250</x:v>
      </x:c>
      <x:c r="AD65" s="38" t="n">
        <x:v>0</x:v>
      </x:c>
      <x:c r="AE65" s="38" t="n">
        <x:f>IF(B65=1,0,F65-Q64)</x:f>
        <x:v>0</x:v>
      </x:c>
    </x:row>
    <x:row r="66" ht="27" customHeight="1">
      <x:c r="A66" s="28" t="str">
        <x:v>Casual F2P</x:v>
      </x:c>
      <x:c r="B66" s="38" t="n">
        <x:v>62</x:v>
      </x:c>
      <x:c r="C66" s="38" t="n">
        <x:v>30</x:v>
      </x:c>
      <x:c r="D66" s="38" t="n">
        <x:v>335546</x:v>
      </x:c>
      <x:c r="E66" s="38" t="n">
        <x:v>75</x:v>
      </x:c>
      <x:c r="F66" s="38" t="n">
        <x:v>116718</x:v>
      </x:c>
      <x:c r="G66" s="38" t="n">
        <x:v>38500</x:v>
      </x:c>
      <x:c r="H66" s="38" t="n">
        <x:v>7700</x:v>
      </x:c>
      <x:c r="I66" s="38" t="n">
        <x:v>2075</x:v>
      </x:c>
      <x:c r="J66" s="38" t="n">
        <x:v>0</x:v>
      </x:c>
      <x:c r="K66" s="38" t="n">
        <x:v>0</x:v>
      </x:c>
      <x:c r="L66" s="38" t="n">
        <x:v>0</x:v>
      </x:c>
      <x:c r="M66" s="38" t="n">
        <x:v>0</x:v>
      </x:c>
      <x:c r="N66" s="38" t="n">
        <x:v>0</x:v>
      </x:c>
      <x:c r="O66" s="38" t="n">
        <x:v>0</x:v>
      </x:c>
      <x:c r="P66" s="38" t="n">
        <x:f>F66+G66-H66+I66+J66+K66+L66-M66-N66-O66</x:f>
        <x:v>149593</x:v>
      </x:c>
      <x:c r="Q66" s="38" t="n">
        <x:v>149593</x:v>
      </x:c>
      <x:c r="R66" s="38" t="n">
        <x:f>P66-Q66</x:f>
        <x:v>0</x:v>
      </x:c>
      <x:c r="S66" s="38" t="n">
        <x:v>30800</x:v>
      </x:c>
      <x:c r="T66" s="38" t="n">
        <x:v>5217</x:v>
      </x:c>
      <x:c r="U66" s="38" t="n">
        <x:v>66</x:v>
      </x:c>
      <x:c r="V66" s="38" t="n">
        <x:v>0</x:v>
      </x:c>
      <x:c r="W66" s="38" t="n">
        <x:v>0</x:v>
      </x:c>
      <x:c r="X66" s="44" t="n">
        <x:v>0</x:v>
      </x:c>
      <x:c r="Y66" s="38" t="n">
        <x:v>22</x:v>
      </x:c>
      <x:c r="Z66" s="38" t="n">
        <x:v>31</x:v>
      </x:c>
      <x:c r="AA66" s="38" t="n">
        <x:v>13</x:v>
      </x:c>
      <x:c r="AB66" s="38" t="n">
        <x:v>6</x:v>
      </x:c>
      <x:c r="AC66" s="38" t="n">
        <x:v>26250</x:v>
      </x:c>
      <x:c r="AD66" s="38" t="n">
        <x:v>0</x:v>
      </x:c>
      <x:c r="AE66" s="38" t="n">
        <x:f>IF(B66=1,0,F66-Q65)</x:f>
        <x:v>0</x:v>
      </x:c>
    </x:row>
    <x:row r="67" ht="27" customHeight="1">
      <x:c r="A67" s="28" t="str">
        <x:v>Casual F2P</x:v>
      </x:c>
      <x:c r="B67" s="38" t="n">
        <x:v>63</x:v>
      </x:c>
      <x:c r="C67" s="38" t="n">
        <x:v>31</x:v>
      </x:c>
      <x:c r="D67" s="38" t="n">
        <x:v>351543</x:v>
      </x:c>
      <x:c r="E67" s="38" t="n">
        <x:v>75</x:v>
      </x:c>
      <x:c r="F67" s="38" t="n">
        <x:v>149593</x:v>
      </x:c>
      <x:c r="G67" s="38" t="n">
        <x:v>92750</x:v>
      </x:c>
      <x:c r="H67" s="38" t="n">
        <x:v>18921</x:v>
      </x:c>
      <x:c r="I67" s="38" t="n">
        <x:v>16313</x:v>
      </x:c>
      <x:c r="J67" s="38" t="n">
        <x:v>795</x:v>
      </x:c>
      <x:c r="K67" s="38" t="n">
        <x:v>0</x:v>
      </x:c>
      <x:c r="L67" s="38" t="n">
        <x:v>0</x:v>
      </x:c>
      <x:c r="M67" s="38" t="n">
        <x:v>0</x:v>
      </x:c>
      <x:c r="N67" s="38" t="n">
        <x:v>0</x:v>
      </x:c>
      <x:c r="O67" s="38" t="n">
        <x:v>0</x:v>
      </x:c>
      <x:c r="P67" s="38" t="n">
        <x:f>F67+G67-H67+I67+J67+K67+L67-M67-N67-O67</x:f>
        <x:v>240530</x:v>
      </x:c>
      <x:c r="Q67" s="38" t="n">
        <x:v>240530</x:v>
      </x:c>
      <x:c r="R67" s="38" t="n">
        <x:f>P67-Q67</x:f>
        <x:v>0</x:v>
      </x:c>
      <x:c r="S67" s="38" t="n">
        <x:v>74200</x:v>
      </x:c>
      <x:c r="T67" s="38" t="n">
        <x:v>15997</x:v>
      </x:c>
      <x:c r="U67" s="38" t="n">
        <x:v>68</x:v>
      </x:c>
      <x:c r="V67" s="38" t="n">
        <x:v>2</x:v>
      </x:c>
      <x:c r="W67" s="38" t="n">
        <x:v>0</x:v>
      </x:c>
      <x:c r="X67" s="44" t="n">
        <x:v>0</x:v>
      </x:c>
      <x:c r="Y67" s="38" t="n">
        <x:v>53</x:v>
      </x:c>
      <x:c r="Z67" s="38" t="n">
        <x:v>31</x:v>
      </x:c>
      <x:c r="AA67" s="38" t="n">
        <x:v>13</x:v>
      </x:c>
      <x:c r="AB67" s="38" t="n">
        <x:v>6</x:v>
      </x:c>
      <x:c r="AC67" s="38" t="n">
        <x:v>26621</x:v>
      </x:c>
      <x:c r="AD67" s="38" t="n">
        <x:v>0</x:v>
      </x:c>
      <x:c r="AE67" s="38" t="n">
        <x:f>IF(B67=1,0,F67-Q66)</x:f>
        <x:v>0</x:v>
      </x:c>
    </x:row>
    <x:row r="68" ht="27" customHeight="1">
      <x:c r="A68" s="28" t="str">
        <x:v>Casual F2P</x:v>
      </x:c>
      <x:c r="B68" s="38" t="n">
        <x:v>64</x:v>
      </x:c>
      <x:c r="C68" s="38" t="n">
        <x:v>31</x:v>
      </x:c>
      <x:c r="D68" s="38" t="n">
        <x:v>356765</x:v>
      </x:c>
      <x:c r="E68" s="38" t="n">
        <x:v>75</x:v>
      </x:c>
      <x:c r="F68" s="38" t="n">
        <x:v>240530</x:v>
      </x:c>
      <x:c r="G68" s="38" t="n">
        <x:v>38500</x:v>
      </x:c>
      <x:c r="H68" s="38" t="n">
        <x:v>7854</x:v>
      </x:c>
      <x:c r="I68" s="38" t="n">
        <x:v>2115</x:v>
      </x:c>
      <x:c r="J68" s="38" t="n">
        <x:v>0</x:v>
      </x:c>
      <x:c r="K68" s="38" t="n">
        <x:v>0</x:v>
      </x:c>
      <x:c r="L68" s="38" t="n">
        <x:v>0</x:v>
      </x:c>
      <x:c r="M68" s="38" t="n">
        <x:v>0</x:v>
      </x:c>
      <x:c r="N68" s="38" t="n">
        <x:v>0</x:v>
      </x:c>
      <x:c r="O68" s="38" t="n">
        <x:v>0</x:v>
      </x:c>
      <x:c r="P68" s="38" t="n">
        <x:f>F68+G68-H68+I68+J68+K68+L68-M68-N68-O68</x:f>
        <x:v>273291</x:v>
      </x:c>
      <x:c r="Q68" s="38" t="n">
        <x:v>273291</x:v>
      </x:c>
      <x:c r="R68" s="38" t="n">
        <x:f>P68-Q68</x:f>
        <x:v>0</x:v>
      </x:c>
      <x:c r="S68" s="38" t="n">
        <x:v>30800</x:v>
      </x:c>
      <x:c r="T68" s="38" t="n">
        <x:v>5222</x:v>
      </x:c>
      <x:c r="U68" s="38" t="n">
        <x:v>68</x:v>
      </x:c>
      <x:c r="V68" s="38" t="n">
        <x:v>0</x:v>
      </x:c>
      <x:c r="W68" s="38" t="n">
        <x:v>0</x:v>
      </x:c>
      <x:c r="X68" s="44" t="n">
        <x:v>0</x:v>
      </x:c>
      <x:c r="Y68" s="38" t="n">
        <x:v>22</x:v>
      </x:c>
      <x:c r="Z68" s="38" t="n">
        <x:v>31</x:v>
      </x:c>
      <x:c r="AA68" s="38" t="n">
        <x:v>13</x:v>
      </x:c>
      <x:c r="AB68" s="38" t="n">
        <x:v>6</x:v>
      </x:c>
      <x:c r="AC68" s="38" t="n">
        <x:v>26775</x:v>
      </x:c>
      <x:c r="AD68" s="38" t="n">
        <x:v>0</x:v>
      </x:c>
      <x:c r="AE68" s="38" t="n">
        <x:f>IF(B68=1,0,F68-Q67)</x:f>
        <x:v>0</x:v>
      </x:c>
    </x:row>
    <x:row r="69" ht="27" customHeight="1">
      <x:c r="A69" s="28" t="str">
        <x:v>Casual F2P</x:v>
      </x:c>
      <x:c r="B69" s="38" t="n">
        <x:v>65</x:v>
      </x:c>
      <x:c r="C69" s="38" t="n">
        <x:v>31</x:v>
      </x:c>
      <x:c r="D69" s="38" t="n">
        <x:v>368519</x:v>
      </x:c>
      <x:c r="E69" s="38" t="n">
        <x:v>75</x:v>
      </x:c>
      <x:c r="F69" s="38" t="n">
        <x:v>273291</x:v>
      </x:c>
      <x:c r="G69" s="38" t="n">
        <x:v>94552</x:v>
      </x:c>
      <x:c r="H69" s="38" t="n">
        <x:v>18921</x:v>
      </x:c>
      <x:c r="I69" s="38" t="n">
        <x:v>2115</x:v>
      </x:c>
      <x:c r="J69" s="38" t="n">
        <x:v>0</x:v>
      </x:c>
      <x:c r="K69" s="38" t="n">
        <x:v>0</x:v>
      </x:c>
      <x:c r="L69" s="38" t="n">
        <x:v>0</x:v>
      </x:c>
      <x:c r="M69" s="38" t="n">
        <x:v>0</x:v>
      </x:c>
      <x:c r="N69" s="38" t="n">
        <x:v>0</x:v>
      </x:c>
      <x:c r="O69" s="38" t="n">
        <x:v>0</x:v>
      </x:c>
      <x:c r="P69" s="38" t="n">
        <x:f>F69+G69-H69+I69+J69+K69+L69-M69-N69-O69</x:f>
        <x:v>351037</x:v>
      </x:c>
      <x:c r="Q69" s="38" t="n">
        <x:v>351037</x:v>
      </x:c>
      <x:c r="R69" s="38" t="n">
        <x:f>P69-Q69</x:f>
        <x:v>0</x:v>
      </x:c>
      <x:c r="S69" s="38" t="n">
        <x:v>75631</x:v>
      </x:c>
      <x:c r="T69" s="38" t="n">
        <x:v>11754</x:v>
      </x:c>
      <x:c r="U69" s="38" t="n">
        <x:v>68</x:v>
      </x:c>
      <x:c r="V69" s="38" t="n">
        <x:v>0</x:v>
      </x:c>
      <x:c r="W69" s="38" t="n">
        <x:v>0</x:v>
      </x:c>
      <x:c r="X69" s="44" t="n">
        <x:v>0</x:v>
      </x:c>
      <x:c r="Y69" s="38" t="n">
        <x:v>53</x:v>
      </x:c>
      <x:c r="Z69" s="38" t="n">
        <x:v>31</x:v>
      </x:c>
      <x:c r="AA69" s="38" t="n">
        <x:v>13</x:v>
      </x:c>
      <x:c r="AB69" s="38" t="n">
        <x:v>6</x:v>
      </x:c>
      <x:c r="AC69" s="38" t="n">
        <x:v>26775</x:v>
      </x:c>
      <x:c r="AD69" s="38" t="n">
        <x:v>0</x:v>
      </x:c>
      <x:c r="AE69" s="38" t="n">
        <x:f>IF(B69=1,0,F69-Q68)</x:f>
        <x:v>0</x:v>
      </x:c>
    </x:row>
    <x:row r="70" ht="27" customHeight="1">
      <x:c r="A70" s="28" t="str">
        <x:v>Casual F2P</x:v>
      </x:c>
      <x:c r="B70" s="38" t="n">
        <x:v>66</x:v>
      </x:c>
      <x:c r="C70" s="38" t="n">
        <x:v>32</x:v>
      </x:c>
      <x:c r="D70" s="38" t="n">
        <x:v>373763</x:v>
      </x:c>
      <x:c r="E70" s="38" t="n">
        <x:v>75</x:v>
      </x:c>
      <x:c r="F70" s="38" t="n">
        <x:v>351037</x:v>
      </x:c>
      <x:c r="G70" s="38" t="n">
        <x:v>39248</x:v>
      </x:c>
      <x:c r="H70" s="38" t="n">
        <x:v>7649</x:v>
      </x:c>
      <x:c r="I70" s="38" t="n">
        <x:v>2115</x:v>
      </x:c>
      <x:c r="J70" s="38" t="n">
        <x:v>810</x:v>
      </x:c>
      <x:c r="K70" s="38" t="n">
        <x:v>0</x:v>
      </x:c>
      <x:c r="L70" s="38" t="n">
        <x:v>0</x:v>
      </x:c>
      <x:c r="M70" s="38" t="n">
        <x:v>0</x:v>
      </x:c>
      <x:c r="N70" s="38" t="n">
        <x:v>570</x:v>
      </x:c>
      <x:c r="O70" s="38" t="n">
        <x:v>0</x:v>
      </x:c>
      <x:c r="P70" s="38" t="n">
        <x:f>F70+G70-H70+I70+J70+K70+L70-M70-N70-O70</x:f>
        <x:v>384991</x:v>
      </x:c>
      <x:c r="Q70" s="38" t="n">
        <x:v>384991</x:v>
      </x:c>
      <x:c r="R70" s="38" t="n">
        <x:f>P70-Q70</x:f>
        <x:v>0</x:v>
      </x:c>
      <x:c r="S70" s="38" t="n">
        <x:v>31394</x:v>
      </x:c>
      <x:c r="T70" s="38" t="n">
        <x:v>5244</x:v>
      </x:c>
      <x:c r="U70" s="38" t="n">
        <x:v>69</x:v>
      </x:c>
      <x:c r="V70" s="38" t="n">
        <x:v>1</x:v>
      </x:c>
      <x:c r="W70" s="38" t="n">
        <x:v>0</x:v>
      </x:c>
      <x:c r="X70" s="44" t="n">
        <x:v>0</x:v>
      </x:c>
      <x:c r="Y70" s="38" t="n">
        <x:v>22</x:v>
      </x:c>
      <x:c r="Z70" s="38" t="n">
        <x:v>31</x:v>
      </x:c>
      <x:c r="AA70" s="38" t="n">
        <x:v>14</x:v>
      </x:c>
      <x:c r="AB70" s="38" t="n">
        <x:v>6</x:v>
      </x:c>
      <x:c r="AC70" s="38" t="n">
        <x:v>26570</x:v>
      </x:c>
      <x:c r="AD70" s="38" t="n">
        <x:v>0</x:v>
      </x:c>
      <x:c r="AE70" s="38" t="n">
        <x:f>IF(B70=1,0,F70-Q69)</x:f>
        <x:v>0</x:v>
      </x:c>
    </x:row>
    <x:row r="71" ht="27" customHeight="1">
      <x:c r="A71" s="28" t="str">
        <x:v>Casual F2P</x:v>
      </x:c>
      <x:c r="B71" s="38" t="n">
        <x:v>67</x:v>
      </x:c>
      <x:c r="C71" s="38" t="n">
        <x:v>32</x:v>
      </x:c>
      <x:c r="D71" s="38" t="n">
        <x:v>385524</x:v>
      </x:c>
      <x:c r="E71" s="38" t="n">
        <x:v>75</x:v>
      </x:c>
      <x:c r="F71" s="38" t="n">
        <x:v>384991</x:v>
      </x:c>
      <x:c r="G71" s="38" t="n">
        <x:v>94573</x:v>
      </x:c>
      <x:c r="H71" s="38" t="n">
        <x:v>19656</x:v>
      </x:c>
      <x:c r="I71" s="38" t="n">
        <x:v>2156</x:v>
      </x:c>
      <x:c r="J71" s="38" t="n">
        <x:v>0</x:v>
      </x:c>
      <x:c r="K71" s="38" t="n">
        <x:v>0</x:v>
      </x:c>
      <x:c r="L71" s="38" t="n">
        <x:v>0</x:v>
      </x:c>
      <x:c r="M71" s="38" t="n">
        <x:v>0</x:v>
      </x:c>
      <x:c r="N71" s="38" t="n">
        <x:v>0</x:v>
      </x:c>
      <x:c r="O71" s="38" t="n">
        <x:v>0</x:v>
      </x:c>
      <x:c r="P71" s="38" t="n">
        <x:f>F71+G71-H71+I71+J71+K71+L71-M71-N71-O71</x:f>
        <x:v>462064</x:v>
      </x:c>
      <x:c r="Q71" s="38" t="n">
        <x:v>462064</x:v>
      </x:c>
      <x:c r="R71" s="38" t="n">
        <x:f>P71-Q71</x:f>
        <x:v>0</x:v>
      </x:c>
      <x:c r="S71" s="38" t="n">
        <x:v>75647</x:v>
      </x:c>
      <x:c r="T71" s="38" t="n">
        <x:v>11761</x:v>
      </x:c>
      <x:c r="U71" s="38" t="n">
        <x:v>69</x:v>
      </x:c>
      <x:c r="V71" s="38" t="n">
        <x:v>0</x:v>
      </x:c>
      <x:c r="W71" s="38" t="n">
        <x:v>0</x:v>
      </x:c>
      <x:c r="X71" s="44" t="n">
        <x:v>0</x:v>
      </x:c>
      <x:c r="Y71" s="38" t="n">
        <x:v>54</x:v>
      </x:c>
      <x:c r="Z71" s="38" t="n">
        <x:v>32</x:v>
      </x:c>
      <x:c r="AA71" s="38" t="n">
        <x:v>14</x:v>
      </x:c>
      <x:c r="AB71" s="38" t="n">
        <x:v>6</x:v>
      </x:c>
      <x:c r="AC71" s="38" t="n">
        <x:v>27300</x:v>
      </x:c>
      <x:c r="AD71" s="38" t="n">
        <x:v>0</x:v>
      </x:c>
      <x:c r="AE71" s="38" t="n">
        <x:f>IF(B71=1,0,F71-Q70)</x:f>
        <x:v>0</x:v>
      </x:c>
    </x:row>
    <x:row r="72" ht="27" customHeight="1">
      <x:c r="A72" s="28" t="str">
        <x:v>Casual F2P</x:v>
      </x:c>
      <x:c r="B72" s="38" t="n">
        <x:v>68</x:v>
      </x:c>
      <x:c r="C72" s="38" t="n">
        <x:v>32</x:v>
      </x:c>
      <x:c r="D72" s="38" t="n">
        <x:v>390605</x:v>
      </x:c>
      <x:c r="E72" s="38" t="n">
        <x:v>75</x:v>
      </x:c>
      <x:c r="F72" s="38" t="n">
        <x:v>462064</x:v>
      </x:c>
      <x:c r="G72" s="38" t="n">
        <x:v>38178</x:v>
      </x:c>
      <x:c r="H72" s="38" t="n">
        <x:v>7644</x:v>
      </x:c>
      <x:c r="I72" s="38" t="n">
        <x:v>2156</x:v>
      </x:c>
      <x:c r="J72" s="38" t="n">
        <x:v>0</x:v>
      </x:c>
      <x:c r="K72" s="38" t="n">
        <x:v>0</x:v>
      </x:c>
      <x:c r="L72" s="38" t="n">
        <x:v>0</x:v>
      </x:c>
      <x:c r="M72" s="38" t="n">
        <x:v>0</x:v>
      </x:c>
      <x:c r="N72" s="38" t="n">
        <x:v>0</x:v>
      </x:c>
      <x:c r="O72" s="38" t="n">
        <x:v>0</x:v>
      </x:c>
      <x:c r="P72" s="38" t="n">
        <x:f>F72+G72-H72+I72+J72+K72+L72-M72-N72-O72</x:f>
        <x:v>494754</x:v>
      </x:c>
      <x:c r="Q72" s="38" t="n">
        <x:v>494754</x:v>
      </x:c>
      <x:c r="R72" s="38" t="n">
        <x:f>P72-Q72</x:f>
        <x:v>0</x:v>
      </x:c>
      <x:c r="S72" s="38" t="n">
        <x:v>30534</x:v>
      </x:c>
      <x:c r="T72" s="38" t="n">
        <x:v>5081</x:v>
      </x:c>
      <x:c r="U72" s="38" t="n">
        <x:v>69</x:v>
      </x:c>
      <x:c r="V72" s="38" t="n">
        <x:v>0</x:v>
      </x:c>
      <x:c r="W72" s="38" t="n">
        <x:v>0</x:v>
      </x:c>
      <x:c r="X72" s="44" t="n">
        <x:v>0</x:v>
      </x:c>
      <x:c r="Y72" s="38" t="n">
        <x:v>21</x:v>
      </x:c>
      <x:c r="Z72" s="38" t="n">
        <x:v>32</x:v>
      </x:c>
      <x:c r="AA72" s="38" t="n">
        <x:v>14</x:v>
      </x:c>
      <x:c r="AB72" s="38" t="n">
        <x:v>6</x:v>
      </x:c>
      <x:c r="AC72" s="38" t="n">
        <x:v>27300</x:v>
      </x:c>
      <x:c r="AD72" s="38" t="n">
        <x:v>0</x:v>
      </x:c>
      <x:c r="AE72" s="38" t="n">
        <x:f>IF(B72=1,0,F72-Q71)</x:f>
        <x:v>0</x:v>
      </x:c>
    </x:row>
    <x:row r="73" ht="27" customHeight="1">
      <x:c r="A73" s="28" t="str">
        <x:v>Casual F2P</x:v>
      </x:c>
      <x:c r="B73" s="38" t="n">
        <x:v>69</x:v>
      </x:c>
      <x:c r="C73" s="38" t="n">
        <x:v>32</x:v>
      </x:c>
      <x:c r="D73" s="38" t="n">
        <x:v>402682</x:v>
      </x:c>
      <x:c r="E73" s="38" t="n">
        <x:v>75</x:v>
      </x:c>
      <x:c r="F73" s="38" t="n">
        <x:v>494754</x:v>
      </x:c>
      <x:c r="G73" s="38" t="n">
        <x:v>98172</x:v>
      </x:c>
      <x:c r="H73" s="38" t="n">
        <x:v>19656</x:v>
      </x:c>
      <x:c r="I73" s="38" t="n">
        <x:v>2156</x:v>
      </x:c>
      <x:c r="J73" s="38" t="n">
        <x:v>0</x:v>
      </x:c>
      <x:c r="K73" s="38" t="n">
        <x:v>0</x:v>
      </x:c>
      <x:c r="L73" s="38" t="n">
        <x:v>0</x:v>
      </x:c>
      <x:c r="M73" s="38" t="n">
        <x:v>0</x:v>
      </x:c>
      <x:c r="N73" s="38" t="n">
        <x:v>0</x:v>
      </x:c>
      <x:c r="O73" s="38" t="n">
        <x:v>0</x:v>
      </x:c>
      <x:c r="P73" s="38" t="n">
        <x:f>F73+G73-H73+I73+J73+K73+L73-M73-N73-O73</x:f>
        <x:v>575426</x:v>
      </x:c>
      <x:c r="Q73" s="38" t="n">
        <x:v>575426</x:v>
      </x:c>
      <x:c r="R73" s="38" t="n">
        <x:f>P73-Q73</x:f>
        <x:v>0</x:v>
      </x:c>
      <x:c r="S73" s="38" t="n">
        <x:v>78516</x:v>
      </x:c>
      <x:c r="T73" s="38" t="n">
        <x:v>12077</x:v>
      </x:c>
      <x:c r="U73" s="38" t="n">
        <x:v>69</x:v>
      </x:c>
      <x:c r="V73" s="38" t="n">
        <x:v>0</x:v>
      </x:c>
      <x:c r="W73" s="38" t="n">
        <x:v>0</x:v>
      </x:c>
      <x:c r="X73" s="44" t="n">
        <x:v>0</x:v>
      </x:c>
      <x:c r="Y73" s="38" t="n">
        <x:v>54</x:v>
      </x:c>
      <x:c r="Z73" s="38" t="n">
        <x:v>32</x:v>
      </x:c>
      <x:c r="AA73" s="38" t="n">
        <x:v>14</x:v>
      </x:c>
      <x:c r="AB73" s="38" t="n">
        <x:v>6</x:v>
      </x:c>
      <x:c r="AC73" s="38" t="n">
        <x:v>27300</x:v>
      </x:c>
      <x:c r="AD73" s="38" t="n">
        <x:v>0</x:v>
      </x:c>
      <x:c r="AE73" s="38" t="n">
        <x:f>IF(B73=1,0,F73-Q72)</x:f>
        <x:v>0</x:v>
      </x:c>
    </x:row>
    <x:row r="74" ht="27" customHeight="1">
      <x:c r="A74" s="28" t="str">
        <x:v>Casual F2P</x:v>
      </x:c>
      <x:c r="B74" s="38" t="n">
        <x:v>70</x:v>
      </x:c>
      <x:c r="C74" s="38" t="n">
        <x:v>33</x:v>
      </x:c>
      <x:c r="D74" s="38" t="n">
        <x:v>412443</x:v>
      </x:c>
      <x:c r="E74" s="38" t="n">
        <x:v>75</x:v>
      </x:c>
      <x:c r="F74" s="38" t="n">
        <x:v>575426</x:v>
      </x:c>
      <x:c r="G74" s="38" t="n">
        <x:v>38178</x:v>
      </x:c>
      <x:c r="H74" s="38" t="n">
        <x:v>7515</x:v>
      </x:c>
      <x:c r="I74" s="38" t="n">
        <x:v>18018</x:v>
      </x:c>
      <x:c r="J74" s="38" t="n">
        <x:v>825</x:v>
      </x:c>
      <x:c r="K74" s="38" t="n">
        <x:v>0</x:v>
      </x:c>
      <x:c r="L74" s="38" t="n">
        <x:v>0</x:v>
      </x:c>
      <x:c r="M74" s="38" t="n">
        <x:v>0</x:v>
      </x:c>
      <x:c r="N74" s="38" t="n">
        <x:v>0</x:v>
      </x:c>
      <x:c r="O74" s="38" t="n">
        <x:v>0</x:v>
      </x:c>
      <x:c r="P74" s="38" t="n">
        <x:f>F74+G74-H74+I74+J74+K74+L74-M74-N74-O74</x:f>
        <x:v>624932</x:v>
      </x:c>
      <x:c r="Q74" s="38" t="n">
        <x:v>624932</x:v>
      </x:c>
      <x:c r="R74" s="38" t="n">
        <x:f>P74-Q74</x:f>
        <x:v>0</x:v>
      </x:c>
      <x:c r="S74" s="38" t="n">
        <x:v>30534</x:v>
      </x:c>
      <x:c r="T74" s="38" t="n">
        <x:v>9761</x:v>
      </x:c>
      <x:c r="U74" s="38" t="n">
        <x:v>71</x:v>
      </x:c>
      <x:c r="V74" s="38" t="n">
        <x:v>2</x:v>
      </x:c>
      <x:c r="W74" s="38" t="n">
        <x:v>0</x:v>
      </x:c>
      <x:c r="X74" s="44" t="n">
        <x:v>0</x:v>
      </x:c>
      <x:c r="Y74" s="38" t="n">
        <x:v>21</x:v>
      </x:c>
      <x:c r="Z74" s="38" t="n">
        <x:v>32</x:v>
      </x:c>
      <x:c r="AA74" s="38" t="n">
        <x:v>14</x:v>
      </x:c>
      <x:c r="AB74" s="38" t="n">
        <x:v>6</x:v>
      </x:c>
      <x:c r="AC74" s="38" t="n">
        <x:v>27171</x:v>
      </x:c>
      <x:c r="AD74" s="38" t="n">
        <x:v>0</x:v>
      </x:c>
      <x:c r="AE74" s="38" t="n">
        <x:f>IF(B74=1,0,F74-Q73)</x:f>
        <x:v>0</x:v>
      </x:c>
    </x:row>
    <x:row r="75" ht="27" customHeight="1">
      <x:c r="A75" s="28" t="str">
        <x:v>Casual F2P</x:v>
      </x:c>
      <x:c r="B75" s="38" t="n">
        <x:v>71</x:v>
      </x:c>
      <x:c r="C75" s="38" t="n">
        <x:v>33</x:v>
      </x:c>
      <x:c r="D75" s="38" t="n">
        <x:v>424580</x:v>
      </x:c>
      <x:c r="E75" s="38" t="n">
        <x:v>75</x:v>
      </x:c>
      <x:c r="F75" s="38" t="n">
        <x:v>624932</x:v>
      </x:c>
      <x:c r="G75" s="38" t="n">
        <x:v>98648</x:v>
      </x:c>
      <x:c r="H75" s="38" t="n">
        <x:v>20405</x:v>
      </x:c>
      <x:c r="I75" s="38" t="n">
        <x:v>2196</x:v>
      </x:c>
      <x:c r="J75" s="38" t="n">
        <x:v>0</x:v>
      </x:c>
      <x:c r="K75" s="38" t="n">
        <x:v>0</x:v>
      </x:c>
      <x:c r="L75" s="38" t="n">
        <x:v>0</x:v>
      </x:c>
      <x:c r="M75" s="38" t="n">
        <x:v>0</x:v>
      </x:c>
      <x:c r="N75" s="38" t="n">
        <x:v>905</x:v>
      </x:c>
      <x:c r="O75" s="38" t="n">
        <x:v>0</x:v>
      </x:c>
      <x:c r="P75" s="38" t="n">
        <x:f>F75+G75-H75+I75+J75+K75+L75-M75-N75-O75</x:f>
        <x:v>704466</x:v>
      </x:c>
      <x:c r="Q75" s="38" t="n">
        <x:v>704466</x:v>
      </x:c>
      <x:c r="R75" s="38" t="n">
        <x:f>P75-Q75</x:f>
        <x:v>0</x:v>
      </x:c>
      <x:c r="S75" s="38" t="n">
        <x:v>78897</x:v>
      </x:c>
      <x:c r="T75" s="38" t="n">
        <x:v>12137</x:v>
      </x:c>
      <x:c r="U75" s="38" t="n">
        <x:v>71</x:v>
      </x:c>
      <x:c r="V75" s="38" t="n">
        <x:v>0</x:v>
      </x:c>
      <x:c r="W75" s="38" t="n">
        <x:v>0</x:v>
      </x:c>
      <x:c r="X75" s="44" t="n">
        <x:v>0</x:v>
      </x:c>
      <x:c r="Y75" s="38" t="n">
        <x:v>55</x:v>
      </x:c>
      <x:c r="Z75" s="38" t="n">
        <x:v>33</x:v>
      </x:c>
      <x:c r="AA75" s="38" t="n">
        <x:v>15</x:v>
      </x:c>
      <x:c r="AB75" s="38" t="n">
        <x:v>6</x:v>
      </x:c>
      <x:c r="AC75" s="38" t="n">
        <x:v>27825</x:v>
      </x:c>
      <x:c r="AD75" s="38" t="n">
        <x:v>0</x:v>
      </x:c>
      <x:c r="AE75" s="38" t="n">
        <x:f>IF(B75=1,0,F75-Q74)</x:f>
        <x:v>0</x:v>
      </x:c>
    </x:row>
    <x:row r="76" ht="27" customHeight="1">
      <x:c r="A76" s="28" t="str">
        <x:v>Casual F2P</x:v>
      </x:c>
      <x:c r="B76" s="38" t="n">
        <x:v>72</x:v>
      </x:c>
      <x:c r="C76" s="38" t="n">
        <x:v>33</x:v>
      </x:c>
      <x:c r="D76" s="38" t="n">
        <x:v>429494</x:v>
      </x:c>
      <x:c r="E76" s="38" t="n">
        <x:v>75</x:v>
      </x:c>
      <x:c r="F76" s="38" t="n">
        <x:v>704466</x:v>
      </x:c>
      <x:c r="G76" s="38" t="n">
        <x:v>37060</x:v>
      </x:c>
      <x:c r="H76" s="38" t="n">
        <x:v>7420</x:v>
      </x:c>
      <x:c r="I76" s="38" t="n">
        <x:v>2196</x:v>
      </x:c>
      <x:c r="J76" s="38" t="n">
        <x:v>0</x:v>
      </x:c>
      <x:c r="K76" s="38" t="n">
        <x:v>0</x:v>
      </x:c>
      <x:c r="L76" s="38" t="n">
        <x:v>0</x:v>
      </x:c>
      <x:c r="M76" s="38" t="n">
        <x:v>0</x:v>
      </x:c>
      <x:c r="N76" s="38" t="n">
        <x:v>0</x:v>
      </x:c>
      <x:c r="O76" s="38" t="n">
        <x:v>0</x:v>
      </x:c>
      <x:c r="P76" s="38" t="n">
        <x:f>F76+G76-H76+I76+J76+K76+L76-M76-N76-O76</x:f>
        <x:v>736302</x:v>
      </x:c>
      <x:c r="Q76" s="38" t="n">
        <x:v>736302</x:v>
      </x:c>
      <x:c r="R76" s="38" t="n">
        <x:f>P76-Q76</x:f>
        <x:v>0</x:v>
      </x:c>
      <x:c r="S76" s="38" t="n">
        <x:v>29640</x:v>
      </x:c>
      <x:c r="T76" s="38" t="n">
        <x:v>4914</x:v>
      </x:c>
      <x:c r="U76" s="38" t="n">
        <x:v>71</x:v>
      </x:c>
      <x:c r="V76" s="38" t="n">
        <x:v>0</x:v>
      </x:c>
      <x:c r="W76" s="38" t="n">
        <x:v>0</x:v>
      </x:c>
      <x:c r="X76" s="44" t="n">
        <x:v>0</x:v>
      </x:c>
      <x:c r="Y76" s="38" t="n">
        <x:v>20</x:v>
      </x:c>
      <x:c r="Z76" s="38" t="n">
        <x:v>33</x:v>
      </x:c>
      <x:c r="AA76" s="38" t="n">
        <x:v>15</x:v>
      </x:c>
      <x:c r="AB76" s="38" t="n">
        <x:v>6</x:v>
      </x:c>
      <x:c r="AC76" s="38" t="n">
        <x:v>27825</x:v>
      </x:c>
      <x:c r="AD76" s="38" t="n">
        <x:v>0</x:v>
      </x:c>
      <x:c r="AE76" s="38" t="n">
        <x:f>IF(B76=1,0,F76-Q75)</x:f>
        <x:v>0</x:v>
      </x:c>
    </x:row>
    <x:row r="77" ht="27" customHeight="1">
      <x:c r="A77" s="28" t="str">
        <x:v>Casual F2P</x:v>
      </x:c>
      <x:c r="B77" s="38" t="n">
        <x:v>73</x:v>
      </x:c>
      <x:c r="C77" s="38" t="n">
        <x:v>34</x:v>
      </x:c>
      <x:c r="D77" s="38" t="n">
        <x:v>441898</x:v>
      </x:c>
      <x:c r="E77" s="38" t="n">
        <x:v>85</x:v>
      </x:c>
      <x:c r="F77" s="38" t="n">
        <x:v>736302</x:v>
      </x:c>
      <x:c r="G77" s="38" t="n">
        <x:v>101915</x:v>
      </x:c>
      <x:c r="H77" s="38" t="n">
        <x:v>24225</x:v>
      </x:c>
      <x:c r="I77" s="38" t="n">
        <x:v>2196</x:v>
      </x:c>
      <x:c r="J77" s="38" t="n">
        <x:v>950</x:v>
      </x:c>
      <x:c r="K77" s="38" t="n">
        <x:v>0</x:v>
      </x:c>
      <x:c r="L77" s="38" t="n">
        <x:v>0</x:v>
      </x:c>
      <x:c r="M77" s="38" t="n">
        <x:v>600000</x:v>
      </x:c>
      <x:c r="N77" s="38" t="n">
        <x:v>0</x:v>
      </x:c>
      <x:c r="O77" s="38" t="n">
        <x:v>121725</x:v>
      </x:c>
      <x:c r="P77" s="38" t="n">
        <x:f>F77+G77-H77+I77+J77+K77+L77-M77-N77-O77</x:f>
        <x:v>95413</x:v>
      </x:c>
      <x:c r="Q77" s="38" t="n">
        <x:v>95413</x:v>
      </x:c>
      <x:c r="R77" s="38" t="n">
        <x:f>P77-Q77</x:f>
        <x:v>0</x:v>
      </x:c>
      <x:c r="S77" s="38" t="n">
        <x:v>81510</x:v>
      </x:c>
      <x:c r="T77" s="38" t="n">
        <x:v>12404</x:v>
      </x:c>
      <x:c r="U77" s="38" t="n">
        <x:v>72</x:v>
      </x:c>
      <x:c r="V77" s="38" t="n">
        <x:v>1</x:v>
      </x:c>
      <x:c r="W77" s="38" t="n">
        <x:v>0</x:v>
      </x:c>
      <x:c r="X77" s="44" t="n">
        <x:v>0</x:v>
      </x:c>
      <x:c r="Y77" s="38" t="n">
        <x:v>55</x:v>
      </x:c>
      <x:c r="Z77" s="38" t="n">
        <x:v>33</x:v>
      </x:c>
      <x:c r="AA77" s="38" t="n">
        <x:v>15</x:v>
      </x:c>
      <x:c r="AB77" s="38" t="n">
        <x:v>6</x:v>
      </x:c>
      <x:c r="AC77" s="38" t="n">
        <x:v>31645</x:v>
      </x:c>
      <x:c r="AD77" s="38" t="n">
        <x:v>0</x:v>
      </x:c>
      <x:c r="AE77" s="38" t="n">
        <x:f>IF(B77=1,0,F77-Q76)</x:f>
        <x:v>0</x:v>
      </x:c>
    </x:row>
    <x:row r="78" ht="27" customHeight="1">
      <x:c r="A78" s="28" t="str">
        <x:v>Casual F2P</x:v>
      </x:c>
      <x:c r="B78" s="38" t="n">
        <x:v>74</x:v>
      </x:c>
      <x:c r="C78" s="38" t="n">
        <x:v>34</x:v>
      </x:c>
      <x:c r="D78" s="38" t="n">
        <x:v>446957</x:v>
      </x:c>
      <x:c r="E78" s="38" t="n">
        <x:v>85</x:v>
      </x:c>
      <x:c r="F78" s="38" t="n">
        <x:v>95413</x:v>
      </x:c>
      <x:c r="G78" s="38" t="n">
        <x:v>37545</x:v>
      </x:c>
      <x:c r="H78" s="38" t="n">
        <x:v>7917</x:v>
      </x:c>
      <x:c r="I78" s="38" t="n">
        <x:v>2535</x:v>
      </x:c>
      <x:c r="J78" s="38" t="n">
        <x:v>0</x:v>
      </x:c>
      <x:c r="K78" s="38" t="n">
        <x:v>0</x:v>
      </x:c>
      <x:c r="L78" s="38" t="n">
        <x:v>0</x:v>
      </x:c>
      <x:c r="M78" s="38" t="n">
        <x:v>0</x:v>
      </x:c>
      <x:c r="N78" s="38" t="n">
        <x:v>0</x:v>
      </x:c>
      <x:c r="O78" s="38" t="n">
        <x:v>32163</x:v>
      </x:c>
      <x:c r="P78" s="38" t="n">
        <x:f>F78+G78-H78+I78+J78+K78+L78-M78-N78-O78</x:f>
        <x:v>95413</x:v>
      </x:c>
      <x:c r="Q78" s="38" t="n">
        <x:v>95413</x:v>
      </x:c>
      <x:c r="R78" s="38" t="n">
        <x:f>P78-Q78</x:f>
        <x:v>0</x:v>
      </x:c>
      <x:c r="S78" s="38" t="n">
        <x:v>30028</x:v>
      </x:c>
      <x:c r="T78" s="38" t="n">
        <x:v>5059</x:v>
      </x:c>
      <x:c r="U78" s="38" t="n">
        <x:v>72</x:v>
      </x:c>
      <x:c r="V78" s="38" t="n">
        <x:v>0</x:v>
      </x:c>
      <x:c r="W78" s="38" t="n">
        <x:v>0</x:v>
      </x:c>
      <x:c r="X78" s="44" t="n">
        <x:v>0</x:v>
      </x:c>
      <x:c r="Y78" s="38" t="n">
        <x:v>21</x:v>
      </x:c>
      <x:c r="Z78" s="38" t="n">
        <x:v>34</x:v>
      </x:c>
      <x:c r="AA78" s="38" t="n">
        <x:v>15</x:v>
      </x:c>
      <x:c r="AB78" s="38" t="n">
        <x:v>6</x:v>
      </x:c>
      <x:c r="AC78" s="38" t="n">
        <x:v>32045</x:v>
      </x:c>
      <x:c r="AD78" s="38" t="n">
        <x:v>0</x:v>
      </x:c>
      <x:c r="AE78" s="38" t="n">
        <x:f>IF(B78=1,0,F78-Q77)</x:f>
        <x:v>0</x:v>
      </x:c>
    </x:row>
    <x:row r="79" ht="27" customHeight="1">
      <x:c r="A79" s="28" t="str">
        <x:v>Casual F2P</x:v>
      </x:c>
      <x:c r="B79" s="38" t="n">
        <x:v>75</x:v>
      </x:c>
      <x:c r="C79" s="38" t="n">
        <x:v>34</x:v>
      </x:c>
      <x:c r="D79" s="38" t="n">
        <x:v>461441</x:v>
      </x:c>
      <x:c r="E79" s="38" t="n">
        <x:v>85</x:v>
      </x:c>
      <x:c r="F79" s="38" t="n">
        <x:v>95413</x:v>
      </x:c>
      <x:c r="G79" s="38" t="n">
        <x:v>120704</x:v>
      </x:c>
      <x:c r="H79" s="38" t="n">
        <x:v>24128</x:v>
      </x:c>
      <x:c r="I79" s="38" t="n">
        <x:v>2535</x:v>
      </x:c>
      <x:c r="J79" s="38" t="n">
        <x:v>0</x:v>
      </x:c>
      <x:c r="K79" s="38" t="n">
        <x:v>0</x:v>
      </x:c>
      <x:c r="L79" s="38" t="n">
        <x:v>0</x:v>
      </x:c>
      <x:c r="M79" s="38" t="n">
        <x:v>0</x:v>
      </x:c>
      <x:c r="N79" s="38" t="n">
        <x:v>0</x:v>
      </x:c>
      <x:c r="O79" s="38" t="n">
        <x:v>36212</x:v>
      </x:c>
      <x:c r="P79" s="38" t="n">
        <x:f>F79+G79-H79+I79+J79+K79+L79-M79-N79-O79</x:f>
        <x:v>158312</x:v>
      </x:c>
      <x:c r="Q79" s="38" t="n">
        <x:v>158312</x:v>
      </x:c>
      <x:c r="R79" s="38" t="n">
        <x:f>P79-Q79</x:f>
        <x:v>0</x:v>
      </x:c>
      <x:c r="S79" s="38" t="n">
        <x:v>96576</x:v>
      </x:c>
      <x:c r="T79" s="38" t="n">
        <x:v>14484</x:v>
      </x:c>
      <x:c r="U79" s="38" t="n">
        <x:v>72</x:v>
      </x:c>
      <x:c r="V79" s="38" t="n">
        <x:v>0</x:v>
      </x:c>
      <x:c r="W79" s="38" t="n">
        <x:v>0</x:v>
      </x:c>
      <x:c r="X79" s="44" t="n">
        <x:v>0</x:v>
      </x:c>
      <x:c r="Y79" s="38" t="n">
        <x:v>64</x:v>
      </x:c>
      <x:c r="Z79" s="38" t="n">
        <x:v>34</x:v>
      </x:c>
      <x:c r="AA79" s="38" t="n">
        <x:v>15</x:v>
      </x:c>
      <x:c r="AB79" s="38" t="n">
        <x:v>7</x:v>
      </x:c>
      <x:c r="AC79" s="38" t="n">
        <x:v>32045</x:v>
      </x:c>
      <x:c r="AD79" s="38" t="n">
        <x:v>0</x:v>
      </x:c>
      <x:c r="AE79" s="38" t="n">
        <x:f>IF(B79=1,0,F79-Q78)</x:f>
        <x:v>0</x:v>
      </x:c>
    </x:row>
    <x:row r="80" ht="27" customHeight="1">
      <x:c r="A80" s="28" t="str">
        <x:v>Casual F2P</x:v>
      </x:c>
      <x:c r="B80" s="38" t="n">
        <x:v>76</x:v>
      </x:c>
      <x:c r="C80" s="38" t="n">
        <x:v>34</x:v>
      </x:c>
      <x:c r="D80" s="38" t="n">
        <x:v>466680</x:v>
      </x:c>
      <x:c r="E80" s="38" t="n">
        <x:v>85</x:v>
      </x:c>
      <x:c r="F80" s="38" t="n">
        <x:v>158312</x:v>
      </x:c>
      <x:c r="G80" s="38" t="n">
        <x:v>39606</x:v>
      </x:c>
      <x:c r="H80" s="38" t="n">
        <x:v>7917</x:v>
      </x:c>
      <x:c r="I80" s="38" t="n">
        <x:v>2535</x:v>
      </x:c>
      <x:c r="J80" s="38" t="n">
        <x:v>0</x:v>
      </x:c>
      <x:c r="K80" s="38" t="n">
        <x:v>0</x:v>
      </x:c>
      <x:c r="L80" s="38" t="n">
        <x:v>0</x:v>
      </x:c>
      <x:c r="M80" s="38" t="n">
        <x:v>0</x:v>
      </x:c>
      <x:c r="N80" s="38" t="n">
        <x:v>1700</x:v>
      </x:c>
      <x:c r="O80" s="38" t="n">
        <x:v>0</x:v>
      </x:c>
      <x:c r="P80" s="38" t="n">
        <x:f>F80+G80-H80+I80+J80+K80+L80-M80-N80-O80</x:f>
        <x:v>190836</x:v>
      </x:c>
      <x:c r="Q80" s="38" t="n">
        <x:v>190836</x:v>
      </x:c>
      <x:c r="R80" s="38" t="n">
        <x:f>P80-Q80</x:f>
        <x:v>0</x:v>
      </x:c>
      <x:c r="S80" s="38" t="n">
        <x:v>31689</x:v>
      </x:c>
      <x:c r="T80" s="38" t="n">
        <x:v>5239</x:v>
      </x:c>
      <x:c r="U80" s="38" t="n">
        <x:v>72</x:v>
      </x:c>
      <x:c r="V80" s="38" t="n">
        <x:v>0</x:v>
      </x:c>
      <x:c r="W80" s="38" t="n">
        <x:v>0</x:v>
      </x:c>
      <x:c r="X80" s="44" t="n">
        <x:v>0</x:v>
      </x:c>
      <x:c r="Y80" s="38" t="n">
        <x:v>21</x:v>
      </x:c>
      <x:c r="Z80" s="38" t="n">
        <x:v>34</x:v>
      </x:c>
      <x:c r="AA80" s="38" t="n">
        <x:v>16</x:v>
      </x:c>
      <x:c r="AB80" s="38" t="n">
        <x:v>7</x:v>
      </x:c>
      <x:c r="AC80" s="38" t="n">
        <x:v>32045</x:v>
      </x:c>
      <x:c r="AD80" s="38" t="n">
        <x:v>0</x:v>
      </x:c>
      <x:c r="AE80" s="38" t="n">
        <x:f>IF(B80=1,0,F80-Q79)</x:f>
        <x:v>0</x:v>
      </x:c>
    </x:row>
    <x:row r="81" ht="27" customHeight="1">
      <x:c r="A81" s="28" t="str">
        <x:v>Casual F2P</x:v>
      </x:c>
      <x:c r="B81" s="38" t="n">
        <x:v>77</x:v>
      </x:c>
      <x:c r="C81" s="38" t="n">
        <x:v>35</x:v>
      </x:c>
      <x:c r="D81" s="38" t="n">
        <x:v>485916</x:v>
      </x:c>
      <x:c r="E81" s="38" t="n">
        <x:v>85</x:v>
      </x:c>
      <x:c r="F81" s="38" t="n">
        <x:v>190836</x:v>
      </x:c>
      <x:c r="G81" s="38" t="n">
        <x:v>120704</x:v>
      </x:c>
      <x:c r="H81" s="38" t="n">
        <x:v>24576</x:v>
      </x:c>
      <x:c r="I81" s="38" t="n">
        <x:v>19005</x:v>
      </x:c>
      <x:c r="J81" s="38" t="n">
        <x:v>970</x:v>
      </x:c>
      <x:c r="K81" s="38" t="n">
        <x:v>0</x:v>
      </x:c>
      <x:c r="L81" s="38" t="n">
        <x:v>0</x:v>
      </x:c>
      <x:c r="M81" s="38" t="n">
        <x:v>0</x:v>
      </x:c>
      <x:c r="N81" s="38" t="n">
        <x:v>0</x:v>
      </x:c>
      <x:c r="O81" s="38" t="n">
        <x:v>0</x:v>
      </x:c>
      <x:c r="P81" s="38" t="n">
        <x:f>F81+G81-H81+I81+J81+K81+L81-M81-N81-O81</x:f>
        <x:v>306939</x:v>
      </x:c>
      <x:c r="Q81" s="38" t="n">
        <x:v>306939</x:v>
      </x:c>
      <x:c r="R81" s="38" t="n">
        <x:f>P81-Q81</x:f>
        <x:v>0</x:v>
      </x:c>
      <x:c r="S81" s="38" t="n">
        <x:v>96576</x:v>
      </x:c>
      <x:c r="T81" s="38" t="n">
        <x:v>19236</x:v>
      </x:c>
      <x:c r="U81" s="38" t="n">
        <x:v>77</x:v>
      </x:c>
      <x:c r="V81" s="38" t="n">
        <x:v>5</x:v>
      </x:c>
      <x:c r="W81" s="38" t="n">
        <x:v>0</x:v>
      </x:c>
      <x:c r="X81" s="44" t="n">
        <x:v>0</x:v>
      </x:c>
      <x:c r="Y81" s="38" t="n">
        <x:v>64</x:v>
      </x:c>
      <x:c r="Z81" s="38" t="n">
        <x:v>34</x:v>
      </x:c>
      <x:c r="AA81" s="38" t="n">
        <x:v>16</x:v>
      </x:c>
      <x:c r="AB81" s="38" t="n">
        <x:v>7</x:v>
      </x:c>
      <x:c r="AC81" s="38" t="n">
        <x:v>32493</x:v>
      </x:c>
      <x:c r="AD81" s="38" t="n">
        <x:v>0</x:v>
      </x:c>
      <x:c r="AE81" s="38" t="n">
        <x:f>IF(B81=1,0,F81-Q80)</x:f>
        <x:v>0</x:v>
      </x:c>
    </x:row>
    <x:row r="82" ht="27" customHeight="1">
      <x:c r="A82" s="28" t="str">
        <x:v>Casual F2P</x:v>
      </x:c>
      <x:c r="B82" s="38" t="n">
        <x:v>78</x:v>
      </x:c>
      <x:c r="C82" s="38" t="n">
        <x:v>35</x:v>
      </x:c>
      <x:c r="D82" s="38" t="n">
        <x:v>491160</x:v>
      </x:c>
      <x:c r="E82" s="38" t="n">
        <x:v>85</x:v>
      </x:c>
      <x:c r="F82" s="38" t="n">
        <x:v>306939</x:v>
      </x:c>
      <x:c r="G82" s="38" t="n">
        <x:v>39606</x:v>
      </x:c>
      <x:c r="H82" s="38" t="n">
        <x:v>8064</x:v>
      </x:c>
      <x:c r="I82" s="38" t="n">
        <x:v>2581</x:v>
      </x:c>
      <x:c r="J82" s="38" t="n">
        <x:v>0</x:v>
      </x:c>
      <x:c r="K82" s="38" t="n">
        <x:v>0</x:v>
      </x:c>
      <x:c r="L82" s="38" t="n">
        <x:v>0</x:v>
      </x:c>
      <x:c r="M82" s="38" t="n">
        <x:v>0</x:v>
      </x:c>
      <x:c r="N82" s="38" t="n">
        <x:v>0</x:v>
      </x:c>
      <x:c r="O82" s="38" t="n">
        <x:v>0</x:v>
      </x:c>
      <x:c r="P82" s="38" t="n">
        <x:f>F82+G82-H82+I82+J82+K82+L82-M82-N82-O82</x:f>
        <x:v>341062</x:v>
      </x:c>
      <x:c r="Q82" s="38" t="n">
        <x:v>341062</x:v>
      </x:c>
      <x:c r="R82" s="38" t="n">
        <x:f>P82-Q82</x:f>
        <x:v>0</x:v>
      </x:c>
      <x:c r="S82" s="38" t="n">
        <x:v>31689</x:v>
      </x:c>
      <x:c r="T82" s="38" t="n">
        <x:v>5244</x:v>
      </x:c>
      <x:c r="U82" s="38" t="n">
        <x:v>81</x:v>
      </x:c>
      <x:c r="V82" s="38" t="n">
        <x:v>4</x:v>
      </x:c>
      <x:c r="W82" s="38" t="n">
        <x:v>0</x:v>
      </x:c>
      <x:c r="X82" s="44" t="n">
        <x:v>0</x:v>
      </x:c>
      <x:c r="Y82" s="38" t="n">
        <x:v>21</x:v>
      </x:c>
      <x:c r="Z82" s="38" t="n">
        <x:v>34</x:v>
      </x:c>
      <x:c r="AA82" s="38" t="n">
        <x:v>16</x:v>
      </x:c>
      <x:c r="AB82" s="38" t="n">
        <x:v>7</x:v>
      </x:c>
      <x:c r="AC82" s="38" t="n">
        <x:v>32640</x:v>
      </x:c>
      <x:c r="AD82" s="38" t="n">
        <x:v>0</x:v>
      </x:c>
      <x:c r="AE82" s="38" t="n">
        <x:f>IF(B82=1,0,F82-Q81)</x:f>
        <x:v>0</x:v>
      </x:c>
    </x:row>
    <x:row r="83" ht="27" customHeight="1">
      <x:c r="A83" s="28" t="str">
        <x:v>Casual F2P</x:v>
      </x:c>
      <x:c r="B83" s="38" t="n">
        <x:v>79</x:v>
      </x:c>
      <x:c r="C83" s="38" t="n">
        <x:v>35</x:v>
      </x:c>
      <x:c r="D83" s="38" t="n">
        <x:v>505777</x:v>
      </x:c>
      <x:c r="E83" s="38" t="n">
        <x:v>85</x:v>
      </x:c>
      <x:c r="F83" s="38" t="n">
        <x:v>341062</x:v>
      </x:c>
      <x:c r="G83" s="38" t="n">
        <x:v>122880</x:v>
      </x:c>
      <x:c r="H83" s="38" t="n">
        <x:v>24576</x:v>
      </x:c>
      <x:c r="I83" s="38" t="n">
        <x:v>2581</x:v>
      </x:c>
      <x:c r="J83" s="38" t="n">
        <x:v>0</x:v>
      </x:c>
      <x:c r="K83" s="38" t="n">
        <x:v>0</x:v>
      </x:c>
      <x:c r="L83" s="38" t="n">
        <x:v>0</x:v>
      </x:c>
      <x:c r="M83" s="38" t="n">
        <x:v>0</x:v>
      </x:c>
      <x:c r="N83" s="38" t="n">
        <x:v>0</x:v>
      </x:c>
      <x:c r="O83" s="38" t="n">
        <x:v>0</x:v>
      </x:c>
      <x:c r="P83" s="38" t="n">
        <x:f>F83+G83-H83+I83+J83+K83+L83-M83-N83-O83</x:f>
        <x:v>441947</x:v>
      </x:c>
      <x:c r="Q83" s="38" t="n">
        <x:v>441947</x:v>
      </x:c>
      <x:c r="R83" s="38" t="n">
        <x:f>P83-Q83</x:f>
        <x:v>0</x:v>
      </x:c>
      <x:c r="S83" s="38" t="n">
        <x:v>98304</x:v>
      </x:c>
      <x:c r="T83" s="38" t="n">
        <x:v>14617</x:v>
      </x:c>
      <x:c r="U83" s="38" t="n">
        <x:v>83</x:v>
      </x:c>
      <x:c r="V83" s="38" t="n">
        <x:v>2</x:v>
      </x:c>
      <x:c r="W83" s="38" t="n">
        <x:v>0</x:v>
      </x:c>
      <x:c r="X83" s="44" t="n">
        <x:v>0</x:v>
      </x:c>
      <x:c r="Y83" s="38" t="n">
        <x:v>64</x:v>
      </x:c>
      <x:c r="Z83" s="38" t="n">
        <x:v>35</x:v>
      </x:c>
      <x:c r="AA83" s="38" t="n">
        <x:v>16</x:v>
      </x:c>
      <x:c r="AB83" s="38" t="n">
        <x:v>7</x:v>
      </x:c>
      <x:c r="AC83" s="38" t="n">
        <x:v>32640</x:v>
      </x:c>
      <x:c r="AD83" s="38" t="n">
        <x:v>0</x:v>
      </x:c>
      <x:c r="AE83" s="38" t="n">
        <x:f>IF(B83=1,0,F83-Q82)</x:f>
        <x:v>0</x:v>
      </x:c>
    </x:row>
    <x:row r="84" ht="27" customHeight="1">
      <x:c r="A84" s="28" t="str">
        <x:v>Casual F2P</x:v>
      </x:c>
      <x:c r="B84" s="38" t="n">
        <x:v>80</x:v>
      </x:c>
      <x:c r="C84" s="38" t="n">
        <x:v>35</x:v>
      </x:c>
      <x:c r="D84" s="38" t="n">
        <x:v>511063</x:v>
      </x:c>
      <x:c r="E84" s="38" t="n">
        <x:v>85</x:v>
      </x:c>
      <x:c r="F84" s="38" t="n">
        <x:v>441947</x:v>
      </x:c>
      <x:c r="G84" s="38" t="n">
        <x:v>40320</x:v>
      </x:c>
      <x:c r="H84" s="38" t="n">
        <x:v>8064</x:v>
      </x:c>
      <x:c r="I84" s="38" t="n">
        <x:v>2581</x:v>
      </x:c>
      <x:c r="J84" s="38" t="n">
        <x:v>0</x:v>
      </x:c>
      <x:c r="K84" s="38" t="n">
        <x:v>0</x:v>
      </x:c>
      <x:c r="L84" s="38" t="n">
        <x:v>0</x:v>
      </x:c>
      <x:c r="M84" s="38" t="n">
        <x:v>0</x:v>
      </x:c>
      <x:c r="N84" s="38" t="n">
        <x:v>0</x:v>
      </x:c>
      <x:c r="O84" s="38" t="n">
        <x:v>0</x:v>
      </x:c>
      <x:c r="P84" s="38" t="n">
        <x:f>F84+G84-H84+I84+J84+K84+L84-M84-N84-O84</x:f>
        <x:v>476784</x:v>
      </x:c>
      <x:c r="Q84" s="38" t="n">
        <x:v>476784</x:v>
      </x:c>
      <x:c r="R84" s="38" t="n">
        <x:f>P84-Q84</x:f>
        <x:v>0</x:v>
      </x:c>
      <x:c r="S84" s="38" t="n">
        <x:v>32256</x:v>
      </x:c>
      <x:c r="T84" s="38" t="n">
        <x:v>5286</x:v>
      </x:c>
      <x:c r="U84" s="38" t="n">
        <x:v>83</x:v>
      </x:c>
      <x:c r="V84" s="38" t="n">
        <x:v>0</x:v>
      </x:c>
      <x:c r="W84" s="38" t="n">
        <x:v>0</x:v>
      </x:c>
      <x:c r="X84" s="44" t="n">
        <x:v>0</x:v>
      </x:c>
      <x:c r="Y84" s="38" t="n">
        <x:v>21</x:v>
      </x:c>
      <x:c r="Z84" s="38" t="n">
        <x:v>35</x:v>
      </x:c>
      <x:c r="AA84" s="38" t="n">
        <x:v>16</x:v>
      </x:c>
      <x:c r="AB84" s="38" t="n">
        <x:v>7</x:v>
      </x:c>
      <x:c r="AC84" s="38" t="n">
        <x:v>32640</x:v>
      </x:c>
      <x:c r="AD84" s="38" t="n">
        <x:v>0</x:v>
      </x:c>
      <x:c r="AE84" s="38" t="n">
        <x:f>IF(B84=1,0,F84-Q83)</x:f>
        <x:v>0</x:v>
      </x:c>
    </x:row>
    <x:row r="85" ht="27" customHeight="1">
      <x:c r="A85" s="28" t="str">
        <x:v>Casual F2P</x:v>
      </x:c>
      <x:c r="B85" s="38" t="n">
        <x:v>81</x:v>
      </x:c>
      <x:c r="C85" s="38" t="n">
        <x:v>36</x:v>
      </x:c>
      <x:c r="D85" s="38" t="n">
        <x:v>525680</x:v>
      </x:c>
      <x:c r="E85" s="38" t="n">
        <x:v>90</x:v>
      </x:c>
      <x:c r="F85" s="38" t="n">
        <x:v>476784</x:v>
      </x:c>
      <x:c r="G85" s="38" t="n">
        <x:v>122880</x:v>
      </x:c>
      <x:c r="H85" s="38" t="n">
        <x:v>26781</x:v>
      </x:c>
      <x:c r="I85" s="38" t="n">
        <x:v>2581</x:v>
      </x:c>
      <x:c r="J85" s="38" t="n">
        <x:v>1045</x:v>
      </x:c>
      <x:c r="K85" s="38" t="n">
        <x:v>0</x:v>
      </x:c>
      <x:c r="L85" s="38" t="n">
        <x:v>0</x:v>
      </x:c>
      <x:c r="M85" s="38" t="n">
        <x:v>425000</x:v>
      </x:c>
      <x:c r="N85" s="38" t="n">
        <x:v>1125</x:v>
      </x:c>
      <x:c r="O85" s="38" t="n">
        <x:v>0</x:v>
      </x:c>
      <x:c r="P85" s="38" t="n">
        <x:f>F85+G85-H85+I85+J85+K85+L85-M85-N85-O85</x:f>
        <x:v>150384</x:v>
      </x:c>
      <x:c r="Q85" s="38" t="n">
        <x:v>150384</x:v>
      </x:c>
      <x:c r="R85" s="38" t="n">
        <x:f>P85-Q85</x:f>
        <x:v>0</x:v>
      </x:c>
      <x:c r="S85" s="38" t="n">
        <x:v>98304</x:v>
      </x:c>
      <x:c r="T85" s="38" t="n">
        <x:v>14617</x:v>
      </x:c>
      <x:c r="U85" s="38" t="n">
        <x:v>84</x:v>
      </x:c>
      <x:c r="V85" s="38" t="n">
        <x:v>1</x:v>
      </x:c>
      <x:c r="W85" s="38" t="n">
        <x:v>0</x:v>
      </x:c>
      <x:c r="X85" s="44" t="n">
        <x:v>0</x:v>
      </x:c>
      <x:c r="Y85" s="38" t="n">
        <x:v>64</x:v>
      </x:c>
      <x:c r="Z85" s="38" t="n">
        <x:v>35</x:v>
      </x:c>
      <x:c r="AA85" s="38" t="n">
        <x:v>17</x:v>
      </x:c>
      <x:c r="AB85" s="38" t="n">
        <x:v>7</x:v>
      </x:c>
      <x:c r="AC85" s="38" t="n">
        <x:v>34845</x:v>
      </x:c>
      <x:c r="AD85" s="38" t="n">
        <x:v>0</x:v>
      </x:c>
      <x:c r="AE85" s="38" t="n">
        <x:f>IF(B85=1,0,F85-Q84)</x:f>
        <x:v>0</x:v>
      </x:c>
    </x:row>
    <x:row r="86" ht="27" customHeight="1">
      <x:c r="A86" s="28" t="str">
        <x:v>Casual F2P</x:v>
      </x:c>
      <x:c r="B86" s="38" t="n">
        <x:v>82</x:v>
      </x:c>
      <x:c r="C86" s="38" t="n">
        <x:v>36</x:v>
      </x:c>
      <x:c r="D86" s="38" t="n">
        <x:v>531123</x:v>
      </x:c>
      <x:c r="E86" s="38" t="n">
        <x:v>90</x:v>
      </x:c>
      <x:c r="F86" s="38" t="n">
        <x:v>150384</x:v>
      </x:c>
      <x:c r="G86" s="38" t="n">
        <x:v>41286</x:v>
      </x:c>
      <x:c r="H86" s="38" t="n">
        <x:v>8602</x:v>
      </x:c>
      <x:c r="I86" s="38" t="n">
        <x:v>2781</x:v>
      </x:c>
      <x:c r="J86" s="38" t="n">
        <x:v>0</x:v>
      </x:c>
      <x:c r="K86" s="38" t="n">
        <x:v>0</x:v>
      </x:c>
      <x:c r="L86" s="38" t="n">
        <x:v>0</x:v>
      </x:c>
      <x:c r="M86" s="38" t="n">
        <x:v>0</x:v>
      </x:c>
      <x:c r="N86" s="38" t="n">
        <x:v>0</x:v>
      </x:c>
      <x:c r="O86" s="38" t="n">
        <x:v>0</x:v>
      </x:c>
      <x:c r="P86" s="38" t="n">
        <x:f>F86+G86-H86+I86+J86+K86+L86-M86-N86-O86</x:f>
        <x:v>185849</x:v>
      </x:c>
      <x:c r="Q86" s="38" t="n">
        <x:v>185849</x:v>
      </x:c>
      <x:c r="R86" s="38" t="n">
        <x:f>P86-Q86</x:f>
        <x:v>0</x:v>
      </x:c>
      <x:c r="S86" s="38" t="n">
        <x:v>33029</x:v>
      </x:c>
      <x:c r="T86" s="38" t="n">
        <x:v>5443</x:v>
      </x:c>
      <x:c r="U86" s="38" t="n">
        <x:v>84</x:v>
      </x:c>
      <x:c r="V86" s="38" t="n">
        <x:v>0</x:v>
      </x:c>
      <x:c r="W86" s="38" t="n">
        <x:v>0</x:v>
      </x:c>
      <x:c r="X86" s="44" t="n">
        <x:v>0</x:v>
      </x:c>
      <x:c r="Y86" s="38" t="n">
        <x:v>22</x:v>
      </x:c>
      <x:c r="Z86" s="38" t="n">
        <x:v>36</x:v>
      </x:c>
      <x:c r="AA86" s="38" t="n">
        <x:v>17</x:v>
      </x:c>
      <x:c r="AB86" s="38" t="n">
        <x:v>7</x:v>
      </x:c>
      <x:c r="AC86" s="38" t="n">
        <x:v>35190</x:v>
      </x:c>
      <x:c r="AD86" s="38" t="n">
        <x:v>0</x:v>
      </x:c>
      <x:c r="AE86" s="38" t="n">
        <x:f>IF(B86=1,0,F86-Q85)</x:f>
        <x:v>0</x:v>
      </x:c>
    </x:row>
    <x:row r="87" ht="27" customHeight="1">
      <x:c r="A87" s="28" t="str">
        <x:v>Casual F2P</x:v>
      </x:c>
      <x:c r="B87" s="38" t="n">
        <x:v>83</x:v>
      </x:c>
      <x:c r="C87" s="38" t="n">
        <x:v>36</x:v>
      </x:c>
      <x:c r="D87" s="38" t="n">
        <x:v>546793</x:v>
      </x:c>
      <x:c r="E87" s="38" t="n">
        <x:v>90</x:v>
      </x:c>
      <x:c r="F87" s="38" t="n">
        <x:v>185849</x:v>
      </x:c>
      <x:c r="G87" s="38" t="n">
        <x:v>132940</x:v>
      </x:c>
      <x:c r="H87" s="38" t="n">
        <x:v>26588</x:v>
      </x:c>
      <x:c r="I87" s="38" t="n">
        <x:v>2781</x:v>
      </x:c>
      <x:c r="J87" s="38" t="n">
        <x:v>0</x:v>
      </x:c>
      <x:c r="K87" s="38" t="n">
        <x:v>0</x:v>
      </x:c>
      <x:c r="L87" s="38" t="n">
        <x:v>0</x:v>
      </x:c>
      <x:c r="M87" s="38" t="n">
        <x:v>0</x:v>
      </x:c>
      <x:c r="N87" s="38" t="n">
        <x:v>0</x:v>
      </x:c>
      <x:c r="O87" s="38" t="n">
        <x:v>0</x:v>
      </x:c>
      <x:c r="P87" s="38" t="n">
        <x:f>F87+G87-H87+I87+J87+K87+L87-M87-N87-O87</x:f>
        <x:v>294982</x:v>
      </x:c>
      <x:c r="Q87" s="38" t="n">
        <x:v>294982</x:v>
      </x:c>
      <x:c r="R87" s="38" t="n">
        <x:f>P87-Q87</x:f>
        <x:v>0</x:v>
      </x:c>
      <x:c r="S87" s="38" t="n">
        <x:v>106352</x:v>
      </x:c>
      <x:c r="T87" s="38" t="n">
        <x:v>15670</x:v>
      </x:c>
      <x:c r="U87" s="38" t="n">
        <x:v>84</x:v>
      </x:c>
      <x:c r="V87" s="38" t="n">
        <x:v>0</x:v>
      </x:c>
      <x:c r="W87" s="38" t="n">
        <x:v>0</x:v>
      </x:c>
      <x:c r="X87" s="44" t="n">
        <x:v>0</x:v>
      </x:c>
      <x:c r="Y87" s="38" t="n">
        <x:v>68</x:v>
      </x:c>
      <x:c r="Z87" s="38" t="n">
        <x:v>36</x:v>
      </x:c>
      <x:c r="AA87" s="38" t="n">
        <x:v>17</x:v>
      </x:c>
      <x:c r="AB87" s="38" t="n">
        <x:v>7</x:v>
      </x:c>
      <x:c r="AC87" s="38" t="n">
        <x:v>35190</x:v>
      </x:c>
      <x:c r="AD87" s="38" t="n">
        <x:v>0</x:v>
      </x:c>
      <x:c r="AE87" s="38" t="n">
        <x:f>IF(B87=1,0,F87-Q86)</x:f>
        <x:v>0</x:v>
      </x:c>
    </x:row>
    <x:row r="88" ht="27" customHeight="1">
      <x:c r="A88" s="28" t="str">
        <x:v>Casual F2P</x:v>
      </x:c>
      <x:c r="B88" s="38" t="n">
        <x:v>84</x:v>
      </x:c>
      <x:c r="C88" s="38" t="n">
        <x:v>36</x:v>
      </x:c>
      <x:c r="D88" s="38" t="n">
        <x:v>557856</x:v>
      </x:c>
      <x:c r="E88" s="38" t="n">
        <x:v>90</x:v>
      </x:c>
      <x:c r="F88" s="38" t="n">
        <x:v>294982</x:v>
      </x:c>
      <x:c r="G88" s="38" t="n">
        <x:v>43010</x:v>
      </x:c>
      <x:c r="H88" s="38" t="n">
        <x:v>8602</x:v>
      </x:c>
      <x:c r="I88" s="38" t="n">
        <x:v>22136</x:v>
      </x:c>
      <x:c r="J88" s="38" t="n">
        <x:v>0</x:v>
      </x:c>
      <x:c r="K88" s="38" t="n">
        <x:v>0</x:v>
      </x:c>
      <x:c r="L88" s="38" t="n">
        <x:v>0</x:v>
      </x:c>
      <x:c r="M88" s="38" t="n">
        <x:v>0</x:v>
      </x:c>
      <x:c r="N88" s="38" t="n">
        <x:v>0</x:v>
      </x:c>
      <x:c r="O88" s="38" t="n">
        <x:v>0</x:v>
      </x:c>
      <x:c r="P88" s="38" t="n">
        <x:f>F88+G88-H88+I88+J88+K88+L88-M88-N88-O88</x:f>
        <x:v>351526</x:v>
      </x:c>
      <x:c r="Q88" s="38" t="n">
        <x:v>351526</x:v>
      </x:c>
      <x:c r="R88" s="38" t="n">
        <x:f>P88-Q88</x:f>
        <x:v>0</x:v>
      </x:c>
      <x:c r="S88" s="38" t="n">
        <x:v>34408</x:v>
      </x:c>
      <x:c r="T88" s="38" t="n">
        <x:v>11063</x:v>
      </x:c>
      <x:c r="U88" s="38" t="n">
        <x:v>86</x:v>
      </x:c>
      <x:c r="V88" s="38" t="n">
        <x:v>2</x:v>
      </x:c>
      <x:c r="W88" s="38" t="n">
        <x:v>0</x:v>
      </x:c>
      <x:c r="X88" s="44" t="n">
        <x:v>0</x:v>
      </x:c>
      <x:c r="Y88" s="38" t="n">
        <x:v>22</x:v>
      </x:c>
      <x:c r="Z88" s="38" t="n">
        <x:v>36</x:v>
      </x:c>
      <x:c r="AA88" s="38" t="n">
        <x:v>17</x:v>
      </x:c>
      <x:c r="AB88" s="38" t="n">
        <x:v>7</x:v>
      </x:c>
      <x:c r="AC88" s="38" t="n">
        <x:v>35190</x:v>
      </x:c>
      <x:c r="AD88" s="38" t="n">
        <x:v>0</x:v>
      </x:c>
      <x:c r="AE88" s="38" t="n">
        <x:f>IF(B88=1,0,F88-Q87)</x:f>
        <x:v>0</x:v>
      </x:c>
    </x:row>
    <x:row r="89" ht="27" customHeight="1">
      <x:c r="A89" s="28" t="str">
        <x:v>Casual F2P</x:v>
      </x:c>
      <x:c r="B89" s="38" t="n">
        <x:v>85</x:v>
      </x:c>
      <x:c r="C89" s="38" t="n">
        <x:v>37</x:v>
      </x:c>
      <x:c r="D89" s="38" t="n">
        <x:v>573526</x:v>
      </x:c>
      <x:c r="E89" s="38" t="n">
        <x:v>90</x:v>
      </x:c>
      <x:c r="F89" s="38" t="n">
        <x:v>351526</x:v>
      </x:c>
      <x:c r="G89" s="38" t="n">
        <x:v>132940</x:v>
      </x:c>
      <x:c r="H89" s="38" t="n">
        <x:v>27064</x:v>
      </x:c>
      <x:c r="I89" s="38" t="n">
        <x:v>2781</x:v>
      </x:c>
      <x:c r="J89" s="38" t="n">
        <x:v>1060</x:v>
      </x:c>
      <x:c r="K89" s="38" t="n">
        <x:v>0</x:v>
      </x:c>
      <x:c r="L89" s="38" t="n">
        <x:v>0</x:v>
      </x:c>
      <x:c r="M89" s="38" t="n">
        <x:v>0</x:v>
      </x:c>
      <x:c r="N89" s="38" t="n">
        <x:v>0</x:v>
      </x:c>
      <x:c r="O89" s="38" t="n">
        <x:v>0</x:v>
      </x:c>
      <x:c r="P89" s="38" t="n">
        <x:f>F89+G89-H89+I89+J89+K89+L89-M89-N89-O89</x:f>
        <x:v>461243</x:v>
      </x:c>
      <x:c r="Q89" s="38" t="n">
        <x:v>461243</x:v>
      </x:c>
      <x:c r="R89" s="38" t="n">
        <x:f>P89-Q89</x:f>
        <x:v>0</x:v>
      </x:c>
      <x:c r="S89" s="38" t="n">
        <x:v>106352</x:v>
      </x:c>
      <x:c r="T89" s="38" t="n">
        <x:v>15670</x:v>
      </x:c>
      <x:c r="U89" s="38" t="n">
        <x:v>86</x:v>
      </x:c>
      <x:c r="V89" s="38" t="n">
        <x:v>0</x:v>
      </x:c>
      <x:c r="W89" s="38" t="n">
        <x:v>0</x:v>
      </x:c>
      <x:c r="X89" s="44" t="n">
        <x:v>0</x:v>
      </x:c>
      <x:c r="Y89" s="38" t="n">
        <x:v>68</x:v>
      </x:c>
      <x:c r="Z89" s="38" t="n">
        <x:v>36</x:v>
      </x:c>
      <x:c r="AA89" s="38" t="n">
        <x:v>17</x:v>
      </x:c>
      <x:c r="AB89" s="38" t="n">
        <x:v>7</x:v>
      </x:c>
      <x:c r="AC89" s="38" t="n">
        <x:v>35666</x:v>
      </x:c>
      <x:c r="AD89" s="38" t="n">
        <x:v>0</x:v>
      </x:c>
      <x:c r="AE89" s="38" t="n">
        <x:f>IF(B89=1,0,F89-Q88)</x:f>
        <x:v>0</x:v>
      </x:c>
    </x:row>
    <x:row r="90" ht="27" customHeight="1">
      <x:c r="A90" s="28" t="str">
        <x:v>Casual F2P</x:v>
      </x:c>
      <x:c r="B90" s="38" t="n">
        <x:v>86</x:v>
      </x:c>
      <x:c r="C90" s="38" t="n">
        <x:v>37</x:v>
      </x:c>
      <x:c r="D90" s="38" t="n">
        <x:v>579127</x:v>
      </x:c>
      <x:c r="E90" s="38" t="n">
        <x:v>90</x:v>
      </x:c>
      <x:c r="F90" s="38" t="n">
        <x:v>461243</x:v>
      </x:c>
      <x:c r="G90" s="38" t="n">
        <x:v>43010</x:v>
      </x:c>
      <x:c r="H90" s="38" t="n">
        <x:v>8756</x:v>
      </x:c>
      <x:c r="I90" s="38" t="n">
        <x:v>2830</x:v>
      </x:c>
      <x:c r="J90" s="38" t="n">
        <x:v>0</x:v>
      </x:c>
      <x:c r="K90" s="38" t="n">
        <x:v>0</x:v>
      </x:c>
      <x:c r="L90" s="38" t="n">
        <x:v>0</x:v>
      </x:c>
      <x:c r="M90" s="38" t="n">
        <x:v>0</x:v>
      </x:c>
      <x:c r="N90" s="38" t="n">
        <x:v>2110</x:v>
      </x:c>
      <x:c r="O90" s="38" t="n">
        <x:v>0</x:v>
      </x:c>
      <x:c r="P90" s="38" t="n">
        <x:f>F90+G90-H90+I90+J90+K90+L90-M90-N90-O90</x:f>
        <x:v>496217</x:v>
      </x:c>
      <x:c r="Q90" s="38" t="n">
        <x:v>496217</x:v>
      </x:c>
      <x:c r="R90" s="38" t="n">
        <x:f>P90-Q90</x:f>
        <x:v>0</x:v>
      </x:c>
      <x:c r="S90" s="38" t="n">
        <x:v>34408</x:v>
      </x:c>
      <x:c r="T90" s="38" t="n">
        <x:v>5601</x:v>
      </x:c>
      <x:c r="U90" s="38" t="n">
        <x:v>86</x:v>
      </x:c>
      <x:c r="V90" s="38" t="n">
        <x:v>0</x:v>
      </x:c>
      <x:c r="W90" s="38" t="n">
        <x:v>0</x:v>
      </x:c>
      <x:c r="X90" s="44" t="n">
        <x:v>0</x:v>
      </x:c>
      <x:c r="Y90" s="38" t="n">
        <x:v>22</x:v>
      </x:c>
      <x:c r="Z90" s="38" t="n">
        <x:v>36</x:v>
      </x:c>
      <x:c r="AA90" s="38" t="n">
        <x:v>18</x:v>
      </x:c>
      <x:c r="AB90" s="38" t="n">
        <x:v>7</x:v>
      </x:c>
      <x:c r="AC90" s="38" t="n">
        <x:v>35820</x:v>
      </x:c>
      <x:c r="AD90" s="38" t="n">
        <x:v>0</x:v>
      </x:c>
      <x:c r="AE90" s="38" t="n">
        <x:f>IF(B90=1,0,F90-Q89)</x:f>
        <x:v>0</x:v>
      </x:c>
    </x:row>
    <x:row r="91" ht="27" customHeight="1">
      <x:c r="A91" s="28" t="str">
        <x:v>Casual F2P</x:v>
      </x:c>
      <x:c r="B91" s="38" t="n">
        <x:v>87</x:v>
      </x:c>
      <x:c r="C91" s="38" t="n">
        <x:v>37</x:v>
      </x:c>
      <x:c r="D91" s="38" t="n">
        <x:v>594870</x:v>
      </x:c>
      <x:c r="E91" s="38" t="n">
        <x:v>90</x:v>
      </x:c>
      <x:c r="F91" s="38" t="n">
        <x:v>496217</x:v>
      </x:c>
      <x:c r="G91" s="38" t="n">
        <x:v>135252</x:v>
      </x:c>
      <x:c r="H91" s="38" t="n">
        <x:v>27064</x:v>
      </x:c>
      <x:c r="I91" s="38" t="n">
        <x:v>2830</x:v>
      </x:c>
      <x:c r="J91" s="38" t="n">
        <x:v>0</x:v>
      </x:c>
      <x:c r="K91" s="38" t="n">
        <x:v>0</x:v>
      </x:c>
      <x:c r="L91" s="38" t="n">
        <x:v>0</x:v>
      </x:c>
      <x:c r="M91" s="38" t="n">
        <x:v>0</x:v>
      </x:c>
      <x:c r="N91" s="38" t="n">
        <x:v>0</x:v>
      </x:c>
      <x:c r="O91" s="38" t="n">
        <x:v>0</x:v>
      </x:c>
      <x:c r="P91" s="38" t="n">
        <x:f>F91+G91-H91+I91+J91+K91+L91-M91-N91-O91</x:f>
        <x:v>607235</x:v>
      </x:c>
      <x:c r="Q91" s="38" t="n">
        <x:v>607235</x:v>
      </x:c>
      <x:c r="R91" s="38" t="n">
        <x:f>P91-Q91</x:f>
        <x:v>0</x:v>
      </x:c>
      <x:c r="S91" s="38" t="n">
        <x:v>108188</x:v>
      </x:c>
      <x:c r="T91" s="38" t="n">
        <x:v>15743</x:v>
      </x:c>
      <x:c r="U91" s="38" t="n">
        <x:v>86</x:v>
      </x:c>
      <x:c r="V91" s="38" t="n">
        <x:v>0</x:v>
      </x:c>
      <x:c r="W91" s="38" t="n">
        <x:v>0</x:v>
      </x:c>
      <x:c r="X91" s="44" t="n">
        <x:v>0</x:v>
      </x:c>
      <x:c r="Y91" s="38" t="n">
        <x:v>68</x:v>
      </x:c>
      <x:c r="Z91" s="38" t="n">
        <x:v>37</x:v>
      </x:c>
      <x:c r="AA91" s="38" t="n">
        <x:v>18</x:v>
      </x:c>
      <x:c r="AB91" s="38" t="n">
        <x:v>7</x:v>
      </x:c>
      <x:c r="AC91" s="38" t="n">
        <x:v>35820</x:v>
      </x:c>
      <x:c r="AD91" s="38" t="n">
        <x:v>0</x:v>
      </x:c>
      <x:c r="AE91" s="38" t="n">
        <x:f>IF(B91=1,0,F91-Q90)</x:f>
        <x:v>0</x:v>
      </x:c>
    </x:row>
    <x:row r="92" ht="27" customHeight="1">
      <x:c r="A92" s="28" t="str">
        <x:v>Casual F2P</x:v>
      </x:c>
      <x:c r="B92" s="38" t="n">
        <x:v>88</x:v>
      </x:c>
      <x:c r="C92" s="38" t="n">
        <x:v>37</x:v>
      </x:c>
      <x:c r="D92" s="38" t="n">
        <x:v>600493</x:v>
      </x:c>
      <x:c r="E92" s="38" t="n">
        <x:v>90</x:v>
      </x:c>
      <x:c r="F92" s="38" t="n">
        <x:v>607235</x:v>
      </x:c>
      <x:c r="G92" s="38" t="n">
        <x:v>43758</x:v>
      </x:c>
      <x:c r="H92" s="38" t="n">
        <x:v>8756</x:v>
      </x:c>
      <x:c r="I92" s="38" t="n">
        <x:v>2830</x:v>
      </x:c>
      <x:c r="J92" s="38" t="n">
        <x:v>0</x:v>
      </x:c>
      <x:c r="K92" s="38" t="n">
        <x:v>0</x:v>
      </x:c>
      <x:c r="L92" s="38" t="n">
        <x:v>0</x:v>
      </x:c>
      <x:c r="M92" s="38" t="n">
        <x:v>0</x:v>
      </x:c>
      <x:c r="N92" s="38" t="n">
        <x:v>0</x:v>
      </x:c>
      <x:c r="O92" s="38" t="n">
        <x:v>0</x:v>
      </x:c>
      <x:c r="P92" s="38" t="n">
        <x:f>F92+G92-H92+I92+J92+K92+L92-M92-N92-O92</x:f>
        <x:v>645067</x:v>
      </x:c>
      <x:c r="Q92" s="38" t="n">
        <x:v>645067</x:v>
      </x:c>
      <x:c r="R92" s="38" t="n">
        <x:f>P92-Q92</x:f>
        <x:v>0</x:v>
      </x:c>
      <x:c r="S92" s="38" t="n">
        <x:v>35002</x:v>
      </x:c>
      <x:c r="T92" s="38" t="n">
        <x:v>5623</x:v>
      </x:c>
      <x:c r="U92" s="38" t="n">
        <x:v>86</x:v>
      </x:c>
      <x:c r="V92" s="38" t="n">
        <x:v>0</x:v>
      </x:c>
      <x:c r="W92" s="38" t="n">
        <x:v>0</x:v>
      </x:c>
      <x:c r="X92" s="44" t="n">
        <x:v>0</x:v>
      </x:c>
      <x:c r="Y92" s="38" t="n">
        <x:v>22</x:v>
      </x:c>
      <x:c r="Z92" s="38" t="n">
        <x:v>37</x:v>
      </x:c>
      <x:c r="AA92" s="38" t="n">
        <x:v>18</x:v>
      </x:c>
      <x:c r="AB92" s="38" t="n">
        <x:v>7</x:v>
      </x:c>
      <x:c r="AC92" s="38" t="n">
        <x:v>35820</x:v>
      </x:c>
      <x:c r="AD92" s="38" t="n">
        <x:v>0</x:v>
      </x:c>
      <x:c r="AE92" s="38" t="n">
        <x:f>IF(B92=1,0,F92-Q91)</x:f>
        <x:v>0</x:v>
      </x:c>
    </x:row>
    <x:row r="93" ht="27" customHeight="1">
      <x:c r="A93" s="28" t="str">
        <x:v>Casual F2P</x:v>
      </x:c>
      <x:c r="B93" s="38" t="n">
        <x:v>89</x:v>
      </x:c>
      <x:c r="C93" s="38" t="n">
        <x:v>37</x:v>
      </x:c>
      <x:c r="D93" s="38" t="n">
        <x:v>616236</x:v>
      </x:c>
      <x:c r="E93" s="38" t="n">
        <x:v>90</x:v>
      </x:c>
      <x:c r="F93" s="38" t="n">
        <x:v>645067</x:v>
      </x:c>
      <x:c r="G93" s="38" t="n">
        <x:v>135252</x:v>
      </x:c>
      <x:c r="H93" s="38" t="n">
        <x:v>27064</x:v>
      </x:c>
      <x:c r="I93" s="38" t="n">
        <x:v>2830</x:v>
      </x:c>
      <x:c r="J93" s="38" t="n">
        <x:v>0</x:v>
      </x:c>
      <x:c r="K93" s="38" t="n">
        <x:v>0</x:v>
      </x:c>
      <x:c r="L93" s="38" t="n">
        <x:v>0</x:v>
      </x:c>
      <x:c r="M93" s="38" t="n">
        <x:v>0</x:v>
      </x:c>
      <x:c r="N93" s="38" t="n">
        <x:v>0</x:v>
      </x:c>
      <x:c r="O93" s="38" t="n">
        <x:v>0</x:v>
      </x:c>
      <x:c r="P93" s="38" t="n">
        <x:f>F93+G93-H93+I93+J93+K93+L93-M93-N93-O93</x:f>
        <x:v>756085</x:v>
      </x:c>
      <x:c r="Q93" s="38" t="n">
        <x:v>756085</x:v>
      </x:c>
      <x:c r="R93" s="38" t="n">
        <x:f>P93-Q93</x:f>
        <x:v>0</x:v>
      </x:c>
      <x:c r="S93" s="38" t="n">
        <x:v>108188</x:v>
      </x:c>
      <x:c r="T93" s="38" t="n">
        <x:v>15743</x:v>
      </x:c>
      <x:c r="U93" s="38" t="n">
        <x:v>86</x:v>
      </x:c>
      <x:c r="V93" s="38" t="n">
        <x:v>0</x:v>
      </x:c>
      <x:c r="W93" s="38" t="n">
        <x:v>0</x:v>
      </x:c>
      <x:c r="X93" s="44" t="n">
        <x:v>0</x:v>
      </x:c>
      <x:c r="Y93" s="38" t="n">
        <x:v>68</x:v>
      </x:c>
      <x:c r="Z93" s="38" t="n">
        <x:v>37</x:v>
      </x:c>
      <x:c r="AA93" s="38" t="n">
        <x:v>18</x:v>
      </x:c>
      <x:c r="AB93" s="38" t="n">
        <x:v>7</x:v>
      </x:c>
      <x:c r="AC93" s="38" t="n">
        <x:v>35820</x:v>
      </x:c>
      <x:c r="AD93" s="38" t="n">
        <x:v>0</x:v>
      </x:c>
      <x:c r="AE93" s="38" t="n">
        <x:f>IF(B93=1,0,F93-Q92)</x:f>
        <x:v>0</x:v>
      </x:c>
    </x:row>
    <x:row r="94" ht="27" customHeight="1">
      <x:c r="A94" s="28" t="str">
        <x:v>Casual F2P</x:v>
      </x:c>
      <x:c r="B94" s="38" t="n">
        <x:v>90</x:v>
      </x:c>
      <x:c r="C94" s="38" t="n">
        <x:v>37</x:v>
      </x:c>
      <x:c r="D94" s="38" t="n">
        <x:v>621859</x:v>
      </x:c>
      <x:c r="E94" s="38" t="n">
        <x:v>90</x:v>
      </x:c>
      <x:c r="F94" s="38" t="n">
        <x:v>756085</x:v>
      </x:c>
      <x:c r="G94" s="38" t="n">
        <x:v>43758</x:v>
      </x:c>
      <x:c r="H94" s="38" t="n">
        <x:v>8756</x:v>
      </x:c>
      <x:c r="I94" s="38" t="n">
        <x:v>2830</x:v>
      </x:c>
      <x:c r="J94" s="38" t="n">
        <x:v>0</x:v>
      </x:c>
      <x:c r="K94" s="38" t="n">
        <x:v>0</x:v>
      </x:c>
      <x:c r="L94" s="38" t="n">
        <x:v>0</x:v>
      </x:c>
      <x:c r="M94" s="38" t="n">
        <x:v>0</x:v>
      </x:c>
      <x:c r="N94" s="38" t="n">
        <x:v>0</x:v>
      </x:c>
      <x:c r="O94" s="38" t="n">
        <x:v>0</x:v>
      </x:c>
      <x:c r="P94" s="38" t="n">
        <x:f>F94+G94-H94+I94+J94+K94+L94-M94-N94-O94</x:f>
        <x:v>793917</x:v>
      </x:c>
      <x:c r="Q94" s="38" t="n">
        <x:v>793917</x:v>
      </x:c>
      <x:c r="R94" s="38" t="n">
        <x:f>P94-Q94</x:f>
        <x:v>0</x:v>
      </x:c>
      <x:c r="S94" s="38" t="n">
        <x:v>35002</x:v>
      </x:c>
      <x:c r="T94" s="38" t="n">
        <x:v>5623</x:v>
      </x:c>
      <x:c r="U94" s="38" t="n">
        <x:v>86</x:v>
      </x:c>
      <x:c r="V94" s="38" t="n">
        <x:v>0</x:v>
      </x:c>
      <x:c r="W94" s="38" t="n">
        <x:v>0</x:v>
      </x:c>
      <x:c r="X94" s="44" t="n">
        <x:v>0</x:v>
      </x:c>
      <x:c r="Y94" s="38" t="n">
        <x:v>22</x:v>
      </x:c>
      <x:c r="Z94" s="38" t="n">
        <x:v>37</x:v>
      </x:c>
      <x:c r="AA94" s="38" t="n">
        <x:v>18</x:v>
      </x:c>
      <x:c r="AB94" s="38" t="n">
        <x:v>7</x:v>
      </x:c>
      <x:c r="AC94" s="38" t="n">
        <x:v>35820</x:v>
      </x:c>
      <x:c r="AD94" s="38" t="n">
        <x:v>0</x:v>
      </x:c>
      <x:c r="AE94" s="38" t="n">
        <x:f>IF(B94=1,0,F94-Q93)</x:f>
        <x:v>0</x:v>
      </x:c>
    </x:row>
    <x:row r="95" ht="27" customHeight="1">
      <x:c r="A95" s="28" t="str">
        <x:v>Casual F2P</x:v>
      </x:c>
      <x:c r="B95" s="38" t="n">
        <x:v>91</x:v>
      </x:c>
      <x:c r="C95" s="38" t="n">
        <x:v>38</x:v>
      </x:c>
      <x:c r="D95" s="38" t="n">
        <x:v>643434</x:v>
      </x:c>
      <x:c r="E95" s="38" t="n">
        <x:v>95</x:v>
      </x:c>
      <x:c r="F95" s="38" t="n">
        <x:v>793917</x:v>
      </x:c>
      <x:c r="G95" s="38" t="n">
        <x:v>135252</x:v>
      </x:c>
      <x:c r="H95" s="38" t="n">
        <x:v>29254</x:v>
      </x:c>
      <x:c r="I95" s="38" t="n">
        <x:v>23688</x:v>
      </x:c>
      <x:c r="J95" s="38" t="n">
        <x:v>1140</x:v>
      </x:c>
      <x:c r="K95" s="38" t="n">
        <x:v>0</x:v>
      </x:c>
      <x:c r="L95" s="38" t="n">
        <x:v>0</x:v>
      </x:c>
      <x:c r="M95" s="38" t="n">
        <x:v>600000</x:v>
      </x:c>
      <x:c r="N95" s="38" t="n">
        <x:v>2180</x:v>
      </x:c>
      <x:c r="O95" s="38" t="n">
        <x:v>208135</x:v>
      </x:c>
      <x:c r="P95" s="38" t="n">
        <x:f>F95+G95-H95+I95+J95+K95+L95-M95-N95-O95</x:f>
        <x:v>114428</x:v>
      </x:c>
      <x:c r="Q95" s="38" t="n">
        <x:v>114428</x:v>
      </x:c>
      <x:c r="R95" s="38" t="n">
        <x:f>P95-Q95</x:f>
        <x:v>0</x:v>
      </x:c>
      <x:c r="S95" s="38" t="n">
        <x:v>108188</x:v>
      </x:c>
      <x:c r="T95" s="38" t="n">
        <x:v>21575</x:v>
      </x:c>
      <x:c r="U95" s="38" t="n">
        <x:v>89</x:v>
      </x:c>
      <x:c r="V95" s="38" t="n">
        <x:v>3</x:v>
      </x:c>
      <x:c r="W95" s="38" t="n">
        <x:v>0</x:v>
      </x:c>
      <x:c r="X95" s="44" t="n">
        <x:v>0</x:v>
      </x:c>
      <x:c r="Y95" s="38" t="n">
        <x:v>68</x:v>
      </x:c>
      <x:c r="Z95" s="38" t="n">
        <x:v>37</x:v>
      </x:c>
      <x:c r="AA95" s="38" t="n">
        <x:v>19</x:v>
      </x:c>
      <x:c r="AB95" s="38" t="n">
        <x:v>7</x:v>
      </x:c>
      <x:c r="AC95" s="38" t="n">
        <x:v>38010</x:v>
      </x:c>
      <x:c r="AD95" s="38" t="n">
        <x:v>0</x:v>
      </x:c>
      <x:c r="AE95" s="38" t="n">
        <x:f>IF(B95=1,0,F95-Q94)</x:f>
        <x:v>0</x:v>
      </x:c>
    </x:row>
    <x:row r="96" ht="27" customHeight="1">
      <x:c r="A96" s="28" t="str">
        <x:v>Casual F2P</x:v>
      </x:c>
      <x:c r="B96" s="38" t="n">
        <x:v>92</x:v>
      </x:c>
      <x:c r="C96" s="38" t="n">
        <x:v>38</x:v>
      </x:c>
      <x:c r="D96" s="38" t="n">
        <x:v>649170</x:v>
      </x:c>
      <x:c r="E96" s="38" t="n">
        <x:v>95</x:v>
      </x:c>
      <x:c r="F96" s="38" t="n">
        <x:v>114428</x:v>
      </x:c>
      <x:c r="G96" s="38" t="n">
        <x:v>44226</x:v>
      </x:c>
      <x:c r="H96" s="38" t="n">
        <x:v>9315</x:v>
      </x:c>
      <x:c r="I96" s="38" t="n">
        <x:v>3038</x:v>
      </x:c>
      <x:c r="J96" s="38" t="n">
        <x:v>0</x:v>
      </x:c>
      <x:c r="K96" s="38" t="n">
        <x:v>0</x:v>
      </x:c>
      <x:c r="L96" s="38" t="n">
        <x:v>0</x:v>
      </x:c>
      <x:c r="M96" s="38" t="n">
        <x:v>0</x:v>
      </x:c>
      <x:c r="N96" s="38" t="n">
        <x:v>0</x:v>
      </x:c>
      <x:c r="O96" s="38" t="n">
        <x:v>37949</x:v>
      </x:c>
      <x:c r="P96" s="38" t="n">
        <x:f>F96+G96-H96+I96+J96+K96+L96-M96-N96-O96</x:f>
        <x:v>114428</x:v>
      </x:c>
      <x:c r="Q96" s="38" t="n">
        <x:v>114428</x:v>
      </x:c>
      <x:c r="R96" s="38" t="n">
        <x:f>P96-Q96</x:f>
        <x:v>0</x:v>
      </x:c>
      <x:c r="S96" s="38" t="n">
        <x:v>35376</x:v>
      </x:c>
      <x:c r="T96" s="38" t="n">
        <x:v>5736</x:v>
      </x:c>
      <x:c r="U96" s="38" t="n">
        <x:v>89</x:v>
      </x:c>
      <x:c r="V96" s="38" t="n">
        <x:v>0</x:v>
      </x:c>
      <x:c r="W96" s="38" t="n">
        <x:v>0</x:v>
      </x:c>
      <x:c r="X96" s="44" t="n">
        <x:v>0</x:v>
      </x:c>
      <x:c r="Y96" s="38" t="n">
        <x:v>23</x:v>
      </x:c>
      <x:c r="Z96" s="38" t="n">
        <x:v>38</x:v>
      </x:c>
      <x:c r="AA96" s="38" t="n">
        <x:v>19</x:v>
      </x:c>
      <x:c r="AB96" s="38" t="n">
        <x:v>7</x:v>
      </x:c>
      <x:c r="AC96" s="38" t="n">
        <x:v>38475</x:v>
      </x:c>
      <x:c r="AD96" s="38" t="n">
        <x:v>0</x:v>
      </x:c>
      <x:c r="AE96" s="38" t="n">
        <x:f>IF(B96=1,0,F96-Q95)</x:f>
        <x:v>0</x:v>
      </x:c>
    </x:row>
    <x:row r="97" ht="27" customHeight="1">
      <x:c r="A97" s="28" t="str">
        <x:v>Casual F2P</x:v>
      </x:c>
      <x:c r="B97" s="38" t="n">
        <x:v>93</x:v>
      </x:c>
      <x:c r="C97" s="38" t="n">
        <x:v>38</x:v>
      </x:c>
      <x:c r="D97" s="38" t="n">
        <x:v>665987</x:v>
      </x:c>
      <x:c r="E97" s="38" t="n">
        <x:v>95</x:v>
      </x:c>
      <x:c r="F97" s="38" t="n">
        <x:v>114428</x:v>
      </x:c>
      <x:c r="G97" s="38" t="n">
        <x:v>145656</x:v>
      </x:c>
      <x:c r="H97" s="38" t="n">
        <x:v>29160</x:v>
      </x:c>
      <x:c r="I97" s="38" t="n">
        <x:v>3038</x:v>
      </x:c>
      <x:c r="J97" s="38" t="n">
        <x:v>0</x:v>
      </x:c>
      <x:c r="K97" s="38" t="n">
        <x:v>0</x:v>
      </x:c>
      <x:c r="L97" s="38" t="n">
        <x:v>0</x:v>
      </x:c>
      <x:c r="M97" s="38" t="n">
        <x:v>0</x:v>
      </x:c>
      <x:c r="N97" s="38" t="n">
        <x:v>0</x:v>
      </x:c>
      <x:c r="O97" s="38" t="n">
        <x:v>57726</x:v>
      </x:c>
      <x:c r="P97" s="38" t="n">
        <x:f>F97+G97-H97+I97+J97+K97+L97-M97-N97-O97</x:f>
        <x:v>176236</x:v>
      </x:c>
      <x:c r="Q97" s="38" t="n">
        <x:v>176236</x:v>
      </x:c>
      <x:c r="R97" s="38" t="n">
        <x:f>P97-Q97</x:f>
        <x:v>0</x:v>
      </x:c>
      <x:c r="S97" s="38" t="n">
        <x:v>116496</x:v>
      </x:c>
      <x:c r="T97" s="38" t="n">
        <x:v>16817</x:v>
      </x:c>
      <x:c r="U97" s="38" t="n">
        <x:v>89</x:v>
      </x:c>
      <x:c r="V97" s="38" t="n">
        <x:v>0</x:v>
      </x:c>
      <x:c r="W97" s="38" t="n">
        <x:v>0</x:v>
      </x:c>
      <x:c r="X97" s="44" t="n">
        <x:v>0</x:v>
      </x:c>
      <x:c r="Y97" s="38" t="n">
        <x:v>72</x:v>
      </x:c>
      <x:c r="Z97" s="38" t="n">
        <x:v>38</x:v>
      </x:c>
      <x:c r="AA97" s="38" t="n">
        <x:v>19</x:v>
      </x:c>
      <x:c r="AB97" s="38" t="n">
        <x:v>8</x:v>
      </x:c>
      <x:c r="AC97" s="38" t="n">
        <x:v>38475</x:v>
      </x:c>
      <x:c r="AD97" s="38" t="n">
        <x:v>0</x:v>
      </x:c>
      <x:c r="AE97" s="38" t="n">
        <x:f>IF(B97=1,0,F97-Q96)</x:f>
        <x:v>0</x:v>
      </x:c>
    </x:row>
    <x:row r="98" ht="27" customHeight="1">
      <x:c r="A98" s="28" t="str">
        <x:v>Casual F2P</x:v>
      </x:c>
      <x:c r="B98" s="38" t="n">
        <x:v>94</x:v>
      </x:c>
      <x:c r="C98" s="38" t="n">
        <x:v>38</x:v>
      </x:c>
      <x:c r="D98" s="38" t="n">
        <x:v>671926</x:v>
      </x:c>
      <x:c r="E98" s="38" t="n">
        <x:v>95</x:v>
      </x:c>
      <x:c r="F98" s="38" t="n">
        <x:v>176236</x:v>
      </x:c>
      <x:c r="G98" s="38" t="n">
        <x:v>46529</x:v>
      </x:c>
      <x:c r="H98" s="38" t="n">
        <x:v>9315</x:v>
      </x:c>
      <x:c r="I98" s="38" t="n">
        <x:v>3038</x:v>
      </x:c>
      <x:c r="J98" s="38" t="n">
        <x:v>0</x:v>
      </x:c>
      <x:c r="K98" s="38" t="n">
        <x:v>0</x:v>
      </x:c>
      <x:c r="L98" s="38" t="n">
        <x:v>0</x:v>
      </x:c>
      <x:c r="M98" s="38" t="n">
        <x:v>0</x:v>
      </x:c>
      <x:c r="N98" s="38" t="n">
        <x:v>0</x:v>
      </x:c>
      <x:c r="O98" s="38" t="n">
        <x:v>0</x:v>
      </x:c>
      <x:c r="P98" s="38" t="n">
        <x:f>F98+G98-H98+I98+J98+K98+L98-M98-N98-O98</x:f>
        <x:v>216488</x:v>
      </x:c>
      <x:c r="Q98" s="38" t="n">
        <x:v>216488</x:v>
      </x:c>
      <x:c r="R98" s="38" t="n">
        <x:f>P98-Q98</x:f>
        <x:v>0</x:v>
      </x:c>
      <x:c r="S98" s="38" t="n">
        <x:v>37214</x:v>
      </x:c>
      <x:c r="T98" s="38" t="n">
        <x:v>5939</x:v>
      </x:c>
      <x:c r="U98" s="38" t="n">
        <x:v>89</x:v>
      </x:c>
      <x:c r="V98" s="38" t="n">
        <x:v>0</x:v>
      </x:c>
      <x:c r="W98" s="38" t="n">
        <x:v>0</x:v>
      </x:c>
      <x:c r="X98" s="44" t="n">
        <x:v>0</x:v>
      </x:c>
      <x:c r="Y98" s="38" t="n">
        <x:v>23</x:v>
      </x:c>
      <x:c r="Z98" s="38" t="n">
        <x:v>38</x:v>
      </x:c>
      <x:c r="AA98" s="38" t="n">
        <x:v>19</x:v>
      </x:c>
      <x:c r="AB98" s="38" t="n">
        <x:v>8</x:v>
      </x:c>
      <x:c r="AC98" s="38" t="n">
        <x:v>38475</x:v>
      </x:c>
      <x:c r="AD98" s="38" t="n">
        <x:v>0</x:v>
      </x:c>
      <x:c r="AE98" s="38" t="n">
        <x:f>IF(B98=1,0,F98-Q97)</x:f>
        <x:v>0</x:v>
      </x:c>
    </x:row>
    <x:row r="99" ht="27" customHeight="1">
      <x:c r="A99" s="28" t="str">
        <x:v>Casual F2P</x:v>
      </x:c>
      <x:c r="B99" s="38" t="n">
        <x:v>95</x:v>
      </x:c>
      <x:c r="C99" s="38" t="n">
        <x:v>39</x:v>
      </x:c>
      <x:c r="D99" s="38" t="n">
        <x:v>688743</x:v>
      </x:c>
      <x:c r="E99" s="38" t="n">
        <x:v>95</x:v>
      </x:c>
      <x:c r="F99" s="38" t="n">
        <x:v>216488</x:v>
      </x:c>
      <x:c r="G99" s="38" t="n">
        <x:v>145656</x:v>
      </x:c>
      <x:c r="H99" s="38" t="n">
        <x:v>29281</x:v>
      </x:c>
      <x:c r="I99" s="38" t="n">
        <x:v>3038</x:v>
      </x:c>
      <x:c r="J99" s="38" t="n">
        <x:v>1160</x:v>
      </x:c>
      <x:c r="K99" s="38" t="n">
        <x:v>0</x:v>
      </x:c>
      <x:c r="L99" s="38" t="n">
        <x:v>0</x:v>
      </x:c>
      <x:c r="M99" s="38" t="n">
        <x:v>0</x:v>
      </x:c>
      <x:c r="N99" s="38" t="n">
        <x:v>0</x:v>
      </x:c>
      <x:c r="O99" s="38" t="n">
        <x:v>0</x:v>
      </x:c>
      <x:c r="P99" s="38" t="n">
        <x:f>F99+G99-H99+I99+J99+K99+L99-M99-N99-O99</x:f>
        <x:v>337061</x:v>
      </x:c>
      <x:c r="Q99" s="38" t="n">
        <x:v>337061</x:v>
      </x:c>
      <x:c r="R99" s="38" t="n">
        <x:f>P99-Q99</x:f>
        <x:v>0</x:v>
      </x:c>
      <x:c r="S99" s="38" t="n">
        <x:v>116496</x:v>
      </x:c>
      <x:c r="T99" s="38" t="n">
        <x:v>16817</x:v>
      </x:c>
      <x:c r="U99" s="38" t="n">
        <x:v>89</x:v>
      </x:c>
      <x:c r="V99" s="38" t="n">
        <x:v>0</x:v>
      </x:c>
      <x:c r="W99" s="38" t="n">
        <x:v>0</x:v>
      </x:c>
      <x:c r="X99" s="44" t="n">
        <x:v>0</x:v>
      </x:c>
      <x:c r="Y99" s="38" t="n">
        <x:v>72</x:v>
      </x:c>
      <x:c r="Z99" s="38" t="n">
        <x:v>38</x:v>
      </x:c>
      <x:c r="AA99" s="38" t="n">
        <x:v>19</x:v>
      </x:c>
      <x:c r="AB99" s="38" t="n">
        <x:v>8</x:v>
      </x:c>
      <x:c r="AC99" s="38" t="n">
        <x:v>38596</x:v>
      </x:c>
      <x:c r="AD99" s="38" t="n">
        <x:v>0</x:v>
      </x:c>
      <x:c r="AE99" s="38" t="n">
        <x:f>IF(B99=1,0,F99-Q98)</x:f>
        <x:v>0</x:v>
      </x:c>
    </x:row>
    <x:row r="100" ht="27" customHeight="1">
      <x:c r="A100" s="28" t="str">
        <x:v>Casual F2P</x:v>
      </x:c>
      <x:c r="B100" s="38" t="n">
        <x:v>96</x:v>
      </x:c>
      <x:c r="C100" s="38" t="n">
        <x:v>39</x:v>
      </x:c>
      <x:c r="D100" s="38" t="n">
        <x:v>694701</x:v>
      </x:c>
      <x:c r="E100" s="38" t="n">
        <x:v>95</x:v>
      </x:c>
      <x:c r="F100" s="38" t="n">
        <x:v>337061</x:v>
      </x:c>
      <x:c r="G100" s="38" t="n">
        <x:v>46674</x:v>
      </x:c>
      <x:c r="H100" s="38" t="n">
        <x:v>9888</x:v>
      </x:c>
      <x:c r="I100" s="38" t="n">
        <x:v>3089</x:v>
      </x:c>
      <x:c r="J100" s="38" t="n">
        <x:v>0</x:v>
      </x:c>
      <x:c r="K100" s="38" t="n">
        <x:v>0</x:v>
      </x:c>
      <x:c r="L100" s="38" t="n">
        <x:v>0</x:v>
      </x:c>
      <x:c r="M100" s="38" t="n">
        <x:v>0</x:v>
      </x:c>
      <x:c r="N100" s="38" t="n">
        <x:v>2180</x:v>
      </x:c>
      <x:c r="O100" s="38" t="n">
        <x:v>0</x:v>
      </x:c>
      <x:c r="P100" s="38" t="n">
        <x:f>F100+G100-H100+I100+J100+K100+L100-M100-N100-O100</x:f>
        <x:v>374756</x:v>
      </x:c>
      <x:c r="Q100" s="38" t="n">
        <x:v>374756</x:v>
      </x:c>
      <x:c r="R100" s="38" t="n">
        <x:f>P100-Q100</x:f>
        <x:v>0</x:v>
      </x:c>
      <x:c r="S100" s="38" t="n">
        <x:v>37330</x:v>
      </x:c>
      <x:c r="T100" s="38" t="n">
        <x:v>5958</x:v>
      </x:c>
      <x:c r="U100" s="38" t="n">
        <x:v>89</x:v>
      </x:c>
      <x:c r="V100" s="38" t="n">
        <x:v>0</x:v>
      </x:c>
      <x:c r="W100" s="38" t="n">
        <x:v>0</x:v>
      </x:c>
      <x:c r="X100" s="44" t="n">
        <x:v>0</x:v>
      </x:c>
      <x:c r="Y100" s="38" t="n">
        <x:v>24</x:v>
      </x:c>
      <x:c r="Z100" s="38" t="n">
        <x:v>39</x:v>
      </x:c>
      <x:c r="AA100" s="38" t="n">
        <x:v>20</x:v>
      </x:c>
      <x:c r="AB100" s="38" t="n">
        <x:v>8</x:v>
      </x:c>
      <x:c r="AC100" s="38" t="n">
        <x:v>39140</x:v>
      </x:c>
      <x:c r="AD100" s="38" t="n">
        <x:v>0</x:v>
      </x:c>
      <x:c r="AE100" s="38" t="n">
        <x:f>IF(B100=1,0,F100-Q99)</x:f>
        <x:v>0</x:v>
      </x:c>
    </x:row>
    <x:row r="101" ht="27" customHeight="1">
      <x:c r="A101" s="28" t="str">
        <x:v>Casual F2P</x:v>
      </x:c>
      <x:c r="B101" s="38" t="n">
        <x:v>97</x:v>
      </x:c>
      <x:c r="C101" s="38" t="n">
        <x:v>39</x:v>
      </x:c>
      <x:c r="D101" s="38" t="n">
        <x:v>711373</x:v>
      </x:c>
      <x:c r="E101" s="38" t="n">
        <x:v>95</x:v>
      </x:c>
      <x:c r="F101" s="38" t="n">
        <x:v>374756</x:v>
      </x:c>
      <x:c r="G101" s="38" t="n">
        <x:v>146118</x:v>
      </x:c>
      <x:c r="H101" s="38" t="n">
        <x:v>29252</x:v>
      </x:c>
      <x:c r="I101" s="38" t="n">
        <x:v>3089</x:v>
      </x:c>
      <x:c r="J101" s="38" t="n">
        <x:v>0</x:v>
      </x:c>
      <x:c r="K101" s="38" t="n">
        <x:v>0</x:v>
      </x:c>
      <x:c r="L101" s="38" t="n">
        <x:v>0</x:v>
      </x:c>
      <x:c r="M101" s="38" t="n">
        <x:v>0</x:v>
      </x:c>
      <x:c r="N101" s="38" t="n">
        <x:v>0</x:v>
      </x:c>
      <x:c r="O101" s="38" t="n">
        <x:v>0</x:v>
      </x:c>
      <x:c r="P101" s="38" t="n">
        <x:f>F101+G101-H101+I101+J101+K101+L101-M101-N101-O101</x:f>
        <x:v>494711</x:v>
      </x:c>
      <x:c r="Q101" s="38" t="n">
        <x:v>494711</x:v>
      </x:c>
      <x:c r="R101" s="38" t="n">
        <x:f>P101-Q101</x:f>
        <x:v>0</x:v>
      </x:c>
      <x:c r="S101" s="38" t="n">
        <x:v>116866</x:v>
      </x:c>
      <x:c r="T101" s="38" t="n">
        <x:v>16672</x:v>
      </x:c>
      <x:c r="U101" s="38" t="n">
        <x:v>89</x:v>
      </x:c>
      <x:c r="V101" s="38" t="n">
        <x:v>0</x:v>
      </x:c>
      <x:c r="W101" s="38" t="n">
        <x:v>0</x:v>
      </x:c>
      <x:c r="X101" s="44" t="n">
        <x:v>0</x:v>
      </x:c>
      <x:c r="Y101" s="38" t="n">
        <x:v>71</x:v>
      </x:c>
      <x:c r="Z101" s="38" t="n">
        <x:v>39</x:v>
      </x:c>
      <x:c r="AA101" s="38" t="n">
        <x:v>20</x:v>
      </x:c>
      <x:c r="AB101" s="38" t="n">
        <x:v>8</x:v>
      </x:c>
      <x:c r="AC101" s="38" t="n">
        <x:v>39140</x:v>
      </x:c>
      <x:c r="AD101" s="38" t="n">
        <x:v>0</x:v>
      </x:c>
      <x:c r="AE101" s="38" t="n">
        <x:f>IF(B101=1,0,F101-Q100)</x:f>
        <x:v>0</x:v>
      </x:c>
    </x:row>
    <x:row r="102" ht="27" customHeight="1">
      <x:c r="A102" s="28" t="str">
        <x:v>Casual F2P</x:v>
      </x:c>
      <x:c r="B102" s="38" t="n">
        <x:v>98</x:v>
      </x:c>
      <x:c r="C102" s="38" t="n">
        <x:v>39</x:v>
      </x:c>
      <x:c r="D102" s="38" t="n">
        <x:v>723811</x:v>
      </x:c>
      <x:c r="E102" s="38" t="n">
        <x:v>95</x:v>
      </x:c>
      <x:c r="F102" s="38" t="n">
        <x:v>494711</x:v>
      </x:c>
      <x:c r="G102" s="38" t="n">
        <x:v>49392</x:v>
      </x:c>
      <x:c r="H102" s="38" t="n">
        <x:v>9888</x:v>
      </x:c>
      <x:c r="I102" s="38" t="n">
        <x:v>25875</x:v>
      </x:c>
      <x:c r="J102" s="38" t="n">
        <x:v>0</x:v>
      </x:c>
      <x:c r="K102" s="38" t="n">
        <x:v>0</x:v>
      </x:c>
      <x:c r="L102" s="38" t="n">
        <x:v>0</x:v>
      </x:c>
      <x:c r="M102" s="38" t="n">
        <x:v>0</x:v>
      </x:c>
      <x:c r="N102" s="38" t="n">
        <x:v>0</x:v>
      </x:c>
      <x:c r="O102" s="38" t="n">
        <x:v>0</x:v>
      </x:c>
      <x:c r="P102" s="38" t="n">
        <x:f>F102+G102-H102+I102+J102+K102+L102-M102-N102-O102</x:f>
        <x:v>560090</x:v>
      </x:c>
      <x:c r="Q102" s="38" t="n">
        <x:v>560090</x:v>
      </x:c>
      <x:c r="R102" s="38" t="n">
        <x:f>P102-Q102</x:f>
        <x:v>0</x:v>
      </x:c>
      <x:c r="S102" s="38" t="n">
        <x:v>39504</x:v>
      </x:c>
      <x:c r="T102" s="38" t="n">
        <x:v>12438</x:v>
      </x:c>
      <x:c r="U102" s="38" t="n">
        <x:v>91</x:v>
      </x:c>
      <x:c r="V102" s="38" t="n">
        <x:v>2</x:v>
      </x:c>
      <x:c r="W102" s="38" t="n">
        <x:v>0</x:v>
      </x:c>
      <x:c r="X102" s="44" t="n">
        <x:v>0</x:v>
      </x:c>
      <x:c r="Y102" s="38" t="n">
        <x:v>24</x:v>
      </x:c>
      <x:c r="Z102" s="38" t="n">
        <x:v>39</x:v>
      </x:c>
      <x:c r="AA102" s="38" t="n">
        <x:v>20</x:v>
      </x:c>
      <x:c r="AB102" s="38" t="n">
        <x:v>8</x:v>
      </x:c>
      <x:c r="AC102" s="38" t="n">
        <x:v>39140</x:v>
      </x:c>
      <x:c r="AD102" s="38" t="n">
        <x:v>0</x:v>
      </x:c>
      <x:c r="AE102" s="38" t="n">
        <x:f>IF(B102=1,0,F102-Q101)</x:f>
        <x:v>0</x:v>
      </x:c>
    </x:row>
    <x:row r="103" ht="27" customHeight="1">
      <x:c r="A103" s="28" t="str">
        <x:v>Casual F2P</x:v>
      </x:c>
      <x:c r="B103" s="38" t="n">
        <x:v>99</x:v>
      </x:c>
      <x:c r="C103" s="38" t="n">
        <x:v>39</x:v>
      </x:c>
      <x:c r="D103" s="38" t="n">
        <x:v>740483</x:v>
      </x:c>
      <x:c r="E103" s="38" t="n">
        <x:v>95</x:v>
      </x:c>
      <x:c r="F103" s="38" t="n">
        <x:v>560090</x:v>
      </x:c>
      <x:c r="G103" s="38" t="n">
        <x:v>146118</x:v>
      </x:c>
      <x:c r="H103" s="38" t="n">
        <x:v>29252</x:v>
      </x:c>
      <x:c r="I103" s="38" t="n">
        <x:v>3089</x:v>
      </x:c>
      <x:c r="J103" s="38" t="n">
        <x:v>0</x:v>
      </x:c>
      <x:c r="K103" s="38" t="n">
        <x:v>0</x:v>
      </x:c>
      <x:c r="L103" s="38" t="n">
        <x:v>0</x:v>
      </x:c>
      <x:c r="M103" s="38" t="n">
        <x:v>0</x:v>
      </x:c>
      <x:c r="N103" s="38" t="n">
        <x:v>0</x:v>
      </x:c>
      <x:c r="O103" s="38" t="n">
        <x:v>0</x:v>
      </x:c>
      <x:c r="P103" s="38" t="n">
        <x:f>F103+G103-H103+I103+J103+K103+L103-M103-N103-O103</x:f>
        <x:v>680045</x:v>
      </x:c>
      <x:c r="Q103" s="38" t="n">
        <x:v>680045</x:v>
      </x:c>
      <x:c r="R103" s="38" t="n">
        <x:f>P103-Q103</x:f>
        <x:v>0</x:v>
      </x:c>
      <x:c r="S103" s="38" t="n">
        <x:v>116866</x:v>
      </x:c>
      <x:c r="T103" s="38" t="n">
        <x:v>16672</x:v>
      </x:c>
      <x:c r="U103" s="38" t="n">
        <x:v>91</x:v>
      </x:c>
      <x:c r="V103" s="38" t="n">
        <x:v>0</x:v>
      </x:c>
      <x:c r="W103" s="38" t="n">
        <x:v>0</x:v>
      </x:c>
      <x:c r="X103" s="44" t="n">
        <x:v>0</x:v>
      </x:c>
      <x:c r="Y103" s="38" t="n">
        <x:v>71</x:v>
      </x:c>
      <x:c r="Z103" s="38" t="n">
        <x:v>39</x:v>
      </x:c>
      <x:c r="AA103" s="38" t="n">
        <x:v>20</x:v>
      </x:c>
      <x:c r="AB103" s="38" t="n">
        <x:v>8</x:v>
      </x:c>
      <x:c r="AC103" s="38" t="n">
        <x:v>39140</x:v>
      </x:c>
      <x:c r="AD103" s="38" t="n">
        <x:v>0</x:v>
      </x:c>
      <x:c r="AE103" s="38" t="n">
        <x:f>IF(B103=1,0,F103-Q102)</x:f>
        <x:v>0</x:v>
      </x:c>
    </x:row>
    <x:row r="104" ht="27" customHeight="1">
      <x:c r="A104" s="28" t="str">
        <x:v>Casual F2P</x:v>
      </x:c>
      <x:c r="B104" s="38" t="n">
        <x:v>100</x:v>
      </x:c>
      <x:c r="C104" s="38" t="n">
        <x:v>40</x:v>
      </x:c>
      <x:c r="D104" s="38" t="n">
        <x:v>742640</x:v>
      </x:c>
      <x:c r="E104" s="38" t="n">
        <x:v>95</x:v>
      </x:c>
      <x:c r="F104" s="38" t="n">
        <x:v>680045</x:v>
      </x:c>
      <x:c r="G104" s="38" t="n">
        <x:v>49392</x:v>
      </x:c>
      <x:c r="H104" s="38" t="n">
        <x:v>10032</x:v>
      </x:c>
      <x:c r="I104" s="38" t="n">
        <x:v>3089</x:v>
      </x:c>
      <x:c r="J104" s="38" t="n">
        <x:v>1240</x:v>
      </x:c>
      <x:c r="K104" s="38" t="n">
        <x:v>0</x:v>
      </x:c>
      <x:c r="L104" s="38" t="n">
        <x:v>0</x:v>
      </x:c>
      <x:c r="M104" s="38" t="n">
        <x:v>0</x:v>
      </x:c>
      <x:c r="N104" s="38" t="n">
        <x:v>0</x:v>
      </x:c>
      <x:c r="O104" s="38" t="n">
        <x:v>0</x:v>
      </x:c>
      <x:c r="P104" s="38" t="n">
        <x:f>F104+G104-H104+I104+J104+K104+L104-M104-N104-O104</x:f>
        <x:v>723734</x:v>
      </x:c>
      <x:c r="Q104" s="38" t="n">
        <x:v>723734</x:v>
      </x:c>
      <x:c r="R104" s="38" t="n">
        <x:f>P104-Q104</x:f>
        <x:v>0</x:v>
      </x:c>
      <x:c r="S104" s="38" t="n">
        <x:v>39504</x:v>
      </x:c>
      <x:c r="T104" s="38" t="n">
        <x:v>2157</x:v>
      </x:c>
      <x:c r="U104" s="38" t="n">
        <x:v>94</x:v>
      </x:c>
      <x:c r="V104" s="38" t="n">
        <x:v>3</x:v>
      </x:c>
      <x:c r="W104" s="38" t="n">
        <x:v>0</x:v>
      </x:c>
      <x:c r="X104" s="44" t="n">
        <x:v>0</x:v>
      </x:c>
      <x:c r="Y104" s="38" t="n">
        <x:v>24</x:v>
      </x:c>
      <x:c r="Z104" s="38" t="n">
        <x:v>39</x:v>
      </x:c>
      <x:c r="AA104" s="38" t="n">
        <x:v>20</x:v>
      </x:c>
      <x:c r="AB104" s="38" t="n">
        <x:v>8</x:v>
      </x:c>
      <x:c r="AC104" s="38" t="n">
        <x:v>39284</x:v>
      </x:c>
      <x:c r="AD104" s="38" t="n">
        <x:v>0</x:v>
      </x:c>
      <x:c r="AE104" s="38" t="n">
        <x:f>IF(B104=1,0,F104-Q103)</x:f>
        <x:v>0</x:v>
      </x:c>
    </x:row>
    <x:row r="105" ht="27" customHeight="1">
      <x:c r="A105" s="28" t="str">
        <x:v>Casual F2P</x:v>
      </x:c>
      <x:c r="B105" s="38" t="n">
        <x:v>101</x:v>
      </x:c>
      <x:c r="C105" s="38" t="n">
        <x:v>40</x:v>
      </x:c>
      <x:c r="D105" s="38" t="n">
        <x:v>742640</x:v>
      </x:c>
      <x:c r="E105" s="38" t="n">
        <x:v>100</x:v>
      </x:c>
      <x:c r="F105" s="38" t="n">
        <x:v>723734</x:v>
      </x:c>
      <x:c r="G105" s="38" t="n">
        <x:v>146118</x:v>
      </x:c>
      <x:c r="H105" s="38" t="n">
        <x:v>31768</x:v>
      </x:c>
      <x:c r="I105" s="38" t="n">
        <x:v>3306</x:v>
      </x:c>
      <x:c r="J105" s="38" t="n">
        <x:v>0</x:v>
      </x:c>
      <x:c r="K105" s="38" t="n">
        <x:v>0</x:v>
      </x:c>
      <x:c r="L105" s="38" t="n">
        <x:v>0</x:v>
      </x:c>
      <x:c r="M105" s="38" t="n">
        <x:v>700000</x:v>
      </x:c>
      <x:c r="N105" s="38" t="n">
        <x:v>1200</x:v>
      </x:c>
      <x:c r="O105" s="38" t="n">
        <x:v>98390</x:v>
      </x:c>
      <x:c r="P105" s="38" t="n">
        <x:f>F105+G105-H105+I105+J105+K105+L105-M105-N105-O105</x:f>
        <x:v>41800</x:v>
      </x:c>
      <x:c r="Q105" s="38" t="n">
        <x:v>41800</x:v>
      </x:c>
      <x:c r="R105" s="38" t="n">
        <x:f>P105-Q105</x:f>
        <x:v>0</x:v>
      </x:c>
      <x:c r="S105" s="38" t="n">
        <x:v>116866</x:v>
      </x:c>
      <x:c r="T105" s="38" t="n">
        <x:v>0</x:v>
      </x:c>
      <x:c r="U105" s="38" t="n">
        <x:v>94</x:v>
      </x:c>
      <x:c r="V105" s="38" t="n">
        <x:v>0</x:v>
      </x:c>
      <x:c r="W105" s="38" t="n">
        <x:v>0</x:v>
      </x:c>
      <x:c r="X105" s="44" t="n">
        <x:v>0</x:v>
      </x:c>
      <x:c r="Y105" s="38" t="n">
        <x:v>71</x:v>
      </x:c>
      <x:c r="Z105" s="38" t="n">
        <x:v>39</x:v>
      </x:c>
      <x:c r="AA105" s="38" t="n">
        <x:v>21</x:v>
      </x:c>
      <x:c r="AB105" s="38" t="n">
        <x:v>8</x:v>
      </x:c>
      <x:c r="AC105" s="38" t="n">
        <x:v>41800</x:v>
      </x:c>
      <x:c r="AD105" s="38" t="n">
        <x:v>0</x:v>
      </x:c>
      <x:c r="AE105" s="38" t="n">
        <x:f>IF(B105=1,0,F105-Q104)</x:f>
        <x:v>0</x:v>
      </x:c>
    </x:row>
    <x:row r="106" ht="27" customHeight="1">
      <x:c r="A106" s="28" t="str">
        <x:v>Casual F2P</x:v>
      </x:c>
      <x:c r="B106" s="38" t="n">
        <x:v>102</x:v>
      </x:c>
      <x:c r="C106" s="38" t="n">
        <x:v>40</x:v>
      </x:c>
      <x:c r="D106" s="38" t="n">
        <x:v>742640</x:v>
      </x:c>
      <x:c r="E106" s="38" t="n">
        <x:v>100</x:v>
      </x:c>
      <x:c r="F106" s="38" t="n">
        <x:v>41800</x:v>
      </x:c>
      <x:c r="G106" s="38" t="n">
        <x:v>50184</x:v>
      </x:c>
      <x:c r="H106" s="38" t="n">
        <x:v>10032</x:v>
      </x:c>
      <x:c r="I106" s="38" t="n">
        <x:v>3306</x:v>
      </x:c>
      <x:c r="J106" s="38" t="n">
        <x:v>0</x:v>
      </x:c>
      <x:c r="K106" s="38" t="n">
        <x:v>0</x:v>
      </x:c>
      <x:c r="L106" s="38" t="n">
        <x:v>0</x:v>
      </x:c>
      <x:c r="M106" s="38" t="n">
        <x:v>0</x:v>
      </x:c>
      <x:c r="N106" s="38" t="n">
        <x:v>0</x:v>
      </x:c>
      <x:c r="O106" s="38" t="n">
        <x:v>43458</x:v>
      </x:c>
      <x:c r="P106" s="38" t="n">
        <x:f>F106+G106-H106+I106+J106+K106+L106-M106-N106-O106</x:f>
        <x:v>41800</x:v>
      </x:c>
      <x:c r="Q106" s="38" t="n">
        <x:v>41800</x:v>
      </x:c>
      <x:c r="R106" s="38" t="n">
        <x:f>P106-Q106</x:f>
        <x:v>0</x:v>
      </x:c>
      <x:c r="S106" s="38" t="n">
        <x:v>40152</x:v>
      </x:c>
      <x:c r="T106" s="38" t="n">
        <x:v>0</x:v>
      </x:c>
      <x:c r="U106" s="38" t="n">
        <x:v>96</x:v>
      </x:c>
      <x:c r="V106" s="38" t="n">
        <x:v>2</x:v>
      </x:c>
      <x:c r="W106" s="38" t="n">
        <x:v>0</x:v>
      </x:c>
      <x:c r="X106" s="44" t="n">
        <x:v>0</x:v>
      </x:c>
      <x:c r="Y106" s="38" t="n">
        <x:v>24</x:v>
      </x:c>
      <x:c r="Z106" s="38" t="n">
        <x:v>40</x:v>
      </x:c>
      <x:c r="AA106" s="38" t="n">
        <x:v>21</x:v>
      </x:c>
      <x:c r="AB106" s="38" t="n">
        <x:v>8</x:v>
      </x:c>
      <x:c r="AC106" s="38" t="n">
        <x:v>41800</x:v>
      </x:c>
      <x:c r="AD106" s="38" t="n">
        <x:v>0</x:v>
      </x:c>
      <x:c r="AE106" s="38" t="n">
        <x:f>IF(B106=1,0,F106-Q105)</x:f>
        <x:v>0</x:v>
      </x:c>
    </x:row>
    <x:row r="107" ht="27" customHeight="1">
      <x:c r="A107" s="28" t="str">
        <x:v>Casual F2P</x:v>
      </x:c>
      <x:c r="B107" s="38" t="n">
        <x:v>103</x:v>
      </x:c>
      <x:c r="C107" s="38" t="n">
        <x:v>40</x:v>
      </x:c>
      <x:c r="D107" s="38" t="n">
        <x:v>742640</x:v>
      </x:c>
      <x:c r="E107" s="38" t="n">
        <x:v>100</x:v>
      </x:c>
      <x:c r="F107" s="38" t="n">
        <x:v>41800</x:v>
      </x:c>
      <x:c r="G107" s="38" t="n">
        <x:v>158916</x:v>
      </x:c>
      <x:c r="H107" s="38" t="n">
        <x:v>31768</x:v>
      </x:c>
      <x:c r="I107" s="38" t="n">
        <x:v>3306</x:v>
      </x:c>
      <x:c r="J107" s="38" t="n">
        <x:v>0</x:v>
      </x:c>
      <x:c r="K107" s="38" t="n">
        <x:v>0</x:v>
      </x:c>
      <x:c r="L107" s="38" t="n">
        <x:v>0</x:v>
      </x:c>
      <x:c r="M107" s="38" t="n">
        <x:v>0</x:v>
      </x:c>
      <x:c r="N107" s="38" t="n">
        <x:v>0</x:v>
      </x:c>
      <x:c r="O107" s="38" t="n">
        <x:v>130454</x:v>
      </x:c>
      <x:c r="P107" s="38" t="n">
        <x:f>F107+G107-H107+I107+J107+K107+L107-M107-N107-O107</x:f>
        <x:v>41800</x:v>
      </x:c>
      <x:c r="Q107" s="38" t="n">
        <x:v>41800</x:v>
      </x:c>
      <x:c r="R107" s="38" t="n">
        <x:f>P107-Q107</x:f>
        <x:v>0</x:v>
      </x:c>
      <x:c r="S107" s="38" t="n">
        <x:v>127148</x:v>
      </x:c>
      <x:c r="T107" s="38" t="n">
        <x:v>0</x:v>
      </x:c>
      <x:c r="U107" s="38" t="n">
        <x:v>96</x:v>
      </x:c>
      <x:c r="V107" s="38" t="n">
        <x:v>0</x:v>
      </x:c>
      <x:c r="W107" s="38" t="n">
        <x:v>0</x:v>
      </x:c>
      <x:c r="X107" s="44" t="n">
        <x:v>0</x:v>
      </x:c>
      <x:c r="Y107" s="38" t="n">
        <x:v>76</x:v>
      </x:c>
      <x:c r="Z107" s="38" t="n">
        <x:v>40</x:v>
      </x:c>
      <x:c r="AA107" s="38" t="n">
        <x:v>21</x:v>
      </x:c>
      <x:c r="AB107" s="38" t="n">
        <x:v>8</x:v>
      </x:c>
      <x:c r="AC107" s="38" t="n">
        <x:v>41800</x:v>
      </x:c>
      <x:c r="AD107" s="38" t="n">
        <x:v>0</x:v>
      </x:c>
      <x:c r="AE107" s="38" t="n">
        <x:f>IF(B107=1,0,F107-Q106)</x:f>
        <x:v>0</x:v>
      </x:c>
    </x:row>
    <x:row r="108" ht="27" customHeight="1">
      <x:c r="A108" s="28" t="str">
        <x:v>Casual F2P</x:v>
      </x:c>
      <x:c r="B108" s="38" t="n">
        <x:v>104</x:v>
      </x:c>
      <x:c r="C108" s="38" t="n">
        <x:v>40</x:v>
      </x:c>
      <x:c r="D108" s="38" t="n">
        <x:v>742640</x:v>
      </x:c>
      <x:c r="E108" s="38" t="n">
        <x:v>100</x:v>
      </x:c>
      <x:c r="F108" s="38" t="n">
        <x:v>41800</x:v>
      </x:c>
      <x:c r="G108" s="38" t="n">
        <x:v>50184</x:v>
      </x:c>
      <x:c r="H108" s="38" t="n">
        <x:v>10032</x:v>
      </x:c>
      <x:c r="I108" s="38" t="n">
        <x:v>3306</x:v>
      </x:c>
      <x:c r="J108" s="38" t="n">
        <x:v>0</x:v>
      </x:c>
      <x:c r="K108" s="38" t="n">
        <x:v>0</x:v>
      </x:c>
      <x:c r="L108" s="38" t="n">
        <x:v>0</x:v>
      </x:c>
      <x:c r="M108" s="38" t="n">
        <x:v>0</x:v>
      </x:c>
      <x:c r="N108" s="38" t="n">
        <x:v>0</x:v>
      </x:c>
      <x:c r="O108" s="38" t="n">
        <x:v>43458</x:v>
      </x:c>
      <x:c r="P108" s="38" t="n">
        <x:f>F108+G108-H108+I108+J108+K108+L108-M108-N108-O108</x:f>
        <x:v>41800</x:v>
      </x:c>
      <x:c r="Q108" s="38" t="n">
        <x:v>41800</x:v>
      </x:c>
      <x:c r="R108" s="38" t="n">
        <x:f>P108-Q108</x:f>
        <x:v>0</x:v>
      </x:c>
      <x:c r="S108" s="38" t="n">
        <x:v>40152</x:v>
      </x:c>
      <x:c r="T108" s="38" t="n">
        <x:v>0</x:v>
      </x:c>
      <x:c r="U108" s="38" t="n">
        <x:v>96</x:v>
      </x:c>
      <x:c r="V108" s="38" t="n">
        <x:v>0</x:v>
      </x:c>
      <x:c r="W108" s="38" t="n">
        <x:v>0</x:v>
      </x:c>
      <x:c r="X108" s="44" t="n">
        <x:v>0</x:v>
      </x:c>
      <x:c r="Y108" s="38" t="n">
        <x:v>24</x:v>
      </x:c>
      <x:c r="Z108" s="38" t="n">
        <x:v>40</x:v>
      </x:c>
      <x:c r="AA108" s="38" t="n">
        <x:v>21</x:v>
      </x:c>
      <x:c r="AB108" s="38" t="n">
        <x:v>8</x:v>
      </x:c>
      <x:c r="AC108" s="38" t="n">
        <x:v>41800</x:v>
      </x:c>
      <x:c r="AD108" s="38" t="n">
        <x:v>0</x:v>
      </x:c>
      <x:c r="AE108" s="38" t="n">
        <x:f>IF(B108=1,0,F108-Q107)</x:f>
        <x:v>0</x:v>
      </x:c>
    </x:row>
    <x:row r="109" ht="27" customHeight="1">
      <x:c r="A109" s="28" t="str">
        <x:v>Casual F2P</x:v>
      </x:c>
      <x:c r="B109" s="38" t="n">
        <x:v>105</x:v>
      </x:c>
      <x:c r="C109" s="38" t="n">
        <x:v>40</x:v>
      </x:c>
      <x:c r="D109" s="38" t="n">
        <x:v>742640</x:v>
      </x:c>
      <x:c r="E109" s="38" t="n">
        <x:v>100</x:v>
      </x:c>
      <x:c r="F109" s="38" t="n">
        <x:v>41800</x:v>
      </x:c>
      <x:c r="G109" s="38" t="n">
        <x:v>158916</x:v>
      </x:c>
      <x:c r="H109" s="38" t="n">
        <x:v>31768</x:v>
      </x:c>
      <x:c r="I109" s="38" t="n">
        <x:v>26477</x:v>
      </x:c>
      <x:c r="J109" s="38" t="n">
        <x:v>0</x:v>
      </x:c>
      <x:c r="K109" s="38" t="n">
        <x:v>0</x:v>
      </x:c>
      <x:c r="L109" s="38" t="n">
        <x:v>0</x:v>
      </x:c>
      <x:c r="M109" s="38" t="n">
        <x:v>0</x:v>
      </x:c>
      <x:c r="N109" s="38" t="n">
        <x:v>0</x:v>
      </x:c>
      <x:c r="O109" s="38" t="n">
        <x:v>88064</x:v>
      </x:c>
      <x:c r="P109" s="38" t="n">
        <x:f>F109+G109-H109+I109+J109+K109+L109-M109-N109-O109</x:f>
        <x:v>107361</x:v>
      </x:c>
      <x:c r="Q109" s="38" t="n">
        <x:v>107361</x:v>
      </x:c>
      <x:c r="R109" s="38" t="n">
        <x:f>P109-Q109</x:f>
        <x:v>0</x:v>
      </x:c>
      <x:c r="S109" s="38" t="n">
        <x:v>127148</x:v>
      </x:c>
      <x:c r="T109" s="38" t="n">
        <x:v>0</x:v>
      </x:c>
      <x:c r="U109" s="38" t="n">
        <x:v>98</x:v>
      </x:c>
      <x:c r="V109" s="38" t="n">
        <x:v>2</x:v>
      </x:c>
      <x:c r="W109" s="38" t="n">
        <x:v>0</x:v>
      </x:c>
      <x:c r="X109" s="44" t="n">
        <x:v>0</x:v>
      </x:c>
      <x:c r="Y109" s="38" t="n">
        <x:v>76</x:v>
      </x:c>
      <x:c r="Z109" s="38" t="n">
        <x:v>40</x:v>
      </x:c>
      <x:c r="AA109" s="38" t="n">
        <x:v>21</x:v>
      </x:c>
      <x:c r="AB109" s="38" t="n">
        <x:v>8</x:v>
      </x:c>
      <x:c r="AC109" s="38" t="n">
        <x:v>41800</x:v>
      </x:c>
      <x:c r="AD109" s="38" t="n">
        <x:v>0</x:v>
      </x:c>
      <x:c r="AE109" s="38" t="n">
        <x:f>IF(B109=1,0,F109-Q108)</x:f>
        <x:v>0</x:v>
      </x:c>
    </x:row>
    <x:row r="110" ht="27" customHeight="1">
      <x:c r="A110" s="28" t="str">
        <x:v>Casual F2P</x:v>
      </x:c>
      <x:c r="B110" s="38" t="n">
        <x:v>106</x:v>
      </x:c>
      <x:c r="C110" s="38" t="n">
        <x:v>40</x:v>
      </x:c>
      <x:c r="D110" s="38" t="n">
        <x:v>742640</x:v>
      </x:c>
      <x:c r="E110" s="38" t="n">
        <x:v>100</x:v>
      </x:c>
      <x:c r="F110" s="38" t="n">
        <x:v>107361</x:v>
      </x:c>
      <x:c r="G110" s="38" t="n">
        <x:v>50184</x:v>
      </x:c>
      <x:c r="H110" s="38" t="n">
        <x:v>10032</x:v>
      </x:c>
      <x:c r="I110" s="38" t="n">
        <x:v>3306</x:v>
      </x:c>
      <x:c r="J110" s="38" t="n">
        <x:v>0</x:v>
      </x:c>
      <x:c r="K110" s="38" t="n">
        <x:v>0</x:v>
      </x:c>
      <x:c r="L110" s="38" t="n">
        <x:v>0</x:v>
      </x:c>
      <x:c r="M110" s="38" t="n">
        <x:v>0</x:v>
      </x:c>
      <x:c r="N110" s="38" t="n">
        <x:v>2710</x:v>
      </x:c>
      <x:c r="O110" s="38" t="n">
        <x:v>10038</x:v>
      </x:c>
      <x:c r="P110" s="38" t="n">
        <x:f>F110+G110-H110+I110+J110+K110+L110-M110-N110-O110</x:f>
        <x:v>138071</x:v>
      </x:c>
      <x:c r="Q110" s="38" t="n">
        <x:v>138071</x:v>
      </x:c>
      <x:c r="R110" s="38" t="n">
        <x:f>P110-Q110</x:f>
        <x:v>0</x:v>
      </x:c>
      <x:c r="S110" s="38" t="n">
        <x:v>40152</x:v>
      </x:c>
      <x:c r="T110" s="38" t="n">
        <x:v>0</x:v>
      </x:c>
      <x:c r="U110" s="38" t="n">
        <x:v>102</x:v>
      </x:c>
      <x:c r="V110" s="38" t="n">
        <x:v>4</x:v>
      </x:c>
      <x:c r="W110" s="38" t="n">
        <x:v>0</x:v>
      </x:c>
      <x:c r="X110" s="44" t="n">
        <x:v>0</x:v>
      </x:c>
      <x:c r="Y110" s="38" t="n">
        <x:v>24</x:v>
      </x:c>
      <x:c r="Z110" s="38" t="n">
        <x:v>40</x:v>
      </x:c>
      <x:c r="AA110" s="38" t="n">
        <x:v>22</x:v>
      </x:c>
      <x:c r="AB110" s="38" t="n">
        <x:v>8</x:v>
      </x:c>
      <x:c r="AC110" s="38" t="n">
        <x:v>41800</x:v>
      </x:c>
      <x:c r="AD110" s="38" t="n">
        <x:v>0</x:v>
      </x:c>
      <x:c r="AE110" s="38" t="n">
        <x:f>IF(B110=1,0,F110-Q109)</x:f>
        <x:v>0</x:v>
      </x:c>
    </x:row>
    <x:row r="111" ht="27" customHeight="1">
      <x:c r="A111" s="28" t="str">
        <x:v>Casual F2P</x:v>
      </x:c>
      <x:c r="B111" s="38" t="n">
        <x:v>107</x:v>
      </x:c>
      <x:c r="C111" s="38" t="n">
        <x:v>40</x:v>
      </x:c>
      <x:c r="D111" s="38" t="n">
        <x:v>742640</x:v>
      </x:c>
      <x:c r="E111" s="38" t="n">
        <x:v>100</x:v>
      </x:c>
      <x:c r="F111" s="38" t="n">
        <x:v>138071</x:v>
      </x:c>
      <x:c r="G111" s="38" t="n">
        <x:v>158916</x:v>
      </x:c>
      <x:c r="H111" s="38" t="n">
        <x:v>31768</x:v>
      </x:c>
      <x:c r="I111" s="38" t="n">
        <x:v>3306</x:v>
      </x:c>
      <x:c r="J111" s="38" t="n">
        <x:v>0</x:v>
      </x:c>
      <x:c r="K111" s="38" t="n">
        <x:v>0</x:v>
      </x:c>
      <x:c r="L111" s="38" t="n">
        <x:v>0</x:v>
      </x:c>
      <x:c r="M111" s="38" t="n">
        <x:v>0</x:v>
      </x:c>
      <x:c r="N111" s="38" t="n">
        <x:v>0</x:v>
      </x:c>
      <x:c r="O111" s="38" t="n">
        <x:v>31787</x:v>
      </x:c>
      <x:c r="P111" s="38" t="n">
        <x:f>F111+G111-H111+I111+J111+K111+L111-M111-N111-O111</x:f>
        <x:v>236738</x:v>
      </x:c>
      <x:c r="Q111" s="38" t="n">
        <x:v>236738</x:v>
      </x:c>
      <x:c r="R111" s="38" t="n">
        <x:f>P111-Q111</x:f>
        <x:v>0</x:v>
      </x:c>
      <x:c r="S111" s="38" t="n">
        <x:v>127148</x:v>
      </x:c>
      <x:c r="T111" s="38" t="n">
        <x:v>0</x:v>
      </x:c>
      <x:c r="U111" s="38" t="n">
        <x:v>102</x:v>
      </x:c>
      <x:c r="V111" s="38" t="n">
        <x:v>0</x:v>
      </x:c>
      <x:c r="W111" s="38" t="n">
        <x:v>0</x:v>
      </x:c>
      <x:c r="X111" s="44" t="n">
        <x:v>0</x:v>
      </x:c>
      <x:c r="Y111" s="38" t="n">
        <x:v>76</x:v>
      </x:c>
      <x:c r="Z111" s="38" t="n">
        <x:v>40</x:v>
      </x:c>
      <x:c r="AA111" s="38" t="n">
        <x:v>22</x:v>
      </x:c>
      <x:c r="AB111" s="38" t="n">
        <x:v>8</x:v>
      </x:c>
      <x:c r="AC111" s="38" t="n">
        <x:v>41800</x:v>
      </x:c>
      <x:c r="AD111" s="38" t="n">
        <x:v>0</x:v>
      </x:c>
      <x:c r="AE111" s="38" t="n">
        <x:f>IF(B111=1,0,F111-Q110)</x:f>
        <x:v>0</x:v>
      </x:c>
    </x:row>
    <x:row r="112" ht="27" customHeight="1">
      <x:c r="A112" s="28" t="str">
        <x:v>Casual F2P</x:v>
      </x:c>
      <x:c r="B112" s="38" t="n">
        <x:v>108</x:v>
      </x:c>
      <x:c r="C112" s="38" t="n">
        <x:v>40</x:v>
      </x:c>
      <x:c r="D112" s="38" t="n">
        <x:v>742640</x:v>
      </x:c>
      <x:c r="E112" s="38" t="n">
        <x:v>100</x:v>
      </x:c>
      <x:c r="F112" s="38" t="n">
        <x:v>236738</x:v>
      </x:c>
      <x:c r="G112" s="38" t="n">
        <x:v>50184</x:v>
      </x:c>
      <x:c r="H112" s="38" t="n">
        <x:v>10032</x:v>
      </x:c>
      <x:c r="I112" s="38" t="n">
        <x:v>3306</x:v>
      </x:c>
      <x:c r="J112" s="38" t="n">
        <x:v>0</x:v>
      </x:c>
      <x:c r="K112" s="38" t="n">
        <x:v>0</x:v>
      </x:c>
      <x:c r="L112" s="38" t="n">
        <x:v>0</x:v>
      </x:c>
      <x:c r="M112" s="38" t="n">
        <x:v>0</x:v>
      </x:c>
      <x:c r="N112" s="38" t="n">
        <x:v>0</x:v>
      </x:c>
      <x:c r="O112" s="38" t="n">
        <x:v>10038</x:v>
      </x:c>
      <x:c r="P112" s="38" t="n">
        <x:f>F112+G112-H112+I112+J112+K112+L112-M112-N112-O112</x:f>
        <x:v>270158</x:v>
      </x:c>
      <x:c r="Q112" s="38" t="n">
        <x:v>270158</x:v>
      </x:c>
      <x:c r="R112" s="38" t="n">
        <x:f>P112-Q112</x:f>
        <x:v>0</x:v>
      </x:c>
      <x:c r="S112" s="38" t="n">
        <x:v>40152</x:v>
      </x:c>
      <x:c r="T112" s="38" t="n">
        <x:v>0</x:v>
      </x:c>
      <x:c r="U112" s="38" t="n">
        <x:v>102</x:v>
      </x:c>
      <x:c r="V112" s="38" t="n">
        <x:v>0</x:v>
      </x:c>
      <x:c r="W112" s="38" t="n">
        <x:v>0</x:v>
      </x:c>
      <x:c r="X112" s="44" t="n">
        <x:v>0</x:v>
      </x:c>
      <x:c r="Y112" s="38" t="n">
        <x:v>24</x:v>
      </x:c>
      <x:c r="Z112" s="38" t="n">
        <x:v>40</x:v>
      </x:c>
      <x:c r="AA112" s="38" t="n">
        <x:v>22</x:v>
      </x:c>
      <x:c r="AB112" s="38" t="n">
        <x:v>8</x:v>
      </x:c>
      <x:c r="AC112" s="38" t="n">
        <x:v>41800</x:v>
      </x:c>
      <x:c r="AD112" s="38" t="n">
        <x:v>0</x:v>
      </x:c>
      <x:c r="AE112" s="38" t="n">
        <x:f>IF(B112=1,0,F112-Q111)</x:f>
        <x:v>0</x:v>
      </x:c>
    </x:row>
    <x:row r="113" ht="27" customHeight="1">
      <x:c r="A113" s="28" t="str">
        <x:v>Casual F2P</x:v>
      </x:c>
      <x:c r="B113" s="38" t="n">
        <x:v>109</x:v>
      </x:c>
      <x:c r="C113" s="38" t="n">
        <x:v>40</x:v>
      </x:c>
      <x:c r="D113" s="38" t="n">
        <x:v>742640</x:v>
      </x:c>
      <x:c r="E113" s="38" t="n">
        <x:v>100</x:v>
      </x:c>
      <x:c r="F113" s="38" t="n">
        <x:v>270158</x:v>
      </x:c>
      <x:c r="G113" s="38" t="n">
        <x:v>158916</x:v>
      </x:c>
      <x:c r="H113" s="38" t="n">
        <x:v>31768</x:v>
      </x:c>
      <x:c r="I113" s="38" t="n">
        <x:v>3306</x:v>
      </x:c>
      <x:c r="J113" s="38" t="n">
        <x:v>0</x:v>
      </x:c>
      <x:c r="K113" s="38" t="n">
        <x:v>0</x:v>
      </x:c>
      <x:c r="L113" s="38" t="n">
        <x:v>0</x:v>
      </x:c>
      <x:c r="M113" s="38" t="n">
        <x:v>0</x:v>
      </x:c>
      <x:c r="N113" s="38" t="n">
        <x:v>0</x:v>
      </x:c>
      <x:c r="O113" s="38" t="n">
        <x:v>31787</x:v>
      </x:c>
      <x:c r="P113" s="38" t="n">
        <x:f>F113+G113-H113+I113+J113+K113+L113-M113-N113-O113</x:f>
        <x:v>368825</x:v>
      </x:c>
      <x:c r="Q113" s="38" t="n">
        <x:v>368825</x:v>
      </x:c>
      <x:c r="R113" s="38" t="n">
        <x:f>P113-Q113</x:f>
        <x:v>0</x:v>
      </x:c>
      <x:c r="S113" s="38" t="n">
        <x:v>127148</x:v>
      </x:c>
      <x:c r="T113" s="38" t="n">
        <x:v>0</x:v>
      </x:c>
      <x:c r="U113" s="38" t="n">
        <x:v>102</x:v>
      </x:c>
      <x:c r="V113" s="38" t="n">
        <x:v>0</x:v>
      </x:c>
      <x:c r="W113" s="38" t="n">
        <x:v>0</x:v>
      </x:c>
      <x:c r="X113" s="44" t="n">
        <x:v>0</x:v>
      </x:c>
      <x:c r="Y113" s="38" t="n">
        <x:v>76</x:v>
      </x:c>
      <x:c r="Z113" s="38" t="n">
        <x:v>40</x:v>
      </x:c>
      <x:c r="AA113" s="38" t="n">
        <x:v>22</x:v>
      </x:c>
      <x:c r="AB113" s="38" t="n">
        <x:v>8</x:v>
      </x:c>
      <x:c r="AC113" s="38" t="n">
        <x:v>41800</x:v>
      </x:c>
      <x:c r="AD113" s="38" t="n">
        <x:v>0</x:v>
      </x:c>
      <x:c r="AE113" s="38" t="n">
        <x:f>IF(B113=1,0,F113-Q112)</x:f>
        <x:v>0</x:v>
      </x:c>
    </x:row>
    <x:row r="114" ht="27" customHeight="1">
      <x:c r="A114" s="28" t="str">
        <x:v>Casual F2P</x:v>
      </x:c>
      <x:c r="B114" s="38" t="n">
        <x:v>110</x:v>
      </x:c>
      <x:c r="C114" s="38" t="n">
        <x:v>40</x:v>
      </x:c>
      <x:c r="D114" s="38" t="n">
        <x:v>742640</x:v>
      </x:c>
      <x:c r="E114" s="38" t="n">
        <x:v>100</x:v>
      </x:c>
      <x:c r="F114" s="38" t="n">
        <x:v>368825</x:v>
      </x:c>
      <x:c r="G114" s="38" t="n">
        <x:v>50184</x:v>
      </x:c>
      <x:c r="H114" s="38" t="n">
        <x:v>10032</x:v>
      </x:c>
      <x:c r="I114" s="38" t="n">
        <x:v>3306</x:v>
      </x:c>
      <x:c r="J114" s="38" t="n">
        <x:v>0</x:v>
      </x:c>
      <x:c r="K114" s="38" t="n">
        <x:v>0</x:v>
      </x:c>
      <x:c r="L114" s="38" t="n">
        <x:v>0</x:v>
      </x:c>
      <x:c r="M114" s="38" t="n">
        <x:v>0</x:v>
      </x:c>
      <x:c r="N114" s="38" t="n">
        <x:v>0</x:v>
      </x:c>
      <x:c r="O114" s="38" t="n">
        <x:v>8426</x:v>
      </x:c>
      <x:c r="P114" s="38" t="n">
        <x:f>F114+G114-H114+I114+J114+K114+L114-M114-N114-O114</x:f>
        <x:v>403857</x:v>
      </x:c>
      <x:c r="Q114" s="38" t="n">
        <x:v>403857</x:v>
      </x:c>
      <x:c r="R114" s="38" t="n">
        <x:f>P114-Q114</x:f>
        <x:v>0</x:v>
      </x:c>
      <x:c r="S114" s="38" t="n">
        <x:v>40152</x:v>
      </x:c>
      <x:c r="T114" s="38" t="n">
        <x:v>0</x:v>
      </x:c>
      <x:c r="U114" s="38" t="n">
        <x:v>102</x:v>
      </x:c>
      <x:c r="V114" s="38" t="n">
        <x:v>0</x:v>
      </x:c>
      <x:c r="W114" s="38" t="n">
        <x:v>0</x:v>
      </x:c>
      <x:c r="X114" s="44" t="n">
        <x:v>0</x:v>
      </x:c>
      <x:c r="Y114" s="38" t="n">
        <x:v>24</x:v>
      </x:c>
      <x:c r="Z114" s="38" t="n">
        <x:v>40</x:v>
      </x:c>
      <x:c r="AA114" s="38" t="n">
        <x:v>22</x:v>
      </x:c>
      <x:c r="AB114" s="38" t="n">
        <x:v>9</x:v>
      </x:c>
      <x:c r="AC114" s="38" t="n">
        <x:v>41800</x:v>
      </x:c>
      <x:c r="AD114" s="38" t="n">
        <x:v>0</x:v>
      </x:c>
      <x:c r="AE114" s="38" t="n">
        <x:f>IF(B114=1,0,F114-Q113)</x:f>
        <x:v>0</x:v>
      </x:c>
    </x:row>
    <x:row r="115" ht="27" customHeight="1">
      <x:c r="A115" s="28" t="str">
        <x:v>Casual F2P</x:v>
      </x:c>
      <x:c r="B115" s="38" t="n">
        <x:v>111</x:v>
      </x:c>
      <x:c r="C115" s="38" t="n">
        <x:v>40</x:v>
      </x:c>
      <x:c r="D115" s="38" t="n">
        <x:v>742640</x:v>
      </x:c>
      <x:c r="E115" s="38" t="n">
        <x:v>100</x:v>
      </x:c>
      <x:c r="F115" s="38" t="n">
        <x:v>403857</x:v>
      </x:c>
      <x:c r="G115" s="38" t="n">
        <x:v>158916</x:v>
      </x:c>
      <x:c r="H115" s="38" t="n">
        <x:v>31768</x:v>
      </x:c>
      <x:c r="I115" s="38" t="n">
        <x:v>3306</x:v>
      </x:c>
      <x:c r="J115" s="38" t="n">
        <x:v>0</x:v>
      </x:c>
      <x:c r="K115" s="38" t="n">
        <x:v>0</x:v>
      </x:c>
      <x:c r="L115" s="38" t="n">
        <x:v>0</x:v>
      </x:c>
      <x:c r="M115" s="38" t="n">
        <x:v>0</x:v>
      </x:c>
      <x:c r="N115" s="38" t="n">
        <x:v>1490</x:v>
      </x:c>
      <x:c r="O115" s="38" t="n">
        <x:v>33399</x:v>
      </x:c>
      <x:c r="P115" s="38" t="n">
        <x:f>F115+G115-H115+I115+J115+K115+L115-M115-N115-O115</x:f>
        <x:v>499422</x:v>
      </x:c>
      <x:c r="Q115" s="38" t="n">
        <x:v>499422</x:v>
      </x:c>
      <x:c r="R115" s="38" t="n">
        <x:f>P115-Q115</x:f>
        <x:v>0</x:v>
      </x:c>
      <x:c r="S115" s="38" t="n">
        <x:v>127148</x:v>
      </x:c>
      <x:c r="T115" s="38" t="n">
        <x:v>0</x:v>
      </x:c>
      <x:c r="U115" s="38" t="n">
        <x:v>102</x:v>
      </x:c>
      <x:c r="V115" s="38" t="n">
        <x:v>0</x:v>
      </x:c>
      <x:c r="W115" s="38" t="n">
        <x:v>0</x:v>
      </x:c>
      <x:c r="X115" s="44" t="n">
        <x:v>0</x:v>
      </x:c>
      <x:c r="Y115" s="38" t="n">
        <x:v>76</x:v>
      </x:c>
      <x:c r="Z115" s="38" t="n">
        <x:v>40</x:v>
      </x:c>
      <x:c r="AA115" s="38" t="n">
        <x:v>23</x:v>
      </x:c>
      <x:c r="AB115" s="38" t="n">
        <x:v>9</x:v>
      </x:c>
      <x:c r="AC115" s="38" t="n">
        <x:v>41800</x:v>
      </x:c>
      <x:c r="AD115" s="38" t="n">
        <x:v>0</x:v>
      </x:c>
      <x:c r="AE115" s="38" t="n">
        <x:f>IF(B115=1,0,F115-Q114)</x:f>
        <x:v>0</x:v>
      </x:c>
    </x:row>
    <x:row r="116" ht="27" customHeight="1">
      <x:c r="A116" s="28" t="str">
        <x:v>Casual F2P</x:v>
      </x:c>
      <x:c r="B116" s="38" t="n">
        <x:v>112</x:v>
      </x:c>
      <x:c r="C116" s="38" t="n">
        <x:v>40</x:v>
      </x:c>
      <x:c r="D116" s="38" t="n">
        <x:v>742640</x:v>
      </x:c>
      <x:c r="E116" s="38" t="n">
        <x:v>100</x:v>
      </x:c>
      <x:c r="F116" s="38" t="n">
        <x:v>499422</x:v>
      </x:c>
      <x:c r="G116" s="38" t="n">
        <x:v>50184</x:v>
      </x:c>
      <x:c r="H116" s="38" t="n">
        <x:v>10032</x:v>
      </x:c>
      <x:c r="I116" s="38" t="n">
        <x:v>28101</x:v>
      </x:c>
      <x:c r="J116" s="38" t="n">
        <x:v>0</x:v>
      </x:c>
      <x:c r="K116" s="38" t="n">
        <x:v>0</x:v>
      </x:c>
      <x:c r="L116" s="38" t="n">
        <x:v>0</x:v>
      </x:c>
      <x:c r="M116" s="38" t="n">
        <x:v>0</x:v>
      </x:c>
      <x:c r="N116" s="38" t="n">
        <x:v>0</x:v>
      </x:c>
      <x:c r="O116" s="38" t="n">
        <x:v>10038</x:v>
      </x:c>
      <x:c r="P116" s="38" t="n">
        <x:f>F116+G116-H116+I116+J116+K116+L116-M116-N116-O116</x:f>
        <x:v>557637</x:v>
      </x:c>
      <x:c r="Q116" s="38" t="n">
        <x:v>557637</x:v>
      </x:c>
      <x:c r="R116" s="38" t="n">
        <x:f>P116-Q116</x:f>
        <x:v>0</x:v>
      </x:c>
      <x:c r="S116" s="38" t="n">
        <x:v>40152</x:v>
      </x:c>
      <x:c r="T116" s="38" t="n">
        <x:v>0</x:v>
      </x:c>
      <x:c r="U116" s="38" t="n">
        <x:v>104</x:v>
      </x:c>
      <x:c r="V116" s="38" t="n">
        <x:v>2</x:v>
      </x:c>
      <x:c r="W116" s="38" t="n">
        <x:v>0</x:v>
      </x:c>
      <x:c r="X116" s="44" t="n">
        <x:v>0</x:v>
      </x:c>
      <x:c r="Y116" s="38" t="n">
        <x:v>24</x:v>
      </x:c>
      <x:c r="Z116" s="38" t="n">
        <x:v>40</x:v>
      </x:c>
      <x:c r="AA116" s="38" t="n">
        <x:v>23</x:v>
      </x:c>
      <x:c r="AB116" s="38" t="n">
        <x:v>9</x:v>
      </x:c>
      <x:c r="AC116" s="38" t="n">
        <x:v>41800</x:v>
      </x:c>
      <x:c r="AD116" s="38" t="n">
        <x:v>0</x:v>
      </x:c>
      <x:c r="AE116" s="38" t="n">
        <x:f>IF(B116=1,0,F116-Q115)</x:f>
        <x:v>0</x:v>
      </x:c>
    </x:row>
    <x:row r="117" ht="27" customHeight="1">
      <x:c r="A117" s="28" t="str">
        <x:v>Casual F2P</x:v>
      </x:c>
      <x:c r="B117" s="38" t="n">
        <x:v>113</x:v>
      </x:c>
      <x:c r="C117" s="38" t="n">
        <x:v>40</x:v>
      </x:c>
      <x:c r="D117" s="38" t="n">
        <x:v>742640</x:v>
      </x:c>
      <x:c r="E117" s="38" t="n">
        <x:v>100</x:v>
      </x:c>
      <x:c r="F117" s="38" t="n">
        <x:v>557637</x:v>
      </x:c>
      <x:c r="G117" s="38" t="n">
        <x:v>158916</x:v>
      </x:c>
      <x:c r="H117" s="38" t="n">
        <x:v>31768</x:v>
      </x:c>
      <x:c r="I117" s="38" t="n">
        <x:v>3306</x:v>
      </x:c>
      <x:c r="J117" s="38" t="n">
        <x:v>0</x:v>
      </x:c>
      <x:c r="K117" s="38" t="n">
        <x:v>0</x:v>
      </x:c>
      <x:c r="L117" s="38" t="n">
        <x:v>0</x:v>
      </x:c>
      <x:c r="M117" s="38" t="n">
        <x:v>0</x:v>
      </x:c>
      <x:c r="N117" s="38" t="n">
        <x:v>0</x:v>
      </x:c>
      <x:c r="O117" s="38" t="n">
        <x:v>31787</x:v>
      </x:c>
      <x:c r="P117" s="38" t="n">
        <x:f>F117+G117-H117+I117+J117+K117+L117-M117-N117-O117</x:f>
        <x:v>656304</x:v>
      </x:c>
      <x:c r="Q117" s="38" t="n">
        <x:v>656304</x:v>
      </x:c>
      <x:c r="R117" s="38" t="n">
        <x:f>P117-Q117</x:f>
        <x:v>0</x:v>
      </x:c>
      <x:c r="S117" s="38" t="n">
        <x:v>127148</x:v>
      </x:c>
      <x:c r="T117" s="38" t="n">
        <x:v>0</x:v>
      </x:c>
      <x:c r="U117" s="38" t="n">
        <x:v>104</x:v>
      </x:c>
      <x:c r="V117" s="38" t="n">
        <x:v>0</x:v>
      </x:c>
      <x:c r="W117" s="38" t="n">
        <x:v>0</x:v>
      </x:c>
      <x:c r="X117" s="44" t="n">
        <x:v>0</x:v>
      </x:c>
      <x:c r="Y117" s="38" t="n">
        <x:v>76</x:v>
      </x:c>
      <x:c r="Z117" s="38" t="n">
        <x:v>40</x:v>
      </x:c>
      <x:c r="AA117" s="38" t="n">
        <x:v>23</x:v>
      </x:c>
      <x:c r="AB117" s="38" t="n">
        <x:v>9</x:v>
      </x:c>
      <x:c r="AC117" s="38" t="n">
        <x:v>41800</x:v>
      </x:c>
      <x:c r="AD117" s="38" t="n">
        <x:v>0</x:v>
      </x:c>
      <x:c r="AE117" s="38" t="n">
        <x:f>IF(B117=1,0,F117-Q116)</x:f>
        <x:v>0</x:v>
      </x:c>
    </x:row>
    <x:row r="118" ht="27" customHeight="1">
      <x:c r="A118" s="28" t="str">
        <x:v>Casual F2P</x:v>
      </x:c>
      <x:c r="B118" s="38" t="n">
        <x:v>114</x:v>
      </x:c>
      <x:c r="C118" s="38" t="n">
        <x:v>40</x:v>
      </x:c>
      <x:c r="D118" s="38" t="n">
        <x:v>742640</x:v>
      </x:c>
      <x:c r="E118" s="38" t="n">
        <x:v>100</x:v>
      </x:c>
      <x:c r="F118" s="38" t="n">
        <x:v>656304</x:v>
      </x:c>
      <x:c r="G118" s="38" t="n">
        <x:v>50184</x:v>
      </x:c>
      <x:c r="H118" s="38" t="n">
        <x:v>10032</x:v>
      </x:c>
      <x:c r="I118" s="38" t="n">
        <x:v>3306</x:v>
      </x:c>
      <x:c r="J118" s="38" t="n">
        <x:v>0</x:v>
      </x:c>
      <x:c r="K118" s="38" t="n">
        <x:v>0</x:v>
      </x:c>
      <x:c r="L118" s="38" t="n">
        <x:v>0</x:v>
      </x:c>
      <x:c r="M118" s="38" t="n">
        <x:v>0</x:v>
      </x:c>
      <x:c r="N118" s="38" t="n">
        <x:v>0</x:v>
      </x:c>
      <x:c r="O118" s="38" t="n">
        <x:v>10038</x:v>
      </x:c>
      <x:c r="P118" s="38" t="n">
        <x:f>F118+G118-H118+I118+J118+K118+L118-M118-N118-O118</x:f>
        <x:v>689724</x:v>
      </x:c>
      <x:c r="Q118" s="38" t="n">
        <x:v>689724</x:v>
      </x:c>
      <x:c r="R118" s="38" t="n">
        <x:f>P118-Q118</x:f>
        <x:v>0</x:v>
      </x:c>
      <x:c r="S118" s="38" t="n">
        <x:v>40152</x:v>
      </x:c>
      <x:c r="T118" s="38" t="n">
        <x:v>0</x:v>
      </x:c>
      <x:c r="U118" s="38" t="n">
        <x:v>104</x:v>
      </x:c>
      <x:c r="V118" s="38" t="n">
        <x:v>0</x:v>
      </x:c>
      <x:c r="W118" s="38" t="n">
        <x:v>0</x:v>
      </x:c>
      <x:c r="X118" s="44" t="n">
        <x:v>0</x:v>
      </x:c>
      <x:c r="Y118" s="38" t="n">
        <x:v>24</x:v>
      </x:c>
      <x:c r="Z118" s="38" t="n">
        <x:v>40</x:v>
      </x:c>
      <x:c r="AA118" s="38" t="n">
        <x:v>23</x:v>
      </x:c>
      <x:c r="AB118" s="38" t="n">
        <x:v>9</x:v>
      </x:c>
      <x:c r="AC118" s="38" t="n">
        <x:v>41800</x:v>
      </x:c>
      <x:c r="AD118" s="38" t="n">
        <x:v>0</x:v>
      </x:c>
      <x:c r="AE118" s="38" t="n">
        <x:f>IF(B118=1,0,F118-Q117)</x:f>
        <x:v>0</x:v>
      </x:c>
    </x:row>
    <x:row r="119" ht="27" customHeight="1">
      <x:c r="A119" s="28" t="str">
        <x:v>Casual F2P</x:v>
      </x:c>
      <x:c r="B119" s="38" t="n">
        <x:v>115</x:v>
      </x:c>
      <x:c r="C119" s="38" t="n">
        <x:v>40</x:v>
      </x:c>
      <x:c r="D119" s="38" t="n">
        <x:v>742640</x:v>
      </x:c>
      <x:c r="E119" s="38" t="n">
        <x:v>100</x:v>
      </x:c>
      <x:c r="F119" s="38" t="n">
        <x:v>689724</x:v>
      </x:c>
      <x:c r="G119" s="38" t="n">
        <x:v>158916</x:v>
      </x:c>
      <x:c r="H119" s="38" t="n">
        <x:v>31768</x:v>
      </x:c>
      <x:c r="I119" s="38" t="n">
        <x:v>3306</x:v>
      </x:c>
      <x:c r="J119" s="38" t="n">
        <x:v>0</x:v>
      </x:c>
      <x:c r="K119" s="38" t="n">
        <x:v>0</x:v>
      </x:c>
      <x:c r="L119" s="38" t="n">
        <x:v>0</x:v>
      </x:c>
      <x:c r="M119" s="38" t="n">
        <x:v>0</x:v>
      </x:c>
      <x:c r="N119" s="38" t="n">
        <x:v>0</x:v>
      </x:c>
      <x:c r="O119" s="38" t="n">
        <x:v>31787</x:v>
      </x:c>
      <x:c r="P119" s="38" t="n">
        <x:f>F119+G119-H119+I119+J119+K119+L119-M119-N119-O119</x:f>
        <x:v>788391</x:v>
      </x:c>
      <x:c r="Q119" s="38" t="n">
        <x:v>788391</x:v>
      </x:c>
      <x:c r="R119" s="38" t="n">
        <x:f>P119-Q119</x:f>
        <x:v>0</x:v>
      </x:c>
      <x:c r="S119" s="38" t="n">
        <x:v>127148</x:v>
      </x:c>
      <x:c r="T119" s="38" t="n">
        <x:v>0</x:v>
      </x:c>
      <x:c r="U119" s="38" t="n">
        <x:v>104</x:v>
      </x:c>
      <x:c r="V119" s="38" t="n">
        <x:v>0</x:v>
      </x:c>
      <x:c r="W119" s="38" t="n">
        <x:v>0</x:v>
      </x:c>
      <x:c r="X119" s="44" t="n">
        <x:v>0</x:v>
      </x:c>
      <x:c r="Y119" s="38" t="n">
        <x:v>76</x:v>
      </x:c>
      <x:c r="Z119" s="38" t="n">
        <x:v>40</x:v>
      </x:c>
      <x:c r="AA119" s="38" t="n">
        <x:v>23</x:v>
      </x:c>
      <x:c r="AB119" s="38" t="n">
        <x:v>9</x:v>
      </x:c>
      <x:c r="AC119" s="38" t="n">
        <x:v>41800</x:v>
      </x:c>
      <x:c r="AD119" s="38" t="n">
        <x:v>0</x:v>
      </x:c>
      <x:c r="AE119" s="38" t="n">
        <x:f>IF(B119=1,0,F119-Q118)</x:f>
        <x:v>0</x:v>
      </x:c>
    </x:row>
    <x:row r="120" ht="27" customHeight="1">
      <x:c r="A120" s="28" t="str">
        <x:v>Casual F2P</x:v>
      </x:c>
      <x:c r="B120" s="38" t="n">
        <x:v>116</x:v>
      </x:c>
      <x:c r="C120" s="38" t="n">
        <x:v>40</x:v>
      </x:c>
      <x:c r="D120" s="38" t="n">
        <x:v>742640</x:v>
      </x:c>
      <x:c r="E120" s="38" t="n">
        <x:v>100</x:v>
      </x:c>
      <x:c r="F120" s="38" t="n">
        <x:v>788391</x:v>
      </x:c>
      <x:c r="G120" s="38" t="n">
        <x:v>50184</x:v>
      </x:c>
      <x:c r="H120" s="38" t="n">
        <x:v>10032</x:v>
      </x:c>
      <x:c r="I120" s="38" t="n">
        <x:v>3306</x:v>
      </x:c>
      <x:c r="J120" s="38" t="n">
        <x:v>0</x:v>
      </x:c>
      <x:c r="K120" s="38" t="n">
        <x:v>0</x:v>
      </x:c>
      <x:c r="L120" s="38" t="n">
        <x:v>0</x:v>
      </x:c>
      <x:c r="M120" s="38" t="n">
        <x:v>0</x:v>
      </x:c>
      <x:c r="N120" s="38" t="n">
        <x:v>2870</x:v>
      </x:c>
      <x:c r="O120" s="38" t="n">
        <x:v>10038</x:v>
      </x:c>
      <x:c r="P120" s="38" t="n">
        <x:f>F120+G120-H120+I120+J120+K120+L120-M120-N120-O120</x:f>
        <x:v>818941</x:v>
      </x:c>
      <x:c r="Q120" s="38" t="n">
        <x:v>818941</x:v>
      </x:c>
      <x:c r="R120" s="38" t="n">
        <x:f>P120-Q120</x:f>
        <x:v>0</x:v>
      </x:c>
      <x:c r="S120" s="38" t="n">
        <x:v>40152</x:v>
      </x:c>
      <x:c r="T120" s="38" t="n">
        <x:v>0</x:v>
      </x:c>
      <x:c r="U120" s="38" t="n">
        <x:v>104</x:v>
      </x:c>
      <x:c r="V120" s="38" t="n">
        <x:v>0</x:v>
      </x:c>
      <x:c r="W120" s="38" t="n">
        <x:v>0</x:v>
      </x:c>
      <x:c r="X120" s="44" t="n">
        <x:v>0</x:v>
      </x:c>
      <x:c r="Y120" s="38" t="n">
        <x:v>24</x:v>
      </x:c>
      <x:c r="Z120" s="38" t="n">
        <x:v>40</x:v>
      </x:c>
      <x:c r="AA120" s="38" t="n">
        <x:v>24</x:v>
      </x:c>
      <x:c r="AB120" s="38" t="n">
        <x:v>9</x:v>
      </x:c>
      <x:c r="AC120" s="38" t="n">
        <x:v>41800</x:v>
      </x:c>
      <x:c r="AD120" s="38" t="n">
        <x:v>0</x:v>
      </x:c>
      <x:c r="AE120" s="38" t="n">
        <x:f>IF(B120=1,0,F120-Q119)</x:f>
        <x:v>0</x:v>
      </x:c>
    </x:row>
    <x:row r="121" ht="27" customHeight="1">
      <x:c r="A121" s="28" t="str">
        <x:v>Casual F2P</x:v>
      </x:c>
      <x:c r="B121" s="38" t="n">
        <x:v>117</x:v>
      </x:c>
      <x:c r="C121" s="38" t="n">
        <x:v>40</x:v>
      </x:c>
      <x:c r="D121" s="38" t="n">
        <x:v>742640</x:v>
      </x:c>
      <x:c r="E121" s="38" t="n">
        <x:v>100</x:v>
      </x:c>
      <x:c r="F121" s="38" t="n">
        <x:v>818941</x:v>
      </x:c>
      <x:c r="G121" s="38" t="n">
        <x:v>158916</x:v>
      </x:c>
      <x:c r="H121" s="38" t="n">
        <x:v>31768</x:v>
      </x:c>
      <x:c r="I121" s="38" t="n">
        <x:v>3306</x:v>
      </x:c>
      <x:c r="J121" s="38" t="n">
        <x:v>0</x:v>
      </x:c>
      <x:c r="K121" s="38" t="n">
        <x:v>0</x:v>
      </x:c>
      <x:c r="L121" s="38" t="n">
        <x:v>0</x:v>
      </x:c>
      <x:c r="M121" s="38" t="n">
        <x:v>0</x:v>
      </x:c>
      <x:c r="N121" s="38" t="n">
        <x:v>0</x:v>
      </x:c>
      <x:c r="O121" s="38" t="n">
        <x:v>31787</x:v>
      </x:c>
      <x:c r="P121" s="38" t="n">
        <x:f>F121+G121-H121+I121+J121+K121+L121-M121-N121-O121</x:f>
        <x:v>917608</x:v>
      </x:c>
      <x:c r="Q121" s="38" t="n">
        <x:v>917608</x:v>
      </x:c>
      <x:c r="R121" s="38" t="n">
        <x:f>P121-Q121</x:f>
        <x:v>0</x:v>
      </x:c>
      <x:c r="S121" s="38" t="n">
        <x:v>127148</x:v>
      </x:c>
      <x:c r="T121" s="38" t="n">
        <x:v>0</x:v>
      </x:c>
      <x:c r="U121" s="38" t="n">
        <x:v>104</x:v>
      </x:c>
      <x:c r="V121" s="38" t="n">
        <x:v>0</x:v>
      </x:c>
      <x:c r="W121" s="38" t="n">
        <x:v>0</x:v>
      </x:c>
      <x:c r="X121" s="44" t="n">
        <x:v>0</x:v>
      </x:c>
      <x:c r="Y121" s="38" t="n">
        <x:v>76</x:v>
      </x:c>
      <x:c r="Z121" s="38" t="n">
        <x:v>40</x:v>
      </x:c>
      <x:c r="AA121" s="38" t="n">
        <x:v>24</x:v>
      </x:c>
      <x:c r="AB121" s="38" t="n">
        <x:v>9</x:v>
      </x:c>
      <x:c r="AC121" s="38" t="n">
        <x:v>41800</x:v>
      </x:c>
      <x:c r="AD121" s="38" t="n">
        <x:v>0</x:v>
      </x:c>
      <x:c r="AE121" s="38" t="n">
        <x:f>IF(B121=1,0,F121-Q120)</x:f>
        <x:v>0</x:v>
      </x:c>
    </x:row>
    <x:row r="122" ht="27" customHeight="1">
      <x:c r="A122" s="28" t="str">
        <x:v>Casual F2P</x:v>
      </x:c>
      <x:c r="B122" s="38" t="n">
        <x:v>118</x:v>
      </x:c>
      <x:c r="C122" s="38" t="n">
        <x:v>40</x:v>
      </x:c>
      <x:c r="D122" s="38" t="n">
        <x:v>742640</x:v>
      </x:c>
      <x:c r="E122" s="38" t="n">
        <x:v>100</x:v>
      </x:c>
      <x:c r="F122" s="38" t="n">
        <x:v>917608</x:v>
      </x:c>
      <x:c r="G122" s="38" t="n">
        <x:v>50184</x:v>
      </x:c>
      <x:c r="H122" s="38" t="n">
        <x:v>10032</x:v>
      </x:c>
      <x:c r="I122" s="38" t="n">
        <x:v>3306</x:v>
      </x:c>
      <x:c r="J122" s="38" t="n">
        <x:v>0</x:v>
      </x:c>
      <x:c r="K122" s="38" t="n">
        <x:v>0</x:v>
      </x:c>
      <x:c r="L122" s="38" t="n">
        <x:v>0</x:v>
      </x:c>
      <x:c r="M122" s="38" t="n">
        <x:v>0</x:v>
      </x:c>
      <x:c r="N122" s="38" t="n">
        <x:v>0</x:v>
      </x:c>
      <x:c r="O122" s="38" t="n">
        <x:v>10038</x:v>
      </x:c>
      <x:c r="P122" s="38" t="n">
        <x:f>F122+G122-H122+I122+J122+K122+L122-M122-N122-O122</x:f>
        <x:v>951028</x:v>
      </x:c>
      <x:c r="Q122" s="38" t="n">
        <x:v>951028</x:v>
      </x:c>
      <x:c r="R122" s="38" t="n">
        <x:f>P122-Q122</x:f>
        <x:v>0</x:v>
      </x:c>
      <x:c r="S122" s="38" t="n">
        <x:v>40152</x:v>
      </x:c>
      <x:c r="T122" s="38" t="n">
        <x:v>0</x:v>
      </x:c>
      <x:c r="U122" s="38" t="n">
        <x:v>104</x:v>
      </x:c>
      <x:c r="V122" s="38" t="n">
        <x:v>0</x:v>
      </x:c>
      <x:c r="W122" s="38" t="n">
        <x:v>0</x:v>
      </x:c>
      <x:c r="X122" s="44" t="n">
        <x:v>0</x:v>
      </x:c>
      <x:c r="Y122" s="38" t="n">
        <x:v>24</x:v>
      </x:c>
      <x:c r="Z122" s="38" t="n">
        <x:v>40</x:v>
      </x:c>
      <x:c r="AA122" s="38" t="n">
        <x:v>24</x:v>
      </x:c>
      <x:c r="AB122" s="38" t="n">
        <x:v>9</x:v>
      </x:c>
      <x:c r="AC122" s="38" t="n">
        <x:v>41800</x:v>
      </x:c>
      <x:c r="AD122" s="38" t="n">
        <x:v>0</x:v>
      </x:c>
      <x:c r="AE122" s="38" t="n">
        <x:f>IF(B122=1,0,F122-Q121)</x:f>
        <x:v>0</x:v>
      </x:c>
    </x:row>
    <x:row r="123" ht="27" customHeight="1">
      <x:c r="A123" s="28" t="str">
        <x:v>Casual F2P</x:v>
      </x:c>
      <x:c r="B123" s="38" t="n">
        <x:v>119</x:v>
      </x:c>
      <x:c r="C123" s="38" t="n">
        <x:v>40</x:v>
      </x:c>
      <x:c r="D123" s="38" t="n">
        <x:v>742640</x:v>
      </x:c>
      <x:c r="E123" s="38" t="n">
        <x:v>100</x:v>
      </x:c>
      <x:c r="F123" s="38" t="n">
        <x:v>951028</x:v>
      </x:c>
      <x:c r="G123" s="38" t="n">
        <x:v>158916</x:v>
      </x:c>
      <x:c r="H123" s="38" t="n">
        <x:v>31768</x:v>
      </x:c>
      <x:c r="I123" s="38" t="n">
        <x:v>28101</x:v>
      </x:c>
      <x:c r="J123" s="38" t="n">
        <x:v>0</x:v>
      </x:c>
      <x:c r="K123" s="38" t="n">
        <x:v>0</x:v>
      </x:c>
      <x:c r="L123" s="38" t="n">
        <x:v>0</x:v>
      </x:c>
      <x:c r="M123" s="38" t="n">
        <x:v>0</x:v>
      </x:c>
      <x:c r="N123" s="38" t="n">
        <x:v>0</x:v>
      </x:c>
      <x:c r="O123" s="38" t="n">
        <x:v>31787</x:v>
      </x:c>
      <x:c r="P123" s="38" t="n">
        <x:f>F123+G123-H123+I123+J123+K123+L123-M123-N123-O123</x:f>
        <x:v>1074490</x:v>
      </x:c>
      <x:c r="Q123" s="38" t="n">
        <x:v>1074490</x:v>
      </x:c>
      <x:c r="R123" s="38" t="n">
        <x:f>P123-Q123</x:f>
        <x:v>0</x:v>
      </x:c>
      <x:c r="S123" s="38" t="n">
        <x:v>127148</x:v>
      </x:c>
      <x:c r="T123" s="38" t="n">
        <x:v>0</x:v>
      </x:c>
      <x:c r="U123" s="38" t="n">
        <x:v>106</x:v>
      </x:c>
      <x:c r="V123" s="38" t="n">
        <x:v>2</x:v>
      </x:c>
      <x:c r="W123" s="38" t="n">
        <x:v>0</x:v>
      </x:c>
      <x:c r="X123" s="44" t="n">
        <x:v>0</x:v>
      </x:c>
      <x:c r="Y123" s="38" t="n">
        <x:v>76</x:v>
      </x:c>
      <x:c r="Z123" s="38" t="n">
        <x:v>40</x:v>
      </x:c>
      <x:c r="AA123" s="38" t="n">
        <x:v>24</x:v>
      </x:c>
      <x:c r="AB123" s="38" t="n">
        <x:v>9</x:v>
      </x:c>
      <x:c r="AC123" s="38" t="n">
        <x:v>41800</x:v>
      </x:c>
      <x:c r="AD123" s="38" t="n">
        <x:v>0</x:v>
      </x:c>
      <x:c r="AE123" s="38" t="n">
        <x:f>IF(B123=1,0,F123-Q122)</x:f>
        <x:v>0</x:v>
      </x:c>
    </x:row>
    <x:row r="124" ht="27" customHeight="1">
      <x:c r="A124" s="28" t="str">
        <x:v>Casual F2P</x:v>
      </x:c>
      <x:c r="B124" s="38" t="n">
        <x:v>120</x:v>
      </x:c>
      <x:c r="C124" s="38" t="n">
        <x:v>40</x:v>
      </x:c>
      <x:c r="D124" s="38" t="n">
        <x:v>742640</x:v>
      </x:c>
      <x:c r="E124" s="38" t="n">
        <x:v>100</x:v>
      </x:c>
      <x:c r="F124" s="38" t="n">
        <x:v>1074490</x:v>
      </x:c>
      <x:c r="G124" s="38" t="n">
        <x:v>50184</x:v>
      </x:c>
      <x:c r="H124" s="38" t="n">
        <x:v>10032</x:v>
      </x:c>
      <x:c r="I124" s="38" t="n">
        <x:v>3306</x:v>
      </x:c>
      <x:c r="J124" s="38" t="n">
        <x:v>0</x:v>
      </x:c>
      <x:c r="K124" s="38" t="n">
        <x:v>0</x:v>
      </x:c>
      <x:c r="L124" s="38" t="n">
        <x:v>0</x:v>
      </x:c>
      <x:c r="M124" s="38" t="n">
        <x:v>0</x:v>
      </x:c>
      <x:c r="N124" s="38" t="n">
        <x:v>0</x:v>
      </x:c>
      <x:c r="O124" s="38" t="n">
        <x:v>10038</x:v>
      </x:c>
      <x:c r="P124" s="38" t="n">
        <x:f>F124+G124-H124+I124+J124+K124+L124-M124-N124-O124</x:f>
        <x:v>1107910</x:v>
      </x:c>
      <x:c r="Q124" s="38" t="n">
        <x:v>1107910</x:v>
      </x:c>
      <x:c r="R124" s="38" t="n">
        <x:f>P124-Q124</x:f>
        <x:v>0</x:v>
      </x:c>
      <x:c r="S124" s="38" t="n">
        <x:v>40152</x:v>
      </x:c>
      <x:c r="T124" s="38" t="n">
        <x:v>0</x:v>
      </x:c>
      <x:c r="U124" s="38" t="n">
        <x:v>106</x:v>
      </x:c>
      <x:c r="V124" s="38" t="n">
        <x:v>0</x:v>
      </x:c>
      <x:c r="W124" s="38" t="n">
        <x:v>0</x:v>
      </x:c>
      <x:c r="X124" s="44" t="n">
        <x:v>0</x:v>
      </x:c>
      <x:c r="Y124" s="38" t="n">
        <x:v>24</x:v>
      </x:c>
      <x:c r="Z124" s="38" t="n">
        <x:v>40</x:v>
      </x:c>
      <x:c r="AA124" s="38" t="n">
        <x:v>24</x:v>
      </x:c>
      <x:c r="AB124" s="38" t="n">
        <x:v>9</x:v>
      </x:c>
      <x:c r="AC124" s="38" t="n">
        <x:v>41800</x:v>
      </x:c>
      <x:c r="AD124" s="38" t="n">
        <x:v>0</x:v>
      </x:c>
      <x:c r="AE124" s="38" t="n">
        <x:f>IF(B124=1,0,F124-Q123)</x:f>
        <x:v>0</x:v>
      </x:c>
    </x:row>
    <x:row r="125" ht="27" customHeight="1">
      <x:c r="A125" s="28" t="str">
        <x:v>Core F2P</x:v>
      </x:c>
      <x:c r="B125" s="38" t="n">
        <x:v>1</x:v>
      </x:c>
      <x:c r="C125" s="38" t="n">
        <x:v>3</x:v>
      </x:c>
      <x:c r="D125" s="38" t="n">
        <x:v>370</x:v>
      </x:c>
      <x:c r="E125" s="38" t="n">
        <x:v>15</x:v>
      </x:c>
      <x:c r="F125" s="38" t="n">
        <x:v>731</x:v>
      </x:c>
      <x:c r="G125" s="38" t="n">
        <x:v>1155</x:v>
      </x:c>
      <x:c r="H125" s="38" t="n">
        <x:v>759</x:v>
      </x:c>
      <x:c r="I125" s="38" t="n">
        <x:v>0</x:v>
      </x:c>
      <x:c r="J125" s="38" t="n">
        <x:v>75</x:v>
      </x:c>
      <x:c r="K125" s="38" t="n">
        <x:v>0</x:v>
      </x:c>
      <x:c r="L125" s="38" t="n">
        <x:v>0</x:v>
      </x:c>
      <x:c r="M125" s="38" t="n">
        <x:v>300</x:v>
      </x:c>
      <x:c r="N125" s="38" t="n">
        <x:v>0</x:v>
      </x:c>
      <x:c r="O125" s="38" t="n">
        <x:v>0</x:v>
      </x:c>
      <x:c r="P125" s="38" t="n">
        <x:f>F125+G125-H125+I125+J125+K125+L125-M125-N125-O125</x:f>
        <x:v>902</x:v>
      </x:c>
      <x:c r="Q125" s="38" t="n">
        <x:v>902</x:v>
      </x:c>
      <x:c r="R125" s="38" t="n">
        <x:f>P125-Q125</x:f>
        <x:v>0</x:v>
      </x:c>
      <x:c r="S125" s="38" t="n">
        <x:v>933</x:v>
      </x:c>
      <x:c r="T125" s="38" t="n">
        <x:v>290</x:v>
      </x:c>
      <x:c r="U125" s="38" t="n">
        <x:v>1</x:v>
      </x:c>
      <x:c r="V125" s="38" t="n">
        <x:v>0</x:v>
      </x:c>
      <x:c r="W125" s="38" t="n">
        <x:v>0</x:v>
      </x:c>
      <x:c r="X125" s="44" t="n">
        <x:v>0</x:v>
      </x:c>
      <x:c r="Y125" s="38" t="n">
        <x:v>9</x:v>
      </x:c>
      <x:c r="Z125" s="38" t="n">
        <x:v>3</x:v>
      </x:c>
      <x:c r="AA125" s="38" t="n">
        <x:v>1</x:v>
      </x:c>
      <x:c r="AB125" s="38" t="n">
        <x:v>0</x:v>
      </x:c>
      <x:c r="AC125" s="38" t="n">
        <x:v>537</x:v>
      </x:c>
      <x:c r="AD125" s="38" t="n">
        <x:v>0</x:v>
      </x:c>
      <x:c r="AE125" s="38" t="n">
        <x:f>IF(B125=1,0,F125-Q124)</x:f>
        <x:v>0</x:v>
      </x:c>
    </x:row>
    <x:row r="126" ht="27" customHeight="1">
      <x:c r="A126" s="28" t="str">
        <x:v>Core F2P</x:v>
      </x:c>
      <x:c r="B126" s="38" t="n">
        <x:v>2</x:v>
      </x:c>
      <x:c r="C126" s="38" t="n">
        <x:v>5</x:v>
      </x:c>
      <x:c r="D126" s="38" t="n">
        <x:v>1828</x:v>
      </x:c>
      <x:c r="E126" s="38" t="n">
        <x:v>15</x:v>
      </x:c>
      <x:c r="F126" s="38" t="n">
        <x:v>902</x:v>
      </x:c>
      <x:c r="G126" s="38" t="n">
        <x:v>5505</x:v>
      </x:c>
      <x:c r="H126" s="38" t="n">
        <x:v>1323</x:v>
      </x:c>
      <x:c r="I126" s="38" t="n">
        <x:v>294</x:v>
      </x:c>
      <x:c r="J126" s="38" t="n">
        <x:v>155</x:v>
      </x:c>
      <x:c r="K126" s="38" t="n">
        <x:v>0</x:v>
      </x:c>
      <x:c r="L126" s="38" t="n">
        <x:v>0</x:v>
      </x:c>
      <x:c r="M126" s="38" t="n">
        <x:v>0</x:v>
      </x:c>
      <x:c r="N126" s="38" t="n">
        <x:v>0</x:v>
      </x:c>
      <x:c r="O126" s="38" t="n">
        <x:v>0</x:v>
      </x:c>
      <x:c r="P126" s="38" t="n">
        <x:f>F126+G126-H126+I126+J126+K126+L126-M126-N126-O126</x:f>
        <x:v>5533</x:v>
      </x:c>
      <x:c r="Q126" s="38" t="n">
        <x:v>5533</x:v>
      </x:c>
      <x:c r="R126" s="38" t="n">
        <x:f>P126-Q126</x:f>
        <x:v>0</x:v>
      </x:c>
      <x:c r="S126" s="38" t="n">
        <x:v>4459</x:v>
      </x:c>
      <x:c r="T126" s="38" t="n">
        <x:v>1458</x:v>
      </x:c>
      <x:c r="U126" s="38" t="n">
        <x:v>5</x:v>
      </x:c>
      <x:c r="V126" s="38" t="n">
        <x:v>4</x:v>
      </x:c>
      <x:c r="W126" s="38" t="n">
        <x:v>0</x:v>
      </x:c>
      <x:c r="X126" s="44" t="n">
        <x:v>0</x:v>
      </x:c>
      <x:c r="Y126" s="38" t="n">
        <x:v>28</x:v>
      </x:c>
      <x:c r="Z126" s="38" t="n">
        <x:v>6</x:v>
      </x:c>
      <x:c r="AA126" s="38" t="n">
        <x:v>1</x:v>
      </x:c>
      <x:c r="AB126" s="38" t="n">
        <x:v>0</x:v>
      </x:c>
      <x:c r="AC126" s="38" t="n">
        <x:v>814</x:v>
      </x:c>
      <x:c r="AD126" s="38" t="n">
        <x:v>0</x:v>
      </x:c>
      <x:c r="AE126" s="38" t="n">
        <x:f>IF(B126=1,0,F126-Q125)</x:f>
        <x:v>0</x:v>
      </x:c>
    </x:row>
    <x:row r="127" ht="27" customHeight="1">
      <x:c r="A127" s="28" t="str">
        <x:v>Core F2P</x:v>
      </x:c>
      <x:c r="B127" s="38" t="n">
        <x:v>3</x:v>
      </x:c>
      <x:c r="C127" s="38" t="n">
        <x:v>7</x:v>
      </x:c>
      <x:c r="D127" s="38" t="n">
        <x:v>3301</x:v>
      </x:c>
      <x:c r="E127" s="38" t="n">
        <x:v>25</x:v>
      </x:c>
      <x:c r="F127" s="38" t="n">
        <x:v>5533</x:v>
      </x:c>
      <x:c r="G127" s="38" t="n">
        <x:v>6493</x:v>
      </x:c>
      <x:c r="H127" s="38" t="n">
        <x:v>1752</x:v>
      </x:c>
      <x:c r="I127" s="38" t="n">
        <x:v>319</x:v>
      </x:c>
      <x:c r="J127" s="38" t="n">
        <x:v>230</x:v>
      </x:c>
      <x:c r="K127" s="38" t="n">
        <x:v>0</x:v>
      </x:c>
      <x:c r="L127" s="38" t="n">
        <x:v>0</x:v>
      </x:c>
      <x:c r="M127" s="38" t="n">
        <x:v>6500</x:v>
      </x:c>
      <x:c r="N127" s="38" t="n">
        <x:v>0</x:v>
      </x:c>
      <x:c r="O127" s="38" t="n">
        <x:v>0</x:v>
      </x:c>
      <x:c r="P127" s="38" t="n">
        <x:f>F127+G127-H127+I127+J127+K127+L127-M127-N127-O127</x:f>
        <x:v>4323</x:v>
      </x:c>
      <x:c r="Q127" s="38" t="n">
        <x:v>4323</x:v>
      </x:c>
      <x:c r="R127" s="38" t="n">
        <x:f>P127-Q127</x:f>
        <x:v>0</x:v>
      </x:c>
      <x:c r="S127" s="38" t="n">
        <x:v>5186</x:v>
      </x:c>
      <x:c r="T127" s="38" t="n">
        <x:v>1473</x:v>
      </x:c>
      <x:c r="U127" s="38" t="n">
        <x:v>6</x:v>
      </x:c>
      <x:c r="V127" s="38" t="n">
        <x:v>1</x:v>
      </x:c>
      <x:c r="W127" s="38" t="n">
        <x:v>0</x:v>
      </x:c>
      <x:c r="X127" s="44" t="n">
        <x:v>0</x:v>
      </x:c>
      <x:c r="Y127" s="38" t="n">
        <x:v>28</x:v>
      </x:c>
      <x:c r="Z127" s="38" t="n">
        <x:v>8</x:v>
      </x:c>
      <x:c r="AA127" s="38" t="n">
        <x:v>1</x:v>
      </x:c>
      <x:c r="AB127" s="38" t="n">
        <x:v>0</x:v>
      </x:c>
      <x:c r="AC127" s="38" t="n">
        <x:v>1259</x:v>
      </x:c>
      <x:c r="AD127" s="38" t="n">
        <x:v>0</x:v>
      </x:c>
      <x:c r="AE127" s="38" t="n">
        <x:f>IF(B127=1,0,F127-Q126)</x:f>
        <x:v>0</x:v>
      </x:c>
    </x:row>
    <x:row r="128" ht="27" customHeight="1">
      <x:c r="A128" s="28" t="str">
        <x:v>Core F2P</x:v>
      </x:c>
      <x:c r="B128" s="38" t="n">
        <x:v>4</x:v>
      </x:c>
      <x:c r="C128" s="38" t="n">
        <x:v>8</x:v>
      </x:c>
      <x:c r="D128" s="38" t="n">
        <x:v>6124</x:v>
      </x:c>
      <x:c r="E128" s="38" t="n">
        <x:v>25</x:v>
      </x:c>
      <x:c r="F128" s="38" t="n">
        <x:v>4323</x:v>
      </x:c>
      <x:c r="G128" s="38" t="n">
        <x:v>11822</x:v>
      </x:c>
      <x:c r="H128" s="38" t="n">
        <x:v>2448</x:v>
      </x:c>
      <x:c r="I128" s="38" t="n">
        <x:v>572</x:v>
      </x:c>
      <x:c r="J128" s="38" t="n">
        <x:v>150</x:v>
      </x:c>
      <x:c r="K128" s="38" t="n">
        <x:v>0</x:v>
      </x:c>
      <x:c r="L128" s="38" t="n">
        <x:v>0</x:v>
      </x:c>
      <x:c r="M128" s="38" t="n">
        <x:v>0</x:v>
      </x:c>
      <x:c r="N128" s="38" t="n">
        <x:v>70</x:v>
      </x:c>
      <x:c r="O128" s="38" t="n">
        <x:v>0</x:v>
      </x:c>
      <x:c r="P128" s="38" t="n">
        <x:f>F128+G128-H128+I128+J128+K128+L128-M128-N128-O128</x:f>
        <x:v>14349</x:v>
      </x:c>
      <x:c r="Q128" s="38" t="n">
        <x:v>14349</x:v>
      </x:c>
      <x:c r="R128" s="38" t="n">
        <x:f>P128-Q128</x:f>
        <x:v>0</x:v>
      </x:c>
      <x:c r="S128" s="38" t="n">
        <x:v>9438</x:v>
      </x:c>
      <x:c r="T128" s="38" t="n">
        <x:v>2823</x:v>
      </x:c>
      <x:c r="U128" s="38" t="n">
        <x:v>9</x:v>
      </x:c>
      <x:c r="V128" s="38" t="n">
        <x:v>3</x:v>
      </x:c>
      <x:c r="W128" s="38" t="n">
        <x:v>0</x:v>
      </x:c>
      <x:c r="X128" s="44" t="n">
        <x:v>0</x:v>
      </x:c>
      <x:c r="Y128" s="38" t="n">
        <x:v>50</x:v>
      </x:c>
      <x:c r="Z128" s="38" t="n">
        <x:v>9</x:v>
      </x:c>
      <x:c r="AA128" s="38" t="n">
        <x:v>2</x:v>
      </x:c>
      <x:c r="AB128" s="38" t="n">
        <x:v>0</x:v>
      </x:c>
      <x:c r="AC128" s="38" t="n">
        <x:v>1323</x:v>
      </x:c>
      <x:c r="AD128" s="38" t="n">
        <x:v>0</x:v>
      </x:c>
      <x:c r="AE128" s="38" t="n">
        <x:f>IF(B128=1,0,F128-Q127)</x:f>
        <x:v>0</x:v>
      </x:c>
    </x:row>
    <x:row r="129" ht="27" customHeight="1">
      <x:c r="A129" s="28" t="str">
        <x:v>Core F2P</x:v>
      </x:c>
      <x:c r="B129" s="38" t="n">
        <x:v>5</x:v>
      </x:c>
      <x:c r="C129" s="38" t="n">
        <x:v>9</x:v>
      </x:c>
      <x:c r="D129" s="38" t="n">
        <x:v>8627</x:v>
      </x:c>
      <x:c r="E129" s="38" t="n">
        <x:v>30</x:v>
      </x:c>
      <x:c r="F129" s="38" t="n">
        <x:v>14349</x:v>
      </x:c>
      <x:c r="G129" s="38" t="n">
        <x:v>12782</x:v>
      </x:c>
      <x:c r="H129" s="38" t="n">
        <x:v>2774</x:v>
      </x:c>
      <x:c r="I129" s="38" t="n">
        <x:v>592</x:v>
      </x:c>
      <x:c r="J129" s="38" t="n">
        <x:v>185</x:v>
      </x:c>
      <x:c r="K129" s="38" t="n">
        <x:v>0</x:v>
      </x:c>
      <x:c r="L129" s="38" t="n">
        <x:v>0</x:v>
      </x:c>
      <x:c r="M129" s="38" t="n">
        <x:v>15000</x:v>
      </x:c>
      <x:c r="N129" s="38" t="n">
        <x:v>0</x:v>
      </x:c>
      <x:c r="O129" s="38" t="n">
        <x:v>0</x:v>
      </x:c>
      <x:c r="P129" s="38" t="n">
        <x:f>F129+G129-H129+I129+J129+K129+L129-M129-N129-O129</x:f>
        <x:v>10134</x:v>
      </x:c>
      <x:c r="Q129" s="38" t="n">
        <x:v>10134</x:v>
      </x:c>
      <x:c r="R129" s="38" t="n">
        <x:f>P129-Q129</x:f>
        <x:v>0</x:v>
      </x:c>
      <x:c r="S129" s="38" t="n">
        <x:v>10235</x:v>
      </x:c>
      <x:c r="T129" s="38" t="n">
        <x:v>2503</x:v>
      </x:c>
      <x:c r="U129" s="38" t="n">
        <x:v>11</x:v>
      </x:c>
      <x:c r="V129" s="38" t="n">
        <x:v>2</x:v>
      </x:c>
      <x:c r="W129" s="38" t="n">
        <x:v>0</x:v>
      </x:c>
      <x:c r="X129" s="44" t="n">
        <x:v>0</x:v>
      </x:c>
      <x:c r="Y129" s="38" t="n">
        <x:v>49</x:v>
      </x:c>
      <x:c r="Z129" s="38" t="n">
        <x:v>10</x:v>
      </x:c>
      <x:c r="AA129" s="38" t="n">
        <x:v>2</x:v>
      </x:c>
      <x:c r="AB129" s="38" t="n">
        <x:v>0</x:v>
      </x:c>
      <x:c r="AC129" s="38" t="n">
        <x:v>1550</x:v>
      </x:c>
      <x:c r="AD129" s="38" t="n">
        <x:v>0</x:v>
      </x:c>
      <x:c r="AE129" s="38" t="n">
        <x:f>IF(B129=1,0,F129-Q128)</x:f>
        <x:v>0</x:v>
      </x:c>
    </x:row>
    <x:row r="130" ht="27" customHeight="1">
      <x:c r="A130" s="28" t="str">
        <x:v>Core F2P</x:v>
      </x:c>
      <x:c r="B130" s="38" t="n">
        <x:v>6</x:v>
      </x:c>
      <x:c r="C130" s="38" t="n">
        <x:v>10</x:v>
      </x:c>
      <x:c r="D130" s="38" t="n">
        <x:v>11604</x:v>
      </x:c>
      <x:c r="E130" s="38" t="n">
        <x:v>30</x:v>
      </x:c>
      <x:c r="F130" s="38" t="n">
        <x:v>10134</x:v>
      </x:c>
      <x:c r="G130" s="38" t="n">
        <x:v>15701</x:v>
      </x:c>
      <x:c r="H130" s="38" t="n">
        <x:v>3398</x:v>
      </x:c>
      <x:c r="I130" s="38" t="n">
        <x:v>734</x:v>
      </x:c>
      <x:c r="J130" s="38" t="n">
        <x:v>190</x:v>
      </x:c>
      <x:c r="K130" s="38" t="n">
        <x:v>0</x:v>
      </x:c>
      <x:c r="L130" s="38" t="n">
        <x:v>0</x:v>
      </x:c>
      <x:c r="M130" s="38" t="n">
        <x:v>0</x:v>
      </x:c>
      <x:c r="N130" s="38" t="n">
        <x:v>0</x:v>
      </x:c>
      <x:c r="O130" s="38" t="n">
        <x:v>0</x:v>
      </x:c>
      <x:c r="P130" s="38" t="n">
        <x:f>F130+G130-H130+I130+J130+K130+L130-M130-N130-O130</x:f>
        <x:v>23361</x:v>
      </x:c>
      <x:c r="Q130" s="38" t="n">
        <x:v>23361</x:v>
      </x:c>
      <x:c r="R130" s="38" t="n">
        <x:f>P130-Q130</x:f>
        <x:v>0</x:v>
      </x:c>
      <x:c r="S130" s="38" t="n">
        <x:v>12561</x:v>
      </x:c>
      <x:c r="T130" s="38" t="n">
        <x:v>2977</x:v>
      </x:c>
      <x:c r="U130" s="38" t="n">
        <x:v>14</x:v>
      </x:c>
      <x:c r="V130" s="38" t="n">
        <x:v>3</x:v>
      </x:c>
      <x:c r="W130" s="38" t="n">
        <x:v>0</x:v>
      </x:c>
      <x:c r="X130" s="44" t="n">
        <x:v>0</x:v>
      </x:c>
      <x:c r="Y130" s="38" t="n">
        <x:v>60</x:v>
      </x:c>
      <x:c r="Z130" s="38" t="n">
        <x:v>11</x:v>
      </x:c>
      <x:c r="AA130" s="38" t="n">
        <x:v>2</x:v>
      </x:c>
      <x:c r="AB130" s="38" t="n">
        <x:v>0</x:v>
      </x:c>
      <x:c r="AC130" s="38" t="n">
        <x:v>1808</x:v>
      </x:c>
      <x:c r="AD130" s="38" t="n">
        <x:v>0</x:v>
      </x:c>
      <x:c r="AE130" s="38" t="n">
        <x:f>IF(B130=1,0,F130-Q129)</x:f>
        <x:v>0</x:v>
      </x:c>
    </x:row>
    <x:row r="131" ht="27" customHeight="1">
      <x:c r="A131" s="28" t="str">
        <x:v>Core F2P</x:v>
      </x:c>
      <x:c r="B131" s="38" t="n">
        <x:v>7</x:v>
      </x:c>
      <x:c r="C131" s="38" t="n">
        <x:v>10</x:v>
      </x:c>
      <x:c r="D131" s="38" t="n">
        <x:v>15277</x:v>
      </x:c>
      <x:c r="E131" s="38" t="n">
        <x:v>30</x:v>
      </x:c>
      <x:c r="F131" s="38" t="n">
        <x:v>23361</x:v>
      </x:c>
      <x:c r="G131" s="38" t="n">
        <x:v>15892</x:v>
      </x:c>
      <x:c r="H131" s="38" t="n">
        <x:v>3190</x:v>
      </x:c>
      <x:c r="I131" s="38" t="n">
        <x:v>2352</x:v>
      </x:c>
      <x:c r="J131" s="38" t="n">
        <x:v>0</x:v>
      </x:c>
      <x:c r="K131" s="38" t="n">
        <x:v>0</x:v>
      </x:c>
      <x:c r="L131" s="38" t="n">
        <x:v>0</x:v>
      </x:c>
      <x:c r="M131" s="38" t="n">
        <x:v>0</x:v>
      </x:c>
      <x:c r="N131" s="38" t="n">
        <x:v>70</x:v>
      </x:c>
      <x:c r="O131" s="38" t="n">
        <x:v>0</x:v>
      </x:c>
      <x:c r="P131" s="38" t="n">
        <x:f>F131+G131-H131+I131+J131+K131+L131-M131-N131-O131</x:f>
        <x:v>38345</x:v>
      </x:c>
      <x:c r="Q131" s="38" t="n">
        <x:v>38345</x:v>
      </x:c>
      <x:c r="R131" s="38" t="n">
        <x:f>P131-Q131</x:f>
        <x:v>0</x:v>
      </x:c>
      <x:c r="S131" s="38" t="n">
        <x:v>12702</x:v>
      </x:c>
      <x:c r="T131" s="38" t="n">
        <x:v>3673</x:v>
      </x:c>
      <x:c r="U131" s="38" t="n">
        <x:v>16</x:v>
      </x:c>
      <x:c r="V131" s="38" t="n">
        <x:v>2</x:v>
      </x:c>
      <x:c r="W131" s="38" t="n">
        <x:v>0</x:v>
      </x:c>
      <x:c r="X131" s="44" t="n">
        <x:v>0</x:v>
      </x:c>
      <x:c r="Y131" s="38" t="n">
        <x:v>58</x:v>
      </x:c>
      <x:c r="Z131" s="38" t="n">
        <x:v>11</x:v>
      </x:c>
      <x:c r="AA131" s="38" t="n">
        <x:v>3</x:v>
      </x:c>
      <x:c r="AB131" s="38" t="n">
        <x:v>0</x:v>
      </x:c>
      <x:c r="AC131" s="38" t="n">
        <x:v>1808</x:v>
      </x:c>
      <x:c r="AD131" s="38" t="n">
        <x:v>0</x:v>
      </x:c>
      <x:c r="AE131" s="38" t="n">
        <x:f>IF(B131=1,0,F131-Q130)</x:f>
        <x:v>0</x:v>
      </x:c>
    </x:row>
    <x:row r="132" ht="27" customHeight="1">
      <x:c r="A132" s="28" t="str">
        <x:v>Core F2P</x:v>
      </x:c>
      <x:c r="B132" s="38" t="n">
        <x:v>8</x:v>
      </x:c>
      <x:c r="C132" s="38" t="n">
        <x:v>11</x:v>
      </x:c>
      <x:c r="D132" s="38" t="n">
        <x:v>18410</x:v>
      </x:c>
      <x:c r="E132" s="38" t="n">
        <x:v>30</x:v>
      </x:c>
      <x:c r="F132" s="38" t="n">
        <x:v>38345</x:v>
      </x:c>
      <x:c r="G132" s="38" t="n">
        <x:v>17191</x:v>
      </x:c>
      <x:c r="H132" s="38" t="n">
        <x:v>3357</x:v>
      </x:c>
      <x:c r="I132" s="38" t="n">
        <x:v>759</x:v>
      </x:c>
      <x:c r="J132" s="38" t="n">
        <x:v>195</x:v>
      </x:c>
      <x:c r="K132" s="38" t="n">
        <x:v>0</x:v>
      </x:c>
      <x:c r="L132" s="38" t="n">
        <x:v>0</x:v>
      </x:c>
      <x:c r="M132" s="38" t="n">
        <x:v>0</x:v>
      </x:c>
      <x:c r="N132" s="38" t="n">
        <x:v>0</x:v>
      </x:c>
      <x:c r="O132" s="38" t="n">
        <x:v>1325</x:v>
      </x:c>
      <x:c r="P132" s="38" t="n">
        <x:f>F132+G132-H132+I132+J132+K132+L132-M132-N132-O132</x:f>
        <x:v>51808</x:v>
      </x:c>
      <x:c r="Q132" s="38" t="n">
        <x:v>51808</x:v>
      </x:c>
      <x:c r="R132" s="38" t="n">
        <x:f>P132-Q132</x:f>
        <x:v>0</x:v>
      </x:c>
      <x:c r="S132" s="38" t="n">
        <x:v>13736</x:v>
      </x:c>
      <x:c r="T132" s="38" t="n">
        <x:v>3133</x:v>
      </x:c>
      <x:c r="U132" s="38" t="n">
        <x:v>16</x:v>
      </x:c>
      <x:c r="V132" s="38" t="n">
        <x:v>0</x:v>
      </x:c>
      <x:c r="W132" s="38" t="n">
        <x:v>0</x:v>
      </x:c>
      <x:c r="X132" s="44" t="n">
        <x:v>0</x:v>
      </x:c>
      <x:c r="Y132" s="38" t="n">
        <x:v>59</x:v>
      </x:c>
      <x:c r="Z132" s="38" t="n">
        <x:v>13</x:v>
      </x:c>
      <x:c r="AA132" s="38" t="n">
        <x:v>3</x:v>
      </x:c>
      <x:c r="AB132" s="38" t="n">
        <x:v>1</x:v>
      </x:c>
      <x:c r="AC132" s="38" t="n">
        <x:v>1710</x:v>
      </x:c>
      <x:c r="AD132" s="38" t="n">
        <x:v>0</x:v>
      </x:c>
      <x:c r="AE132" s="38" t="n">
        <x:f>IF(B132=1,0,F132-Q131)</x:f>
        <x:v>0</x:v>
      </x:c>
    </x:row>
    <x:row r="133" ht="27" customHeight="1">
      <x:c r="A133" s="28" t="str">
        <x:v>Core F2P</x:v>
      </x:c>
      <x:c r="B133" s="38" t="n">
        <x:v>9</x:v>
      </x:c>
      <x:c r="C133" s="38" t="n">
        <x:v>12</x:v>
      </x:c>
      <x:c r="D133" s="38" t="n">
        <x:v>21671</x:v>
      </x:c>
      <x:c r="E133" s="38" t="n">
        <x:v>35</x:v>
      </x:c>
      <x:c r="F133" s="38" t="n">
        <x:v>51808</x:v>
      </x:c>
      <x:c r="G133" s="38" t="n">
        <x:v>18384</x:v>
      </x:c>
      <x:c r="H133" s="38" t="n">
        <x:v>4171</x:v>
      </x:c>
      <x:c r="I133" s="38" t="n">
        <x:v>783</x:v>
      </x:c>
      <x:c r="J133" s="38" t="n">
        <x:v>235</x:v>
      </x:c>
      <x:c r="K133" s="38" t="n">
        <x:v>0</x:v>
      </x:c>
      <x:c r="L133" s="38" t="n">
        <x:v>0</x:v>
      </x:c>
      <x:c r="M133" s="38" t="n">
        <x:v>40000</x:v>
      </x:c>
      <x:c r="N133" s="38" t="n">
        <x:v>0</x:v>
      </x:c>
      <x:c r="O133" s="38" t="n">
        <x:v>6325</x:v>
      </x:c>
      <x:c r="P133" s="38" t="n">
        <x:f>F133+G133-H133+I133+J133+K133+L133-M133-N133-O133</x:f>
        <x:v>20714</x:v>
      </x:c>
      <x:c r="Q133" s="38" t="n">
        <x:v>20714</x:v>
      </x:c>
      <x:c r="R133" s="38" t="n">
        <x:f>P133-Q133</x:f>
        <x:v>0</x:v>
      </x:c>
      <x:c r="S133" s="38" t="n">
        <x:v>14702</x:v>
      </x:c>
      <x:c r="T133" s="38" t="n">
        <x:v>3261</x:v>
      </x:c>
      <x:c r="U133" s="38" t="n">
        <x:v>17</x:v>
      </x:c>
      <x:c r="V133" s="38" t="n">
        <x:v>1</x:v>
      </x:c>
      <x:c r="W133" s="38" t="n">
        <x:v>0</x:v>
      </x:c>
      <x:c r="X133" s="44" t="n">
        <x:v>0</x:v>
      </x:c>
      <x:c r="Y133" s="38" t="n">
        <x:v>64</x:v>
      </x:c>
      <x:c r="Z133" s="38" t="n">
        <x:v>13</x:v>
      </x:c>
      <x:c r="AA133" s="38" t="n">
        <x:v>3</x:v>
      </x:c>
      <x:c r="AB133" s="38" t="n">
        <x:v>2</x:v>
      </x:c>
      <x:c r="AC133" s="38" t="n">
        <x:v>2199</x:v>
      </x:c>
      <x:c r="AD133" s="38" t="n">
        <x:v>0</x:v>
      </x:c>
      <x:c r="AE133" s="38" t="n">
        <x:f>IF(B133=1,0,F133-Q132)</x:f>
        <x:v>0</x:v>
      </x:c>
    </x:row>
    <x:row r="134" ht="27" customHeight="1">
      <x:c r="A134" s="28" t="str">
        <x:v>Core F2P</x:v>
      </x:c>
      <x:c r="B134" s="38" t="n">
        <x:v>10</x:v>
      </x:c>
      <x:c r="C134" s="38" t="n">
        <x:v>12</x:v>
      </x:c>
      <x:c r="D134" s="38" t="n">
        <x:v>25172</x:v>
      </x:c>
      <x:c r="E134" s="38" t="n">
        <x:v>35</x:v>
      </x:c>
      <x:c r="F134" s="38" t="n">
        <x:v>20714</x:v>
      </x:c>
      <x:c r="G134" s="38" t="n">
        <x:v>19788</x:v>
      </x:c>
      <x:c r="H134" s="38" t="n">
        <x:v>3944</x:v>
      </x:c>
      <x:c r="I134" s="38" t="n">
        <x:v>942</x:v>
      </x:c>
      <x:c r="J134" s="38" t="n">
        <x:v>0</x:v>
      </x:c>
      <x:c r="K134" s="38" t="n">
        <x:v>0</x:v>
      </x:c>
      <x:c r="L134" s="38" t="n">
        <x:v>0</x:v>
      </x:c>
      <x:c r="M134" s="38" t="n">
        <x:v>0</x:v>
      </x:c>
      <x:c r="N134" s="38" t="n">
        <x:v>70</x:v>
      </x:c>
      <x:c r="O134" s="38" t="n">
        <x:v>0</x:v>
      </x:c>
      <x:c r="P134" s="38" t="n">
        <x:f>F134+G134-H134+I134+J134+K134+L134-M134-N134-O134</x:f>
        <x:v>37430</x:v>
      </x:c>
      <x:c r="Q134" s="38" t="n">
        <x:v>37430</x:v>
      </x:c>
      <x:c r="R134" s="38" t="n">
        <x:f>P134-Q134</x:f>
        <x:v>0</x:v>
      </x:c>
      <x:c r="S134" s="38" t="n">
        <x:v>15844</x:v>
      </x:c>
      <x:c r="T134" s="38" t="n">
        <x:v>3501</x:v>
      </x:c>
      <x:c r="U134" s="38" t="n">
        <x:v>17</x:v>
      </x:c>
      <x:c r="V134" s="38" t="n">
        <x:v>0</x:v>
      </x:c>
      <x:c r="W134" s="38" t="n">
        <x:v>0</x:v>
      </x:c>
      <x:c r="X134" s="44" t="n">
        <x:v>0</x:v>
      </x:c>
      <x:c r="Y134" s="38" t="n">
        <x:v>68</x:v>
      </x:c>
      <x:c r="Z134" s="38" t="n">
        <x:v>13</x:v>
      </x:c>
      <x:c r="AA134" s="38" t="n">
        <x:v>4</x:v>
      </x:c>
      <x:c r="AB134" s="38" t="n">
        <x:v>2</x:v>
      </x:c>
      <x:c r="AC134" s="38" t="n">
        <x:v>2199</x:v>
      </x:c>
      <x:c r="AD134" s="38" t="n">
        <x:v>0</x:v>
      </x:c>
      <x:c r="AE134" s="38" t="n">
        <x:f>IF(B134=1,0,F134-Q133)</x:f>
        <x:v>0</x:v>
      </x:c>
    </x:row>
    <x:row r="135" ht="27" customHeight="1">
      <x:c r="A135" s="28" t="str">
        <x:v>Core F2P</x:v>
      </x:c>
      <x:c r="B135" s="38" t="n">
        <x:v>11</x:v>
      </x:c>
      <x:c r="C135" s="38" t="n">
        <x:v>13</x:v>
      </x:c>
      <x:c r="D135" s="38" t="n">
        <x:v>28887</x:v>
      </x:c>
      <x:c r="E135" s="38" t="n">
        <x:v>35</x:v>
      </x:c>
      <x:c r="F135" s="38" t="n">
        <x:v>37430</x:v>
      </x:c>
      <x:c r="G135" s="38" t="n">
        <x:v>21229</x:v>
      </x:c>
      <x:c r="H135" s="38" t="n">
        <x:v>4196</x:v>
      </x:c>
      <x:c r="I135" s="38" t="n">
        <x:v>942</x:v>
      </x:c>
      <x:c r="J135" s="38" t="n">
        <x:v>245</x:v>
      </x:c>
      <x:c r="K135" s="38" t="n">
        <x:v>0</x:v>
      </x:c>
      <x:c r="L135" s="38" t="n">
        <x:v>0</x:v>
      </x:c>
      <x:c r="M135" s="38" t="n">
        <x:v>0</x:v>
      </x:c>
      <x:c r="N135" s="38" t="n">
        <x:v>0</x:v>
      </x:c>
      <x:c r="O135" s="38" t="n">
        <x:v>0</x:v>
      </x:c>
      <x:c r="P135" s="38" t="n">
        <x:f>F135+G135-H135+I135+J135+K135+L135-M135-N135-O135</x:f>
        <x:v>55650</x:v>
      </x:c>
      <x:c r="Q135" s="38" t="n">
        <x:v>55650</x:v>
      </x:c>
      <x:c r="R135" s="38" t="n">
        <x:f>P135-Q135</x:f>
        <x:v>0</x:v>
      </x:c>
      <x:c r="S135" s="38" t="n">
        <x:v>16990</x:v>
      </x:c>
      <x:c r="T135" s="38" t="n">
        <x:v>3715</x:v>
      </x:c>
      <x:c r="U135" s="38" t="n">
        <x:v>17</x:v>
      </x:c>
      <x:c r="V135" s="38" t="n">
        <x:v>0</x:v>
      </x:c>
      <x:c r="W135" s="38" t="n">
        <x:v>0</x:v>
      </x:c>
      <x:c r="X135" s="44" t="n">
        <x:v>0</x:v>
      </x:c>
      <x:c r="Y135" s="38" t="n">
        <x:v>69</x:v>
      </x:c>
      <x:c r="Z135" s="38" t="n">
        <x:v>14</x:v>
      </x:c>
      <x:c r="AA135" s="38" t="n">
        <x:v>4</x:v>
      </x:c>
      <x:c r="AB135" s="38" t="n">
        <x:v>2</x:v>
      </x:c>
      <x:c r="AC135" s="38" t="n">
        <x:v>2156</x:v>
      </x:c>
      <x:c r="AD135" s="38" t="n">
        <x:v>0</x:v>
      </x:c>
      <x:c r="AE135" s="38" t="n">
        <x:f>IF(B135=1,0,F135-Q134)</x:f>
        <x:v>0</x:v>
      </x:c>
    </x:row>
    <x:row r="136" ht="27" customHeight="1">
      <x:c r="A136" s="28" t="str">
        <x:v>Core F2P</x:v>
      </x:c>
      <x:c r="B136" s="38" t="n">
        <x:v>12</x:v>
      </x:c>
      <x:c r="C136" s="38" t="n">
        <x:v>14</x:v>
      </x:c>
      <x:c r="D136" s="38" t="n">
        <x:v>32596</x:v>
      </x:c>
      <x:c r="E136" s="38" t="n">
        <x:v>35</x:v>
      </x:c>
      <x:c r="F136" s="38" t="n">
        <x:v>55650</x:v>
      </x:c>
      <x:c r="G136" s="38" t="n">
        <x:v>21278</x:v>
      </x:c>
      <x:c r="H136" s="38" t="n">
        <x:v>4222</x:v>
      </x:c>
      <x:c r="I136" s="38" t="n">
        <x:v>970</x:v>
      </x:c>
      <x:c r="J136" s="38" t="n">
        <x:v>250</x:v>
      </x:c>
      <x:c r="K136" s="38" t="n">
        <x:v>0</x:v>
      </x:c>
      <x:c r="L136" s="38" t="n">
        <x:v>0</x:v>
      </x:c>
      <x:c r="M136" s="38" t="n">
        <x:v>0</x:v>
      </x:c>
      <x:c r="N136" s="38" t="n">
        <x:v>0</x:v>
      </x:c>
      <x:c r="O136" s="38" t="n">
        <x:v>0</x:v>
      </x:c>
      <x:c r="P136" s="38" t="n">
        <x:f>F136+G136-H136+I136+J136+K136+L136-M136-N136-O136</x:f>
        <x:v>73926</x:v>
      </x:c>
      <x:c r="Q136" s="38" t="n">
        <x:v>73926</x:v>
      </x:c>
      <x:c r="R136" s="38" t="n">
        <x:f>P136-Q136</x:f>
        <x:v>0</x:v>
      </x:c>
      <x:c r="S136" s="38" t="n">
        <x:v>17022</x:v>
      </x:c>
      <x:c r="T136" s="38" t="n">
        <x:v>3709</x:v>
      </x:c>
      <x:c r="U136" s="38" t="n">
        <x:v>20</x:v>
      </x:c>
      <x:c r="V136" s="38" t="n">
        <x:v>3</x:v>
      </x:c>
      <x:c r="W136" s="38" t="n">
        <x:v>0</x:v>
      </x:c>
      <x:c r="X136" s="44" t="n">
        <x:v>0</x:v>
      </x:c>
      <x:c r="Y136" s="38" t="n">
        <x:v>70</x:v>
      </x:c>
      <x:c r="Z136" s="38" t="n">
        <x:v>15</x:v>
      </x:c>
      <x:c r="AA136" s="38" t="n">
        <x:v>4</x:v>
      </x:c>
      <x:c r="AB136" s="38" t="n">
        <x:v>2</x:v>
      </x:c>
      <x:c r="AC136" s="38" t="n">
        <x:v>2122</x:v>
      </x:c>
      <x:c r="AD136" s="38" t="n">
        <x:v>0</x:v>
      </x:c>
      <x:c r="AE136" s="38" t="n">
        <x:f>IF(B136=1,0,F136-Q135)</x:f>
        <x:v>0</x:v>
      </x:c>
    </x:row>
    <x:row r="137" ht="27" customHeight="1">
      <x:c r="A137" s="28" t="str">
        <x:v>Core F2P</x:v>
      </x:c>
      <x:c r="B137" s="38" t="n">
        <x:v>13</x:v>
      </x:c>
      <x:c r="C137" s="38" t="n">
        <x:v>14</x:v>
      </x:c>
      <x:c r="D137" s="38" t="n">
        <x:v>36232</x:v>
      </x:c>
      <x:c r="E137" s="38" t="n">
        <x:v>35</x:v>
      </x:c>
      <x:c r="F137" s="38" t="n">
        <x:v>73926</x:v>
      </x:c>
      <x:c r="G137" s="38" t="n">
        <x:v>21391</x:v>
      </x:c>
      <x:c r="H137" s="38" t="n">
        <x:v>4340</x:v>
      </x:c>
      <x:c r="I137" s="38" t="n">
        <x:v>999</x:v>
      </x:c>
      <x:c r="J137" s="38" t="n">
        <x:v>0</x:v>
      </x:c>
      <x:c r="K137" s="38" t="n">
        <x:v>0</x:v>
      </x:c>
      <x:c r="L137" s="38" t="n">
        <x:v>0</x:v>
      </x:c>
      <x:c r="M137" s="38" t="n">
        <x:v>0</x:v>
      </x:c>
      <x:c r="N137" s="38" t="n">
        <x:v>110</x:v>
      </x:c>
      <x:c r="O137" s="38" t="n">
        <x:v>0</x:v>
      </x:c>
      <x:c r="P137" s="38" t="n">
        <x:f>F137+G137-H137+I137+J137+K137+L137-M137-N137-O137</x:f>
        <x:v>91866</x:v>
      </x:c>
      <x:c r="Q137" s="38" t="n">
        <x:v>91866</x:v>
      </x:c>
      <x:c r="R137" s="38" t="n">
        <x:f>P137-Q137</x:f>
        <x:v>0</x:v>
      </x:c>
      <x:c r="S137" s="38" t="n">
        <x:v>17099</x:v>
      </x:c>
      <x:c r="T137" s="38" t="n">
        <x:v>3636</x:v>
      </x:c>
      <x:c r="U137" s="38" t="n">
        <x:v>20</x:v>
      </x:c>
      <x:c r="V137" s="38" t="n">
        <x:v>0</x:v>
      </x:c>
      <x:c r="W137" s="38" t="n">
        <x:v>0</x:v>
      </x:c>
      <x:c r="X137" s="44" t="n">
        <x:v>0</x:v>
      </x:c>
      <x:c r="Y137" s="38" t="n">
        <x:v>70</x:v>
      </x:c>
      <x:c r="Z137" s="38" t="n">
        <x:v>16</x:v>
      </x:c>
      <x:c r="AA137" s="38" t="n">
        <x:v>5</x:v>
      </x:c>
      <x:c r="AB137" s="38" t="n">
        <x:v>2</x:v>
      </x:c>
      <x:c r="AC137" s="38" t="n">
        <x:v>2170</x:v>
      </x:c>
      <x:c r="AD137" s="38" t="n">
        <x:v>0</x:v>
      </x:c>
      <x:c r="AE137" s="38" t="n">
        <x:f>IF(B137=1,0,F137-Q136)</x:f>
        <x:v>0</x:v>
      </x:c>
    </x:row>
    <x:row r="138" ht="27" customHeight="1">
      <x:c r="A138" s="28" t="str">
        <x:v>Core F2P</x:v>
      </x:c>
      <x:c r="B138" s="38" t="n">
        <x:v>14</x:v>
      </x:c>
      <x:c r="C138" s="38" t="n">
        <x:v>15</x:v>
      </x:c>
      <x:c r="D138" s="38" t="n">
        <x:v>41332</x:v>
      </x:c>
      <x:c r="E138" s="38" t="n">
        <x:v>35</x:v>
      </x:c>
      <x:c r="F138" s="38" t="n">
        <x:v>91866</x:v>
      </x:c>
      <x:c r="G138" s="38" t="n">
        <x:v>23065</x:v>
      </x:c>
      <x:c r="H138" s="38" t="n">
        <x:v>4900</x:v>
      </x:c>
      <x:c r="I138" s="38" t="n">
        <x:v>4793</x:v>
      </x:c>
      <x:c r="J138" s="38" t="n">
        <x:v>255</x:v>
      </x:c>
      <x:c r="K138" s="38" t="n">
        <x:v>0</x:v>
      </x:c>
      <x:c r="L138" s="38" t="n">
        <x:v>0</x:v>
      </x:c>
      <x:c r="M138" s="38" t="n">
        <x:v>0</x:v>
      </x:c>
      <x:c r="N138" s="38" t="n">
        <x:v>0</x:v>
      </x:c>
      <x:c r="O138" s="38" t="n">
        <x:v>17115</x:v>
      </x:c>
      <x:c r="P138" s="38" t="n">
        <x:f>F138+G138-H138+I138+J138+K138+L138-M138-N138-O138</x:f>
        <x:v>97964</x:v>
      </x:c>
      <x:c r="Q138" s="38" t="n">
        <x:v>97964</x:v>
      </x:c>
      <x:c r="R138" s="38" t="n">
        <x:f>P138-Q138</x:f>
        <x:v>0</x:v>
      </x:c>
      <x:c r="S138" s="38" t="n">
        <x:v>18445</x:v>
      </x:c>
      <x:c r="T138" s="38" t="n">
        <x:v>5100</x:v>
      </x:c>
      <x:c r="U138" s="38" t="n">
        <x:v>25</x:v>
      </x:c>
      <x:c r="V138" s="38" t="n">
        <x:v>5</x:v>
      </x:c>
      <x:c r="W138" s="38" t="n">
        <x:v>0</x:v>
      </x:c>
      <x:c r="X138" s="44" t="n">
        <x:v>0</x:v>
      </x:c>
      <x:c r="Y138" s="38" t="n">
        <x:v>70</x:v>
      </x:c>
      <x:c r="Z138" s="38" t="n">
        <x:v>17</x:v>
      </x:c>
      <x:c r="AA138" s="38" t="n">
        <x:v>5</x:v>
      </x:c>
      <x:c r="AB138" s="38" t="n">
        <x:v>3</x:v>
      </x:c>
      <x:c r="AC138" s="38" t="n">
        <x:v>2450</x:v>
      </x:c>
      <x:c r="AD138" s="38" t="n">
        <x:v>0</x:v>
      </x:c>
      <x:c r="AE138" s="38" t="n">
        <x:f>IF(B138=1,0,F138-Q137)</x:f>
        <x:v>0</x:v>
      </x:c>
    </x:row>
    <x:row r="139" ht="27" customHeight="1">
      <x:c r="A139" s="28" t="str">
        <x:v>Core F2P</x:v>
      </x:c>
      <x:c r="B139" s="38" t="n">
        <x:v>15</x:v>
      </x:c>
      <x:c r="C139" s="38" t="n">
        <x:v>15</x:v>
      </x:c>
      <x:c r="D139" s="38" t="n">
        <x:v>44725</x:v>
      </x:c>
      <x:c r="E139" s="38" t="n">
        <x:v>35</x:v>
      </x:c>
      <x:c r="F139" s="38" t="n">
        <x:v>97964</x:v>
      </x:c>
      <x:c r="G139" s="38" t="n">
        <x:v>24500</x:v>
      </x:c>
      <x:c r="H139" s="38" t="n">
        <x:v>4900</x:v>
      </x:c>
      <x:c r="I139" s="38" t="n">
        <x:v>1027</x:v>
      </x:c>
      <x:c r="J139" s="38" t="n">
        <x:v>0</x:v>
      </x:c>
      <x:c r="K139" s="38" t="n">
        <x:v>0</x:v>
      </x:c>
      <x:c r="L139" s="38" t="n">
        <x:v>0</x:v>
      </x:c>
      <x:c r="M139" s="38" t="n">
        <x:v>0</x:v>
      </x:c>
      <x:c r="N139" s="38" t="n">
        <x:v>0</x:v>
      </x:c>
      <x:c r="O139" s="38" t="n">
        <x:v>0</x:v>
      </x:c>
      <x:c r="P139" s="38" t="n">
        <x:f>F139+G139-H139+I139+J139+K139+L139-M139-N139-O139</x:f>
        <x:v>118591</x:v>
      </x:c>
      <x:c r="Q139" s="38" t="n">
        <x:v>118591</x:v>
      </x:c>
      <x:c r="R139" s="38" t="n">
        <x:f>P139-Q139</x:f>
        <x:v>0</x:v>
      </x:c>
      <x:c r="S139" s="38" t="n">
        <x:v>19600</x:v>
      </x:c>
      <x:c r="T139" s="38" t="n">
        <x:v>3393</x:v>
      </x:c>
      <x:c r="U139" s="38" t="n">
        <x:v>25</x:v>
      </x:c>
      <x:c r="V139" s="38" t="n">
        <x:v>0</x:v>
      </x:c>
      <x:c r="W139" s="38" t="n">
        <x:v>0</x:v>
      </x:c>
      <x:c r="X139" s="44" t="n">
        <x:v>0</x:v>
      </x:c>
      <x:c r="Y139" s="38" t="n">
        <x:v>70</x:v>
      </x:c>
      <x:c r="Z139" s="38" t="n">
        <x:v>17</x:v>
      </x:c>
      <x:c r="AA139" s="38" t="n">
        <x:v>5</x:v>
      </x:c>
      <x:c r="AB139" s="38" t="n">
        <x:v>3</x:v>
      </x:c>
      <x:c r="AC139" s="38" t="n">
        <x:v>2450</x:v>
      </x:c>
      <x:c r="AD139" s="38" t="n">
        <x:v>0</x:v>
      </x:c>
      <x:c r="AE139" s="38" t="n">
        <x:f>IF(B139=1,0,F139-Q138)</x:f>
        <x:v>0</x:v>
      </x:c>
    </x:row>
    <x:row r="140" ht="27" customHeight="1">
      <x:c r="A140" s="28" t="str">
        <x:v>Core F2P</x:v>
      </x:c>
      <x:c r="B140" s="38" t="n">
        <x:v>16</x:v>
      </x:c>
      <x:c r="C140" s="38" t="n">
        <x:v>16</x:v>
      </x:c>
      <x:c r="D140" s="38" t="n">
        <x:v>48725</x:v>
      </x:c>
      <x:c r="E140" s="38" t="n">
        <x:v>45</x:v>
      </x:c>
      <x:c r="F140" s="38" t="n">
        <x:v>118591</x:v>
      </x:c>
      <x:c r="G140" s="38" t="n">
        <x:v>26594</x:v>
      </x:c>
      <x:c r="H140" s="38" t="n">
        <x:v>5846</x:v>
      </x:c>
      <x:c r="I140" s="38" t="n">
        <x:v>1027</x:v>
      </x:c>
      <x:c r="J140" s="38" t="n">
        <x:v>340</x:v>
      </x:c>
      <x:c r="K140" s="38" t="n">
        <x:v>0</x:v>
      </x:c>
      <x:c r="L140" s="38" t="n">
        <x:v>0</x:v>
      </x:c>
      <x:c r="M140" s="38" t="n">
        <x:v>120000</x:v>
      </x:c>
      <x:c r="N140" s="38" t="n">
        <x:v>110</x:v>
      </x:c>
      <x:c r="O140" s="38" t="n">
        <x:v>0</x:v>
      </x:c>
      <x:c r="P140" s="38" t="n">
        <x:f>F140+G140-H140+I140+J140+K140+L140-M140-N140-O140</x:f>
        <x:v>20596</x:v>
      </x:c>
      <x:c r="Q140" s="38" t="n">
        <x:v>20596</x:v>
      </x:c>
      <x:c r="R140" s="38" t="n">
        <x:f>P140-Q140</x:f>
        <x:v>0</x:v>
      </x:c>
      <x:c r="S140" s="38" t="n">
        <x:v>21284</x:v>
      </x:c>
      <x:c r="T140" s="38" t="n">
        <x:v>4000</x:v>
      </x:c>
      <x:c r="U140" s="38" t="n">
        <x:v>26</x:v>
      </x:c>
      <x:c r="V140" s="38" t="n">
        <x:v>1</x:v>
      </x:c>
      <x:c r="W140" s="38" t="n">
        <x:v>0</x:v>
      </x:c>
      <x:c r="X140" s="44" t="n">
        <x:v>0</x:v>
      </x:c>
      <x:c r="Y140" s="38" t="n">
        <x:v>79</x:v>
      </x:c>
      <x:c r="Z140" s="38" t="n">
        <x:v>17</x:v>
      </x:c>
      <x:c r="AA140" s="38" t="n">
        <x:v>6</x:v>
      </x:c>
      <x:c r="AB140" s="38" t="n">
        <x:v>3</x:v>
      </x:c>
      <x:c r="AC140" s="38" t="n">
        <x:v>2986</x:v>
      </x:c>
      <x:c r="AD140" s="38" t="n">
        <x:v>0</x:v>
      </x:c>
      <x:c r="AE140" s="38" t="n">
        <x:f>IF(B140=1,0,F140-Q139)</x:f>
        <x:v>0</x:v>
      </x:c>
    </x:row>
    <x:row r="141" ht="27" customHeight="1">
      <x:c r="A141" s="28" t="str">
        <x:v>Core F2P</x:v>
      </x:c>
      <x:c r="B141" s="38" t="n">
        <x:v>17</x:v>
      </x:c>
      <x:c r="C141" s="38" t="n">
        <x:v>16</x:v>
      </x:c>
      <x:c r="D141" s="38" t="n">
        <x:v>53586</x:v>
      </x:c>
      <x:c r="E141" s="38" t="n">
        <x:v>45</x:v>
      </x:c>
      <x:c r="F141" s="38" t="n">
        <x:v>20596</x:v>
      </x:c>
      <x:c r="G141" s="38" t="n">
        <x:v>29642</x:v>
      </x:c>
      <x:c r="H141" s="38" t="n">
        <x:v>5850</x:v>
      </x:c>
      <x:c r="I141" s="38" t="n">
        <x:v>1357</x:v>
      </x:c>
      <x:c r="J141" s="38" t="n">
        <x:v>0</x:v>
      </x:c>
      <x:c r="K141" s="38" t="n">
        <x:v>0</x:v>
      </x:c>
      <x:c r="L141" s="38" t="n">
        <x:v>0</x:v>
      </x:c>
      <x:c r="M141" s="38" t="n">
        <x:v>0</x:v>
      </x:c>
      <x:c r="N141" s="38" t="n">
        <x:v>0</x:v>
      </x:c>
      <x:c r="O141" s="38" t="n">
        <x:v>0</x:v>
      </x:c>
      <x:c r="P141" s="38" t="n">
        <x:f>F141+G141-H141+I141+J141+K141+L141-M141-N141-O141</x:f>
        <x:v>45745</x:v>
      </x:c>
      <x:c r="Q141" s="38" t="n">
        <x:v>45745</x:v>
      </x:c>
      <x:c r="R141" s="38" t="n">
        <x:f>P141-Q141</x:f>
        <x:v>0</x:v>
      </x:c>
      <x:c r="S141" s="38" t="n">
        <x:v>23731</x:v>
      </x:c>
      <x:c r="T141" s="38" t="n">
        <x:v>4861</x:v>
      </x:c>
      <x:c r="U141" s="38" t="n">
        <x:v>26</x:v>
      </x:c>
      <x:c r="V141" s="38" t="n">
        <x:v>0</x:v>
      </x:c>
      <x:c r="W141" s="38" t="n">
        <x:v>0</x:v>
      </x:c>
      <x:c r="X141" s="44" t="n">
        <x:v>0</x:v>
      </x:c>
      <x:c r="Y141" s="38" t="n">
        <x:v>90</x:v>
      </x:c>
      <x:c r="Z141" s="38" t="n">
        <x:v>18</x:v>
      </x:c>
      <x:c r="AA141" s="38" t="n">
        <x:v>6</x:v>
      </x:c>
      <x:c r="AB141" s="38" t="n">
        <x:v>3</x:v>
      </x:c>
      <x:c r="AC141" s="38" t="n">
        <x:v>2925</x:v>
      </x:c>
      <x:c r="AD141" s="38" t="n">
        <x:v>0</x:v>
      </x:c>
      <x:c r="AE141" s="38" t="n">
        <x:f>IF(B141=1,0,F141-Q140)</x:f>
        <x:v>0</x:v>
      </x:c>
    </x:row>
    <x:row r="142" ht="27" customHeight="1">
      <x:c r="A142" s="28" t="str">
        <x:v>Core F2P</x:v>
      </x:c>
      <x:c r="B142" s="38" t="n">
        <x:v>18</x:v>
      </x:c>
      <x:c r="C142" s="38" t="n">
        <x:v>17</x:v>
      </x:c>
      <x:c r="D142" s="38" t="n">
        <x:v>58403</x:v>
      </x:c>
      <x:c r="E142" s="38" t="n">
        <x:v>45</x:v>
      </x:c>
      <x:c r="F142" s="38" t="n">
        <x:v>45745</x:v>
      </x:c>
      <x:c r="G142" s="38" t="n">
        <x:v>29340</x:v>
      </x:c>
      <x:c r="H142" s="38" t="n">
        <x:v>6134</x:v>
      </x:c>
      <x:c r="I142" s="38" t="n">
        <x:v>1357</x:v>
      </x:c>
      <x:c r="J142" s="38" t="n">
        <x:v>350</x:v>
      </x:c>
      <x:c r="K142" s="38" t="n">
        <x:v>0</x:v>
      </x:c>
      <x:c r="L142" s="38" t="n">
        <x:v>0</x:v>
      </x:c>
      <x:c r="M142" s="38" t="n">
        <x:v>0</x:v>
      </x:c>
      <x:c r="N142" s="38" t="n">
        <x:v>0</x:v>
      </x:c>
      <x:c r="O142" s="38" t="n">
        <x:v>0</x:v>
      </x:c>
      <x:c r="P142" s="38" t="n">
        <x:f>F142+G142-H142+I142+J142+K142+L142-M142-N142-O142</x:f>
        <x:v>70658</x:v>
      </x:c>
      <x:c r="Q142" s="38" t="n">
        <x:v>70658</x:v>
      </x:c>
      <x:c r="R142" s="38" t="n">
        <x:f>P142-Q142</x:f>
        <x:v>0</x:v>
      </x:c>
      <x:c r="S142" s="38" t="n">
        <x:v>23490</x:v>
      </x:c>
      <x:c r="T142" s="38" t="n">
        <x:v>4817</x:v>
      </x:c>
      <x:c r="U142" s="38" t="n">
        <x:v>26</x:v>
      </x:c>
      <x:c r="V142" s="38" t="n">
        <x:v>0</x:v>
      </x:c>
      <x:c r="W142" s="38" t="n">
        <x:v>0</x:v>
      </x:c>
      <x:c r="X142" s="44" t="n">
        <x:v>0</x:v>
      </x:c>
      <x:c r="Y142" s="38" t="n">
        <x:v>90</x:v>
      </x:c>
      <x:c r="Z142" s="38" t="n">
        <x:v>18</x:v>
      </x:c>
      <x:c r="AA142" s="38" t="n">
        <x:v>6</x:v>
      </x:c>
      <x:c r="AB142" s="38" t="n">
        <x:v>3</x:v>
      </x:c>
      <x:c r="AC142" s="38" t="n">
        <x:v>3209</x:v>
      </x:c>
      <x:c r="AD142" s="38" t="n">
        <x:v>0</x:v>
      </x:c>
      <x:c r="AE142" s="38" t="n">
        <x:f>IF(B142=1,0,F142-Q141)</x:f>
        <x:v>0</x:v>
      </x:c>
    </x:row>
    <x:row r="143" ht="27" customHeight="1">
      <x:c r="A143" s="28" t="str">
        <x:v>Core F2P</x:v>
      </x:c>
      <x:c r="B143" s="38" t="n">
        <x:v>19</x:v>
      </x:c>
      <x:c r="C143" s="38" t="n">
        <x:v>17</x:v>
      </x:c>
      <x:c r="D143" s="38" t="n">
        <x:v>63128</x:v>
      </x:c>
      <x:c r="E143" s="38" t="n">
        <x:v>45</x:v>
      </x:c>
      <x:c r="F143" s="38" t="n">
        <x:v>70658</x:v>
      </x:c>
      <x:c r="G143" s="38" t="n">
        <x:v>29480</x:v>
      </x:c>
      <x:c r="H143" s="38" t="n">
        <x:v>5896</x:v>
      </x:c>
      <x:c r="I143" s="38" t="n">
        <x:v>1393</x:v>
      </x:c>
      <x:c r="J143" s="38" t="n">
        <x:v>0</x:v>
      </x:c>
      <x:c r="K143" s="38" t="n">
        <x:v>0</x:v>
      </x:c>
      <x:c r="L143" s="38" t="n">
        <x:v>0</x:v>
      </x:c>
      <x:c r="M143" s="38" t="n">
        <x:v>0</x:v>
      </x:c>
      <x:c r="N143" s="38" t="n">
        <x:v>305</x:v>
      </x:c>
      <x:c r="O143" s="38" t="n">
        <x:v>0</x:v>
      </x:c>
      <x:c r="P143" s="38" t="n">
        <x:f>F143+G143-H143+I143+J143+K143+L143-M143-N143-O143</x:f>
        <x:v>95330</x:v>
      </x:c>
      <x:c r="Q143" s="38" t="n">
        <x:v>95330</x:v>
      </x:c>
      <x:c r="R143" s="38" t="n">
        <x:f>P143-Q143</x:f>
        <x:v>0</x:v>
      </x:c>
      <x:c r="S143" s="38" t="n">
        <x:v>23584</x:v>
      </x:c>
      <x:c r="T143" s="38" t="n">
        <x:v>4725</x:v>
      </x:c>
      <x:c r="U143" s="38" t="n">
        <x:v>26</x:v>
      </x:c>
      <x:c r="V143" s="38" t="n">
        <x:v>0</x:v>
      </x:c>
      <x:c r="W143" s="38" t="n">
        <x:v>0</x:v>
      </x:c>
      <x:c r="X143" s="44" t="n">
        <x:v>0</x:v>
      </x:c>
      <x:c r="Y143" s="38" t="n">
        <x:v>88</x:v>
      </x:c>
      <x:c r="Z143" s="38" t="n">
        <x:v>18</x:v>
      </x:c>
      <x:c r="AA143" s="38" t="n">
        <x:v>7</x:v>
      </x:c>
      <x:c r="AB143" s="38" t="n">
        <x:v>3</x:v>
      </x:c>
      <x:c r="AC143" s="38" t="n">
        <x:v>3209</x:v>
      </x:c>
      <x:c r="AD143" s="38" t="n">
        <x:v>0</x:v>
      </x:c>
      <x:c r="AE143" s="38" t="n">
        <x:f>IF(B143=1,0,F143-Q142)</x:f>
        <x:v>0</x:v>
      </x:c>
    </x:row>
    <x:row r="144" ht="27" customHeight="1">
      <x:c r="A144" s="28" t="str">
        <x:v>Core F2P</x:v>
      </x:c>
      <x:c r="B144" s="38" t="n">
        <x:v>20</x:v>
      </x:c>
      <x:c r="C144" s="38" t="n">
        <x:v>17</x:v>
      </x:c>
      <x:c r="D144" s="38" t="n">
        <x:v>68041</x:v>
      </x:c>
      <x:c r="E144" s="38" t="n">
        <x:v>45</x:v>
      </x:c>
      <x:c r="F144" s="38" t="n">
        <x:v>95330</x:v>
      </x:c>
      <x:c r="G144" s="38" t="n">
        <x:v>30785</x:v>
      </x:c>
      <x:c r="H144" s="38" t="n">
        <x:v>5963</x:v>
      </x:c>
      <x:c r="I144" s="38" t="n">
        <x:v>1393</x:v>
      </x:c>
      <x:c r="J144" s="38" t="n">
        <x:v>0</x:v>
      </x:c>
      <x:c r="K144" s="38" t="n">
        <x:v>0</x:v>
      </x:c>
      <x:c r="L144" s="38" t="n">
        <x:v>0</x:v>
      </x:c>
      <x:c r="M144" s="38" t="n">
        <x:v>0</x:v>
      </x:c>
      <x:c r="N144" s="38" t="n">
        <x:v>0</x:v>
      </x:c>
      <x:c r="O144" s="38" t="n">
        <x:v>0</x:v>
      </x:c>
      <x:c r="P144" s="38" t="n">
        <x:f>F144+G144-H144+I144+J144+K144+L144-M144-N144-O144</x:f>
        <x:v>121545</x:v>
      </x:c>
      <x:c r="Q144" s="38" t="n">
        <x:v>121545</x:v>
      </x:c>
      <x:c r="R144" s="38" t="n">
        <x:f>P144-Q144</x:f>
        <x:v>0</x:v>
      </x:c>
      <x:c r="S144" s="38" t="n">
        <x:v>24628</x:v>
      </x:c>
      <x:c r="T144" s="38" t="n">
        <x:v>4913</x:v>
      </x:c>
      <x:c r="U144" s="38" t="n">
        <x:v>26</x:v>
      </x:c>
      <x:c r="V144" s="38" t="n">
        <x:v>0</x:v>
      </x:c>
      <x:c r="W144" s="38" t="n">
        <x:v>0</x:v>
      </x:c>
      <x:c r="X144" s="44" t="n">
        <x:v>0</x:v>
      </x:c>
      <x:c r="Y144" s="38" t="n">
        <x:v>89</x:v>
      </x:c>
      <x:c r="Z144" s="38" t="n">
        <x:v>19</x:v>
      </x:c>
      <x:c r="AA144" s="38" t="n">
        <x:v>7</x:v>
      </x:c>
      <x:c r="AB144" s="38" t="n">
        <x:v>3</x:v>
      </x:c>
      <x:c r="AC144" s="38" t="n">
        <x:v>3015</x:v>
      </x:c>
      <x:c r="AD144" s="38" t="n">
        <x:v>0</x:v>
      </x:c>
      <x:c r="AE144" s="38" t="n">
        <x:f>IF(B144=1,0,F144-Q143)</x:f>
        <x:v>0</x:v>
      </x:c>
    </x:row>
    <x:row r="145" ht="27" customHeight="1">
      <x:c r="A145" s="28" t="str">
        <x:v>Core F2P</x:v>
      </x:c>
      <x:c r="B145" s="38" t="n">
        <x:v>21</x:v>
      </x:c>
      <x:c r="C145" s="38" t="n">
        <x:v>18</x:v>
      </x:c>
      <x:c r="D145" s="38" t="n">
        <x:v>75020</x:v>
      </x:c>
      <x:c r="E145" s="38" t="n">
        <x:v>50</x:v>
      </x:c>
      <x:c r="F145" s="38" t="n">
        <x:v>121545</x:v>
      </x:c>
      <x:c r="G145" s="38" t="n">
        <x:v>31948</x:v>
      </x:c>
      <x:c r="H145" s="38" t="n">
        <x:v>6836</x:v>
      </x:c>
      <x:c r="I145" s="38" t="n">
        <x:v>6528</x:v>
      </x:c>
      <x:c r="J145" s="38" t="n">
        <x:v>395</x:v>
      </x:c>
      <x:c r="K145" s="38" t="n">
        <x:v>0</x:v>
      </x:c>
      <x:c r="L145" s="38" t="n">
        <x:v>0</x:v>
      </x:c>
      <x:c r="M145" s="38" t="n">
        <x:v>105000</x:v>
      </x:c>
      <x:c r="N145" s="38" t="n">
        <x:v>0</x:v>
      </x:c>
      <x:c r="O145" s="38" t="n">
        <x:v>0</x:v>
      </x:c>
      <x:c r="P145" s="38" t="n">
        <x:f>F145+G145-H145+I145+J145+K145+L145-M145-N145-O145</x:f>
        <x:v>48580</x:v>
      </x:c>
      <x:c r="Q145" s="38" t="n">
        <x:v>48580</x:v>
      </x:c>
      <x:c r="R145" s="38" t="n">
        <x:f>P145-Q145</x:f>
        <x:v>0</x:v>
      </x:c>
      <x:c r="S145" s="38" t="n">
        <x:v>25547</x:v>
      </x:c>
      <x:c r="T145" s="38" t="n">
        <x:v>6979</x:v>
      </x:c>
      <x:c r="U145" s="38" t="n">
        <x:v>31</x:v>
      </x:c>
      <x:c r="V145" s="38" t="n">
        <x:v>5</x:v>
      </x:c>
      <x:c r="W145" s="38" t="n">
        <x:v>0</x:v>
      </x:c>
      <x:c r="X145" s="44" t="n">
        <x:v>0</x:v>
      </x:c>
      <x:c r="Y145" s="38" t="n">
        <x:v>95</x:v>
      </x:c>
      <x:c r="Z145" s="38" t="n">
        <x:v>20</x:v>
      </x:c>
      <x:c r="AA145" s="38" t="n">
        <x:v>7</x:v>
      </x:c>
      <x:c r="AB145" s="38" t="n">
        <x:v>3</x:v>
      </x:c>
      <x:c r="AC145" s="38" t="n">
        <x:v>3450</x:v>
      </x:c>
      <x:c r="AD145" s="38" t="n">
        <x:v>0</x:v>
      </x:c>
      <x:c r="AE145" s="38" t="n">
        <x:f>IF(B145=1,0,F145-Q144)</x:f>
        <x:v>0</x:v>
      </x:c>
    </x:row>
    <x:row r="146" ht="27" customHeight="1">
      <x:c r="A146" s="28" t="str">
        <x:v>Core F2P</x:v>
      </x:c>
      <x:c r="B146" s="38" t="n">
        <x:v>22</x:v>
      </x:c>
      <x:c r="C146" s="38" t="n">
        <x:v>18</x:v>
      </x:c>
      <x:c r="D146" s="38" t="n">
        <x:v>80482</x:v>
      </x:c>
      <x:c r="E146" s="38" t="n">
        <x:v>50</x:v>
      </x:c>
      <x:c r="F146" s="38" t="n">
        <x:v>48580</x:v>
      </x:c>
      <x:c r="G146" s="38" t="n">
        <x:v>34400</x:v>
      </x:c>
      <x:c r="H146" s="38" t="n">
        <x:v>6900</x:v>
      </x:c>
      <x:c r="I146" s="38" t="n">
        <x:v>1589</x:v>
      </x:c>
      <x:c r="J146" s="38" t="n">
        <x:v>0</x:v>
      </x:c>
      <x:c r="K146" s="38" t="n">
        <x:v>0</x:v>
      </x:c>
      <x:c r="L146" s="38" t="n">
        <x:v>0</x:v>
      </x:c>
      <x:c r="M146" s="38" t="n">
        <x:v>0</x:v>
      </x:c>
      <x:c r="N146" s="38" t="n">
        <x:v>305</x:v>
      </x:c>
      <x:c r="O146" s="38" t="n">
        <x:v>0</x:v>
      </x:c>
      <x:c r="P146" s="38" t="n">
        <x:f>F146+G146-H146+I146+J146+K146+L146-M146-N146-O146</x:f>
        <x:v>77364</x:v>
      </x:c>
      <x:c r="Q146" s="38" t="n">
        <x:v>77364</x:v>
      </x:c>
      <x:c r="R146" s="38" t="n">
        <x:f>P146-Q146</x:f>
        <x:v>0</x:v>
      </x:c>
      <x:c r="S146" s="38" t="n">
        <x:v>27500</x:v>
      </x:c>
      <x:c r="T146" s="38" t="n">
        <x:v>5462</x:v>
      </x:c>
      <x:c r="U146" s="38" t="n">
        <x:v>35</x:v>
      </x:c>
      <x:c r="V146" s="38" t="n">
        <x:v>4</x:v>
      </x:c>
      <x:c r="W146" s="38" t="n">
        <x:v>0</x:v>
      </x:c>
      <x:c r="X146" s="44" t="n">
        <x:v>0</x:v>
      </x:c>
      <x:c r="Y146" s="38" t="n">
        <x:v>100</x:v>
      </x:c>
      <x:c r="Z146" s="38" t="n">
        <x:v>20</x:v>
      </x:c>
      <x:c r="AA146" s="38" t="n">
        <x:v>8</x:v>
      </x:c>
      <x:c r="AB146" s="38" t="n">
        <x:v>3</x:v>
      </x:c>
      <x:c r="AC146" s="38" t="n">
        <x:v>3450</x:v>
      </x:c>
      <x:c r="AD146" s="38" t="n">
        <x:v>0</x:v>
      </x:c>
      <x:c r="AE146" s="38" t="n">
        <x:f>IF(B146=1,0,F146-Q145)</x:f>
        <x:v>0</x:v>
      </x:c>
    </x:row>
    <x:row r="147" ht="27" customHeight="1">
      <x:c r="A147" s="28" t="str">
        <x:v>Core F2P</x:v>
      </x:c>
      <x:c r="B147" s="38" t="n">
        <x:v>23</x:v>
      </x:c>
      <x:c r="C147" s="38" t="n">
        <x:v>19</x:v>
      </x:c>
      <x:c r="D147" s="38" t="n">
        <x:v>85944</x:v>
      </x:c>
      <x:c r="E147" s="38" t="n">
        <x:v>50</x:v>
      </x:c>
      <x:c r="F147" s="38" t="n">
        <x:v>77364</x:v>
      </x:c>
      <x:c r="G147" s="38" t="n">
        <x:v>34850</x:v>
      </x:c>
      <x:c r="H147" s="38" t="n">
        <x:v>7100</x:v>
      </x:c>
      <x:c r="I147" s="38" t="n">
        <x:v>1589</x:v>
      </x:c>
      <x:c r="J147" s="38" t="n">
        <x:v>405</x:v>
      </x:c>
      <x:c r="K147" s="38" t="n">
        <x:v>0</x:v>
      </x:c>
      <x:c r="L147" s="38" t="n">
        <x:v>0</x:v>
      </x:c>
      <x:c r="M147" s="38" t="n">
        <x:v>0</x:v>
      </x:c>
      <x:c r="N147" s="38" t="n">
        <x:v>0</x:v>
      </x:c>
      <x:c r="O147" s="38" t="n">
        <x:v>0</x:v>
      </x:c>
      <x:c r="P147" s="38" t="n">
        <x:f>F147+G147-H147+I147+J147+K147+L147-M147-N147-O147</x:f>
        <x:v>107108</x:v>
      </x:c>
      <x:c r="Q147" s="38" t="n">
        <x:v>107108</x:v>
      </x:c>
      <x:c r="R147" s="38" t="n">
        <x:f>P147-Q147</x:f>
        <x:v>0</x:v>
      </x:c>
      <x:c r="S147" s="38" t="n">
        <x:v>27850</x:v>
      </x:c>
      <x:c r="T147" s="38" t="n">
        <x:v>5462</x:v>
      </x:c>
      <x:c r="U147" s="38" t="n">
        <x:v>35</x:v>
      </x:c>
      <x:c r="V147" s="38" t="n">
        <x:v>0</x:v>
      </x:c>
      <x:c r="W147" s="38" t="n">
        <x:v>0</x:v>
      </x:c>
      <x:c r="X147" s="44" t="n">
        <x:v>0</x:v>
      </x:c>
      <x:c r="Y147" s="38" t="n">
        <x:v>100</x:v>
      </x:c>
      <x:c r="Z147" s="38" t="n">
        <x:v>21</x:v>
      </x:c>
      <x:c r="AA147" s="38" t="n">
        <x:v>8</x:v>
      </x:c>
      <x:c r="AB147" s="38" t="n">
        <x:v>3</x:v>
      </x:c>
      <x:c r="AC147" s="38" t="n">
        <x:v>3550</x:v>
      </x:c>
      <x:c r="AD147" s="38" t="n">
        <x:v>0</x:v>
      </x:c>
      <x:c r="AE147" s="38" t="n">
        <x:f>IF(B147=1,0,F147-Q146)</x:f>
        <x:v>0</x:v>
      </x:c>
    </x:row>
    <x:row r="148" ht="27" customHeight="1">
      <x:c r="A148" s="28" t="str">
        <x:v>Core F2P</x:v>
      </x:c>
      <x:c r="B148" s="38" t="n">
        <x:v>24</x:v>
      </x:c>
      <x:c r="C148" s="38" t="n">
        <x:v>19</x:v>
      </x:c>
      <x:c r="D148" s="38" t="n">
        <x:v>91410</x:v>
      </x:c>
      <x:c r="E148" s="38" t="n">
        <x:v>50</x:v>
      </x:c>
      <x:c r="F148" s="38" t="n">
        <x:v>107108</x:v>
      </x:c>
      <x:c r="G148" s="38" t="n">
        <x:v>35300</x:v>
      </x:c>
      <x:c r="H148" s="38" t="n">
        <x:v>7100</x:v>
      </x:c>
      <x:c r="I148" s="38" t="n">
        <x:v>1629</x:v>
      </x:c>
      <x:c r="J148" s="38" t="n">
        <x:v>0</x:v>
      </x:c>
      <x:c r="K148" s="38" t="n">
        <x:v>0</x:v>
      </x:c>
      <x:c r="L148" s="38" t="n">
        <x:v>0</x:v>
      </x:c>
      <x:c r="M148" s="38" t="n">
        <x:v>0</x:v>
      </x:c>
      <x:c r="N148" s="38" t="n">
        <x:v>0</x:v>
      </x:c>
      <x:c r="O148" s="38" t="n">
        <x:v>0</x:v>
      </x:c>
      <x:c r="P148" s="38" t="n">
        <x:f>F148+G148-H148+I148+J148+K148+L148-M148-N148-O148</x:f>
        <x:v>136937</x:v>
      </x:c>
      <x:c r="Q148" s="38" t="n">
        <x:v>136937</x:v>
      </x:c>
      <x:c r="R148" s="38" t="n">
        <x:f>P148-Q148</x:f>
        <x:v>0</x:v>
      </x:c>
      <x:c r="S148" s="38" t="n">
        <x:v>28200</x:v>
      </x:c>
      <x:c r="T148" s="38" t="n">
        <x:v>5466</x:v>
      </x:c>
      <x:c r="U148" s="38" t="n">
        <x:v>35</x:v>
      </x:c>
      <x:c r="V148" s="38" t="n">
        <x:v>0</x:v>
      </x:c>
      <x:c r="W148" s="38" t="n">
        <x:v>0</x:v>
      </x:c>
      <x:c r="X148" s="44" t="n">
        <x:v>0</x:v>
      </x:c>
      <x:c r="Y148" s="38" t="n">
        <x:v>100</x:v>
      </x:c>
      <x:c r="Z148" s="38" t="n">
        <x:v>21</x:v>
      </x:c>
      <x:c r="AA148" s="38" t="n">
        <x:v>8</x:v>
      </x:c>
      <x:c r="AB148" s="38" t="n">
        <x:v>3</x:v>
      </x:c>
      <x:c r="AC148" s="38" t="n">
        <x:v>3550</x:v>
      </x:c>
      <x:c r="AD148" s="38" t="n">
        <x:v>0</x:v>
      </x:c>
      <x:c r="AE148" s="38" t="n">
        <x:f>IF(B148=1,0,F148-Q147)</x:f>
        <x:v>0</x:v>
      </x:c>
    </x:row>
    <x:row r="149" ht="27" customHeight="1">
      <x:c r="A149" s="28" t="str">
        <x:v>Core F2P</x:v>
      </x:c>
      <x:c r="B149" s="38" t="n">
        <x:v>25</x:v>
      </x:c>
      <x:c r="C149" s="38" t="n">
        <x:v>19</x:v>
      </x:c>
      <x:c r="D149" s="38" t="n">
        <x:v>96876</x:v>
      </x:c>
      <x:c r="E149" s="38" t="n">
        <x:v>50</x:v>
      </x:c>
      <x:c r="F149" s="38" t="n">
        <x:v>136937</x:v>
      </x:c>
      <x:c r="G149" s="38" t="n">
        <x:v>35300</x:v>
      </x:c>
      <x:c r="H149" s="38" t="n">
        <x:v>7100</x:v>
      </x:c>
      <x:c r="I149" s="38" t="n">
        <x:v>1629</x:v>
      </x:c>
      <x:c r="J149" s="38" t="n">
        <x:v>0</x:v>
      </x:c>
      <x:c r="K149" s="38" t="n">
        <x:v>0</x:v>
      </x:c>
      <x:c r="L149" s="38" t="n">
        <x:v>0</x:v>
      </x:c>
      <x:c r="M149" s="38" t="n">
        <x:v>0</x:v>
      </x:c>
      <x:c r="N149" s="38" t="n">
        <x:v>320</x:v>
      </x:c>
      <x:c r="O149" s="38" t="n">
        <x:v>0</x:v>
      </x:c>
      <x:c r="P149" s="38" t="n">
        <x:f>F149+G149-H149+I149+J149+K149+L149-M149-N149-O149</x:f>
        <x:v>166446</x:v>
      </x:c>
      <x:c r="Q149" s="38" t="n">
        <x:v>166446</x:v>
      </x:c>
      <x:c r="R149" s="38" t="n">
        <x:f>P149-Q149</x:f>
        <x:v>0</x:v>
      </x:c>
      <x:c r="S149" s="38" t="n">
        <x:v>28200</x:v>
      </x:c>
      <x:c r="T149" s="38" t="n">
        <x:v>5466</x:v>
      </x:c>
      <x:c r="U149" s="38" t="n">
        <x:v>35</x:v>
      </x:c>
      <x:c r="V149" s="38" t="n">
        <x:v>0</x:v>
      </x:c>
      <x:c r="W149" s="38" t="n">
        <x:v>0</x:v>
      </x:c>
      <x:c r="X149" s="44" t="n">
        <x:v>0</x:v>
      </x:c>
      <x:c r="Y149" s="38" t="n">
        <x:v>100</x:v>
      </x:c>
      <x:c r="Z149" s="38" t="n">
        <x:v>21</x:v>
      </x:c>
      <x:c r="AA149" s="38" t="n">
        <x:v>9</x:v>
      </x:c>
      <x:c r="AB149" s="38" t="n">
        <x:v>3</x:v>
      </x:c>
      <x:c r="AC149" s="38" t="n">
        <x:v>3550</x:v>
      </x:c>
      <x:c r="AD149" s="38" t="n">
        <x:v>0</x:v>
      </x:c>
      <x:c r="AE149" s="38" t="n">
        <x:f>IF(B149=1,0,F149-Q148)</x:f>
        <x:v>0</x:v>
      </x:c>
    </x:row>
    <x:row r="150" ht="27" customHeight="1">
      <x:c r="A150" s="28" t="str">
        <x:v>Core F2P</x:v>
      </x:c>
      <x:c r="B150" s="38" t="n">
        <x:v>26</x:v>
      </x:c>
      <x:c r="C150" s="38" t="n">
        <x:v>20</x:v>
      </x:c>
      <x:c r="D150" s="38" t="n">
        <x:v>102342</x:v>
      </x:c>
      <x:c r="E150" s="38" t="n">
        <x:v>50</x:v>
      </x:c>
      <x:c r="F150" s="38" t="n">
        <x:v>166446</x:v>
      </x:c>
      <x:c r="G150" s="38" t="n">
        <x:v>35339</x:v>
      </x:c>
      <x:c r="H150" s="38" t="n">
        <x:v>7195</x:v>
      </x:c>
      <x:c r="I150" s="38" t="n">
        <x:v>1629</x:v>
      </x:c>
      <x:c r="J150" s="38" t="n">
        <x:v>415</x:v>
      </x:c>
      <x:c r="K150" s="38" t="n">
        <x:v>0</x:v>
      </x:c>
      <x:c r="L150" s="38" t="n">
        <x:v>0</x:v>
      </x:c>
      <x:c r="M150" s="38" t="n">
        <x:v>0</x:v>
      </x:c>
      <x:c r="N150" s="38" t="n">
        <x:v>0</x:v>
      </x:c>
      <x:c r="O150" s="38" t="n">
        <x:v>41740</x:v>
      </x:c>
      <x:c r="P150" s="38" t="n">
        <x:f>F150+G150-H150+I150+J150+K150+L150-M150-N150-O150</x:f>
        <x:v>154894</x:v>
      </x:c>
      <x:c r="Q150" s="38" t="n">
        <x:v>154894</x:v>
      </x:c>
      <x:c r="R150" s="38" t="n">
        <x:f>P150-Q150</x:f>
        <x:v>0</x:v>
      </x:c>
      <x:c r="S150" s="38" t="n">
        <x:v>28261</x:v>
      </x:c>
      <x:c r="T150" s="38" t="n">
        <x:v>5466</x:v>
      </x:c>
      <x:c r="U150" s="38" t="n">
        <x:v>38</x:v>
      </x:c>
      <x:c r="V150" s="38" t="n">
        <x:v>3</x:v>
      </x:c>
      <x:c r="W150" s="38" t="n">
        <x:v>0</x:v>
      </x:c>
      <x:c r="X150" s="44" t="n">
        <x:v>0</x:v>
      </x:c>
      <x:c r="Y150" s="38" t="n">
        <x:v>99</x:v>
      </x:c>
      <x:c r="Z150" s="38" t="n">
        <x:v>21</x:v>
      </x:c>
      <x:c r="AA150" s="38" t="n">
        <x:v>9</x:v>
      </x:c>
      <x:c r="AB150" s="38" t="n">
        <x:v>4</x:v>
      </x:c>
      <x:c r="AC150" s="38" t="n">
        <x:v>3667</x:v>
      </x:c>
      <x:c r="AD150" s="38" t="n">
        <x:v>0</x:v>
      </x:c>
      <x:c r="AE150" s="38" t="n">
        <x:f>IF(B150=1,0,F150-Q149)</x:f>
        <x:v>0</x:v>
      </x:c>
    </x:row>
    <x:row r="151" ht="27" customHeight="1">
      <x:c r="A151" s="28" t="str">
        <x:v>Core F2P</x:v>
      </x:c>
      <x:c r="B151" s="38" t="n">
        <x:v>27</x:v>
      </x:c>
      <x:c r="C151" s="38" t="n">
        <x:v>20</x:v>
      </x:c>
      <x:c r="D151" s="38" t="n">
        <x:v>107958</x:v>
      </x:c>
      <x:c r="E151" s="38" t="n">
        <x:v>50</x:v>
      </x:c>
      <x:c r="F151" s="38" t="n">
        <x:v>154894</x:v>
      </x:c>
      <x:c r="G151" s="38" t="n">
        <x:v>36435</x:v>
      </x:c>
      <x:c r="H151" s="38" t="n">
        <x:v>7200</x:v>
      </x:c>
      <x:c r="I151" s="38" t="n">
        <x:v>1670</x:v>
      </x:c>
      <x:c r="J151" s="38" t="n">
        <x:v>0</x:v>
      </x:c>
      <x:c r="K151" s="38" t="n">
        <x:v>0</x:v>
      </x:c>
      <x:c r="L151" s="38" t="n">
        <x:v>0</x:v>
      </x:c>
      <x:c r="M151" s="38" t="n">
        <x:v>0</x:v>
      </x:c>
      <x:c r="N151" s="38" t="n">
        <x:v>0</x:v>
      </x:c>
      <x:c r="O151" s="38" t="n">
        <x:v>0</x:v>
      </x:c>
      <x:c r="P151" s="38" t="n">
        <x:f>F151+G151-H151+I151+J151+K151+L151-M151-N151-O151</x:f>
        <x:v>185799</x:v>
      </x:c>
      <x:c r="Q151" s="38" t="n">
        <x:v>185799</x:v>
      </x:c>
      <x:c r="R151" s="38" t="n">
        <x:f>P151-Q151</x:f>
        <x:v>0</x:v>
      </x:c>
      <x:c r="S151" s="38" t="n">
        <x:v>29168</x:v>
      </x:c>
      <x:c r="T151" s="38" t="n">
        <x:v>5616</x:v>
      </x:c>
      <x:c r="U151" s="38" t="n">
        <x:v>38</x:v>
      </x:c>
      <x:c r="V151" s="38" t="n">
        <x:v>0</x:v>
      </x:c>
      <x:c r="W151" s="38" t="n">
        <x:v>0</x:v>
      </x:c>
      <x:c r="X151" s="44" t="n">
        <x:v>0</x:v>
      </x:c>
      <x:c r="Y151" s="38" t="n">
        <x:v>100</x:v>
      </x:c>
      <x:c r="Z151" s="38" t="n">
        <x:v>22</x:v>
      </x:c>
      <x:c r="AA151" s="38" t="n">
        <x:v>9</x:v>
      </x:c>
      <x:c r="AB151" s="38" t="n">
        <x:v>4</x:v>
      </x:c>
      <x:c r="AC151" s="38" t="n">
        <x:v>3600</x:v>
      </x:c>
      <x:c r="AD151" s="38" t="n">
        <x:v>0</x:v>
      </x:c>
      <x:c r="AE151" s="38" t="n">
        <x:f>IF(B151=1,0,F151-Q150)</x:f>
        <x:v>0</x:v>
      </x:c>
    </x:row>
    <x:row r="152" ht="27" customHeight="1">
      <x:c r="A152" s="28" t="str">
        <x:v>Core F2P</x:v>
      </x:c>
      <x:c r="B152" s="38" t="n">
        <x:v>28</x:v>
      </x:c>
      <x:c r="C152" s="38" t="n">
        <x:v>21</x:v>
      </x:c>
      <x:c r="D152" s="38" t="n">
        <x:v>116587</x:v>
      </x:c>
      <x:c r="E152" s="38" t="n">
        <x:v>55</x:v>
      </x:c>
      <x:c r="F152" s="38" t="n">
        <x:v>185799</x:v>
      </x:c>
      <x:c r="G152" s="38" t="n">
        <x:v>38400</x:v>
      </x:c>
      <x:c r="H152" s="38" t="n">
        <x:v>8140</x:v>
      </x:c>
      <x:c r="I152" s="38" t="n">
        <x:v>9613</x:v>
      </x:c>
      <x:c r="J152" s="38" t="n">
        <x:v>470</x:v>
      </x:c>
      <x:c r="K152" s="38" t="n">
        <x:v>0</x:v>
      </x:c>
      <x:c r="L152" s="38" t="n">
        <x:v>0</x:v>
      </x:c>
      <x:c r="M152" s="38" t="n">
        <x:v>200000</x:v>
      </x:c>
      <x:c r="N152" s="38" t="n">
        <x:v>320</x:v>
      </x:c>
      <x:c r="O152" s="38" t="n">
        <x:v>0</x:v>
      </x:c>
      <x:c r="P152" s="38" t="n">
        <x:f>F152+G152-H152+I152+J152+K152+L152-M152-N152-O152</x:f>
        <x:v>25822</x:v>
      </x:c>
      <x:c r="Q152" s="38" t="n">
        <x:v>25822</x:v>
      </x:c>
      <x:c r="R152" s="38" t="n">
        <x:f>P152-Q152</x:f>
        <x:v>0</x:v>
      </x:c>
      <x:c r="S152" s="38" t="n">
        <x:v>30730</x:v>
      </x:c>
      <x:c r="T152" s="38" t="n">
        <x:v>8629</x:v>
      </x:c>
      <x:c r="U152" s="38" t="n">
        <x:v>40</x:v>
      </x:c>
      <x:c r="V152" s="38" t="n">
        <x:v>2</x:v>
      </x:c>
      <x:c r="W152" s="38" t="n">
        <x:v>0</x:v>
      </x:c>
      <x:c r="X152" s="44" t="n">
        <x:v>0</x:v>
      </x:c>
      <x:c r="Y152" s="38" t="n">
        <x:v>105</x:v>
      </x:c>
      <x:c r="Z152" s="38" t="n">
        <x:v>22</x:v>
      </x:c>
      <x:c r="AA152" s="38" t="n">
        <x:v>10</x:v>
      </x:c>
      <x:c r="AB152" s="38" t="n">
        <x:v>4</x:v>
      </x:c>
      <x:c r="AC152" s="38" t="n">
        <x:v>4070</x:v>
      </x:c>
      <x:c r="AD152" s="38" t="n">
        <x:v>0</x:v>
      </x:c>
      <x:c r="AE152" s="38" t="n">
        <x:f>IF(B152=1,0,F152-Q151)</x:f>
        <x:v>0</x:v>
      </x:c>
    </x:row>
    <x:row r="153" ht="27" customHeight="1">
      <x:c r="A153" s="28" t="str">
        <x:v>Core F2P</x:v>
      </x:c>
      <x:c r="B153" s="38" t="n">
        <x:v>29</x:v>
      </x:c>
      <x:c r="C153" s="38" t="n">
        <x:v>21</x:v>
      </x:c>
      <x:c r="D153" s="38" t="n">
        <x:v>122721</x:v>
      </x:c>
      <x:c r="E153" s="38" t="n">
        <x:v>55</x:v>
      </x:c>
      <x:c r="F153" s="38" t="n">
        <x:v>25822</x:v>
      </x:c>
      <x:c r="G153" s="38" t="n">
        <x:v>40700</x:v>
      </x:c>
      <x:c r="H153" s="38" t="n">
        <x:v>8140</x:v>
      </x:c>
      <x:c r="I153" s="38" t="n">
        <x:v>1881</x:v>
      </x:c>
      <x:c r="J153" s="38" t="n">
        <x:v>0</x:v>
      </x:c>
      <x:c r="K153" s="38" t="n">
        <x:v>0</x:v>
      </x:c>
      <x:c r="L153" s="38" t="n">
        <x:v>0</x:v>
      </x:c>
      <x:c r="M153" s="38" t="n">
        <x:v>0</x:v>
      </x:c>
      <x:c r="N153" s="38" t="n">
        <x:v>0</x:v>
      </x:c>
      <x:c r="O153" s="38" t="n">
        <x:v>0</x:v>
      </x:c>
      <x:c r="P153" s="38" t="n">
        <x:f>F153+G153-H153+I153+J153+K153+L153-M153-N153-O153</x:f>
        <x:v>60263</x:v>
      </x:c>
      <x:c r="Q153" s="38" t="n">
        <x:v>60263</x:v>
      </x:c>
      <x:c r="R153" s="38" t="n">
        <x:f>P153-Q153</x:f>
        <x:v>0</x:v>
      </x:c>
      <x:c r="S153" s="38" t="n">
        <x:v>32560</x:v>
      </x:c>
      <x:c r="T153" s="38" t="n">
        <x:v>6134</x:v>
      </x:c>
      <x:c r="U153" s="38" t="n">
        <x:v>40</x:v>
      </x:c>
      <x:c r="V153" s="38" t="n">
        <x:v>0</x:v>
      </x:c>
      <x:c r="W153" s="38" t="n">
        <x:v>0</x:v>
      </x:c>
      <x:c r="X153" s="44" t="n">
        <x:v>0</x:v>
      </x:c>
      <x:c r="Y153" s="38" t="n">
        <x:v>110</x:v>
      </x:c>
      <x:c r="Z153" s="38" t="n">
        <x:v>22</x:v>
      </x:c>
      <x:c r="AA153" s="38" t="n">
        <x:v>10</x:v>
      </x:c>
      <x:c r="AB153" s="38" t="n">
        <x:v>4</x:v>
      </x:c>
      <x:c r="AC153" s="38" t="n">
        <x:v>4070</x:v>
      </x:c>
      <x:c r="AD153" s="38" t="n">
        <x:v>0</x:v>
      </x:c>
      <x:c r="AE153" s="38" t="n">
        <x:f>IF(B153=1,0,F153-Q152)</x:f>
        <x:v>0</x:v>
      </x:c>
    </x:row>
    <x:row r="154" ht="27" customHeight="1">
      <x:c r="A154" s="28" t="str">
        <x:v>Core F2P</x:v>
      </x:c>
      <x:c r="B154" s="38" t="n">
        <x:v>30</x:v>
      </x:c>
      <x:c r="C154" s="38" t="n">
        <x:v>22</x:v>
      </x:c>
      <x:c r="D154" s="38" t="n">
        <x:v>128805</x:v>
      </x:c>
      <x:c r="E154" s="38" t="n">
        <x:v>55</x:v>
      </x:c>
      <x:c r="F154" s="38" t="n">
        <x:v>60263</x:v>
      </x:c>
      <x:c r="G154" s="38" t="n">
        <x:v>40816</x:v>
      </x:c>
      <x:c r="H154" s="38" t="n">
        <x:v>8369</x:v>
      </x:c>
      <x:c r="I154" s="38" t="n">
        <x:v>1881</x:v>
      </x:c>
      <x:c r="J154" s="38" t="n">
        <x:v>480</x:v>
      </x:c>
      <x:c r="K154" s="38" t="n">
        <x:v>0</x:v>
      </x:c>
      <x:c r="L154" s="38" t="n">
        <x:v>0</x:v>
      </x:c>
      <x:c r="M154" s="38" t="n">
        <x:v>0</x:v>
      </x:c>
      <x:c r="N154" s="38" t="n">
        <x:v>0</x:v>
      </x:c>
      <x:c r="O154" s="38" t="n">
        <x:v>0</x:v>
      </x:c>
      <x:c r="P154" s="38" t="n">
        <x:f>F154+G154-H154+I154+J154+K154+L154-M154-N154-O154</x:f>
        <x:v>95071</x:v>
      </x:c>
      <x:c r="Q154" s="38" t="n">
        <x:v>95071</x:v>
      </x:c>
      <x:c r="R154" s="38" t="n">
        <x:f>P154-Q154</x:f>
        <x:v>0</x:v>
      </x:c>
      <x:c r="S154" s="38" t="n">
        <x:v>32642</x:v>
      </x:c>
      <x:c r="T154" s="38" t="n">
        <x:v>6084</x:v>
      </x:c>
      <x:c r="U154" s="38" t="n">
        <x:v>41</x:v>
      </x:c>
      <x:c r="V154" s="38" t="n">
        <x:v>1</x:v>
      </x:c>
      <x:c r="W154" s="38" t="n">
        <x:v>0</x:v>
      </x:c>
      <x:c r="X154" s="44" t="n">
        <x:v>0</x:v>
      </x:c>
      <x:c r="Y154" s="38" t="n">
        <x:v>109</x:v>
      </x:c>
      <x:c r="Z154" s="38" t="n">
        <x:v>22</x:v>
      </x:c>
      <x:c r="AA154" s="38" t="n">
        <x:v>10</x:v>
      </x:c>
      <x:c r="AB154" s="38" t="n">
        <x:v>4</x:v>
      </x:c>
      <x:c r="AC154" s="38" t="n">
        <x:v>4265</x:v>
      </x:c>
      <x:c r="AD154" s="38" t="n">
        <x:v>0</x:v>
      </x:c>
      <x:c r="AE154" s="38" t="n">
        <x:f>IF(B154=1,0,F154-Q153)</x:f>
        <x:v>0</x:v>
      </x:c>
    </x:row>
    <x:row r="155" ht="27" customHeight="1">
      <x:c r="A155" s="28" t="str">
        <x:v>Core F2P</x:v>
      </x:c>
      <x:c r="B155" s="38" t="n">
        <x:v>31</x:v>
      </x:c>
      <x:c r="C155" s="38" t="n">
        <x:v>22</x:v>
      </x:c>
      <x:c r="D155" s="38" t="n">
        <x:v>134981</x:v>
      </x:c>
      <x:c r="E155" s="38" t="n">
        <x:v>55</x:v>
      </x:c>
      <x:c r="F155" s="38" t="n">
        <x:v>95071</x:v>
      </x:c>
      <x:c r="G155" s="38" t="n">
        <x:v>42114</x:v>
      </x:c>
      <x:c r="H155" s="38" t="n">
        <x:v>8360</x:v>
      </x:c>
      <x:c r="I155" s="38" t="n">
        <x:v>1926</x:v>
      </x:c>
      <x:c r="J155" s="38" t="n">
        <x:v>0</x:v>
      </x:c>
      <x:c r="K155" s="38" t="n">
        <x:v>0</x:v>
      </x:c>
      <x:c r="L155" s="38" t="n">
        <x:v>0</x:v>
      </x:c>
      <x:c r="M155" s="38" t="n">
        <x:v>0</x:v>
      </x:c>
      <x:c r="N155" s="38" t="n">
        <x:v>330</x:v>
      </x:c>
      <x:c r="O155" s="38" t="n">
        <x:v>0</x:v>
      </x:c>
      <x:c r="P155" s="38" t="n">
        <x:f>F155+G155-H155+I155+J155+K155+L155-M155-N155-O155</x:f>
        <x:v>130421</x:v>
      </x:c>
      <x:c r="Q155" s="38" t="n">
        <x:v>130421</x:v>
      </x:c>
      <x:c r="R155" s="38" t="n">
        <x:f>P155-Q155</x:f>
        <x:v>0</x:v>
      </x:c>
      <x:c r="S155" s="38" t="n">
        <x:v>33669</x:v>
      </x:c>
      <x:c r="T155" s="38" t="n">
        <x:v>6176</x:v>
      </x:c>
      <x:c r="U155" s="38" t="n">
        <x:v>41</x:v>
      </x:c>
      <x:c r="V155" s="38" t="n">
        <x:v>0</x:v>
      </x:c>
      <x:c r="W155" s="38" t="n">
        <x:v>0</x:v>
      </x:c>
      <x:c r="X155" s="44" t="n">
        <x:v>0</x:v>
      </x:c>
      <x:c r="Y155" s="38" t="n">
        <x:v>110</x:v>
      </x:c>
      <x:c r="Z155" s="38" t="n">
        <x:v>23</x:v>
      </x:c>
      <x:c r="AA155" s="38" t="n">
        <x:v>11</x:v>
      </x:c>
      <x:c r="AB155" s="38" t="n">
        <x:v>4</x:v>
      </x:c>
      <x:c r="AC155" s="38" t="n">
        <x:v>4180</x:v>
      </x:c>
      <x:c r="AD155" s="38" t="n">
        <x:v>0</x:v>
      </x:c>
      <x:c r="AE155" s="38" t="n">
        <x:f>IF(B155=1,0,F155-Q154)</x:f>
        <x:v>0</x:v>
      </x:c>
    </x:row>
    <x:row r="156" ht="27" customHeight="1">
      <x:c r="A156" s="28" t="str">
        <x:v>Core F2P</x:v>
      </x:c>
      <x:c r="B156" s="38" t="n">
        <x:v>32</x:v>
      </x:c>
      <x:c r="C156" s="38" t="n">
        <x:v>23</x:v>
      </x:c>
      <x:c r="D156" s="38" t="n">
        <x:v>141120</x:v>
      </x:c>
      <x:c r="E156" s="38" t="n">
        <x:v>55</x:v>
      </x:c>
      <x:c r="F156" s="38" t="n">
        <x:v>130421</x:v>
      </x:c>
      <x:c r="G156" s="38" t="n">
        <x:v>41690</x:v>
      </x:c>
      <x:c r="H156" s="38" t="n">
        <x:v>8541</x:v>
      </x:c>
      <x:c r="I156" s="38" t="n">
        <x:v>1926</x:v>
      </x:c>
      <x:c r="J156" s="38" t="n">
        <x:v>495</x:v>
      </x:c>
      <x:c r="K156" s="38" t="n">
        <x:v>0</x:v>
      </x:c>
      <x:c r="L156" s="38" t="n">
        <x:v>0</x:v>
      </x:c>
      <x:c r="M156" s="38" t="n">
        <x:v>0</x:v>
      </x:c>
      <x:c r="N156" s="38" t="n">
        <x:v>0</x:v>
      </x:c>
      <x:c r="O156" s="38" t="n">
        <x:v>0</x:v>
      </x:c>
      <x:c r="P156" s="38" t="n">
        <x:f>F156+G156-H156+I156+J156+K156+L156-M156-N156-O156</x:f>
        <x:v>165991</x:v>
      </x:c>
      <x:c r="Q156" s="38" t="n">
        <x:v>165991</x:v>
      </x:c>
      <x:c r="R156" s="38" t="n">
        <x:f>P156-Q156</x:f>
        <x:v>0</x:v>
      </x:c>
      <x:c r="S156" s="38" t="n">
        <x:v>33330</x:v>
      </x:c>
      <x:c r="T156" s="38" t="n">
        <x:v>6139</x:v>
      </x:c>
      <x:c r="U156" s="38" t="n">
        <x:v>41</x:v>
      </x:c>
      <x:c r="V156" s="38" t="n">
        <x:v>0</x:v>
      </x:c>
      <x:c r="W156" s="38" t="n">
        <x:v>0</x:v>
      </x:c>
      <x:c r="X156" s="44" t="n">
        <x:v>0</x:v>
      </x:c>
      <x:c r="Y156" s="38" t="n">
        <x:v>110</x:v>
      </x:c>
      <x:c r="Z156" s="38" t="n">
        <x:v>23</x:v>
      </x:c>
      <x:c r="AA156" s="38" t="n">
        <x:v>11</x:v>
      </x:c>
      <x:c r="AB156" s="38" t="n">
        <x:v>4</x:v>
      </x:c>
      <x:c r="AC156" s="38" t="n">
        <x:v>4361</x:v>
      </x:c>
      <x:c r="AD156" s="38" t="n">
        <x:v>0</x:v>
      </x:c>
      <x:c r="AE156" s="38" t="n">
        <x:f>IF(B156=1,0,F156-Q155)</x:f>
        <x:v>0</x:v>
      </x:c>
    </x:row>
    <x:row r="157" ht="27" customHeight="1">
      <x:c r="A157" s="28" t="str">
        <x:v>Core F2P</x:v>
      </x:c>
      <x:c r="B157" s="38" t="n">
        <x:v>33</x:v>
      </x:c>
      <x:c r="C157" s="38" t="n">
        <x:v>23</x:v>
      </x:c>
      <x:c r="D157" s="38" t="n">
        <x:v>147370</x:v>
      </x:c>
      <x:c r="E157" s="38" t="n">
        <x:v>55</x:v>
      </x:c>
      <x:c r="F157" s="38" t="n">
        <x:v>165991</x:v>
      </x:c>
      <x:c r="G157" s="38" t="n">
        <x:v>42650</x:v>
      </x:c>
      <x:c r="H157" s="38" t="n">
        <x:v>8502</x:v>
      </x:c>
      <x:c r="I157" s="38" t="n">
        <x:v>1970</x:v>
      </x:c>
      <x:c r="J157" s="38" t="n">
        <x:v>0</x:v>
      </x:c>
      <x:c r="K157" s="38" t="n">
        <x:v>0</x:v>
      </x:c>
      <x:c r="L157" s="38" t="n">
        <x:v>0</x:v>
      </x:c>
      <x:c r="M157" s="38" t="n">
        <x:v>0</x:v>
      </x:c>
      <x:c r="N157" s="38" t="n">
        <x:v>0</x:v>
      </x:c>
      <x:c r="O157" s="38" t="n">
        <x:v>0</x:v>
      </x:c>
      <x:c r="P157" s="38" t="n">
        <x:f>F157+G157-H157+I157+J157+K157+L157-M157-N157-O157</x:f>
        <x:v>202109</x:v>
      </x:c>
      <x:c r="Q157" s="38" t="n">
        <x:v>202109</x:v>
      </x:c>
      <x:c r="R157" s="38" t="n">
        <x:f>P157-Q157</x:f>
        <x:v>0</x:v>
      </x:c>
      <x:c r="S157" s="38" t="n">
        <x:v>34077</x:v>
      </x:c>
      <x:c r="T157" s="38" t="n">
        <x:v>6250</x:v>
      </x:c>
      <x:c r="U157" s="38" t="n">
        <x:v>41</x:v>
      </x:c>
      <x:c r="V157" s="38" t="n">
        <x:v>0</x:v>
      </x:c>
      <x:c r="W157" s="38" t="n">
        <x:v>0</x:v>
      </x:c>
      <x:c r="X157" s="44" t="n">
        <x:v>0</x:v>
      </x:c>
      <x:c r="Y157" s="38" t="n">
        <x:v>109</x:v>
      </x:c>
      <x:c r="Z157" s="38" t="n">
        <x:v>24</x:v>
      </x:c>
      <x:c r="AA157" s="38" t="n">
        <x:v>11</x:v>
      </x:c>
      <x:c r="AB157" s="38" t="n">
        <x:v>4</x:v>
      </x:c>
      <x:c r="AC157" s="38" t="n">
        <x:v>4290</x:v>
      </x:c>
      <x:c r="AD157" s="38" t="n">
        <x:v>0</x:v>
      </x:c>
      <x:c r="AE157" s="38" t="n">
        <x:f>IF(B157=1,0,F157-Q156)</x:f>
        <x:v>0</x:v>
      </x:c>
    </x:row>
    <x:row r="158" ht="27" customHeight="1">
      <x:c r="A158" s="28" t="str">
        <x:v>Core F2P</x:v>
      </x:c>
      <x:c r="B158" s="38" t="n">
        <x:v>34</x:v>
      </x:c>
      <x:c r="C158" s="38" t="n">
        <x:v>23</x:v>
      </x:c>
      <x:c r="D158" s="38" t="n">
        <x:v>153624</x:v>
      </x:c>
      <x:c r="E158" s="38" t="n">
        <x:v>55</x:v>
      </x:c>
      <x:c r="F158" s="38" t="n">
        <x:v>202109</x:v>
      </x:c>
      <x:c r="G158" s="38" t="n">
        <x:v>42680</x:v>
      </x:c>
      <x:c r="H158" s="38" t="n">
        <x:v>8580</x:v>
      </x:c>
      <x:c r="I158" s="38" t="n">
        <x:v>1970</x:v>
      </x:c>
      <x:c r="J158" s="38" t="n">
        <x:v>0</x:v>
      </x:c>
      <x:c r="K158" s="38" t="n">
        <x:v>0</x:v>
      </x:c>
      <x:c r="L158" s="38" t="n">
        <x:v>0</x:v>
      </x:c>
      <x:c r="M158" s="38" t="n">
        <x:v>0</x:v>
      </x:c>
      <x:c r="N158" s="38" t="n">
        <x:v>330</x:v>
      </x:c>
      <x:c r="O158" s="38" t="n">
        <x:v>0</x:v>
      </x:c>
      <x:c r="P158" s="38" t="n">
        <x:f>F158+G158-H158+I158+J158+K158+L158-M158-N158-O158</x:f>
        <x:v>237849</x:v>
      </x:c>
      <x:c r="Q158" s="38" t="n">
        <x:v>237849</x:v>
      </x:c>
      <x:c r="R158" s="38" t="n">
        <x:f>P158-Q158</x:f>
        <x:v>0</x:v>
      </x:c>
      <x:c r="S158" s="38" t="n">
        <x:v>34100</x:v>
      </x:c>
      <x:c r="T158" s="38" t="n">
        <x:v>6254</x:v>
      </x:c>
      <x:c r="U158" s="38" t="n">
        <x:v>41</x:v>
      </x:c>
      <x:c r="V158" s="38" t="n">
        <x:v>0</x:v>
      </x:c>
      <x:c r="W158" s="38" t="n">
        <x:v>0</x:v>
      </x:c>
      <x:c r="X158" s="44" t="n">
        <x:v>0</x:v>
      </x:c>
      <x:c r="Y158" s="38" t="n">
        <x:v>110</x:v>
      </x:c>
      <x:c r="Z158" s="38" t="n">
        <x:v>24</x:v>
      </x:c>
      <x:c r="AA158" s="38" t="n">
        <x:v>12</x:v>
      </x:c>
      <x:c r="AB158" s="38" t="n">
        <x:v>4</x:v>
      </x:c>
      <x:c r="AC158" s="38" t="n">
        <x:v>4290</x:v>
      </x:c>
      <x:c r="AD158" s="38" t="n">
        <x:v>0</x:v>
      </x:c>
      <x:c r="AE158" s="38" t="n">
        <x:f>IF(B158=1,0,F158-Q157)</x:f>
        <x:v>0</x:v>
      </x:c>
    </x:row>
    <x:row r="159" ht="27" customHeight="1">
      <x:c r="A159" s="28" t="str">
        <x:v>Core F2P</x:v>
      </x:c>
      <x:c r="B159" s="38" t="n">
        <x:v>35</x:v>
      </x:c>
      <x:c r="C159" s="38" t="n">
        <x:v>24</x:v>
      </x:c>
      <x:c r="D159" s="38" t="n">
        <x:v>162995</x:v>
      </x:c>
      <x:c r="E159" s="38" t="n">
        <x:v>55</x:v>
      </x:c>
      <x:c r="F159" s="38" t="n">
        <x:v>237849</x:v>
      </x:c>
      <x:c r="G159" s="38" t="n">
        <x:v>42724</x:v>
      </x:c>
      <x:c r="H159" s="38" t="n">
        <x:v>8841</x:v>
      </x:c>
      <x:c r="I159" s="38" t="n">
        <x:v>11375</x:v>
      </x:c>
      <x:c r="J159" s="38" t="n">
        <x:v>505</x:v>
      </x:c>
      <x:c r="K159" s="38" t="n">
        <x:v>0</x:v>
      </x:c>
      <x:c r="L159" s="38" t="n">
        <x:v>0</x:v>
      </x:c>
      <x:c r="M159" s="38" t="n">
        <x:v>0</x:v>
      </x:c>
      <x:c r="N159" s="38" t="n">
        <x:v>0</x:v>
      </x:c>
      <x:c r="O159" s="38" t="n">
        <x:v>0</x:v>
      </x:c>
      <x:c r="P159" s="38" t="n">
        <x:f>F159+G159-H159+I159+J159+K159+L159-M159-N159-O159</x:f>
        <x:v>283612</x:v>
      </x:c>
      <x:c r="Q159" s="38" t="n">
        <x:v>283612</x:v>
      </x:c>
      <x:c r="R159" s="38" t="n">
        <x:f>P159-Q159</x:f>
        <x:v>0</x:v>
      </x:c>
      <x:c r="S159" s="38" t="n">
        <x:v>34168</x:v>
      </x:c>
      <x:c r="T159" s="38" t="n">
        <x:v>9371</x:v>
      </x:c>
      <x:c r="U159" s="38" t="n">
        <x:v>44</x:v>
      </x:c>
      <x:c r="V159" s="38" t="n">
        <x:v>3</x:v>
      </x:c>
      <x:c r="W159" s="38" t="n">
        <x:v>0</x:v>
      </x:c>
      <x:c r="X159" s="44" t="n">
        <x:v>0</x:v>
      </x:c>
      <x:c r="Y159" s="38" t="n">
        <x:v>109</x:v>
      </x:c>
      <x:c r="Z159" s="38" t="n">
        <x:v>24</x:v>
      </x:c>
      <x:c r="AA159" s="38" t="n">
        <x:v>12</x:v>
      </x:c>
      <x:c r="AB159" s="38" t="n">
        <x:v>4</x:v>
      </x:c>
      <x:c r="AC159" s="38" t="n">
        <x:v>4575</x:v>
      </x:c>
      <x:c r="AD159" s="38" t="n">
        <x:v>0</x:v>
      </x:c>
      <x:c r="AE159" s="38" t="n">
        <x:f>IF(B159=1,0,F159-Q158)</x:f>
        <x:v>0</x:v>
      </x:c>
    </x:row>
    <x:row r="160" ht="27" customHeight="1">
      <x:c r="A160" s="28" t="str">
        <x:v>Core F2P</x:v>
      </x:c>
      <x:c r="B160" s="38" t="n">
        <x:v>36</x:v>
      </x:c>
      <x:c r="C160" s="38" t="n">
        <x:v>24</x:v>
      </x:c>
      <x:c r="D160" s="38" t="n">
        <x:v>169152</x:v>
      </x:c>
      <x:c r="E160" s="38" t="n">
        <x:v>55</x:v>
      </x:c>
      <x:c r="F160" s="38" t="n">
        <x:v>283612</x:v>
      </x:c>
      <x:c r="G160" s="38" t="n">
        <x:v>42768</x:v>
      </x:c>
      <x:c r="H160" s="38" t="n">
        <x:v>8532</x:v>
      </x:c>
      <x:c r="I160" s="38" t="n">
        <x:v>2015</x:v>
      </x:c>
      <x:c r="J160" s="38" t="n">
        <x:v>0</x:v>
      </x:c>
      <x:c r="K160" s="38" t="n">
        <x:v>0</x:v>
      </x:c>
      <x:c r="L160" s="38" t="n">
        <x:v>0</x:v>
      </x:c>
      <x:c r="M160" s="38" t="n">
        <x:v>0</x:v>
      </x:c>
      <x:c r="N160" s="38" t="n">
        <x:v>0</x:v>
      </x:c>
      <x:c r="O160" s="38" t="n">
        <x:v>0</x:v>
      </x:c>
      <x:c r="P160" s="38" t="n">
        <x:f>F160+G160-H160+I160+J160+K160+L160-M160-N160-O160</x:f>
        <x:v>319863</x:v>
      </x:c>
      <x:c r="Q160" s="38" t="n">
        <x:v>319863</x:v>
      </x:c>
      <x:c r="R160" s="38" t="n">
        <x:f>P160-Q160</x:f>
        <x:v>0</x:v>
      </x:c>
      <x:c r="S160" s="38" t="n">
        <x:v>34236</x:v>
      </x:c>
      <x:c r="T160" s="38" t="n">
        <x:v>6157</x:v>
      </x:c>
      <x:c r="U160" s="38" t="n">
        <x:v>44</x:v>
      </x:c>
      <x:c r="V160" s="38" t="n">
        <x:v>0</x:v>
      </x:c>
      <x:c r="W160" s="38" t="n">
        <x:v>0</x:v>
      </x:c>
      <x:c r="X160" s="44" t="n">
        <x:v>0</x:v>
      </x:c>
      <x:c r="Y160" s="38" t="n">
        <x:v>108</x:v>
      </x:c>
      <x:c r="Z160" s="38" t="n">
        <x:v>24</x:v>
      </x:c>
      <x:c r="AA160" s="38" t="n">
        <x:v>12</x:v>
      </x:c>
      <x:c r="AB160" s="38" t="n">
        <x:v>4</x:v>
      </x:c>
      <x:c r="AC160" s="38" t="n">
        <x:v>4575</x:v>
      </x:c>
      <x:c r="AD160" s="38" t="n">
        <x:v>0</x:v>
      </x:c>
      <x:c r="AE160" s="38" t="n">
        <x:f>IF(B160=1,0,F160-Q159)</x:f>
        <x:v>0</x:v>
      </x:c>
    </x:row>
    <x:row r="161" ht="27" customHeight="1">
      <x:c r="A161" s="28" t="str">
        <x:v>Core F2P</x:v>
      </x:c>
      <x:c r="B161" s="38" t="n">
        <x:v>37</x:v>
      </x:c>
      <x:c r="C161" s="38" t="n">
        <x:v>25</x:v>
      </x:c>
      <x:c r="D161" s="38" t="n">
        <x:v>175559</x:v>
      </x:c>
      <x:c r="E161" s="38" t="n">
        <x:v>65</x:v>
      </x:c>
      <x:c r="F161" s="38" t="n">
        <x:v>319863</x:v>
      </x:c>
      <x:c r="G161" s="38" t="n">
        <x:v>44709</x:v>
      </x:c>
      <x:c r="H161" s="38" t="n">
        <x:v>9549</x:v>
      </x:c>
      <x:c r="I161" s="38" t="n">
        <x:v>2015</x:v>
      </x:c>
      <x:c r="J161" s="38" t="n">
        <x:v>610</x:v>
      </x:c>
      <x:c r="K161" s="38" t="n">
        <x:v>0</x:v>
      </x:c>
      <x:c r="L161" s="38" t="n">
        <x:v>0</x:v>
      </x:c>
      <x:c r="M161" s="38" t="n">
        <x:v>300000</x:v>
      </x:c>
      <x:c r="N161" s="38" t="n">
        <x:v>570</x:v>
      </x:c>
      <x:c r="O161" s="38" t="n">
        <x:v>11252</x:v>
      </x:c>
      <x:c r="P161" s="38" t="n">
        <x:f>F161+G161-H161+I161+J161+K161+L161-M161-N161-O161</x:f>
        <x:v>45826</x:v>
      </x:c>
      <x:c r="Q161" s="38" t="n">
        <x:v>45826</x:v>
      </x:c>
      <x:c r="R161" s="38" t="n">
        <x:f>P161-Q161</x:f>
        <x:v>0</x:v>
      </x:c>
      <x:c r="S161" s="38" t="n">
        <x:v>35789</x:v>
      </x:c>
      <x:c r="T161" s="38" t="n">
        <x:v>6407</x:v>
      </x:c>
      <x:c r="U161" s="38" t="n">
        <x:v>49</x:v>
      </x:c>
      <x:c r="V161" s="38" t="n">
        <x:v>5</x:v>
      </x:c>
      <x:c r="W161" s="38" t="n">
        <x:v>0</x:v>
      </x:c>
      <x:c r="X161" s="44" t="n">
        <x:v>0</x:v>
      </x:c>
      <x:c r="Y161" s="38" t="n">
        <x:v>110</x:v>
      </x:c>
      <x:c r="Z161" s="38" t="n">
        <x:v>25</x:v>
      </x:c>
      <x:c r="AA161" s="38" t="n">
        <x:v>13</x:v>
      </x:c>
      <x:c r="AB161" s="38" t="n">
        <x:v>4</x:v>
      </x:c>
      <x:c r="AC161" s="38" t="n">
        <x:v>5204</x:v>
      </x:c>
      <x:c r="AD161" s="38" t="n">
        <x:v>0</x:v>
      </x:c>
      <x:c r="AE161" s="38" t="n">
        <x:f>IF(B161=1,0,F161-Q160)</x:f>
        <x:v>0</x:v>
      </x:c>
    </x:row>
    <x:row r="162" ht="27" customHeight="1">
      <x:c r="A162" s="28" t="str">
        <x:v>Core F2P</x:v>
      </x:c>
      <x:c r="B162" s="38" t="n">
        <x:v>38</x:v>
      </x:c>
      <x:c r="C162" s="38" t="n">
        <x:v>25</x:v>
      </x:c>
      <x:c r="D162" s="38" t="n">
        <x:v>183054</x:v>
      </x:c>
      <x:c r="E162" s="38" t="n">
        <x:v>65</x:v>
      </x:c>
      <x:c r="F162" s="38" t="n">
        <x:v>45826</x:v>
      </x:c>
      <x:c r="G162" s="38" t="n">
        <x:v>52346</x:v>
      </x:c>
      <x:c r="H162" s="38" t="n">
        <x:v>10530</x:v>
      </x:c>
      <x:c r="I162" s="38" t="n">
        <x:v>2434</x:v>
      </x:c>
      <x:c r="J162" s="38" t="n">
        <x:v>0</x:v>
      </x:c>
      <x:c r="K162" s="38" t="n">
        <x:v>0</x:v>
      </x:c>
      <x:c r="L162" s="38" t="n">
        <x:v>0</x:v>
      </x:c>
      <x:c r="M162" s="38" t="n">
        <x:v>0</x:v>
      </x:c>
      <x:c r="N162" s="38" t="n">
        <x:v>0</x:v>
      </x:c>
      <x:c r="O162" s="38" t="n">
        <x:v>44250</x:v>
      </x:c>
      <x:c r="P162" s="38" t="n">
        <x:f>F162+G162-H162+I162+J162+K162+L162-M162-N162-O162</x:f>
        <x:v>45826</x:v>
      </x:c>
      <x:c r="Q162" s="38" t="n">
        <x:v>45826</x:v>
      </x:c>
      <x:c r="R162" s="38" t="n">
        <x:f>P162-Q162</x:f>
        <x:v>0</x:v>
      </x:c>
      <x:c r="S162" s="38" t="n">
        <x:v>41877</x:v>
      </x:c>
      <x:c r="T162" s="38" t="n">
        <x:v>7495</x:v>
      </x:c>
      <x:c r="U162" s="38" t="n">
        <x:v>49</x:v>
      </x:c>
      <x:c r="V162" s="38" t="n">
        <x:v>0</x:v>
      </x:c>
      <x:c r="W162" s="38" t="n">
        <x:v>0</x:v>
      </x:c>
      <x:c r="X162" s="44" t="n">
        <x:v>0</x:v>
      </x:c>
      <x:c r="Y162" s="38" t="n">
        <x:v>130</x:v>
      </x:c>
      <x:c r="Z162" s="38" t="n">
        <x:v>26</x:v>
      </x:c>
      <x:c r="AA162" s="38" t="n">
        <x:v>13</x:v>
      </x:c>
      <x:c r="AB162" s="38" t="n">
        <x:v>4</x:v>
      </x:c>
      <x:c r="AC162" s="38" t="n">
        <x:v>5265</x:v>
      </x:c>
      <x:c r="AD162" s="38" t="n">
        <x:v>0</x:v>
      </x:c>
      <x:c r="AE162" s="38" t="n">
        <x:f>IF(B162=1,0,F162-Q161)</x:f>
        <x:v>0</x:v>
      </x:c>
    </x:row>
    <x:row r="163" ht="27" customHeight="1">
      <x:c r="A163" s="28" t="str">
        <x:v>Core F2P</x:v>
      </x:c>
      <x:c r="B163" s="38" t="n">
        <x:v>39</x:v>
      </x:c>
      <x:c r="C163" s="38" t="n">
        <x:v>25</x:v>
      </x:c>
      <x:c r="D163" s="38" t="n">
        <x:v>190588</x:v>
      </x:c>
      <x:c r="E163" s="38" t="n">
        <x:v>65</x:v>
      </x:c>
      <x:c r="F163" s="38" t="n">
        <x:v>45826</x:v>
      </x:c>
      <x:c r="G163" s="38" t="n">
        <x:v>52650</x:v>
      </x:c>
      <x:c r="H163" s="38" t="n">
        <x:v>10530</x:v>
      </x:c>
      <x:c r="I163" s="38" t="n">
        <x:v>2434</x:v>
      </x:c>
      <x:c r="J163" s="38" t="n">
        <x:v>0</x:v>
      </x:c>
      <x:c r="K163" s="38" t="n">
        <x:v>0</x:v>
      </x:c>
      <x:c r="L163" s="38" t="n">
        <x:v>0</x:v>
      </x:c>
      <x:c r="M163" s="38" t="n">
        <x:v>0</x:v>
      </x:c>
      <x:c r="N163" s="38" t="n">
        <x:v>0</x:v>
      </x:c>
      <x:c r="O163" s="38" t="n">
        <x:v>25618</x:v>
      </x:c>
      <x:c r="P163" s="38" t="n">
        <x:f>F163+G163-H163+I163+J163+K163+L163-M163-N163-O163</x:f>
        <x:v>64762</x:v>
      </x:c>
      <x:c r="Q163" s="38" t="n">
        <x:v>64762</x:v>
      </x:c>
      <x:c r="R163" s="38" t="n">
        <x:f>P163-Q163</x:f>
        <x:v>0</x:v>
      </x:c>
      <x:c r="S163" s="38" t="n">
        <x:v>42120</x:v>
      </x:c>
      <x:c r="T163" s="38" t="n">
        <x:v>7534</x:v>
      </x:c>
      <x:c r="U163" s="38" t="n">
        <x:v>49</x:v>
      </x:c>
      <x:c r="V163" s="38" t="n">
        <x:v>0</x:v>
      </x:c>
      <x:c r="W163" s="38" t="n">
        <x:v>0</x:v>
      </x:c>
      <x:c r="X163" s="44" t="n">
        <x:v>0</x:v>
      </x:c>
      <x:c r="Y163" s="38" t="n">
        <x:v>130</x:v>
      </x:c>
      <x:c r="Z163" s="38" t="n">
        <x:v>26</x:v>
      </x:c>
      <x:c r="AA163" s="38" t="n">
        <x:v>13</x:v>
      </x:c>
      <x:c r="AB163" s="38" t="n">
        <x:v>5</x:v>
      </x:c>
      <x:c r="AC163" s="38" t="n">
        <x:v>5265</x:v>
      </x:c>
      <x:c r="AD163" s="38" t="n">
        <x:v>0</x:v>
      </x:c>
      <x:c r="AE163" s="38" t="n">
        <x:f>IF(B163=1,0,F163-Q162)</x:f>
        <x:v>0</x:v>
      </x:c>
    </x:row>
    <x:row r="164" ht="27" customHeight="1">
      <x:c r="A164" s="28" t="str">
        <x:v>Core F2P</x:v>
      </x:c>
      <x:c r="B164" s="38" t="n">
        <x:v>40</x:v>
      </x:c>
      <x:c r="C164" s="38" t="n">
        <x:v>26</x:v>
      </x:c>
      <x:c r="D164" s="38" t="n">
        <x:v>198122</x:v>
      </x:c>
      <x:c r="E164" s="38" t="n">
        <x:v>65</x:v>
      </x:c>
      <x:c r="F164" s="38" t="n">
        <x:v>64762</x:v>
      </x:c>
      <x:c r="G164" s="38" t="n">
        <x:v>52650</x:v>
      </x:c>
      <x:c r="H164" s="38" t="n">
        <x:v>10600</x:v>
      </x:c>
      <x:c r="I164" s="38" t="n">
        <x:v>2434</x:v>
      </x:c>
      <x:c r="J164" s="38" t="n">
        <x:v>620</x:v>
      </x:c>
      <x:c r="K164" s="38" t="n">
        <x:v>0</x:v>
      </x:c>
      <x:c r="L164" s="38" t="n">
        <x:v>0</x:v>
      </x:c>
      <x:c r="M164" s="38" t="n">
        <x:v>0</x:v>
      </x:c>
      <x:c r="N164" s="38" t="n">
        <x:v>570</x:v>
      </x:c>
      <x:c r="O164" s="38" t="n">
        <x:v>0</x:v>
      </x:c>
      <x:c r="P164" s="38" t="n">
        <x:f>F164+G164-H164+I164+J164+K164+L164-M164-N164-O164</x:f>
        <x:v>109296</x:v>
      </x:c>
      <x:c r="Q164" s="38" t="n">
        <x:v>109296</x:v>
      </x:c>
      <x:c r="R164" s="38" t="n">
        <x:f>P164-Q164</x:f>
        <x:v>0</x:v>
      </x:c>
      <x:c r="S164" s="38" t="n">
        <x:v>42120</x:v>
      </x:c>
      <x:c r="T164" s="38" t="n">
        <x:v>7534</x:v>
      </x:c>
      <x:c r="U164" s="38" t="n">
        <x:v>50</x:v>
      </x:c>
      <x:c r="V164" s="38" t="n">
        <x:v>1</x:v>
      </x:c>
      <x:c r="W164" s="38" t="n">
        <x:v>0</x:v>
      </x:c>
      <x:c r="X164" s="44" t="n">
        <x:v>0</x:v>
      </x:c>
      <x:c r="Y164" s="38" t="n">
        <x:v>130</x:v>
      </x:c>
      <x:c r="Z164" s="38" t="n">
        <x:v>26</x:v>
      </x:c>
      <x:c r="AA164" s="38" t="n">
        <x:v>14</x:v>
      </x:c>
      <x:c r="AB164" s="38" t="n">
        <x:v>5</x:v>
      </x:c>
      <x:c r="AC164" s="38" t="n">
        <x:v>5335</x:v>
      </x:c>
      <x:c r="AD164" s="38" t="n">
        <x:v>0</x:v>
      </x:c>
      <x:c r="AE164" s="38" t="n">
        <x:f>IF(B164=1,0,F164-Q163)</x:f>
        <x:v>0</x:v>
      </x:c>
    </x:row>
    <x:row r="165" ht="27" customHeight="1">
      <x:c r="A165" s="28" t="str">
        <x:v>Core F2P</x:v>
      </x:c>
      <x:c r="B165" s="38" t="n">
        <x:v>41</x:v>
      </x:c>
      <x:c r="C165" s="38" t="n">
        <x:v>26</x:v>
      </x:c>
      <x:c r="D165" s="38" t="n">
        <x:v>205622</x:v>
      </x:c>
      <x:c r="E165" s="38" t="n">
        <x:v>65</x:v>
      </x:c>
      <x:c r="F165" s="38" t="n">
        <x:v>109296</x:v>
      </x:c>
      <x:c r="G165" s="38" t="n">
        <x:v>53649</x:v>
      </x:c>
      <x:c r="H165" s="38" t="n">
        <x:v>10790</x:v>
      </x:c>
      <x:c r="I165" s="38" t="n">
        <x:v>2486</x:v>
      </x:c>
      <x:c r="J165" s="38" t="n">
        <x:v>0</x:v>
      </x:c>
      <x:c r="K165" s="38" t="n">
        <x:v>0</x:v>
      </x:c>
      <x:c r="L165" s="38" t="n">
        <x:v>0</x:v>
      </x:c>
      <x:c r="M165" s="38" t="n">
        <x:v>0</x:v>
      </x:c>
      <x:c r="N165" s="38" t="n">
        <x:v>0</x:v>
      </x:c>
      <x:c r="O165" s="38" t="n">
        <x:v>0</x:v>
      </x:c>
      <x:c r="P165" s="38" t="n">
        <x:f>F165+G165-H165+I165+J165+K165+L165-M165-N165-O165</x:f>
        <x:v>154641</x:v>
      </x:c>
      <x:c r="Q165" s="38" t="n">
        <x:v>154641</x:v>
      </x:c>
      <x:c r="R165" s="38" t="n">
        <x:f>P165-Q165</x:f>
        <x:v>0</x:v>
      </x:c>
      <x:c r="S165" s="38" t="n">
        <x:v>42919</x:v>
      </x:c>
      <x:c r="T165" s="38" t="n">
        <x:v>7500</x:v>
      </x:c>
      <x:c r="U165" s="38" t="n">
        <x:v>50</x:v>
      </x:c>
      <x:c r="V165" s="38" t="n">
        <x:v>0</x:v>
      </x:c>
      <x:c r="W165" s="38" t="n">
        <x:v>0</x:v>
      </x:c>
      <x:c r="X165" s="44" t="n">
        <x:v>0</x:v>
      </x:c>
      <x:c r="Y165" s="38" t="n">
        <x:v>130</x:v>
      </x:c>
      <x:c r="Z165" s="38" t="n">
        <x:v>27</x:v>
      </x:c>
      <x:c r="AA165" s="38" t="n">
        <x:v>14</x:v>
      </x:c>
      <x:c r="AB165" s="38" t="n">
        <x:v>5</x:v>
      </x:c>
      <x:c r="AC165" s="38" t="n">
        <x:v>5395</x:v>
      </x:c>
      <x:c r="AD165" s="38" t="n">
        <x:v>0</x:v>
      </x:c>
      <x:c r="AE165" s="38" t="n">
        <x:f>IF(B165=1,0,F165-Q164)</x:f>
        <x:v>0</x:v>
      </x:c>
    </x:row>
    <x:row r="166" ht="27" customHeight="1">
      <x:c r="A166" s="28" t="str">
        <x:v>Core F2P</x:v>
      </x:c>
      <x:c r="B166" s="38" t="n">
        <x:v>42</x:v>
      </x:c>
      <x:c r="C166" s="38" t="n">
        <x:v>26</x:v>
      </x:c>
      <x:c r="D166" s="38" t="n">
        <x:v>216409</x:v>
      </x:c>
      <x:c r="E166" s="38" t="n">
        <x:v>65</x:v>
      </x:c>
      <x:c r="F166" s="38" t="n">
        <x:v>154641</x:v>
      </x:c>
      <x:c r="G166" s="38" t="n">
        <x:v>53950</x:v>
      </x:c>
      <x:c r="H166" s="38" t="n">
        <x:v>10790</x:v>
      </x:c>
      <x:c r="I166" s="38" t="n">
        <x:v>12559</x:v>
      </x:c>
      <x:c r="J166" s="38" t="n">
        <x:v>0</x:v>
      </x:c>
      <x:c r="K166" s="38" t="n">
        <x:v>0</x:v>
      </x:c>
      <x:c r="L166" s="38" t="n">
        <x:v>0</x:v>
      </x:c>
      <x:c r="M166" s="38" t="n">
        <x:v>0</x:v>
      </x:c>
      <x:c r="N166" s="38" t="n">
        <x:v>0</x:v>
      </x:c>
      <x:c r="O166" s="38" t="n">
        <x:v>0</x:v>
      </x:c>
      <x:c r="P166" s="38" t="n">
        <x:f>F166+G166-H166+I166+J166+K166+L166-M166-N166-O166</x:f>
        <x:v>210360</x:v>
      </x:c>
      <x:c r="Q166" s="38" t="n">
        <x:v>210360</x:v>
      </x:c>
      <x:c r="R166" s="38" t="n">
        <x:f>P166-Q166</x:f>
        <x:v>0</x:v>
      </x:c>
      <x:c r="S166" s="38" t="n">
        <x:v>43160</x:v>
      </x:c>
      <x:c r="T166" s="38" t="n">
        <x:v>10787</x:v>
      </x:c>
      <x:c r="U166" s="38" t="n">
        <x:v>52</x:v>
      </x:c>
      <x:c r="V166" s="38" t="n">
        <x:v>2</x:v>
      </x:c>
      <x:c r="W166" s="38" t="n">
        <x:v>0</x:v>
      </x:c>
      <x:c r="X166" s="44" t="n">
        <x:v>0</x:v>
      </x:c>
      <x:c r="Y166" s="38" t="n">
        <x:v>130</x:v>
      </x:c>
      <x:c r="Z166" s="38" t="n">
        <x:v>27</x:v>
      </x:c>
      <x:c r="AA166" s="38" t="n">
        <x:v>14</x:v>
      </x:c>
      <x:c r="AB166" s="38" t="n">
        <x:v>5</x:v>
      </x:c>
      <x:c r="AC166" s="38" t="n">
        <x:v>5395</x:v>
      </x:c>
      <x:c r="AD166" s="38" t="n">
        <x:v>0</x:v>
      </x:c>
      <x:c r="AE166" s="38" t="n">
        <x:f>IF(B166=1,0,F166-Q165)</x:f>
        <x:v>0</x:v>
      </x:c>
    </x:row>
    <x:row r="167" ht="27" customHeight="1">
      <x:c r="A167" s="28" t="str">
        <x:v>Core F2P</x:v>
      </x:c>
      <x:c r="B167" s="38" t="n">
        <x:v>43</x:v>
      </x:c>
      <x:c r="C167" s="38" t="n">
        <x:v>27</x:v>
      </x:c>
      <x:c r="D167" s="38" t="n">
        <x:v>223949</x:v>
      </x:c>
      <x:c r="E167" s="38" t="n">
        <x:v>65</x:v>
      </x:c>
      <x:c r="F167" s="38" t="n">
        <x:v>210360</x:v>
      </x:c>
      <x:c r="G167" s="38" t="n">
        <x:v>53950</x:v>
      </x:c>
      <x:c r="H167" s="38" t="n">
        <x:v>10344</x:v>
      </x:c>
      <x:c r="I167" s="38" t="n">
        <x:v>2486</x:v>
      </x:c>
      <x:c r="J167" s="38" t="n">
        <x:v>635</x:v>
      </x:c>
      <x:c r="K167" s="38" t="n">
        <x:v>0</x:v>
      </x:c>
      <x:c r="L167" s="38" t="n">
        <x:v>0</x:v>
      </x:c>
      <x:c r="M167" s="38" t="n">
        <x:v>0</x:v>
      </x:c>
      <x:c r="N167" s="38" t="n">
        <x:v>905</x:v>
      </x:c>
      <x:c r="O167" s="38" t="n">
        <x:v>0</x:v>
      </x:c>
      <x:c r="P167" s="38" t="n">
        <x:f>F167+G167-H167+I167+J167+K167+L167-M167-N167-O167</x:f>
        <x:v>256182</x:v>
      </x:c>
      <x:c r="Q167" s="38" t="n">
        <x:v>256182</x:v>
      </x:c>
      <x:c r="R167" s="38" t="n">
        <x:f>P167-Q167</x:f>
        <x:v>0</x:v>
      </x:c>
      <x:c r="S167" s="38" t="n">
        <x:v>43160</x:v>
      </x:c>
      <x:c r="T167" s="38" t="n">
        <x:v>7540</x:v>
      </x:c>
      <x:c r="U167" s="38" t="n">
        <x:v>52</x:v>
      </x:c>
      <x:c r="V167" s="38" t="n">
        <x:v>0</x:v>
      </x:c>
      <x:c r="W167" s="38" t="n">
        <x:v>0</x:v>
      </x:c>
      <x:c r="X167" s="44" t="n">
        <x:v>0</x:v>
      </x:c>
      <x:c r="Y167" s="38" t="n">
        <x:v>130</x:v>
      </x:c>
      <x:c r="Z167" s="38" t="n">
        <x:v>27</x:v>
      </x:c>
      <x:c r="AA167" s="38" t="n">
        <x:v>15</x:v>
      </x:c>
      <x:c r="AB167" s="38" t="n">
        <x:v>5</x:v>
      </x:c>
      <x:c r="AC167" s="38" t="n">
        <x:v>4949</x:v>
      </x:c>
      <x:c r="AD167" s="38" t="n">
        <x:v>0</x:v>
      </x:c>
      <x:c r="AE167" s="38" t="n">
        <x:f>IF(B167=1,0,F167-Q166)</x:f>
        <x:v>0</x:v>
      </x:c>
    </x:row>
    <x:row r="168" ht="27" customHeight="1">
      <x:c r="A168" s="28" t="str">
        <x:v>Core F2P</x:v>
      </x:c>
      <x:c r="B168" s="38" t="n">
        <x:v>44</x:v>
      </x:c>
      <x:c r="C168" s="38" t="n">
        <x:v>27</x:v>
      </x:c>
      <x:c r="D168" s="38" t="n">
        <x:v>232269</x:v>
      </x:c>
      <x:c r="E168" s="38" t="n">
        <x:v>65</x:v>
      </x:c>
      <x:c r="F168" s="38" t="n">
        <x:v>256182</x:v>
      </x:c>
      <x:c r="G168" s="38" t="n">
        <x:v>49573</x:v>
      </x:c>
      <x:c r="H168" s="38" t="n">
        <x:v>9880</x:v>
      </x:c>
      <x:c r="I168" s="38" t="n">
        <x:v>2539</x:v>
      </x:c>
      <x:c r="J168" s="38" t="n">
        <x:v>0</x:v>
      </x:c>
      <x:c r="K168" s="38" t="n">
        <x:v>0</x:v>
      </x:c>
      <x:c r="L168" s="38" t="n">
        <x:v>0</x:v>
      </x:c>
      <x:c r="M168" s="38" t="n">
        <x:v>0</x:v>
      </x:c>
      <x:c r="N168" s="38" t="n">
        <x:v>0</x:v>
      </x:c>
      <x:c r="O168" s="38" t="n">
        <x:v>0</x:v>
      </x:c>
      <x:c r="P168" s="38" t="n">
        <x:f>F168+G168-H168+I168+J168+K168+L168-M168-N168-O168</x:f>
        <x:v>298414</x:v>
      </x:c>
      <x:c r="Q168" s="38" t="n">
        <x:v>298414</x:v>
      </x:c>
      <x:c r="R168" s="38" t="n">
        <x:f>P168-Q168</x:f>
        <x:v>0</x:v>
      </x:c>
      <x:c r="S168" s="38" t="n">
        <x:v>39684</x:v>
      </x:c>
      <x:c r="T168" s="38" t="n">
        <x:v>8320</x:v>
      </x:c>
      <x:c r="U168" s="38" t="n">
        <x:v>52</x:v>
      </x:c>
      <x:c r="V168" s="38" t="n">
        <x:v>0</x:v>
      </x:c>
      <x:c r="W168" s="38" t="n">
        <x:v>0</x:v>
      </x:c>
      <x:c r="X168" s="44" t="n">
        <x:v>0</x:v>
      </x:c>
      <x:c r="Y168" s="38" t="n">
        <x:v>130</x:v>
      </x:c>
      <x:c r="Z168" s="38" t="n">
        <x:v>28</x:v>
      </x:c>
      <x:c r="AA168" s="38" t="n">
        <x:v>15</x:v>
      </x:c>
      <x:c r="AB168" s="38" t="n">
        <x:v>5</x:v>
      </x:c>
      <x:c r="AC168" s="38" t="n">
        <x:v>4940</x:v>
      </x:c>
      <x:c r="AD168" s="38" t="n">
        <x:v>0</x:v>
      </x:c>
      <x:c r="AE168" s="38" t="n">
        <x:f>IF(B168=1,0,F168-Q167)</x:f>
        <x:v>0</x:v>
      </x:c>
    </x:row>
    <x:row r="169" ht="27" customHeight="1">
      <x:c r="A169" s="28" t="str">
        <x:v>Core F2P</x:v>
      </x:c>
      <x:c r="B169" s="38" t="n">
        <x:v>45</x:v>
      </x:c>
      <x:c r="C169" s="38" t="n">
        <x:v>27</x:v>
      </x:c>
      <x:c r="D169" s="38" t="n">
        <x:v>240595</x:v>
      </x:c>
      <x:c r="E169" s="38" t="n">
        <x:v>65</x:v>
      </x:c>
      <x:c r="F169" s="38" t="n">
        <x:v>298414</x:v>
      </x:c>
      <x:c r="G169" s="38" t="n">
        <x:v>49530</x:v>
      </x:c>
      <x:c r="H169" s="38" t="n">
        <x:v>9880</x:v>
      </x:c>
      <x:c r="I169" s="38" t="n">
        <x:v>2539</x:v>
      </x:c>
      <x:c r="J169" s="38" t="n">
        <x:v>0</x:v>
      </x:c>
      <x:c r="K169" s="38" t="n">
        <x:v>0</x:v>
      </x:c>
      <x:c r="L169" s="38" t="n">
        <x:v>0</x:v>
      </x:c>
      <x:c r="M169" s="38" t="n">
        <x:v>0</x:v>
      </x:c>
      <x:c r="N169" s="38" t="n">
        <x:v>0</x:v>
      </x:c>
      <x:c r="O169" s="38" t="n">
        <x:v>0</x:v>
      </x:c>
      <x:c r="P169" s="38" t="n">
        <x:f>F169+G169-H169+I169+J169+K169+L169-M169-N169-O169</x:f>
        <x:v>340603</x:v>
      </x:c>
      <x:c r="Q169" s="38" t="n">
        <x:v>340603</x:v>
      </x:c>
      <x:c r="R169" s="38" t="n">
        <x:f>P169-Q169</x:f>
        <x:v>0</x:v>
      </x:c>
      <x:c r="S169" s="38" t="n">
        <x:v>39650</x:v>
      </x:c>
      <x:c r="T169" s="38" t="n">
        <x:v>8326</x:v>
      </x:c>
      <x:c r="U169" s="38" t="n">
        <x:v>52</x:v>
      </x:c>
      <x:c r="V169" s="38" t="n">
        <x:v>0</x:v>
      </x:c>
      <x:c r="W169" s="38" t="n">
        <x:v>0</x:v>
      </x:c>
      <x:c r="X169" s="44" t="n">
        <x:v>0</x:v>
      </x:c>
      <x:c r="Y169" s="38" t="n">
        <x:v>130</x:v>
      </x:c>
      <x:c r="Z169" s="38" t="n">
        <x:v>28</x:v>
      </x:c>
      <x:c r="AA169" s="38" t="n">
        <x:v>15</x:v>
      </x:c>
      <x:c r="AB169" s="38" t="n">
        <x:v>5</x:v>
      </x:c>
      <x:c r="AC169" s="38" t="n">
        <x:v>4940</x:v>
      </x:c>
      <x:c r="AD169" s="38" t="n">
        <x:v>0</x:v>
      </x:c>
      <x:c r="AE169" s="38" t="n">
        <x:f>IF(B169=1,0,F169-Q168)</x:f>
        <x:v>0</x:v>
      </x:c>
    </x:row>
    <x:row r="170" ht="27" customHeight="1">
      <x:c r="A170" s="28" t="str">
        <x:v>Core F2P</x:v>
      </x:c>
      <x:c r="B170" s="38" t="n">
        <x:v>46</x:v>
      </x:c>
      <x:c r="C170" s="38" t="n">
        <x:v>27</x:v>
      </x:c>
      <x:c r="D170" s="38" t="n">
        <x:v>248921</x:v>
      </x:c>
      <x:c r="E170" s="38" t="n">
        <x:v>65</x:v>
      </x:c>
      <x:c r="F170" s="38" t="n">
        <x:v>340603</x:v>
      </x:c>
      <x:c r="G170" s="38" t="n">
        <x:v>49530</x:v>
      </x:c>
      <x:c r="H170" s="38" t="n">
        <x:v>9880</x:v>
      </x:c>
      <x:c r="I170" s="38" t="n">
        <x:v>2539</x:v>
      </x:c>
      <x:c r="J170" s="38" t="n">
        <x:v>0</x:v>
      </x:c>
      <x:c r="K170" s="38" t="n">
        <x:v>0</x:v>
      </x:c>
      <x:c r="L170" s="38" t="n">
        <x:v>0</x:v>
      </x:c>
      <x:c r="M170" s="38" t="n">
        <x:v>0</x:v>
      </x:c>
      <x:c r="N170" s="38" t="n">
        <x:v>1700</x:v>
      </x:c>
      <x:c r="O170" s="38" t="n">
        <x:v>0</x:v>
      </x:c>
      <x:c r="P170" s="38" t="n">
        <x:f>F170+G170-H170+I170+J170+K170+L170-M170-N170-O170</x:f>
        <x:v>381092</x:v>
      </x:c>
      <x:c r="Q170" s="38" t="n">
        <x:v>381092</x:v>
      </x:c>
      <x:c r="R170" s="38" t="n">
        <x:f>P170-Q170</x:f>
        <x:v>0</x:v>
      </x:c>
      <x:c r="S170" s="38" t="n">
        <x:v>39650</x:v>
      </x:c>
      <x:c r="T170" s="38" t="n">
        <x:v>8326</x:v>
      </x:c>
      <x:c r="U170" s="38" t="n">
        <x:v>52</x:v>
      </x:c>
      <x:c r="V170" s="38" t="n">
        <x:v>0</x:v>
      </x:c>
      <x:c r="W170" s="38" t="n">
        <x:v>0</x:v>
      </x:c>
      <x:c r="X170" s="44" t="n">
        <x:v>0</x:v>
      </x:c>
      <x:c r="Y170" s="38" t="n">
        <x:v>130</x:v>
      </x:c>
      <x:c r="Z170" s="38" t="n">
        <x:v>28</x:v>
      </x:c>
      <x:c r="AA170" s="38" t="n">
        <x:v>16</x:v>
      </x:c>
      <x:c r="AB170" s="38" t="n">
        <x:v>5</x:v>
      </x:c>
      <x:c r="AC170" s="38" t="n">
        <x:v>4940</x:v>
      </x:c>
      <x:c r="AD170" s="38" t="n">
        <x:v>0</x:v>
      </x:c>
      <x:c r="AE170" s="38" t="n">
        <x:f>IF(B170=1,0,F170-Q169)</x:f>
        <x:v>0</x:v>
      </x:c>
    </x:row>
    <x:row r="171" ht="27" customHeight="1">
      <x:c r="A171" s="28" t="str">
        <x:v>Core F2P</x:v>
      </x:c>
      <x:c r="B171" s="38" t="n">
        <x:v>47</x:v>
      </x:c>
      <x:c r="C171" s="38" t="n">
        <x:v>28</x:v>
      </x:c>
      <x:c r="D171" s="38" t="n">
        <x:v>257187</x:v>
      </x:c>
      <x:c r="E171" s="38" t="n">
        <x:v>70</x:v>
      </x:c>
      <x:c r="F171" s="38" t="n">
        <x:v>381092</x:v>
      </x:c>
      <x:c r="G171" s="38" t="n">
        <x:v>55075</x:v>
      </x:c>
      <x:c r="H171" s="38" t="n">
        <x:v>12180</x:v>
      </x:c>
      <x:c r="I171" s="38" t="n">
        <x:v>2539</x:v>
      </x:c>
      <x:c r="J171" s="38" t="n">
        <x:v>700</x:v>
      </x:c>
      <x:c r="K171" s="38" t="n">
        <x:v>0</x:v>
      </x:c>
      <x:c r="L171" s="38" t="n">
        <x:v>0</x:v>
      </x:c>
      <x:c r="M171" s="38" t="n">
        <x:v>350000</x:v>
      </x:c>
      <x:c r="N171" s="38" t="n">
        <x:v>0</x:v>
      </x:c>
      <x:c r="O171" s="38" t="n">
        <x:v>0</x:v>
      </x:c>
      <x:c r="P171" s="38" t="n">
        <x:f>F171+G171-H171+I171+J171+K171+L171-M171-N171-O171</x:f>
        <x:v>77226</x:v>
      </x:c>
      <x:c r="Q171" s="38" t="n">
        <x:v>77226</x:v>
      </x:c>
      <x:c r="R171" s="38" t="n">
        <x:f>P171-Q171</x:f>
        <x:v>0</x:v>
      </x:c>
      <x:c r="S171" s="38" t="n">
        <x:v>44045</x:v>
      </x:c>
      <x:c r="T171" s="38" t="n">
        <x:v>8266</x:v>
      </x:c>
      <x:c r="U171" s="38" t="n">
        <x:v>53</x:v>
      </x:c>
      <x:c r="V171" s="38" t="n">
        <x:v>1</x:v>
      </x:c>
      <x:c r="W171" s="38" t="n">
        <x:v>0</x:v>
      </x:c>
      <x:c r="X171" s="44" t="n">
        <x:v>0</x:v>
      </x:c>
      <x:c r="Y171" s="38" t="n">
        <x:v>135</x:v>
      </x:c>
      <x:c r="Z171" s="38" t="n">
        <x:v>29</x:v>
      </x:c>
      <x:c r="AA171" s="38" t="n">
        <x:v>16</x:v>
      </x:c>
      <x:c r="AB171" s="38" t="n">
        <x:v>5</x:v>
      </x:c>
      <x:c r="AC171" s="38" t="n">
        <x:v>6090</x:v>
      </x:c>
      <x:c r="AD171" s="38" t="n">
        <x:v>0</x:v>
      </x:c>
      <x:c r="AE171" s="38" t="n">
        <x:f>IF(B171=1,0,F171-Q170)</x:f>
        <x:v>0</x:v>
      </x:c>
    </x:row>
    <x:row r="172" ht="27" customHeight="1">
      <x:c r="A172" s="28" t="str">
        <x:v>Core F2P</x:v>
      </x:c>
      <x:c r="B172" s="38" t="n">
        <x:v>48</x:v>
      </x:c>
      <x:c r="C172" s="38" t="n">
        <x:v>28</x:v>
      </x:c>
      <x:c r="D172" s="38" t="n">
        <x:v>265460</x:v>
      </x:c>
      <x:c r="E172" s="38" t="n">
        <x:v>70</x:v>
      </x:c>
      <x:c r="F172" s="38" t="n">
        <x:v>77226</x:v>
      </x:c>
      <x:c r="G172" s="38" t="n">
        <x:v>60620</x:v>
      </x:c>
      <x:c r="H172" s="38" t="n">
        <x:v>12180</x:v>
      </x:c>
      <x:c r="I172" s="38" t="n">
        <x:v>2791</x:v>
      </x:c>
      <x:c r="J172" s="38" t="n">
        <x:v>0</x:v>
      </x:c>
      <x:c r="K172" s="38" t="n">
        <x:v>0</x:v>
      </x:c>
      <x:c r="L172" s="38" t="n">
        <x:v>0</x:v>
      </x:c>
      <x:c r="M172" s="38" t="n">
        <x:v>0</x:v>
      </x:c>
      <x:c r="N172" s="38" t="n">
        <x:v>0</x:v>
      </x:c>
      <x:c r="O172" s="38" t="n">
        <x:v>0</x:v>
      </x:c>
      <x:c r="P172" s="38" t="n">
        <x:f>F172+G172-H172+I172+J172+K172+L172-M172-N172-O172</x:f>
        <x:v>128457</x:v>
      </x:c>
      <x:c r="Q172" s="38" t="n">
        <x:v>128457</x:v>
      </x:c>
      <x:c r="R172" s="38" t="n">
        <x:f>P172-Q172</x:f>
        <x:v>0</x:v>
      </x:c>
      <x:c r="S172" s="38" t="n">
        <x:v>48440</x:v>
      </x:c>
      <x:c r="T172" s="38" t="n">
        <x:v>8273</x:v>
      </x:c>
      <x:c r="U172" s="38" t="n">
        <x:v>53</x:v>
      </x:c>
      <x:c r="V172" s="38" t="n">
        <x:v>0</x:v>
      </x:c>
      <x:c r="W172" s="38" t="n">
        <x:v>0</x:v>
      </x:c>
      <x:c r="X172" s="44" t="n">
        <x:v>0</x:v>
      </x:c>
      <x:c r="Y172" s="38" t="n">
        <x:v>140</x:v>
      </x:c>
      <x:c r="Z172" s="38" t="n">
        <x:v>29</x:v>
      </x:c>
      <x:c r="AA172" s="38" t="n">
        <x:v>16</x:v>
      </x:c>
      <x:c r="AB172" s="38" t="n">
        <x:v>5</x:v>
      </x:c>
      <x:c r="AC172" s="38" t="n">
        <x:v>6090</x:v>
      </x:c>
      <x:c r="AD172" s="38" t="n">
        <x:v>0</x:v>
      </x:c>
      <x:c r="AE172" s="38" t="n">
        <x:f>IF(B172=1,0,F172-Q171)</x:f>
        <x:v>0</x:v>
      </x:c>
    </x:row>
    <x:row r="173" ht="27" customHeight="1">
      <x:c r="A173" s="28" t="str">
        <x:v>Core F2P</x:v>
      </x:c>
      <x:c r="B173" s="38" t="n">
        <x:v>49</x:v>
      </x:c>
      <x:c r="C173" s="38" t="n">
        <x:v>28</x:v>
      </x:c>
      <x:c r="D173" s="38" t="n">
        <x:v>277633</x:v>
      </x:c>
      <x:c r="E173" s="38" t="n">
        <x:v>70</x:v>
      </x:c>
      <x:c r="F173" s="38" t="n">
        <x:v>128457</x:v>
      </x:c>
      <x:c r="G173" s="38" t="n">
        <x:v>60620</x:v>
      </x:c>
      <x:c r="H173" s="38" t="n">
        <x:v>12180</x:v>
      </x:c>
      <x:c r="I173" s="38" t="n">
        <x:v>15222</x:v>
      </x:c>
      <x:c r="J173" s="38" t="n">
        <x:v>0</x:v>
      </x:c>
      <x:c r="K173" s="38" t="n">
        <x:v>0</x:v>
      </x:c>
      <x:c r="L173" s="38" t="n">
        <x:v>0</x:v>
      </x:c>
      <x:c r="M173" s="38" t="n">
        <x:v>0</x:v>
      </x:c>
      <x:c r="N173" s="38" t="n">
        <x:v>1125</x:v>
      </x:c>
      <x:c r="O173" s="38" t="n">
        <x:v>0</x:v>
      </x:c>
      <x:c r="P173" s="38" t="n">
        <x:f>F173+G173-H173+I173+J173+K173+L173-M173-N173-O173</x:f>
        <x:v>190994</x:v>
      </x:c>
      <x:c r="Q173" s="38" t="n">
        <x:v>190994</x:v>
      </x:c>
      <x:c r="R173" s="38" t="n">
        <x:f>P173-Q173</x:f>
        <x:v>0</x:v>
      </x:c>
      <x:c r="S173" s="38" t="n">
        <x:v>48440</x:v>
      </x:c>
      <x:c r="T173" s="38" t="n">
        <x:v>12173</x:v>
      </x:c>
      <x:c r="U173" s="38" t="n">
        <x:v>55</x:v>
      </x:c>
      <x:c r="V173" s="38" t="n">
        <x:v>2</x:v>
      </x:c>
      <x:c r="W173" s="38" t="n">
        <x:v>0</x:v>
      </x:c>
      <x:c r="X173" s="44" t="n">
        <x:v>0</x:v>
      </x:c>
      <x:c r="Y173" s="38" t="n">
        <x:v>140</x:v>
      </x:c>
      <x:c r="Z173" s="38" t="n">
        <x:v>29</x:v>
      </x:c>
      <x:c r="AA173" s="38" t="n">
        <x:v>17</x:v>
      </x:c>
      <x:c r="AB173" s="38" t="n">
        <x:v>5</x:v>
      </x:c>
      <x:c r="AC173" s="38" t="n">
        <x:v>6090</x:v>
      </x:c>
      <x:c r="AD173" s="38" t="n">
        <x:v>0</x:v>
      </x:c>
      <x:c r="AE173" s="38" t="n">
        <x:f>IF(B173=1,0,F173-Q172)</x:f>
        <x:v>0</x:v>
      </x:c>
    </x:row>
    <x:row r="174" ht="27" customHeight="1">
      <x:c r="A174" s="28" t="str">
        <x:v>Core F2P</x:v>
      </x:c>
      <x:c r="B174" s="38" t="n">
        <x:v>50</x:v>
      </x:c>
      <x:c r="C174" s="38" t="n">
        <x:v>29</x:v>
      </x:c>
      <x:c r="D174" s="38" t="n">
        <x:v>285853</x:v>
      </x:c>
      <x:c r="E174" s="38" t="n">
        <x:v>70</x:v>
      </x:c>
      <x:c r="F174" s="38" t="n">
        <x:v>190994</x:v>
      </x:c>
      <x:c r="G174" s="38" t="n">
        <x:v>60739</x:v>
      </x:c>
      <x:c r="H174" s="38" t="n">
        <x:v>12331</x:v>
      </x:c>
      <x:c r="I174" s="38" t="n">
        <x:v>2791</x:v>
      </x:c>
      <x:c r="J174" s="38" t="n">
        <x:v>710</x:v>
      </x:c>
      <x:c r="K174" s="38" t="n">
        <x:v>0</x:v>
      </x:c>
      <x:c r="L174" s="38" t="n">
        <x:v>0</x:v>
      </x:c>
      <x:c r="M174" s="38" t="n">
        <x:v>0</x:v>
      </x:c>
      <x:c r="N174" s="38" t="n">
        <x:v>0</x:v>
      </x:c>
      <x:c r="O174" s="38" t="n">
        <x:v>0</x:v>
      </x:c>
      <x:c r="P174" s="38" t="n">
        <x:f>F174+G174-H174+I174+J174+K174+L174-M174-N174-O174</x:f>
        <x:v>242903</x:v>
      </x:c>
      <x:c r="Q174" s="38" t="n">
        <x:v>242903</x:v>
      </x:c>
      <x:c r="R174" s="38" t="n">
        <x:f>P174-Q174</x:f>
        <x:v>0</x:v>
      </x:c>
      <x:c r="S174" s="38" t="n">
        <x:v>48577</x:v>
      </x:c>
      <x:c r="T174" s="38" t="n">
        <x:v>8220</x:v>
      </x:c>
      <x:c r="U174" s="38" t="n">
        <x:v>59</x:v>
      </x:c>
      <x:c r="V174" s="38" t="n">
        <x:v>4</x:v>
      </x:c>
      <x:c r="W174" s="38" t="n">
        <x:v>0</x:v>
      </x:c>
      <x:c r="X174" s="44" t="n">
        <x:v>0</x:v>
      </x:c>
      <x:c r="Y174" s="38" t="n">
        <x:v>139</x:v>
      </x:c>
      <x:c r="Z174" s="38" t="n">
        <x:v>29</x:v>
      </x:c>
      <x:c r="AA174" s="38" t="n">
        <x:v>17</x:v>
      </x:c>
      <x:c r="AB174" s="38" t="n">
        <x:v>5</x:v>
      </x:c>
      <x:c r="AC174" s="38" t="n">
        <x:v>6259</x:v>
      </x:c>
      <x:c r="AD174" s="38" t="n">
        <x:v>0</x:v>
      </x:c>
      <x:c r="AE174" s="38" t="n">
        <x:f>IF(B174=1,0,F174-Q173)</x:f>
        <x:v>0</x:v>
      </x:c>
    </x:row>
    <x:row r="175" ht="27" customHeight="1">
      <x:c r="A175" s="28" t="str">
        <x:v>Core F2P</x:v>
      </x:c>
      <x:c r="B175" s="38" t="n">
        <x:v>51</x:v>
      </x:c>
      <x:c r="C175" s="38" t="n">
        <x:v>29</x:v>
      </x:c>
      <x:c r="D175" s="38" t="n">
        <x:v>294172</x:v>
      </x:c>
      <x:c r="E175" s="38" t="n">
        <x:v>70</x:v>
      </x:c>
      <x:c r="F175" s="38" t="n">
        <x:v>242903</x:v>
      </x:c>
      <x:c r="G175" s="38" t="n">
        <x:v>62232</x:v>
      </x:c>
      <x:c r="H175" s="38" t="n">
        <x:v>12320</x:v>
      </x:c>
      <x:c r="I175" s="38" t="n">
        <x:v>2848</x:v>
      </x:c>
      <x:c r="J175" s="38" t="n">
        <x:v>0</x:v>
      </x:c>
      <x:c r="K175" s="38" t="n">
        <x:v>0</x:v>
      </x:c>
      <x:c r="L175" s="38" t="n">
        <x:v>0</x:v>
      </x:c>
      <x:c r="M175" s="38" t="n">
        <x:v>0</x:v>
      </x:c>
      <x:c r="N175" s="38" t="n">
        <x:v>0</x:v>
      </x:c>
      <x:c r="O175" s="38" t="n">
        <x:v>0</x:v>
      </x:c>
      <x:c r="P175" s="38" t="n">
        <x:f>F175+G175-H175+I175+J175+K175+L175-M175-N175-O175</x:f>
        <x:v>295663</x:v>
      </x:c>
      <x:c r="Q175" s="38" t="n">
        <x:v>295663</x:v>
      </x:c>
      <x:c r="R175" s="38" t="n">
        <x:f>P175-Q175</x:f>
        <x:v>0</x:v>
      </x:c>
      <x:c r="S175" s="38" t="n">
        <x:v>49813</x:v>
      </x:c>
      <x:c r="T175" s="38" t="n">
        <x:v>8319</x:v>
      </x:c>
      <x:c r="U175" s="38" t="n">
        <x:v>61</x:v>
      </x:c>
      <x:c r="V175" s="38" t="n">
        <x:v>2</x:v>
      </x:c>
      <x:c r="W175" s="38" t="n">
        <x:v>0</x:v>
      </x:c>
      <x:c r="X175" s="44" t="n">
        <x:v>0</x:v>
      </x:c>
      <x:c r="Y175" s="38" t="n">
        <x:v>140</x:v>
      </x:c>
      <x:c r="Z175" s="38" t="n">
        <x:v>30</x:v>
      </x:c>
      <x:c r="AA175" s="38" t="n">
        <x:v>17</x:v>
      </x:c>
      <x:c r="AB175" s="38" t="n">
        <x:v>5</x:v>
      </x:c>
      <x:c r="AC175" s="38" t="n">
        <x:v>6160</x:v>
      </x:c>
      <x:c r="AD175" s="38" t="n">
        <x:v>0</x:v>
      </x:c>
      <x:c r="AE175" s="38" t="n">
        <x:f>IF(B175=1,0,F175-Q174)</x:f>
        <x:v>0</x:v>
      </x:c>
    </x:row>
    <x:row r="176" ht="27" customHeight="1">
      <x:c r="A176" s="28" t="str">
        <x:v>Core F2P</x:v>
      </x:c>
      <x:c r="B176" s="38" t="n">
        <x:v>52</x:v>
      </x:c>
      <x:c r="C176" s="38" t="n">
        <x:v>29</x:v>
      </x:c>
      <x:c r="D176" s="38" t="n">
        <x:v>302452</x:v>
      </x:c>
      <x:c r="E176" s="38" t="n">
        <x:v>70</x:v>
      </x:c>
      <x:c r="F176" s="38" t="n">
        <x:v>295663</x:v>
      </x:c>
      <x:c r="G176" s="38" t="n">
        <x:v>61740</x:v>
      </x:c>
      <x:c r="H176" s="38" t="n">
        <x:v>12320</x:v>
      </x:c>
      <x:c r="I176" s="38" t="n">
        <x:v>2848</x:v>
      </x:c>
      <x:c r="J176" s="38" t="n">
        <x:v>0</x:v>
      </x:c>
      <x:c r="K176" s="38" t="n">
        <x:v>0</x:v>
      </x:c>
      <x:c r="L176" s="38" t="n">
        <x:v>0</x:v>
      </x:c>
      <x:c r="M176" s="38" t="n">
        <x:v>0</x:v>
      </x:c>
      <x:c r="N176" s="38" t="n">
        <x:v>2110</x:v>
      </x:c>
      <x:c r="O176" s="38" t="n">
        <x:v>0</x:v>
      </x:c>
      <x:c r="P176" s="38" t="n">
        <x:f>F176+G176-H176+I176+J176+K176+L176-M176-N176-O176</x:f>
        <x:v>345821</x:v>
      </x:c>
      <x:c r="Q176" s="38" t="n">
        <x:v>345821</x:v>
      </x:c>
      <x:c r="R176" s="38" t="n">
        <x:f>P176-Q176</x:f>
        <x:v>0</x:v>
      </x:c>
      <x:c r="S176" s="38" t="n">
        <x:v>49420</x:v>
      </x:c>
      <x:c r="T176" s="38" t="n">
        <x:v>8280</x:v>
      </x:c>
      <x:c r="U176" s="38" t="n">
        <x:v>61</x:v>
      </x:c>
      <x:c r="V176" s="38" t="n">
        <x:v>0</x:v>
      </x:c>
      <x:c r="W176" s="38" t="n">
        <x:v>0</x:v>
      </x:c>
      <x:c r="X176" s="44" t="n">
        <x:v>0</x:v>
      </x:c>
      <x:c r="Y176" s="38" t="n">
        <x:v>140</x:v>
      </x:c>
      <x:c r="Z176" s="38" t="n">
        <x:v>30</x:v>
      </x:c>
      <x:c r="AA176" s="38" t="n">
        <x:v>18</x:v>
      </x:c>
      <x:c r="AB176" s="38" t="n">
        <x:v>5</x:v>
      </x:c>
      <x:c r="AC176" s="38" t="n">
        <x:v>6160</x:v>
      </x:c>
      <x:c r="AD176" s="38" t="n">
        <x:v>0</x:v>
      </x:c>
      <x:c r="AE176" s="38" t="n">
        <x:f>IF(B176=1,0,F176-Q175)</x:f>
        <x:v>0</x:v>
      </x:c>
    </x:row>
    <x:row r="177" ht="27" customHeight="1">
      <x:c r="A177" s="28" t="str">
        <x:v>Core F2P</x:v>
      </x:c>
      <x:c r="B177" s="38" t="n">
        <x:v>53</x:v>
      </x:c>
      <x:c r="C177" s="38" t="n">
        <x:v>29</x:v>
      </x:c>
      <x:c r="D177" s="38" t="n">
        <x:v>310732</x:v>
      </x:c>
      <x:c r="E177" s="38" t="n">
        <x:v>70</x:v>
      </x:c>
      <x:c r="F177" s="38" t="n">
        <x:v>345821</x:v>
      </x:c>
      <x:c r="G177" s="38" t="n">
        <x:v>61740</x:v>
      </x:c>
      <x:c r="H177" s="38" t="n">
        <x:v>12320</x:v>
      </x:c>
      <x:c r="I177" s="38" t="n">
        <x:v>2848</x:v>
      </x:c>
      <x:c r="J177" s="38" t="n">
        <x:v>0</x:v>
      </x:c>
      <x:c r="K177" s="38" t="n">
        <x:v>0</x:v>
      </x:c>
      <x:c r="L177" s="38" t="n">
        <x:v>0</x:v>
      </x:c>
      <x:c r="M177" s="38" t="n">
        <x:v>0</x:v>
      </x:c>
      <x:c r="N177" s="38" t="n">
        <x:v>0</x:v>
      </x:c>
      <x:c r="O177" s="38" t="n">
        <x:v>0</x:v>
      </x:c>
      <x:c r="P177" s="38" t="n">
        <x:f>F177+G177-H177+I177+J177+K177+L177-M177-N177-O177</x:f>
        <x:v>398089</x:v>
      </x:c>
      <x:c r="Q177" s="38" t="n">
        <x:v>398089</x:v>
      </x:c>
      <x:c r="R177" s="38" t="n">
        <x:f>P177-Q177</x:f>
        <x:v>0</x:v>
      </x:c>
      <x:c r="S177" s="38" t="n">
        <x:v>49420</x:v>
      </x:c>
      <x:c r="T177" s="38" t="n">
        <x:v>8280</x:v>
      </x:c>
      <x:c r="U177" s="38" t="n">
        <x:v>61</x:v>
      </x:c>
      <x:c r="V177" s="38" t="n">
        <x:v>0</x:v>
      </x:c>
      <x:c r="W177" s="38" t="n">
        <x:v>0</x:v>
      </x:c>
      <x:c r="X177" s="44" t="n">
        <x:v>0</x:v>
      </x:c>
      <x:c r="Y177" s="38" t="n">
        <x:v>140</x:v>
      </x:c>
      <x:c r="Z177" s="38" t="n">
        <x:v>30</x:v>
      </x:c>
      <x:c r="AA177" s="38" t="n">
        <x:v>18</x:v>
      </x:c>
      <x:c r="AB177" s="38" t="n">
        <x:v>5</x:v>
      </x:c>
      <x:c r="AC177" s="38" t="n">
        <x:v>6160</x:v>
      </x:c>
      <x:c r="AD177" s="38" t="n">
        <x:v>0</x:v>
      </x:c>
      <x:c r="AE177" s="38" t="n">
        <x:f>IF(B177=1,0,F177-Q176)</x:f>
        <x:v>0</x:v>
      </x:c>
    </x:row>
    <x:row r="178" ht="27" customHeight="1">
      <x:c r="A178" s="28" t="str">
        <x:v>Core F2P</x:v>
      </x:c>
      <x:c r="B178" s="38" t="n">
        <x:v>54</x:v>
      </x:c>
      <x:c r="C178" s="38" t="n">
        <x:v>30</x:v>
      </x:c>
      <x:c r="D178" s="38" t="n">
        <x:v>319298</x:v>
      </x:c>
      <x:c r="E178" s="38" t="n">
        <x:v>75</x:v>
      </x:c>
      <x:c r="F178" s="38" t="n">
        <x:v>398089</x:v>
      </x:c>
      <x:c r="G178" s="38" t="n">
        <x:v>64170</x:v>
      </x:c>
      <x:c r="H178" s="38" t="n">
        <x:v>13635</x:v>
      </x:c>
      <x:c r="I178" s="38" t="n">
        <x:v>2848</x:v>
      </x:c>
      <x:c r="J178" s="38" t="n">
        <x:v>780</x:v>
      </x:c>
      <x:c r="K178" s="38" t="n">
        <x:v>0</x:v>
      </x:c>
      <x:c r="L178" s="38" t="n">
        <x:v>0</x:v>
      </x:c>
      <x:c r="M178" s="38" t="n">
        <x:v>300000</x:v>
      </x:c>
      <x:c r="N178" s="38" t="n">
        <x:v>0</x:v>
      </x:c>
      <x:c r="O178" s="38" t="n">
        <x:v>93639</x:v>
      </x:c>
      <x:c r="P178" s="38" t="n">
        <x:f>F178+G178-H178+I178+J178+K178+L178-M178-N178-O178</x:f>
        <x:v>58613</x:v>
      </x:c>
      <x:c r="Q178" s="38" t="n">
        <x:v>58613</x:v>
      </x:c>
      <x:c r="R178" s="38" t="n">
        <x:f>P178-Q178</x:f>
        <x:v>0</x:v>
      </x:c>
      <x:c r="S178" s="38" t="n">
        <x:v>51350</x:v>
      </x:c>
      <x:c r="T178" s="38" t="n">
        <x:v>8566</x:v>
      </x:c>
      <x:c r="U178" s="38" t="n">
        <x:v>64</x:v>
      </x:c>
      <x:c r="V178" s="38" t="n">
        <x:v>3</x:v>
      </x:c>
      <x:c r="W178" s="38" t="n">
        <x:v>0</x:v>
      </x:c>
      <x:c r="X178" s="44" t="n">
        <x:v>0</x:v>
      </x:c>
      <x:c r="Y178" s="38" t="n">
        <x:v>144</x:v>
      </x:c>
      <x:c r="Z178" s="38" t="n">
        <x:v>30</x:v>
      </x:c>
      <x:c r="AA178" s="38" t="n">
        <x:v>18</x:v>
      </x:c>
      <x:c r="AB178" s="38" t="n">
        <x:v>5</x:v>
      </x:c>
      <x:c r="AC178" s="38" t="n">
        <x:v>6975</x:v>
      </x:c>
      <x:c r="AD178" s="38" t="n">
        <x:v>0</x:v>
      </x:c>
      <x:c r="AE178" s="38" t="n">
        <x:f>IF(B178=1,0,F178-Q177)</x:f>
        <x:v>0</x:v>
      </x:c>
    </x:row>
    <x:row r="179" ht="27" customHeight="1">
      <x:c r="A179" s="28" t="str">
        <x:v>Core F2P</x:v>
      </x:c>
      <x:c r="B179" s="38" t="n">
        <x:v>55</x:v>
      </x:c>
      <x:c r="C179" s="38" t="n">
        <x:v>30</x:v>
      </x:c>
      <x:c r="D179" s="38" t="n">
        <x:v>328219</x:v>
      </x:c>
      <x:c r="E179" s="38" t="n">
        <x:v>75</x:v>
      </x:c>
      <x:c r="F179" s="38" t="n">
        <x:v>58613</x:v>
      </x:c>
      <x:c r="G179" s="38" t="n">
        <x:v>66600</x:v>
      </x:c>
      <x:c r="H179" s="38" t="n">
        <x:v>13320</x:v>
      </x:c>
      <x:c r="I179" s="38" t="n">
        <x:v>3112</x:v>
      </x:c>
      <x:c r="J179" s="38" t="n">
        <x:v>0</x:v>
      </x:c>
      <x:c r="K179" s="38" t="n">
        <x:v>0</x:v>
      </x:c>
      <x:c r="L179" s="38" t="n">
        <x:v>0</x:v>
      </x:c>
      <x:c r="M179" s="38" t="n">
        <x:v>0</x:v>
      </x:c>
      <x:c r="N179" s="38" t="n">
        <x:v>2180</x:v>
      </x:c>
      <x:c r="O179" s="38" t="n">
        <x:v>36016</x:v>
      </x:c>
      <x:c r="P179" s="38" t="n">
        <x:f>F179+G179-H179+I179+J179+K179+L179-M179-N179-O179</x:f>
        <x:v>76809</x:v>
      </x:c>
      <x:c r="Q179" s="38" t="n">
        <x:v>76809</x:v>
      </x:c>
      <x:c r="R179" s="38" t="n">
        <x:f>P179-Q179</x:f>
        <x:v>0</x:v>
      </x:c>
      <x:c r="S179" s="38" t="n">
        <x:v>53280</x:v>
      </x:c>
      <x:c r="T179" s="38" t="n">
        <x:v>8921</x:v>
      </x:c>
      <x:c r="U179" s="38" t="n">
        <x:v>64</x:v>
      </x:c>
      <x:c r="V179" s="38" t="n">
        <x:v>0</x:v>
      </x:c>
      <x:c r="W179" s="38" t="n">
        <x:v>0</x:v>
      </x:c>
      <x:c r="X179" s="44" t="n">
        <x:v>0</x:v>
      </x:c>
      <x:c r="Y179" s="38" t="n">
        <x:v>148</x:v>
      </x:c>
      <x:c r="Z179" s="38" t="n">
        <x:v>30</x:v>
      </x:c>
      <x:c r="AA179" s="38" t="n">
        <x:v>19</x:v>
      </x:c>
      <x:c r="AB179" s="38" t="n">
        <x:v>6</x:v>
      </x:c>
      <x:c r="AC179" s="38" t="n">
        <x:v>6975</x:v>
      </x:c>
      <x:c r="AD179" s="38" t="n">
        <x:v>0</x:v>
      </x:c>
      <x:c r="AE179" s="38" t="n">
        <x:f>IF(B179=1,0,F179-Q178)</x:f>
        <x:v>0</x:v>
      </x:c>
    </x:row>
    <x:row r="180" ht="27" customHeight="1">
      <x:c r="A180" s="28" t="str">
        <x:v>Core F2P</x:v>
      </x:c>
      <x:c r="B180" s="38" t="n">
        <x:v>56</x:v>
      </x:c>
      <x:c r="C180" s="38" t="n">
        <x:v>31</x:v>
      </x:c>
      <x:c r="D180" s="38" t="n">
        <x:v>341691</x:v>
      </x:c>
      <x:c r="E180" s="38" t="n">
        <x:v>75</x:v>
      </x:c>
      <x:c r="F180" s="38" t="n">
        <x:v>76809</x:v>
      </x:c>
      <x:c r="G180" s="38" t="n">
        <x:v>68625</x:v>
      </x:c>
      <x:c r="H180" s="38" t="n">
        <x:v>13650</x:v>
      </x:c>
      <x:c r="I180" s="38" t="n">
        <x:v>17067</x:v>
      </x:c>
      <x:c r="J180" s="38" t="n">
        <x:v>795</x:v>
      </x:c>
      <x:c r="K180" s="38" t="n">
        <x:v>0</x:v>
      </x:c>
      <x:c r="L180" s="38" t="n">
        <x:v>0</x:v>
      </x:c>
      <x:c r="M180" s="38" t="n">
        <x:v>0</x:v>
      </x:c>
      <x:c r="N180" s="38" t="n">
        <x:v>0</x:v>
      </x:c>
      <x:c r="O180" s="38" t="n">
        <x:v>0</x:v>
      </x:c>
      <x:c r="P180" s="38" t="n">
        <x:f>F180+G180-H180+I180+J180+K180+L180-M180-N180-O180</x:f>
        <x:v>149646</x:v>
      </x:c>
      <x:c r="Q180" s="38" t="n">
        <x:v>149646</x:v>
      </x:c>
      <x:c r="R180" s="38" t="n">
        <x:f>P180-Q180</x:f>
        <x:v>0</x:v>
      </x:c>
      <x:c r="S180" s="38" t="n">
        <x:v>54900</x:v>
      </x:c>
      <x:c r="T180" s="38" t="n">
        <x:v>13472</x:v>
      </x:c>
      <x:c r="U180" s="38" t="n">
        <x:v>66</x:v>
      </x:c>
      <x:c r="V180" s="38" t="n">
        <x:v>2</x:v>
      </x:c>
      <x:c r="W180" s="38" t="n">
        <x:v>0</x:v>
      </x:c>
      <x:c r="X180" s="44" t="n">
        <x:v>0</x:v>
      </x:c>
      <x:c r="Y180" s="38" t="n">
        <x:v>150</x:v>
      </x:c>
      <x:c r="Z180" s="38" t="n">
        <x:v>31</x:v>
      </x:c>
      <x:c r="AA180" s="38" t="n">
        <x:v>19</x:v>
      </x:c>
      <x:c r="AB180" s="38" t="n">
        <x:v>6</x:v>
      </x:c>
      <x:c r="AC180" s="38" t="n">
        <x:v>6900</x:v>
      </x:c>
      <x:c r="AD180" s="38" t="n">
        <x:v>0</x:v>
      </x:c>
      <x:c r="AE180" s="38" t="n">
        <x:f>IF(B180=1,0,F180-Q179)</x:f>
        <x:v>0</x:v>
      </x:c>
    </x:row>
    <x:row r="181" ht="27" customHeight="1">
      <x:c r="A181" s="28" t="str">
        <x:v>Core F2P</x:v>
      </x:c>
      <x:c r="B181" s="38" t="n">
        <x:v>57</x:v>
      </x:c>
      <x:c r="C181" s="38" t="n">
        <x:v>31</x:v>
      </x:c>
      <x:c r="D181" s="38" t="n">
        <x:v>350727</x:v>
      </x:c>
      <x:c r="E181" s="38" t="n">
        <x:v>75</x:v>
      </x:c>
      <x:c r="F181" s="38" t="n">
        <x:v>149646</x:v>
      </x:c>
      <x:c r="G181" s="38" t="n">
        <x:v>68850</x:v>
      </x:c>
      <x:c r="H181" s="38" t="n">
        <x:v>13800</x:v>
      </x:c>
      <x:c r="I181" s="38" t="n">
        <x:v>3172</x:v>
      </x:c>
      <x:c r="J181" s="38" t="n">
        <x:v>0</x:v>
      </x:c>
      <x:c r="K181" s="38" t="n">
        <x:v>0</x:v>
      </x:c>
      <x:c r="L181" s="38" t="n">
        <x:v>0</x:v>
      </x:c>
      <x:c r="M181" s="38" t="n">
        <x:v>0</x:v>
      </x:c>
      <x:c r="N181" s="38" t="n">
        <x:v>0</x:v>
      </x:c>
      <x:c r="O181" s="38" t="n">
        <x:v>0</x:v>
      </x:c>
      <x:c r="P181" s="38" t="n">
        <x:f>F181+G181-H181+I181+J181+K181+L181-M181-N181-O181</x:f>
        <x:v>207868</x:v>
      </x:c>
      <x:c r="Q181" s="38" t="n">
        <x:v>207868</x:v>
      </x:c>
      <x:c r="R181" s="38" t="n">
        <x:f>P181-Q181</x:f>
        <x:v>0</x:v>
      </x:c>
      <x:c r="S181" s="38" t="n">
        <x:v>55050</x:v>
      </x:c>
      <x:c r="T181" s="38" t="n">
        <x:v>9036</x:v>
      </x:c>
      <x:c r="U181" s="38" t="n">
        <x:v>66</x:v>
      </x:c>
      <x:c r="V181" s="38" t="n">
        <x:v>0</x:v>
      </x:c>
      <x:c r="W181" s="38" t="n">
        <x:v>0</x:v>
      </x:c>
      <x:c r="X181" s="44" t="n">
        <x:v>0</x:v>
      </x:c>
      <x:c r="Y181" s="38" t="n">
        <x:v>150</x:v>
      </x:c>
      <x:c r="Z181" s="38" t="n">
        <x:v>31</x:v>
      </x:c>
      <x:c r="AA181" s="38" t="n">
        <x:v>19</x:v>
      </x:c>
      <x:c r="AB181" s="38" t="n">
        <x:v>6</x:v>
      </x:c>
      <x:c r="AC181" s="38" t="n">
        <x:v>6900</x:v>
      </x:c>
      <x:c r="AD181" s="38" t="n">
        <x:v>0</x:v>
      </x:c>
      <x:c r="AE181" s="38" t="n">
        <x:f>IF(B181=1,0,F181-Q180)</x:f>
        <x:v>0</x:v>
      </x:c>
    </x:row>
    <x:row r="182" ht="27" customHeight="1">
      <x:c r="A182" s="28" t="str">
        <x:v>Core F2P</x:v>
      </x:c>
      <x:c r="B182" s="38" t="n">
        <x:v>58</x:v>
      </x:c>
      <x:c r="C182" s="38" t="n">
        <x:v>31</x:v>
      </x:c>
      <x:c r="D182" s="38" t="n">
        <x:v>359763</x:v>
      </x:c>
      <x:c r="E182" s="38" t="n">
        <x:v>75</x:v>
      </x:c>
      <x:c r="F182" s="38" t="n">
        <x:v>207868</x:v>
      </x:c>
      <x:c r="G182" s="38" t="n">
        <x:v>68850</x:v>
      </x:c>
      <x:c r="H182" s="38" t="n">
        <x:v>13800</x:v>
      </x:c>
      <x:c r="I182" s="38" t="n">
        <x:v>3172</x:v>
      </x:c>
      <x:c r="J182" s="38" t="n">
        <x:v>0</x:v>
      </x:c>
      <x:c r="K182" s="38" t="n">
        <x:v>0</x:v>
      </x:c>
      <x:c r="L182" s="38" t="n">
        <x:v>0</x:v>
      </x:c>
      <x:c r="M182" s="38" t="n">
        <x:v>0</x:v>
      </x:c>
      <x:c r="N182" s="38" t="n">
        <x:v>2180</x:v>
      </x:c>
      <x:c r="O182" s="38" t="n">
        <x:v>0</x:v>
      </x:c>
      <x:c r="P182" s="38" t="n">
        <x:f>F182+G182-H182+I182+J182+K182+L182-M182-N182-O182</x:f>
        <x:v>263910</x:v>
      </x:c>
      <x:c r="Q182" s="38" t="n">
        <x:v>263910</x:v>
      </x:c>
      <x:c r="R182" s="38" t="n">
        <x:f>P182-Q182</x:f>
        <x:v>0</x:v>
      </x:c>
      <x:c r="S182" s="38" t="n">
        <x:v>55050</x:v>
      </x:c>
      <x:c r="T182" s="38" t="n">
        <x:v>9036</x:v>
      </x:c>
      <x:c r="U182" s="38" t="n">
        <x:v>66</x:v>
      </x:c>
      <x:c r="V182" s="38" t="n">
        <x:v>0</x:v>
      </x:c>
      <x:c r="W182" s="38" t="n">
        <x:v>0</x:v>
      </x:c>
      <x:c r="X182" s="44" t="n">
        <x:v>0</x:v>
      </x:c>
      <x:c r="Y182" s="38" t="n">
        <x:v>150</x:v>
      </x:c>
      <x:c r="Z182" s="38" t="n">
        <x:v>31</x:v>
      </x:c>
      <x:c r="AA182" s="38" t="n">
        <x:v>20</x:v>
      </x:c>
      <x:c r="AB182" s="38" t="n">
        <x:v>6</x:v>
      </x:c>
      <x:c r="AC182" s="38" t="n">
        <x:v>6900</x:v>
      </x:c>
      <x:c r="AD182" s="38" t="n">
        <x:v>0</x:v>
      </x:c>
      <x:c r="AE182" s="38" t="n">
        <x:f>IF(B182=1,0,F182-Q181)</x:f>
        <x:v>0</x:v>
      </x:c>
    </x:row>
    <x:row r="183" ht="27" customHeight="1">
      <x:c r="A183" s="28" t="str">
        <x:v>Core F2P</x:v>
      </x:c>
      <x:c r="B183" s="38" t="n">
        <x:v>59</x:v>
      </x:c>
      <x:c r="C183" s="38" t="n">
        <x:v>31</x:v>
      </x:c>
      <x:c r="D183" s="38" t="n">
        <x:v>368799</x:v>
      </x:c>
      <x:c r="E183" s="38" t="n">
        <x:v>75</x:v>
      </x:c>
      <x:c r="F183" s="38" t="n">
        <x:v>263910</x:v>
      </x:c>
      <x:c r="G183" s="38" t="n">
        <x:v>68850</x:v>
      </x:c>
      <x:c r="H183" s="38" t="n">
        <x:v>13800</x:v>
      </x:c>
      <x:c r="I183" s="38" t="n">
        <x:v>3172</x:v>
      </x:c>
      <x:c r="J183" s="38" t="n">
        <x:v>0</x:v>
      </x:c>
      <x:c r="K183" s="38" t="n">
        <x:v>0</x:v>
      </x:c>
      <x:c r="L183" s="38" t="n">
        <x:v>0</x:v>
      </x:c>
      <x:c r="M183" s="38" t="n">
        <x:v>0</x:v>
      </x:c>
      <x:c r="N183" s="38" t="n">
        <x:v>0</x:v>
      </x:c>
      <x:c r="O183" s="38" t="n">
        <x:v>0</x:v>
      </x:c>
      <x:c r="P183" s="38" t="n">
        <x:f>F183+G183-H183+I183+J183+K183+L183-M183-N183-O183</x:f>
        <x:v>322132</x:v>
      </x:c>
      <x:c r="Q183" s="38" t="n">
        <x:v>322132</x:v>
      </x:c>
      <x:c r="R183" s="38" t="n">
        <x:f>P183-Q183</x:f>
        <x:v>0</x:v>
      </x:c>
      <x:c r="S183" s="38" t="n">
        <x:v>55050</x:v>
      </x:c>
      <x:c r="T183" s="38" t="n">
        <x:v>9036</x:v>
      </x:c>
      <x:c r="U183" s="38" t="n">
        <x:v>66</x:v>
      </x:c>
      <x:c r="V183" s="38" t="n">
        <x:v>0</x:v>
      </x:c>
      <x:c r="W183" s="38" t="n">
        <x:v>0</x:v>
      </x:c>
      <x:c r="X183" s="44" t="n">
        <x:v>0</x:v>
      </x:c>
      <x:c r="Y183" s="38" t="n">
        <x:v>150</x:v>
      </x:c>
      <x:c r="Z183" s="38" t="n">
        <x:v>31</x:v>
      </x:c>
      <x:c r="AA183" s="38" t="n">
        <x:v>20</x:v>
      </x:c>
      <x:c r="AB183" s="38" t="n">
        <x:v>6</x:v>
      </x:c>
      <x:c r="AC183" s="38" t="n">
        <x:v>6900</x:v>
      </x:c>
      <x:c r="AD183" s="38" t="n">
        <x:v>0</x:v>
      </x:c>
      <x:c r="AE183" s="38" t="n">
        <x:f>IF(B183=1,0,F183-Q182)</x:f>
        <x:v>0</x:v>
      </x:c>
    </x:row>
    <x:row r="184" ht="27" customHeight="1">
      <x:c r="A184" s="28" t="str">
        <x:v>Core F2P</x:v>
      </x:c>
      <x:c r="B184" s="38" t="n">
        <x:v>60</x:v>
      </x:c>
      <x:c r="C184" s="38" t="n">
        <x:v>32</x:v>
      </x:c>
      <x:c r="D184" s="38" t="n">
        <x:v>377783</x:v>
      </x:c>
      <x:c r="E184" s="38" t="n">
        <x:v>75</x:v>
      </x:c>
      <x:c r="F184" s="38" t="n">
        <x:v>322132</x:v>
      </x:c>
      <x:c r="G184" s="38" t="n">
        <x:v>69078</x:v>
      </x:c>
      <x:c r="H184" s="38" t="n">
        <x:v>14011</x:v>
      </x:c>
      <x:c r="I184" s="38" t="n">
        <x:v>3172</x:v>
      </x:c>
      <x:c r="J184" s="38" t="n">
        <x:v>810</x:v>
      </x:c>
      <x:c r="K184" s="38" t="n">
        <x:v>0</x:v>
      </x:c>
      <x:c r="L184" s="38" t="n">
        <x:v>0</x:v>
      </x:c>
      <x:c r="M184" s="38" t="n">
        <x:v>0</x:v>
      </x:c>
      <x:c r="N184" s="38" t="n">
        <x:v>0</x:v>
      </x:c>
      <x:c r="O184" s="38" t="n">
        <x:v>0</x:v>
      </x:c>
      <x:c r="P184" s="38" t="n">
        <x:f>F184+G184-H184+I184+J184+K184+L184-M184-N184-O184</x:f>
        <x:v>381181</x:v>
      </x:c>
      <x:c r="Q184" s="38" t="n">
        <x:v>381181</x:v>
      </x:c>
      <x:c r="R184" s="38" t="n">
        <x:f>P184-Q184</x:f>
        <x:v>0</x:v>
      </x:c>
      <x:c r="S184" s="38" t="n">
        <x:v>55217</x:v>
      </x:c>
      <x:c r="T184" s="38" t="n">
        <x:v>8984</x:v>
      </x:c>
      <x:c r="U184" s="38" t="n">
        <x:v>67</x:v>
      </x:c>
      <x:c r="V184" s="38" t="n">
        <x:v>1</x:v>
      </x:c>
      <x:c r="W184" s="38" t="n">
        <x:v>0</x:v>
      </x:c>
      <x:c r="X184" s="44" t="n">
        <x:v>0</x:v>
      </x:c>
      <x:c r="Y184" s="38" t="n">
        <x:v>150</x:v>
      </x:c>
      <x:c r="Z184" s="38" t="n">
        <x:v>32</x:v>
      </x:c>
      <x:c r="AA184" s="38" t="n">
        <x:v>20</x:v>
      </x:c>
      <x:c r="AB184" s="38" t="n">
        <x:v>6</x:v>
      </x:c>
      <x:c r="AC184" s="38" t="n">
        <x:v>7050</x:v>
      </x:c>
      <x:c r="AD184" s="38" t="n">
        <x:v>0</x:v>
      </x:c>
      <x:c r="AE184" s="38" t="n">
        <x:f>IF(B184=1,0,F184-Q183)</x:f>
        <x:v>0</x:v>
      </x:c>
    </x:row>
    <x:row r="185" ht="27" customHeight="1">
      <x:c r="A185" s="28" t="str">
        <x:v>Core F2P</x:v>
      </x:c>
      <x:c r="B185" s="38" t="n">
        <x:v>61</x:v>
      </x:c>
      <x:c r="C185" s="38" t="n">
        <x:v>32</x:v>
      </x:c>
      <x:c r="D185" s="38" t="n">
        <x:v>386826</x:v>
      </x:c>
      <x:c r="E185" s="38" t="n">
        <x:v>75</x:v>
      </x:c>
      <x:c r="F185" s="38" t="n">
        <x:v>381181</x:v>
      </x:c>
      <x:c r="G185" s="38" t="n">
        <x:v>70200</x:v>
      </x:c>
      <x:c r="H185" s="38" t="n">
        <x:v>14100</x:v>
      </x:c>
      <x:c r="I185" s="38" t="n">
        <x:v>3233</x:v>
      </x:c>
      <x:c r="J185" s="38" t="n">
        <x:v>0</x:v>
      </x:c>
      <x:c r="K185" s="38" t="n">
        <x:v>0</x:v>
      </x:c>
      <x:c r="L185" s="38" t="n">
        <x:v>0</x:v>
      </x:c>
      <x:c r="M185" s="38" t="n">
        <x:v>0</x:v>
      </x:c>
      <x:c r="N185" s="38" t="n">
        <x:v>1200</x:v>
      </x:c>
      <x:c r="O185" s="38" t="n">
        <x:v>0</x:v>
      </x:c>
      <x:c r="P185" s="38" t="n">
        <x:f>F185+G185-H185+I185+J185+K185+L185-M185-N185-O185</x:f>
        <x:v>439314</x:v>
      </x:c>
      <x:c r="Q185" s="38" t="n">
        <x:v>439314</x:v>
      </x:c>
      <x:c r="R185" s="38" t="n">
        <x:f>P185-Q185</x:f>
        <x:v>0</x:v>
      </x:c>
      <x:c r="S185" s="38" t="n">
        <x:v>56100</x:v>
      </x:c>
      <x:c r="T185" s="38" t="n">
        <x:v>9043</x:v>
      </x:c>
      <x:c r="U185" s="38" t="n">
        <x:v>67</x:v>
      </x:c>
      <x:c r="V185" s="38" t="n">
        <x:v>0</x:v>
      </x:c>
      <x:c r="W185" s="38" t="n">
        <x:v>0</x:v>
      </x:c>
      <x:c r="X185" s="44" t="n">
        <x:v>0</x:v>
      </x:c>
      <x:c r="Y185" s="38" t="n">
        <x:v>150</x:v>
      </x:c>
      <x:c r="Z185" s="38" t="n">
        <x:v>32</x:v>
      </x:c>
      <x:c r="AA185" s="38" t="n">
        <x:v>21</x:v>
      </x:c>
      <x:c r="AB185" s="38" t="n">
        <x:v>6</x:v>
      </x:c>
      <x:c r="AC185" s="38" t="n">
        <x:v>7050</x:v>
      </x:c>
      <x:c r="AD185" s="38" t="n">
        <x:v>0</x:v>
      </x:c>
      <x:c r="AE185" s="38" t="n">
        <x:f>IF(B185=1,0,F185-Q184)</x:f>
        <x:v>0</x:v>
      </x:c>
    </x:row>
    <x:row r="186" ht="27" customHeight="1">
      <x:c r="A186" s="28" t="str">
        <x:v>Core F2P</x:v>
      </x:c>
      <x:c r="B186" s="38" t="n">
        <x:v>62</x:v>
      </x:c>
      <x:c r="C186" s="38" t="n">
        <x:v>32</x:v>
      </x:c>
      <x:c r="D186" s="38" t="n">
        <x:v>395869</x:v>
      </x:c>
      <x:c r="E186" s="38" t="n">
        <x:v>75</x:v>
      </x:c>
      <x:c r="F186" s="38" t="n">
        <x:v>439314</x:v>
      </x:c>
      <x:c r="G186" s="38" t="n">
        <x:v>70200</x:v>
      </x:c>
      <x:c r="H186" s="38" t="n">
        <x:v>14100</x:v>
      </x:c>
      <x:c r="I186" s="38" t="n">
        <x:v>3233</x:v>
      </x:c>
      <x:c r="J186" s="38" t="n">
        <x:v>0</x:v>
      </x:c>
      <x:c r="K186" s="38" t="n">
        <x:v>0</x:v>
      </x:c>
      <x:c r="L186" s="38" t="n">
        <x:v>0</x:v>
      </x:c>
      <x:c r="M186" s="38" t="n">
        <x:v>0</x:v>
      </x:c>
      <x:c r="N186" s="38" t="n">
        <x:v>0</x:v>
      </x:c>
      <x:c r="O186" s="38" t="n">
        <x:v>0</x:v>
      </x:c>
      <x:c r="P186" s="38" t="n">
        <x:f>F186+G186-H186+I186+J186+K186+L186-M186-N186-O186</x:f>
        <x:v>498647</x:v>
      </x:c>
      <x:c r="Q186" s="38" t="n">
        <x:v>498647</x:v>
      </x:c>
      <x:c r="R186" s="38" t="n">
        <x:f>P186-Q186</x:f>
        <x:v>0</x:v>
      </x:c>
      <x:c r="S186" s="38" t="n">
        <x:v>56100</x:v>
      </x:c>
      <x:c r="T186" s="38" t="n">
        <x:v>9043</x:v>
      </x:c>
      <x:c r="U186" s="38" t="n">
        <x:v>67</x:v>
      </x:c>
      <x:c r="V186" s="38" t="n">
        <x:v>0</x:v>
      </x:c>
      <x:c r="W186" s="38" t="n">
        <x:v>0</x:v>
      </x:c>
      <x:c r="X186" s="44" t="n">
        <x:v>0</x:v>
      </x:c>
      <x:c r="Y186" s="38" t="n">
        <x:v>150</x:v>
      </x:c>
      <x:c r="Z186" s="38" t="n">
        <x:v>32</x:v>
      </x:c>
      <x:c r="AA186" s="38" t="n">
        <x:v>21</x:v>
      </x:c>
      <x:c r="AB186" s="38" t="n">
        <x:v>6</x:v>
      </x:c>
      <x:c r="AC186" s="38" t="n">
        <x:v>7050</x:v>
      </x:c>
      <x:c r="AD186" s="38" t="n">
        <x:v>0</x:v>
      </x:c>
      <x:c r="AE186" s="38" t="n">
        <x:f>IF(B186=1,0,F186-Q185)</x:f>
        <x:v>0</x:v>
      </x:c>
    </x:row>
    <x:row r="187" ht="27" customHeight="1">
      <x:c r="A187" s="28" t="str">
        <x:v>Core F2P</x:v>
      </x:c>
      <x:c r="B187" s="38" t="n">
        <x:v>63</x:v>
      </x:c>
      <x:c r="C187" s="38" t="n">
        <x:v>33</x:v>
      </x:c>
      <x:c r="D187" s="38" t="n">
        <x:v>409667</x:v>
      </x:c>
      <x:c r="E187" s="38" t="n">
        <x:v>75</x:v>
      </x:c>
      <x:c r="F187" s="38" t="n">
        <x:v>498647</x:v>
      </x:c>
      <x:c r="G187" s="38" t="n">
        <x:v>70800</x:v>
      </x:c>
      <x:c r="H187" s="38" t="n">
        <x:v>14250</x:v>
      </x:c>
      <x:c r="I187" s="38" t="n">
        <x:v>19095</x:v>
      </x:c>
      <x:c r="J187" s="38" t="n">
        <x:v>825</x:v>
      </x:c>
      <x:c r="K187" s="38" t="n">
        <x:v>0</x:v>
      </x:c>
      <x:c r="L187" s="38" t="n">
        <x:v>0</x:v>
      </x:c>
      <x:c r="M187" s="38" t="n">
        <x:v>0</x:v>
      </x:c>
      <x:c r="N187" s="38" t="n">
        <x:v>0</x:v>
      </x:c>
      <x:c r="O187" s="38" t="n">
        <x:v>0</x:v>
      </x:c>
      <x:c r="P187" s="38" t="n">
        <x:f>F187+G187-H187+I187+J187+K187+L187-M187-N187-O187</x:f>
        <x:v>575117</x:v>
      </x:c>
      <x:c r="Q187" s="38" t="n">
        <x:v>575117</x:v>
      </x:c>
      <x:c r="R187" s="38" t="n">
        <x:f>P187-Q187</x:f>
        <x:v>0</x:v>
      </x:c>
      <x:c r="S187" s="38" t="n">
        <x:v>56625</x:v>
      </x:c>
      <x:c r="T187" s="38" t="n">
        <x:v>13798</x:v>
      </x:c>
      <x:c r="U187" s="38" t="n">
        <x:v>69</x:v>
      </x:c>
      <x:c r="V187" s="38" t="n">
        <x:v>2</x:v>
      </x:c>
      <x:c r="W187" s="38" t="n">
        <x:v>0</x:v>
      </x:c>
      <x:c r="X187" s="44" t="n">
        <x:v>0</x:v>
      </x:c>
      <x:c r="Y187" s="38" t="n">
        <x:v>150</x:v>
      </x:c>
      <x:c r="Z187" s="38" t="n">
        <x:v>33</x:v>
      </x:c>
      <x:c r="AA187" s="38" t="n">
        <x:v>21</x:v>
      </x:c>
      <x:c r="AB187" s="38" t="n">
        <x:v>6</x:v>
      </x:c>
      <x:c r="AC187" s="38" t="n">
        <x:v>7125</x:v>
      </x:c>
      <x:c r="AD187" s="38" t="n">
        <x:v>0</x:v>
      </x:c>
      <x:c r="AE187" s="38" t="n">
        <x:f>IF(B187=1,0,F187-Q186)</x:f>
        <x:v>0</x:v>
      </x:c>
    </x:row>
    <x:row r="188" ht="27" customHeight="1">
      <x:c r="A188" s="28" t="str">
        <x:v>Core F2P</x:v>
      </x:c>
      <x:c r="B188" s="38" t="n">
        <x:v>64</x:v>
      </x:c>
      <x:c r="C188" s="38" t="n">
        <x:v>33</x:v>
      </x:c>
      <x:c r="D188" s="38" t="n">
        <x:v>418867</x:v>
      </x:c>
      <x:c r="E188" s="38" t="n">
        <x:v>75</x:v>
      </x:c>
      <x:c r="F188" s="38" t="n">
        <x:v>575117</x:v>
      </x:c>
      <x:c r="G188" s="38" t="n">
        <x:v>71400</x:v>
      </x:c>
      <x:c r="H188" s="38" t="n">
        <x:v>14250</x:v>
      </x:c>
      <x:c r="I188" s="38" t="n">
        <x:v>3294</x:v>
      </x:c>
      <x:c r="J188" s="38" t="n">
        <x:v>0</x:v>
      </x:c>
      <x:c r="K188" s="38" t="n">
        <x:v>0</x:v>
      </x:c>
      <x:c r="L188" s="38" t="n">
        <x:v>0</x:v>
      </x:c>
      <x:c r="M188" s="38" t="n">
        <x:v>0</x:v>
      </x:c>
      <x:c r="N188" s="38" t="n">
        <x:v>2710</x:v>
      </x:c>
      <x:c r="O188" s="38" t="n">
        <x:v>0</x:v>
      </x:c>
      <x:c r="P188" s="38" t="n">
        <x:f>F188+G188-H188+I188+J188+K188+L188-M188-N188-O188</x:f>
        <x:v>632851</x:v>
      </x:c>
      <x:c r="Q188" s="38" t="n">
        <x:v>632851</x:v>
      </x:c>
      <x:c r="R188" s="38" t="n">
        <x:f>P188-Q188</x:f>
        <x:v>0</x:v>
      </x:c>
      <x:c r="S188" s="38" t="n">
        <x:v>57150</x:v>
      </x:c>
      <x:c r="T188" s="38" t="n">
        <x:v>9200</x:v>
      </x:c>
      <x:c r="U188" s="38" t="n">
        <x:v>69</x:v>
      </x:c>
      <x:c r="V188" s="38" t="n">
        <x:v>0</x:v>
      </x:c>
      <x:c r="W188" s="38" t="n">
        <x:v>0</x:v>
      </x:c>
      <x:c r="X188" s="44" t="n">
        <x:v>0</x:v>
      </x:c>
      <x:c r="Y188" s="38" t="n">
        <x:v>150</x:v>
      </x:c>
      <x:c r="Z188" s="38" t="n">
        <x:v>33</x:v>
      </x:c>
      <x:c r="AA188" s="38" t="n">
        <x:v>22</x:v>
      </x:c>
      <x:c r="AB188" s="38" t="n">
        <x:v>6</x:v>
      </x:c>
      <x:c r="AC188" s="38" t="n">
        <x:v>7125</x:v>
      </x:c>
      <x:c r="AD188" s="38" t="n">
        <x:v>0</x:v>
      </x:c>
      <x:c r="AE188" s="38" t="n">
        <x:f>IF(B188=1,0,F188-Q187)</x:f>
        <x:v>0</x:v>
      </x:c>
    </x:row>
    <x:row r="189" ht="27" customHeight="1">
      <x:c r="A189" s="28" t="str">
        <x:v>Core F2P</x:v>
      </x:c>
      <x:c r="B189" s="38" t="n">
        <x:v>65</x:v>
      </x:c>
      <x:c r="C189" s="38" t="n">
        <x:v>33</x:v>
      </x:c>
      <x:c r="D189" s="38" t="n">
        <x:v>428067</x:v>
      </x:c>
      <x:c r="E189" s="38" t="n">
        <x:v>75</x:v>
      </x:c>
      <x:c r="F189" s="38" t="n">
        <x:v>632851</x:v>
      </x:c>
      <x:c r="G189" s="38" t="n">
        <x:v>71400</x:v>
      </x:c>
      <x:c r="H189" s="38" t="n">
        <x:v>14250</x:v>
      </x:c>
      <x:c r="I189" s="38" t="n">
        <x:v>3294</x:v>
      </x:c>
      <x:c r="J189" s="38" t="n">
        <x:v>0</x:v>
      </x:c>
      <x:c r="K189" s="38" t="n">
        <x:v>0</x:v>
      </x:c>
      <x:c r="L189" s="38" t="n">
        <x:v>0</x:v>
      </x:c>
      <x:c r="M189" s="38" t="n">
        <x:v>0</x:v>
      </x:c>
      <x:c r="N189" s="38" t="n">
        <x:v>0</x:v>
      </x:c>
      <x:c r="O189" s="38" t="n">
        <x:v>0</x:v>
      </x:c>
      <x:c r="P189" s="38" t="n">
        <x:f>F189+G189-H189+I189+J189+K189+L189-M189-N189-O189</x:f>
        <x:v>693295</x:v>
      </x:c>
      <x:c r="Q189" s="38" t="n">
        <x:v>693295</x:v>
      </x:c>
      <x:c r="R189" s="38" t="n">
        <x:f>P189-Q189</x:f>
        <x:v>0</x:v>
      </x:c>
      <x:c r="S189" s="38" t="n">
        <x:v>57150</x:v>
      </x:c>
      <x:c r="T189" s="38" t="n">
        <x:v>9200</x:v>
      </x:c>
      <x:c r="U189" s="38" t="n">
        <x:v>69</x:v>
      </x:c>
      <x:c r="V189" s="38" t="n">
        <x:v>0</x:v>
      </x:c>
      <x:c r="W189" s="38" t="n">
        <x:v>0</x:v>
      </x:c>
      <x:c r="X189" s="44" t="n">
        <x:v>0</x:v>
      </x:c>
      <x:c r="Y189" s="38" t="n">
        <x:v>150</x:v>
      </x:c>
      <x:c r="Z189" s="38" t="n">
        <x:v>33</x:v>
      </x:c>
      <x:c r="AA189" s="38" t="n">
        <x:v>22</x:v>
      </x:c>
      <x:c r="AB189" s="38" t="n">
        <x:v>6</x:v>
      </x:c>
      <x:c r="AC189" s="38" t="n">
        <x:v>7125</x:v>
      </x:c>
      <x:c r="AD189" s="38" t="n">
        <x:v>0</x:v>
      </x:c>
      <x:c r="AE189" s="38" t="n">
        <x:f>IF(B189=1,0,F189-Q188)</x:f>
        <x:v>0</x:v>
      </x:c>
    </x:row>
    <x:row r="190" ht="27" customHeight="1">
      <x:c r="A190" s="28" t="str">
        <x:v>Core F2P</x:v>
      </x:c>
      <x:c r="B190" s="38" t="n">
        <x:v>66</x:v>
      </x:c>
      <x:c r="C190" s="38" t="n">
        <x:v>33</x:v>
      </x:c>
      <x:c r="D190" s="38" t="n">
        <x:v>437267</x:v>
      </x:c>
      <x:c r="E190" s="38" t="n">
        <x:v>75</x:v>
      </x:c>
      <x:c r="F190" s="38" t="n">
        <x:v>693295</x:v>
      </x:c>
      <x:c r="G190" s="38" t="n">
        <x:v>71400</x:v>
      </x:c>
      <x:c r="H190" s="38" t="n">
        <x:v>14250</x:v>
      </x:c>
      <x:c r="I190" s="38" t="n">
        <x:v>3294</x:v>
      </x:c>
      <x:c r="J190" s="38" t="n">
        <x:v>0</x:v>
      </x:c>
      <x:c r="K190" s="38" t="n">
        <x:v>0</x:v>
      </x:c>
      <x:c r="L190" s="38" t="n">
        <x:v>0</x:v>
      </x:c>
      <x:c r="M190" s="38" t="n">
        <x:v>0</x:v>
      </x:c>
      <x:c r="N190" s="38" t="n">
        <x:v>0</x:v>
      </x:c>
      <x:c r="O190" s="38" t="n">
        <x:v>0</x:v>
      </x:c>
      <x:c r="P190" s="38" t="n">
        <x:f>F190+G190-H190+I190+J190+K190+L190-M190-N190-O190</x:f>
        <x:v>753739</x:v>
      </x:c>
      <x:c r="Q190" s="38" t="n">
        <x:v>753739</x:v>
      </x:c>
      <x:c r="R190" s="38" t="n">
        <x:f>P190-Q190</x:f>
        <x:v>0</x:v>
      </x:c>
      <x:c r="S190" s="38" t="n">
        <x:v>57150</x:v>
      </x:c>
      <x:c r="T190" s="38" t="n">
        <x:v>9200</x:v>
      </x:c>
      <x:c r="U190" s="38" t="n">
        <x:v>69</x:v>
      </x:c>
      <x:c r="V190" s="38" t="n">
        <x:v>0</x:v>
      </x:c>
      <x:c r="W190" s="38" t="n">
        <x:v>0</x:v>
      </x:c>
      <x:c r="X190" s="44" t="n">
        <x:v>0</x:v>
      </x:c>
      <x:c r="Y190" s="38" t="n">
        <x:v>150</x:v>
      </x:c>
      <x:c r="Z190" s="38" t="n">
        <x:v>33</x:v>
      </x:c>
      <x:c r="AA190" s="38" t="n">
        <x:v>22</x:v>
      </x:c>
      <x:c r="AB190" s="38" t="n">
        <x:v>6</x:v>
      </x:c>
      <x:c r="AC190" s="38" t="n">
        <x:v>7125</x:v>
      </x:c>
      <x:c r="AD190" s="38" t="n">
        <x:v>0</x:v>
      </x:c>
      <x:c r="AE190" s="38" t="n">
        <x:f>IF(B190=1,0,F190-Q189)</x:f>
        <x:v>0</x:v>
      </x:c>
    </x:row>
    <x:row r="191" ht="27" customHeight="1">
      <x:c r="A191" s="28" t="str">
        <x:v>Core F2P</x:v>
      </x:c>
      <x:c r="B191" s="38" t="n">
        <x:v>67</x:v>
      </x:c>
      <x:c r="C191" s="38" t="n">
        <x:v>34</x:v>
      </x:c>
      <x:c r="D191" s="38" t="n">
        <x:v>447017</x:v>
      </x:c>
      <x:c r="E191" s="38" t="n">
        <x:v>85</x:v>
      </x:c>
      <x:c r="F191" s="38" t="n">
        <x:v>753739</x:v>
      </x:c>
      <x:c r="G191" s="38" t="n">
        <x:v>76925</x:v>
      </x:c>
      <x:c r="H191" s="38" t="n">
        <x:v>16490</x:v>
      </x:c>
      <x:c r="I191" s="38" t="n">
        <x:v>3294</x:v>
      </x:c>
      <x:c r="J191" s="38" t="n">
        <x:v>950</x:v>
      </x:c>
      <x:c r="K191" s="38" t="n">
        <x:v>0</x:v>
      </x:c>
      <x:c r="L191" s="38" t="n">
        <x:v>0</x:v>
      </x:c>
      <x:c r="M191" s="38" t="n">
        <x:v>600000</x:v>
      </x:c>
      <x:c r="N191" s="38" t="n">
        <x:v>1490</x:v>
      </x:c>
      <x:c r="O191" s="38" t="n">
        <x:v>145315</x:v>
      </x:c>
      <x:c r="P191" s="38" t="n">
        <x:f>F191+G191-H191+I191+J191+K191+L191-M191-N191-O191</x:f>
        <x:v>71613</x:v>
      </x:c>
      <x:c r="Q191" s="38" t="n">
        <x:v>71613</x:v>
      </x:c>
      <x:c r="R191" s="38" t="n">
        <x:f>P191-Q191</x:f>
        <x:v>0</x:v>
      </x:c>
      <x:c r="S191" s="38" t="n">
        <x:v>61555</x:v>
      </x:c>
      <x:c r="T191" s="38" t="n">
        <x:v>9750</x:v>
      </x:c>
      <x:c r="U191" s="38" t="n">
        <x:v>70</x:v>
      </x:c>
      <x:c r="V191" s="38" t="n">
        <x:v>1</x:v>
      </x:c>
      <x:c r="W191" s="38" t="n">
        <x:v>0</x:v>
      </x:c>
      <x:c r="X191" s="44" t="n">
        <x:v>0</x:v>
      </x:c>
      <x:c r="Y191" s="38" t="n">
        <x:v>160</x:v>
      </x:c>
      <x:c r="Z191" s="38" t="n">
        <x:v>34</x:v>
      </x:c>
      <x:c r="AA191" s="38" t="n">
        <x:v>23</x:v>
      </x:c>
      <x:c r="AB191" s="38" t="n">
        <x:v>6</x:v>
      </x:c>
      <x:c r="AC191" s="38" t="n">
        <x:v>8245</x:v>
      </x:c>
      <x:c r="AD191" s="38" t="n">
        <x:v>0</x:v>
      </x:c>
      <x:c r="AE191" s="38" t="n">
        <x:f>IF(B191=1,0,F191-Q190)</x:f>
        <x:v>0</x:v>
      </x:c>
    </x:row>
    <x:row r="192" ht="27" customHeight="1">
      <x:c r="A192" s="28" t="str">
        <x:v>Core F2P</x:v>
      </x:c>
      <x:c r="B192" s="38" t="n">
        <x:v>68</x:v>
      </x:c>
      <x:c r="C192" s="38" t="n">
        <x:v>34</x:v>
      </x:c>
      <x:c r="D192" s="38" t="n">
        <x:v>457452</x:v>
      </x:c>
      <x:c r="E192" s="38" t="n">
        <x:v>85</x:v>
      </x:c>
      <x:c r="F192" s="38" t="n">
        <x:v>71613</x:v>
      </x:c>
      <x:c r="G192" s="38" t="n">
        <x:v>82450</x:v>
      </x:c>
      <x:c r="H192" s="38" t="n">
        <x:v>16490</x:v>
      </x:c>
      <x:c r="I192" s="38" t="n">
        <x:v>3802</x:v>
      </x:c>
      <x:c r="J192" s="38" t="n">
        <x:v>0</x:v>
      </x:c>
      <x:c r="K192" s="38" t="n">
        <x:v>0</x:v>
      </x:c>
      <x:c r="L192" s="38" t="n">
        <x:v>0</x:v>
      </x:c>
      <x:c r="M192" s="38" t="n">
        <x:v>0</x:v>
      </x:c>
      <x:c r="N192" s="38" t="n">
        <x:v>0</x:v>
      </x:c>
      <x:c r="O192" s="38" t="n">
        <x:v>44785</x:v>
      </x:c>
      <x:c r="P192" s="38" t="n">
        <x:f>F192+G192-H192+I192+J192+K192+L192-M192-N192-O192</x:f>
        <x:v>96590</x:v>
      </x:c>
      <x:c r="Q192" s="38" t="n">
        <x:v>96590</x:v>
      </x:c>
      <x:c r="R192" s="38" t="n">
        <x:f>P192-Q192</x:f>
        <x:v>0</x:v>
      </x:c>
      <x:c r="S192" s="38" t="n">
        <x:v>65960</x:v>
      </x:c>
      <x:c r="T192" s="38" t="n">
        <x:v>10435</x:v>
      </x:c>
      <x:c r="U192" s="38" t="n">
        <x:v>70</x:v>
      </x:c>
      <x:c r="V192" s="38" t="n">
        <x:v>0</x:v>
      </x:c>
      <x:c r="W192" s="38" t="n">
        <x:v>0</x:v>
      </x:c>
      <x:c r="X192" s="44" t="n">
        <x:v>0</x:v>
      </x:c>
      <x:c r="Y192" s="38" t="n">
        <x:v>170</x:v>
      </x:c>
      <x:c r="Z192" s="38" t="n">
        <x:v>34</x:v>
      </x:c>
      <x:c r="AA192" s="38" t="n">
        <x:v>23</x:v>
      </x:c>
      <x:c r="AB192" s="38" t="n">
        <x:v>7</x:v>
      </x:c>
      <x:c r="AC192" s="38" t="n">
        <x:v>8245</x:v>
      </x:c>
      <x:c r="AD192" s="38" t="n">
        <x:v>0</x:v>
      </x:c>
      <x:c r="AE192" s="38" t="n">
        <x:f>IF(B192=1,0,F192-Q191)</x:f>
        <x:v>0</x:v>
      </x:c>
    </x:row>
    <x:row r="193" ht="27" customHeight="1">
      <x:c r="A193" s="28" t="str">
        <x:v>Core F2P</x:v>
      </x:c>
      <x:c r="B193" s="38" t="n">
        <x:v>69</x:v>
      </x:c>
      <x:c r="C193" s="38" t="n">
        <x:v>34</x:v>
      </x:c>
      <x:c r="D193" s="38" t="n">
        <x:v>467887</x:v>
      </x:c>
      <x:c r="E193" s="38" t="n">
        <x:v>85</x:v>
      </x:c>
      <x:c r="F193" s="38" t="n">
        <x:v>96590</x:v>
      </x:c>
      <x:c r="G193" s="38" t="n">
        <x:v>82450</x:v>
      </x:c>
      <x:c r="H193" s="38" t="n">
        <x:v>16490</x:v>
      </x:c>
      <x:c r="I193" s="38" t="n">
        <x:v>3802</x:v>
      </x:c>
      <x:c r="J193" s="38" t="n">
        <x:v>0</x:v>
      </x:c>
      <x:c r="K193" s="38" t="n">
        <x:v>0</x:v>
      </x:c>
      <x:c r="L193" s="38" t="n">
        <x:v>0</x:v>
      </x:c>
      <x:c r="M193" s="38" t="n">
        <x:v>0</x:v>
      </x:c>
      <x:c r="N193" s="38" t="n">
        <x:v>0</x:v>
      </x:c>
      <x:c r="O193" s="38" t="n">
        <x:v>0</x:v>
      </x:c>
      <x:c r="P193" s="38" t="n">
        <x:f>F193+G193-H193+I193+J193+K193+L193-M193-N193-O193</x:f>
        <x:v>166352</x:v>
      </x:c>
      <x:c r="Q193" s="38" t="n">
        <x:v>166352</x:v>
      </x:c>
      <x:c r="R193" s="38" t="n">
        <x:f>P193-Q193</x:f>
        <x:v>0</x:v>
      </x:c>
      <x:c r="S193" s="38" t="n">
        <x:v>65960</x:v>
      </x:c>
      <x:c r="T193" s="38" t="n">
        <x:v>10435</x:v>
      </x:c>
      <x:c r="U193" s="38" t="n">
        <x:v>70</x:v>
      </x:c>
      <x:c r="V193" s="38" t="n">
        <x:v>0</x:v>
      </x:c>
      <x:c r="W193" s="38" t="n">
        <x:v>0</x:v>
      </x:c>
      <x:c r="X193" s="44" t="n">
        <x:v>0</x:v>
      </x:c>
      <x:c r="Y193" s="38" t="n">
        <x:v>170</x:v>
      </x:c>
      <x:c r="Z193" s="38" t="n">
        <x:v>34</x:v>
      </x:c>
      <x:c r="AA193" s="38" t="n">
        <x:v>23</x:v>
      </x:c>
      <x:c r="AB193" s="38" t="n">
        <x:v>7</x:v>
      </x:c>
      <x:c r="AC193" s="38" t="n">
        <x:v>8245</x:v>
      </x:c>
      <x:c r="AD193" s="38" t="n">
        <x:v>0</x:v>
      </x:c>
      <x:c r="AE193" s="38" t="n">
        <x:f>IF(B193=1,0,F193-Q192)</x:f>
        <x:v>0</x:v>
      </x:c>
    </x:row>
    <x:row r="194" ht="27" customHeight="1">
      <x:c r="A194" s="28" t="str">
        <x:v>Core F2P</x:v>
      </x:c>
      <x:c r="B194" s="38" t="n">
        <x:v>70</x:v>
      </x:c>
      <x:c r="C194" s="38" t="n">
        <x:v>35</x:v>
      </x:c>
      <x:c r="D194" s="38" t="n">
        <x:v>483074</x:v>
      </x:c>
      <x:c r="E194" s="38" t="n">
        <x:v>85</x:v>
      </x:c>
      <x:c r="F194" s="38" t="n">
        <x:v>166352</x:v>
      </x:c>
      <x:c r="G194" s="38" t="n">
        <x:v>82450</x:v>
      </x:c>
      <x:c r="H194" s="38" t="n">
        <x:v>16945</x:v>
      </x:c>
      <x:c r="I194" s="38" t="n">
        <x:v>20272</x:v>
      </x:c>
      <x:c r="J194" s="38" t="n">
        <x:v>970</x:v>
      </x:c>
      <x:c r="K194" s="38" t="n">
        <x:v>0</x:v>
      </x:c>
      <x:c r="L194" s="38" t="n">
        <x:v>0</x:v>
      </x:c>
      <x:c r="M194" s="38" t="n">
        <x:v>0</x:v>
      </x:c>
      <x:c r="N194" s="38" t="n">
        <x:v>2870</x:v>
      </x:c>
      <x:c r="O194" s="38" t="n">
        <x:v>0</x:v>
      </x:c>
      <x:c r="P194" s="38" t="n">
        <x:f>F194+G194-H194+I194+J194+K194+L194-M194-N194-O194</x:f>
        <x:v>250229</x:v>
      </x:c>
      <x:c r="Q194" s="38" t="n">
        <x:v>250229</x:v>
      </x:c>
      <x:c r="R194" s="38" t="n">
        <x:f>P194-Q194</x:f>
        <x:v>0</x:v>
      </x:c>
      <x:c r="S194" s="38" t="n">
        <x:v>65960</x:v>
      </x:c>
      <x:c r="T194" s="38" t="n">
        <x:v>15187</x:v>
      </x:c>
      <x:c r="U194" s="38" t="n">
        <x:v>75</x:v>
      </x:c>
      <x:c r="V194" s="38" t="n">
        <x:v>5</x:v>
      </x:c>
      <x:c r="W194" s="38" t="n">
        <x:v>0</x:v>
      </x:c>
      <x:c r="X194" s="44" t="n">
        <x:v>0</x:v>
      </x:c>
      <x:c r="Y194" s="38" t="n">
        <x:v>170</x:v>
      </x:c>
      <x:c r="Z194" s="38" t="n">
        <x:v>34</x:v>
      </x:c>
      <x:c r="AA194" s="38" t="n">
        <x:v>24</x:v>
      </x:c>
      <x:c r="AB194" s="38" t="n">
        <x:v>7</x:v>
      </x:c>
      <x:c r="AC194" s="38" t="n">
        <x:v>8700</x:v>
      </x:c>
      <x:c r="AD194" s="38" t="n">
        <x:v>0</x:v>
      </x:c>
      <x:c r="AE194" s="38" t="n">
        <x:f>IF(B194=1,0,F194-Q193)</x:f>
        <x:v>0</x:v>
      </x:c>
    </x:row>
    <x:row r="195" ht="27" customHeight="1">
      <x:c r="A195" s="28" t="str">
        <x:v>Core F2P</x:v>
      </x:c>
      <x:c r="B195" s="38" t="n">
        <x:v>71</x:v>
      </x:c>
      <x:c r="C195" s="38" t="n">
        <x:v>35</x:v>
      </x:c>
      <x:c r="D195" s="38" t="n">
        <x:v>493575</x:v>
      </x:c>
      <x:c r="E195" s="38" t="n">
        <x:v>85</x:v>
      </x:c>
      <x:c r="F195" s="38" t="n">
        <x:v>250229</x:v>
      </x:c>
      <x:c r="G195" s="38" t="n">
        <x:v>82992</x:v>
      </x:c>
      <x:c r="H195" s="38" t="n">
        <x:v>16632</x:v>
      </x:c>
      <x:c r="I195" s="38" t="n">
        <x:v>3871</x:v>
      </x:c>
      <x:c r="J195" s="38" t="n">
        <x:v>0</x:v>
      </x:c>
      <x:c r="K195" s="38" t="n">
        <x:v>0</x:v>
      </x:c>
      <x:c r="L195" s="38" t="n">
        <x:v>0</x:v>
      </x:c>
      <x:c r="M195" s="38" t="n">
        <x:v>0</x:v>
      </x:c>
      <x:c r="N195" s="38" t="n">
        <x:v>0</x:v>
      </x:c>
      <x:c r="O195" s="38" t="n">
        <x:v>0</x:v>
      </x:c>
      <x:c r="P195" s="38" t="n">
        <x:f>F195+G195-H195+I195+J195+K195+L195-M195-N195-O195</x:f>
        <x:v>320460</x:v>
      </x:c>
      <x:c r="Q195" s="38" t="n">
        <x:v>320460</x:v>
      </x:c>
      <x:c r="R195" s="38" t="n">
        <x:f>P195-Q195</x:f>
        <x:v>0</x:v>
      </x:c>
      <x:c r="S195" s="38" t="n">
        <x:v>66360</x:v>
      </x:c>
      <x:c r="T195" s="38" t="n">
        <x:v>10501</x:v>
      </x:c>
      <x:c r="U195" s="38" t="n">
        <x:v>75</x:v>
      </x:c>
      <x:c r="V195" s="38" t="n">
        <x:v>0</x:v>
      </x:c>
      <x:c r="W195" s="38" t="n">
        <x:v>0</x:v>
      </x:c>
      <x:c r="X195" s="44" t="n">
        <x:v>0</x:v>
      </x:c>
      <x:c r="Y195" s="38" t="n">
        <x:v>168</x:v>
      </x:c>
      <x:c r="Z195" s="38" t="n">
        <x:v>34</x:v>
      </x:c>
      <x:c r="AA195" s="38" t="n">
        <x:v>24</x:v>
      </x:c>
      <x:c r="AB195" s="38" t="n">
        <x:v>7</x:v>
      </x:c>
      <x:c r="AC195" s="38" t="n">
        <x:v>8700</x:v>
      </x:c>
      <x:c r="AD195" s="38" t="n">
        <x:v>0</x:v>
      </x:c>
      <x:c r="AE195" s="38" t="n">
        <x:f>IF(B195=1,0,F195-Q194)</x:f>
        <x:v>0</x:v>
      </x:c>
    </x:row>
    <x:row r="196" ht="27" customHeight="1">
      <x:c r="A196" s="28" t="str">
        <x:v>Core F2P</x:v>
      </x:c>
      <x:c r="B196" s="38" t="n">
        <x:v>72</x:v>
      </x:c>
      <x:c r="C196" s="38" t="n">
        <x:v>35</x:v>
      </x:c>
      <x:c r="D196" s="38" t="n">
        <x:v>504293</x:v>
      </x:c>
      <x:c r="E196" s="38" t="n">
        <x:v>85</x:v>
      </x:c>
      <x:c r="F196" s="38" t="n">
        <x:v>320460</x:v>
      </x:c>
      <x:c r="G196" s="38" t="n">
        <x:v>84912</x:v>
      </x:c>
      <x:c r="H196" s="38" t="n">
        <x:v>16731</x:v>
      </x:c>
      <x:c r="I196" s="38" t="n">
        <x:v>3871</x:v>
      </x:c>
      <x:c r="J196" s="38" t="n">
        <x:v>0</x:v>
      </x:c>
      <x:c r="K196" s="38" t="n">
        <x:v>0</x:v>
      </x:c>
      <x:c r="L196" s="38" t="n">
        <x:v>0</x:v>
      </x:c>
      <x:c r="M196" s="38" t="n">
        <x:v>0</x:v>
      </x:c>
      <x:c r="N196" s="38" t="n">
        <x:v>0</x:v>
      </x:c>
      <x:c r="O196" s="38" t="n">
        <x:v>0</x:v>
      </x:c>
      <x:c r="P196" s="38" t="n">
        <x:f>F196+G196-H196+I196+J196+K196+L196-M196-N196-O196</x:f>
        <x:v>392512</x:v>
      </x:c>
      <x:c r="Q196" s="38" t="n">
        <x:v>392512</x:v>
      </x:c>
      <x:c r="R196" s="38" t="n">
        <x:f>P196-Q196</x:f>
        <x:v>0</x:v>
      </x:c>
      <x:c r="S196" s="38" t="n">
        <x:v>67896</x:v>
      </x:c>
      <x:c r="T196" s="38" t="n">
        <x:v>10718</x:v>
      </x:c>
      <x:c r="U196" s="38" t="n">
        <x:v>77</x:v>
      </x:c>
      <x:c r="V196" s="38" t="n">
        <x:v>2</x:v>
      </x:c>
      <x:c r="W196" s="38" t="n">
        <x:v>0</x:v>
      </x:c>
      <x:c r="X196" s="44" t="n">
        <x:v>0</x:v>
      </x:c>
      <x:c r="Y196" s="38" t="n">
        <x:v>169</x:v>
      </x:c>
      <x:c r="Z196" s="38" t="n">
        <x:v>35</x:v>
      </x:c>
      <x:c r="AA196" s="38" t="n">
        <x:v>24</x:v>
      </x:c>
      <x:c r="AB196" s="38" t="n">
        <x:v>7</x:v>
      </x:c>
      <x:c r="AC196" s="38" t="n">
        <x:v>8415</x:v>
      </x:c>
      <x:c r="AD196" s="38" t="n">
        <x:v>0</x:v>
      </x:c>
      <x:c r="AE196" s="38" t="n">
        <x:f>IF(B196=1,0,F196-Q195)</x:f>
        <x:v>0</x:v>
      </x:c>
    </x:row>
    <x:row r="197" ht="27" customHeight="1">
      <x:c r="A197" s="28" t="str">
        <x:v>Core F2P</x:v>
      </x:c>
      <x:c r="B197" s="38" t="n">
        <x:v>73</x:v>
      </x:c>
      <x:c r="C197" s="38" t="n">
        <x:v>35</x:v>
      </x:c>
      <x:c r="D197" s="38" t="n">
        <x:v>514906</x:v>
      </x:c>
      <x:c r="E197" s="38" t="n">
        <x:v>85</x:v>
      </x:c>
      <x:c r="F197" s="38" t="n">
        <x:v>392512</x:v>
      </x:c>
      <x:c r="G197" s="38" t="n">
        <x:v>83980</x:v>
      </x:c>
      <x:c r="H197" s="38" t="n">
        <x:v>16830</x:v>
      </x:c>
      <x:c r="I197" s="38" t="n">
        <x:v>3871</x:v>
      </x:c>
      <x:c r="J197" s="38" t="n">
        <x:v>0</x:v>
      </x:c>
      <x:c r="K197" s="38" t="n">
        <x:v>0</x:v>
      </x:c>
      <x:c r="L197" s="38" t="n">
        <x:v>0</x:v>
      </x:c>
      <x:c r="M197" s="38" t="n">
        <x:v>0</x:v>
      </x:c>
      <x:c r="N197" s="38" t="n">
        <x:v>1575</x:v>
      </x:c>
      <x:c r="O197" s="38" t="n">
        <x:v>0</x:v>
      </x:c>
      <x:c r="P197" s="38" t="n">
        <x:f>F197+G197-H197+I197+J197+K197+L197-M197-N197-O197</x:f>
        <x:v>461958</x:v>
      </x:c>
      <x:c r="Q197" s="38" t="n">
        <x:v>461958</x:v>
      </x:c>
      <x:c r="R197" s="38" t="n">
        <x:f>P197-Q197</x:f>
        <x:v>0</x:v>
      </x:c>
      <x:c r="S197" s="38" t="n">
        <x:v>67150</x:v>
      </x:c>
      <x:c r="T197" s="38" t="n">
        <x:v>10613</x:v>
      </x:c>
      <x:c r="U197" s="38" t="n">
        <x:v>77</x:v>
      </x:c>
      <x:c r="V197" s="38" t="n">
        <x:v>0</x:v>
      </x:c>
      <x:c r="W197" s="38" t="n">
        <x:v>0</x:v>
      </x:c>
      <x:c r="X197" s="44" t="n">
        <x:v>0</x:v>
      </x:c>
      <x:c r="Y197" s="38" t="n">
        <x:v>170</x:v>
      </x:c>
      <x:c r="Z197" s="38" t="n">
        <x:v>35</x:v>
      </x:c>
      <x:c r="AA197" s="38" t="n">
        <x:v>25</x:v>
      </x:c>
      <x:c r="AB197" s="38" t="n">
        <x:v>7</x:v>
      </x:c>
      <x:c r="AC197" s="38" t="n">
        <x:v>8415</x:v>
      </x:c>
      <x:c r="AD197" s="38" t="n">
        <x:v>0</x:v>
      </x:c>
      <x:c r="AE197" s="38" t="n">
        <x:f>IF(B197=1,0,F197-Q196)</x:f>
        <x:v>0</x:v>
      </x:c>
    </x:row>
    <x:row r="198" ht="27" customHeight="1">
      <x:c r="A198" s="28" t="str">
        <x:v>Core F2P</x:v>
      </x:c>
      <x:c r="B198" s="38" t="n">
        <x:v>74</x:v>
      </x:c>
      <x:c r="C198" s="38" t="n">
        <x:v>36</x:v>
      </x:c>
      <x:c r="D198" s="38" t="n">
        <x:v>525519</x:v>
      </x:c>
      <x:c r="E198" s="38" t="n">
        <x:v>90</x:v>
      </x:c>
      <x:c r="F198" s="38" t="n">
        <x:v>461958</x:v>
      </x:c>
      <x:c r="G198" s="38" t="n">
        <x:v>83980</x:v>
      </x:c>
      <x:c r="H198" s="38" t="n">
        <x:v>18487</x:v>
      </x:c>
      <x:c r="I198" s="38" t="n">
        <x:v>3871</x:v>
      </x:c>
      <x:c r="J198" s="38" t="n">
        <x:v>1045</x:v>
      </x:c>
      <x:c r="K198" s="38" t="n">
        <x:v>0</x:v>
      </x:c>
      <x:c r="L198" s="38" t="n">
        <x:v>0</x:v>
      </x:c>
      <x:c r="M198" s="38" t="n">
        <x:v>425000</x:v>
      </x:c>
      <x:c r="N198" s="38" t="n">
        <x:v>0</x:v>
      </x:c>
      <x:c r="O198" s="38" t="n">
        <x:v>0</x:v>
      </x:c>
      <x:c r="P198" s="38" t="n">
        <x:f>F198+G198-H198+I198+J198+K198+L198-M198-N198-O198</x:f>
        <x:v>107367</x:v>
      </x:c>
      <x:c r="Q198" s="38" t="n">
        <x:v>107367</x:v>
      </x:c>
      <x:c r="R198" s="38" t="n">
        <x:f>P198-Q198</x:f>
        <x:v>0</x:v>
      </x:c>
      <x:c r="S198" s="38" t="n">
        <x:v>67150</x:v>
      </x:c>
      <x:c r="T198" s="38" t="n">
        <x:v>10613</x:v>
      </x:c>
      <x:c r="U198" s="38" t="n">
        <x:v>78</x:v>
      </x:c>
      <x:c r="V198" s="38" t="n">
        <x:v>1</x:v>
      </x:c>
      <x:c r="W198" s="38" t="n">
        <x:v>0</x:v>
      </x:c>
      <x:c r="X198" s="44" t="n">
        <x:v>0</x:v>
      </x:c>
      <x:c r="Y198" s="38" t="n">
        <x:v>170</x:v>
      </x:c>
      <x:c r="Z198" s="38" t="n">
        <x:v>35</x:v>
      </x:c>
      <x:c r="AA198" s="38" t="n">
        <x:v>25</x:v>
      </x:c>
      <x:c r="AB198" s="38" t="n">
        <x:v>7</x:v>
      </x:c>
      <x:c r="AC198" s="38" t="n">
        <x:v>10072</x:v>
      </x:c>
      <x:c r="AD198" s="38" t="n">
        <x:v>0</x:v>
      </x:c>
      <x:c r="AE198" s="38" t="n">
        <x:f>IF(B198=1,0,F198-Q197)</x:f>
        <x:v>0</x:v>
      </x:c>
    </x:row>
    <x:row r="199" ht="27" customHeight="1">
      <x:c r="A199" s="28" t="str">
        <x:v>Core F2P</x:v>
      </x:c>
      <x:c r="B199" s="38" t="n">
        <x:v>75</x:v>
      </x:c>
      <x:c r="C199" s="38" t="n">
        <x:v>36</x:v>
      </x:c>
      <x:c r="D199" s="38" t="n">
        <x:v>535871</x:v>
      </x:c>
      <x:c r="E199" s="38" t="n">
        <x:v>90</x:v>
      </x:c>
      <x:c r="F199" s="38" t="n">
        <x:v>107367</x:v>
      </x:c>
      <x:c r="G199" s="38" t="n">
        <x:v>99400</x:v>
      </x:c>
      <x:c r="H199" s="38" t="n">
        <x:v>19869</x:v>
      </x:c>
      <x:c r="I199" s="38" t="n">
        <x:v>4172</x:v>
      </x:c>
      <x:c r="J199" s="38" t="n">
        <x:v>0</x:v>
      </x:c>
      <x:c r="K199" s="38" t="n">
        <x:v>0</x:v>
      </x:c>
      <x:c r="L199" s="38" t="n">
        <x:v>0</x:v>
      </x:c>
      <x:c r="M199" s="38" t="n">
        <x:v>0</x:v>
      </x:c>
      <x:c r="N199" s="38" t="n">
        <x:v>0</x:v>
      </x:c>
      <x:c r="O199" s="38" t="n">
        <x:v>0</x:v>
      </x:c>
      <x:c r="P199" s="38" t="n">
        <x:f>F199+G199-H199+I199+J199+K199+L199-M199-N199-O199</x:f>
        <x:v>191070</x:v>
      </x:c>
      <x:c r="Q199" s="38" t="n">
        <x:v>191070</x:v>
      </x:c>
      <x:c r="R199" s="38" t="n">
        <x:f>P199-Q199</x:f>
        <x:v>0</x:v>
      </x:c>
      <x:c r="S199" s="38" t="n">
        <x:v>79449</x:v>
      </x:c>
      <x:c r="T199" s="38" t="n">
        <x:v>10352</x:v>
      </x:c>
      <x:c r="U199" s="38" t="n">
        <x:v>78</x:v>
      </x:c>
      <x:c r="V199" s="38" t="n">
        <x:v>0</x:v>
      </x:c>
      <x:c r="W199" s="38" t="n">
        <x:v>0</x:v>
      </x:c>
      <x:c r="X199" s="44" t="n">
        <x:v>0</x:v>
      </x:c>
      <x:c r="Y199" s="38" t="n">
        <x:v>179</x:v>
      </x:c>
      <x:c r="Z199" s="38" t="n">
        <x:v>36</x:v>
      </x:c>
      <x:c r="AA199" s="38" t="n">
        <x:v>25</x:v>
      </x:c>
      <x:c r="AB199" s="38" t="n">
        <x:v>7</x:v>
      </x:c>
      <x:c r="AC199" s="38" t="n">
        <x:v>9990</x:v>
      </x:c>
      <x:c r="AD199" s="38" t="n">
        <x:v>0</x:v>
      </x:c>
      <x:c r="AE199" s="38" t="n">
        <x:f>IF(B199=1,0,F199-Q198)</x:f>
        <x:v>0</x:v>
      </x:c>
    </x:row>
    <x:row r="200" ht="27" customHeight="1">
      <x:c r="A200" s="28" t="str">
        <x:v>Core F2P</x:v>
      </x:c>
      <x:c r="B200" s="38" t="n">
        <x:v>76</x:v>
      </x:c>
      <x:c r="C200" s="38" t="n">
        <x:v>36</x:v>
      </x:c>
      <x:c r="D200" s="38" t="n">
        <x:v>546217</x:v>
      </x:c>
      <x:c r="E200" s="38" t="n">
        <x:v>90</x:v>
      </x:c>
      <x:c r="F200" s="38" t="n">
        <x:v>191070</x:v>
      </x:c>
      <x:c r="G200" s="38" t="n">
        <x:v>99540</x:v>
      </x:c>
      <x:c r="H200" s="38" t="n">
        <x:v>19980</x:v>
      </x:c>
      <x:c r="I200" s="38" t="n">
        <x:v>4172</x:v>
      </x:c>
      <x:c r="J200" s="38" t="n">
        <x:v>0</x:v>
      </x:c>
      <x:c r="K200" s="38" t="n">
        <x:v>0</x:v>
      </x:c>
      <x:c r="L200" s="38" t="n">
        <x:v>0</x:v>
      </x:c>
      <x:c r="M200" s="38" t="n">
        <x:v>0</x:v>
      </x:c>
      <x:c r="N200" s="38" t="n">
        <x:v>3900</x:v>
      </x:c>
      <x:c r="O200" s="38" t="n">
        <x:v>0</x:v>
      </x:c>
      <x:c r="P200" s="38" t="n">
        <x:f>F200+G200-H200+I200+J200+K200+L200-M200-N200-O200</x:f>
        <x:v>270902</x:v>
      </x:c>
      <x:c r="Q200" s="38" t="n">
        <x:v>270902</x:v>
      </x:c>
      <x:c r="R200" s="38" t="n">
        <x:f>P200-Q200</x:f>
        <x:v>0</x:v>
      </x:c>
      <x:c r="S200" s="38" t="n">
        <x:v>79560</x:v>
      </x:c>
      <x:c r="T200" s="38" t="n">
        <x:v>10346</x:v>
      </x:c>
      <x:c r="U200" s="38" t="n">
        <x:v>78</x:v>
      </x:c>
      <x:c r="V200" s="38" t="n">
        <x:v>0</x:v>
      </x:c>
      <x:c r="W200" s="38" t="n">
        <x:v>0</x:v>
      </x:c>
      <x:c r="X200" s="44" t="n">
        <x:v>0</x:v>
      </x:c>
      <x:c r="Y200" s="38" t="n">
        <x:v>180</x:v>
      </x:c>
      <x:c r="Z200" s="38" t="n">
        <x:v>36</x:v>
      </x:c>
      <x:c r="AA200" s="38" t="n">
        <x:v>26</x:v>
      </x:c>
      <x:c r="AB200" s="38" t="n">
        <x:v>7</x:v>
      </x:c>
      <x:c r="AC200" s="38" t="n">
        <x:v>9990</x:v>
      </x:c>
      <x:c r="AD200" s="38" t="n">
        <x:v>0</x:v>
      </x:c>
      <x:c r="AE200" s="38" t="n">
        <x:f>IF(B200=1,0,F200-Q199)</x:f>
        <x:v>0</x:v>
      </x:c>
    </x:row>
    <x:row r="201" ht="27" customHeight="1">
      <x:c r="A201" s="28" t="str">
        <x:v>Core F2P</x:v>
      </x:c>
      <x:c r="B201" s="38" t="n">
        <x:v>77</x:v>
      </x:c>
      <x:c r="C201" s="38" t="n">
        <x:v>36</x:v>
      </x:c>
      <x:c r="D201" s="38" t="n">
        <x:v>562030</x:v>
      </x:c>
      <x:c r="E201" s="38" t="n">
        <x:v>90</x:v>
      </x:c>
      <x:c r="F201" s="38" t="n">
        <x:v>270902</x:v>
      </x:c>
      <x:c r="G201" s="38" t="n">
        <x:v>99540</x:v>
      </x:c>
      <x:c r="H201" s="38" t="n">
        <x:v>19980</x:v>
      </x:c>
      <x:c r="I201" s="38" t="n">
        <x:v>23527</x:v>
      </x:c>
      <x:c r="J201" s="38" t="n">
        <x:v>0</x:v>
      </x:c>
      <x:c r="K201" s="38" t="n">
        <x:v>0</x:v>
      </x:c>
      <x:c r="L201" s="38" t="n">
        <x:v>0</x:v>
      </x:c>
      <x:c r="M201" s="38" t="n">
        <x:v>0</x:v>
      </x:c>
      <x:c r="N201" s="38" t="n">
        <x:v>0</x:v>
      </x:c>
      <x:c r="O201" s="38" t="n">
        <x:v>0</x:v>
      </x:c>
      <x:c r="P201" s="38" t="n">
        <x:f>F201+G201-H201+I201+J201+K201+L201-M201-N201-O201</x:f>
        <x:v>373989</x:v>
      </x:c>
      <x:c r="Q201" s="38" t="n">
        <x:v>373989</x:v>
      </x:c>
      <x:c r="R201" s="38" t="n">
        <x:f>P201-Q201</x:f>
        <x:v>0</x:v>
      </x:c>
      <x:c r="S201" s="38" t="n">
        <x:v>79560</x:v>
      </x:c>
      <x:c r="T201" s="38" t="n">
        <x:v>15813</x:v>
      </x:c>
      <x:c r="U201" s="38" t="n">
        <x:v>80</x:v>
      </x:c>
      <x:c r="V201" s="38" t="n">
        <x:v>2</x:v>
      </x:c>
      <x:c r="W201" s="38" t="n">
        <x:v>0</x:v>
      </x:c>
      <x:c r="X201" s="44" t="n">
        <x:v>0</x:v>
      </x:c>
      <x:c r="Y201" s="38" t="n">
        <x:v>180</x:v>
      </x:c>
      <x:c r="Z201" s="38" t="n">
        <x:v>36</x:v>
      </x:c>
      <x:c r="AA201" s="38" t="n">
        <x:v>26</x:v>
      </x:c>
      <x:c r="AB201" s="38" t="n">
        <x:v>7</x:v>
      </x:c>
      <x:c r="AC201" s="38" t="n">
        <x:v>9990</x:v>
      </x:c>
      <x:c r="AD201" s="38" t="n">
        <x:v>0</x:v>
      </x:c>
      <x:c r="AE201" s="38" t="n">
        <x:f>IF(B201=1,0,F201-Q200)</x:f>
        <x:v>0</x:v>
      </x:c>
    </x:row>
    <x:row r="202" ht="27" customHeight="1">
      <x:c r="A202" s="28" t="str">
        <x:v>Core F2P</x:v>
      </x:c>
      <x:c r="B202" s="38" t="n">
        <x:v>78</x:v>
      </x:c>
      <x:c r="C202" s="38" t="n">
        <x:v>37</x:v>
      </x:c>
      <x:c r="D202" s="38" t="n">
        <x:v>572376</x:v>
      </x:c>
      <x:c r="E202" s="38" t="n">
        <x:v>90</x:v>
      </x:c>
      <x:c r="F202" s="38" t="n">
        <x:v>373989</x:v>
      </x:c>
      <x:c r="G202" s="38" t="n">
        <x:v>99540</x:v>
      </x:c>
      <x:c r="H202" s="38" t="n">
        <x:v>19466</x:v>
      </x:c>
      <x:c r="I202" s="38" t="n">
        <x:v>4172</x:v>
      </x:c>
      <x:c r="J202" s="38" t="n">
        <x:v>1060</x:v>
      </x:c>
      <x:c r="K202" s="38" t="n">
        <x:v>0</x:v>
      </x:c>
      <x:c r="L202" s="38" t="n">
        <x:v>0</x:v>
      </x:c>
      <x:c r="M202" s="38" t="n">
        <x:v>0</x:v>
      </x:c>
      <x:c r="N202" s="38" t="n">
        <x:v>0</x:v>
      </x:c>
      <x:c r="O202" s="38" t="n">
        <x:v>0</x:v>
      </x:c>
      <x:c r="P202" s="38" t="n">
        <x:f>F202+G202-H202+I202+J202+K202+L202-M202-N202-O202</x:f>
        <x:v>459295</x:v>
      </x:c>
      <x:c r="Q202" s="38" t="n">
        <x:v>459295</x:v>
      </x:c>
      <x:c r="R202" s="38" t="n">
        <x:f>P202-Q202</x:f>
        <x:v>0</x:v>
      </x:c>
      <x:c r="S202" s="38" t="n">
        <x:v>79560</x:v>
      </x:c>
      <x:c r="T202" s="38" t="n">
        <x:v>10346</x:v>
      </x:c>
      <x:c r="U202" s="38" t="n">
        <x:v>84</x:v>
      </x:c>
      <x:c r="V202" s="38" t="n">
        <x:v>4</x:v>
      </x:c>
      <x:c r="W202" s="38" t="n">
        <x:v>0</x:v>
      </x:c>
      <x:c r="X202" s="44" t="n">
        <x:v>0</x:v>
      </x:c>
      <x:c r="Y202" s="38" t="n">
        <x:v>180</x:v>
      </x:c>
      <x:c r="Z202" s="38" t="n">
        <x:v>36</x:v>
      </x:c>
      <x:c r="AA202" s="38" t="n">
        <x:v>26</x:v>
      </x:c>
      <x:c r="AB202" s="38" t="n">
        <x:v>7</x:v>
      </x:c>
      <x:c r="AC202" s="38" t="n">
        <x:v>9476</x:v>
      </x:c>
      <x:c r="AD202" s="38" t="n">
        <x:v>0</x:v>
      </x:c>
      <x:c r="AE202" s="38" t="n">
        <x:f>IF(B202=1,0,F202-Q201)</x:f>
        <x:v>0</x:v>
      </x:c>
    </x:row>
    <x:row r="203" ht="27" customHeight="1">
      <x:c r="A203" s="28" t="str">
        <x:v>Core F2P</x:v>
      </x:c>
      <x:c r="B203" s="38" t="n">
        <x:v>79</x:v>
      </x:c>
      <x:c r="C203" s="38" t="n">
        <x:v>37</x:v>
      </x:c>
      <x:c r="D203" s="38" t="n">
        <x:v>583697</x:v>
      </x:c>
      <x:c r="E203" s="38" t="n">
        <x:v>90</x:v>
      </x:c>
      <x:c r="F203" s="38" t="n">
        <x:v>459295</x:v>
      </x:c>
      <x:c r="G203" s="38" t="n">
        <x:v>90958</x:v>
      </x:c>
      <x:c r="H203" s="38" t="n">
        <x:v>18156</x:v>
      </x:c>
      <x:c r="I203" s="38" t="n">
        <x:v>4244</x:v>
      </x:c>
      <x:c r="J203" s="38" t="n">
        <x:v>0</x:v>
      </x:c>
      <x:c r="K203" s="38" t="n">
        <x:v>0</x:v>
      </x:c>
      <x:c r="L203" s="38" t="n">
        <x:v>0</x:v>
      </x:c>
      <x:c r="M203" s="38" t="n">
        <x:v>0</x:v>
      </x:c>
      <x:c r="N203" s="38" t="n">
        <x:v>4005</x:v>
      </x:c>
      <x:c r="O203" s="38" t="n">
        <x:v>0</x:v>
      </x:c>
      <x:c r="P203" s="38" t="n">
        <x:f>F203+G203-H203+I203+J203+K203+L203-M203-N203-O203</x:f>
        <x:v>532336</x:v>
      </x:c>
      <x:c r="Q203" s="38" t="n">
        <x:v>532336</x:v>
      </x:c>
      <x:c r="R203" s="38" t="n">
        <x:f>P203-Q203</x:f>
        <x:v>0</x:v>
      </x:c>
      <x:c r="S203" s="38" t="n">
        <x:v>72802</x:v>
      </x:c>
      <x:c r="T203" s="38" t="n">
        <x:v>11321</x:v>
      </x:c>
      <x:c r="U203" s="38" t="n">
        <x:v>84</x:v>
      </x:c>
      <x:c r="V203" s="38" t="n">
        <x:v>0</x:v>
      </x:c>
      <x:c r="W203" s="38" t="n">
        <x:v>0</x:v>
      </x:c>
      <x:c r="X203" s="44" t="n">
        <x:v>0</x:v>
      </x:c>
      <x:c r="Y203" s="38" t="n">
        <x:v>178</x:v>
      </x:c>
      <x:c r="Z203" s="38" t="n">
        <x:v>36</x:v>
      </x:c>
      <x:c r="AA203" s="38" t="n">
        <x:v>27</x:v>
      </x:c>
      <x:c r="AB203" s="38" t="n">
        <x:v>7</x:v>
      </x:c>
      <x:c r="AC203" s="38" t="n">
        <x:v>9476</x:v>
      </x:c>
      <x:c r="AD203" s="38" t="n">
        <x:v>0</x:v>
      </x:c>
      <x:c r="AE203" s="38" t="n">
        <x:f>IF(B203=1,0,F203-Q202)</x:f>
        <x:v>0</x:v>
      </x:c>
    </x:row>
    <x:row r="204" ht="27" customHeight="1">
      <x:c r="A204" s="28" t="str">
        <x:v>Core F2P</x:v>
      </x:c>
      <x:c r="B204" s="38" t="n">
        <x:v>80</x:v>
      </x:c>
      <x:c r="C204" s="38" t="n">
        <x:v>37</x:v>
      </x:c>
      <x:c r="D204" s="38" t="n">
        <x:v>595238</x:v>
      </x:c>
      <x:c r="E204" s="38" t="n">
        <x:v>90</x:v>
      </x:c>
      <x:c r="F204" s="38" t="n">
        <x:v>532336</x:v>
      </x:c>
      <x:c r="G204" s="38" t="n">
        <x:v>92947</x:v>
      </x:c>
      <x:c r="H204" s="38" t="n">
        <x:v>18258</x:v>
      </x:c>
      <x:c r="I204" s="38" t="n">
        <x:v>4244</x:v>
      </x:c>
      <x:c r="J204" s="38" t="n">
        <x:v>0</x:v>
      </x:c>
      <x:c r="K204" s="38" t="n">
        <x:v>0</x:v>
      </x:c>
      <x:c r="L204" s="38" t="n">
        <x:v>0</x:v>
      </x:c>
      <x:c r="M204" s="38" t="n">
        <x:v>0</x:v>
      </x:c>
      <x:c r="N204" s="38" t="n">
        <x:v>0</x:v>
      </x:c>
      <x:c r="O204" s="38" t="n">
        <x:v>0</x:v>
      </x:c>
      <x:c r="P204" s="38" t="n">
        <x:f>F204+G204-H204+I204+J204+K204+L204-M204-N204-O204</x:f>
        <x:v>611269</x:v>
      </x:c>
      <x:c r="Q204" s="38" t="n">
        <x:v>611269</x:v>
      </x:c>
      <x:c r="R204" s="38" t="n">
        <x:f>P204-Q204</x:f>
        <x:v>0</x:v>
      </x:c>
      <x:c r="S204" s="38" t="n">
        <x:v>74393</x:v>
      </x:c>
      <x:c r="T204" s="38" t="n">
        <x:v>11541</x:v>
      </x:c>
      <x:c r="U204" s="38" t="n">
        <x:v>84</x:v>
      </x:c>
      <x:c r="V204" s="38" t="n">
        <x:v>0</x:v>
      </x:c>
      <x:c r="W204" s="38" t="n">
        <x:v>0</x:v>
      </x:c>
      <x:c r="X204" s="44" t="n">
        <x:v>0</x:v>
      </x:c>
      <x:c r="Y204" s="38" t="n">
        <x:v>179</x:v>
      </x:c>
      <x:c r="Z204" s="38" t="n">
        <x:v>37</x:v>
      </x:c>
      <x:c r="AA204" s="38" t="n">
        <x:v>27</x:v>
      </x:c>
      <x:c r="AB204" s="38" t="n">
        <x:v>7</x:v>
      </x:c>
      <x:c r="AC204" s="38" t="n">
        <x:v>9180</x:v>
      </x:c>
      <x:c r="AD204" s="38" t="n">
        <x:v>0</x:v>
      </x:c>
      <x:c r="AE204" s="38" t="n">
        <x:f>IF(B204=1,0,F204-Q203)</x:f>
        <x:v>0</x:v>
      </x:c>
    </x:row>
    <x:row r="205" ht="27" customHeight="1">
      <x:c r="A205" s="28" t="str">
        <x:v>Core F2P</x:v>
      </x:c>
      <x:c r="B205" s="38" t="n">
        <x:v>81</x:v>
      </x:c>
      <x:c r="C205" s="38" t="n">
        <x:v>37</x:v>
      </x:c>
      <x:c r="D205" s="38" t="n">
        <x:v>606673</x:v>
      </x:c>
      <x:c r="E205" s="38" t="n">
        <x:v>90</x:v>
      </x:c>
      <x:c r="F205" s="38" t="n">
        <x:v>611269</x:v>
      </x:c>
      <x:c r="G205" s="38" t="n">
        <x:v>91980</x:v>
      </x:c>
      <x:c r="H205" s="38" t="n">
        <x:v>18360</x:v>
      </x:c>
      <x:c r="I205" s="38" t="n">
        <x:v>4244</x:v>
      </x:c>
      <x:c r="J205" s="38" t="n">
        <x:v>0</x:v>
      </x:c>
      <x:c r="K205" s="38" t="n">
        <x:v>0</x:v>
      </x:c>
      <x:c r="L205" s="38" t="n">
        <x:v>0</x:v>
      </x:c>
      <x:c r="M205" s="38" t="n">
        <x:v>0</x:v>
      </x:c>
      <x:c r="N205" s="38" t="n">
        <x:v>0</x:v>
      </x:c>
      <x:c r="O205" s="38" t="n">
        <x:v>0</x:v>
      </x:c>
      <x:c r="P205" s="38" t="n">
        <x:f>F205+G205-H205+I205+J205+K205+L205-M205-N205-O205</x:f>
        <x:v>689133</x:v>
      </x:c>
      <x:c r="Q205" s="38" t="n">
        <x:v>689133</x:v>
      </x:c>
      <x:c r="R205" s="38" t="n">
        <x:f>P205-Q205</x:f>
        <x:v>0</x:v>
      </x:c>
      <x:c r="S205" s="38" t="n">
        <x:v>73620</x:v>
      </x:c>
      <x:c r="T205" s="38" t="n">
        <x:v>11435</x:v>
      </x:c>
      <x:c r="U205" s="38" t="n">
        <x:v>84</x:v>
      </x:c>
      <x:c r="V205" s="38" t="n">
        <x:v>0</x:v>
      </x:c>
      <x:c r="W205" s="38" t="n">
        <x:v>0</x:v>
      </x:c>
      <x:c r="X205" s="44" t="n">
        <x:v>0</x:v>
      </x:c>
      <x:c r="Y205" s="38" t="n">
        <x:v>180</x:v>
      </x:c>
      <x:c r="Z205" s="38" t="n">
        <x:v>37</x:v>
      </x:c>
      <x:c r="AA205" s="38" t="n">
        <x:v>27</x:v>
      </x:c>
      <x:c r="AB205" s="38" t="n">
        <x:v>7</x:v>
      </x:c>
      <x:c r="AC205" s="38" t="n">
        <x:v>9180</x:v>
      </x:c>
      <x:c r="AD205" s="38" t="n">
        <x:v>0</x:v>
      </x:c>
      <x:c r="AE205" s="38" t="n">
        <x:f>IF(B205=1,0,F205-Q204)</x:f>
        <x:v>0</x:v>
      </x:c>
    </x:row>
    <x:row r="206" ht="27" customHeight="1">
      <x:c r="A206" s="28" t="str">
        <x:v>Core F2P</x:v>
      </x:c>
      <x:c r="B206" s="38" t="n">
        <x:v>82</x:v>
      </x:c>
      <x:c r="C206" s="38" t="n">
        <x:v>37</x:v>
      </x:c>
      <x:c r="D206" s="38" t="n">
        <x:v>618108</x:v>
      </x:c>
      <x:c r="E206" s="38" t="n">
        <x:v>90</x:v>
      </x:c>
      <x:c r="F206" s="38" t="n">
        <x:v>689133</x:v>
      </x:c>
      <x:c r="G206" s="38" t="n">
        <x:v>91980</x:v>
      </x:c>
      <x:c r="H206" s="38" t="n">
        <x:v>18360</x:v>
      </x:c>
      <x:c r="I206" s="38" t="n">
        <x:v>4244</x:v>
      </x:c>
      <x:c r="J206" s="38" t="n">
        <x:v>0</x:v>
      </x:c>
      <x:c r="K206" s="38" t="n">
        <x:v>0</x:v>
      </x:c>
      <x:c r="L206" s="38" t="n">
        <x:v>0</x:v>
      </x:c>
      <x:c r="M206" s="38" t="n">
        <x:v>0</x:v>
      </x:c>
      <x:c r="N206" s="38" t="n">
        <x:v>4565</x:v>
      </x:c>
      <x:c r="O206" s="38" t="n">
        <x:v>0</x:v>
      </x:c>
      <x:c r="P206" s="38" t="n">
        <x:f>F206+G206-H206+I206+J206+K206+L206-M206-N206-O206</x:f>
        <x:v>762432</x:v>
      </x:c>
      <x:c r="Q206" s="38" t="n">
        <x:v>762432</x:v>
      </x:c>
      <x:c r="R206" s="38" t="n">
        <x:f>P206-Q206</x:f>
        <x:v>0</x:v>
      </x:c>
      <x:c r="S206" s="38" t="n">
        <x:v>73620</x:v>
      </x:c>
      <x:c r="T206" s="38" t="n">
        <x:v>11435</x:v>
      </x:c>
      <x:c r="U206" s="38" t="n">
        <x:v>84</x:v>
      </x:c>
      <x:c r="V206" s="38" t="n">
        <x:v>0</x:v>
      </x:c>
      <x:c r="W206" s="38" t="n">
        <x:v>0</x:v>
      </x:c>
      <x:c r="X206" s="44" t="n">
        <x:v>0</x:v>
      </x:c>
      <x:c r="Y206" s="38" t="n">
        <x:v>180</x:v>
      </x:c>
      <x:c r="Z206" s="38" t="n">
        <x:v>37</x:v>
      </x:c>
      <x:c r="AA206" s="38" t="n">
        <x:v>28</x:v>
      </x:c>
      <x:c r="AB206" s="38" t="n">
        <x:v>7</x:v>
      </x:c>
      <x:c r="AC206" s="38" t="n">
        <x:v>9180</x:v>
      </x:c>
      <x:c r="AD206" s="38" t="n">
        <x:v>0</x:v>
      </x:c>
      <x:c r="AE206" s="38" t="n">
        <x:f>IF(B206=1,0,F206-Q205)</x:f>
        <x:v>0</x:v>
      </x:c>
    </x:row>
    <x:row r="207" ht="27" customHeight="1">
      <x:c r="A207" s="28" t="str">
        <x:v>Core F2P</x:v>
      </x:c>
      <x:c r="B207" s="38" t="n">
        <x:v>83</x:v>
      </x:c>
      <x:c r="C207" s="38" t="n">
        <x:v>38</x:v>
      </x:c>
      <x:c r="D207" s="38" t="n">
        <x:v>629834</x:v>
      </x:c>
      <x:c r="E207" s="38" t="n">
        <x:v>95</x:v>
      </x:c>
      <x:c r="F207" s="38" t="n">
        <x:v>762432</x:v>
      </x:c>
      <x:c r="G207" s="38" t="n">
        <x:v>95338</x:v>
      </x:c>
      <x:c r="H207" s="38" t="n">
        <x:v>19750</x:v>
      </x:c>
      <x:c r="I207" s="38" t="n">
        <x:v>4244</x:v>
      </x:c>
      <x:c r="J207" s="38" t="n">
        <x:v>1140</x:v>
      </x:c>
      <x:c r="K207" s="38" t="n">
        <x:v>0</x:v>
      </x:c>
      <x:c r="L207" s="38" t="n">
        <x:v>0</x:v>
      </x:c>
      <x:c r="M207" s="38" t="n">
        <x:v>600000</x:v>
      </x:c>
      <x:c r="N207" s="38" t="n">
        <x:v>0</x:v>
      </x:c>
      <x:c r="O207" s="38" t="n">
        <x:v>157571</x:v>
      </x:c>
      <x:c r="P207" s="38" t="n">
        <x:f>F207+G207-H207+I207+J207+K207+L207-M207-N207-O207</x:f>
        <x:v>85833</x:v>
      </x:c>
      <x:c r="Q207" s="38" t="n">
        <x:v>85833</x:v>
      </x:c>
      <x:c r="R207" s="38" t="n">
        <x:f>P207-Q207</x:f>
        <x:v>0</x:v>
      </x:c>
      <x:c r="S207" s="38" t="n">
        <x:v>76288</x:v>
      </x:c>
      <x:c r="T207" s="38" t="n">
        <x:v>11726</x:v>
      </x:c>
      <x:c r="U207" s="38" t="n">
        <x:v>85</x:v>
      </x:c>
      <x:c r="V207" s="38" t="n">
        <x:v>1</x:v>
      </x:c>
      <x:c r="W207" s="38" t="n">
        <x:v>0</x:v>
      </x:c>
      <x:c r="X207" s="44" t="n">
        <x:v>0</x:v>
      </x:c>
      <x:c r="Y207" s="38" t="n">
        <x:v>185</x:v>
      </x:c>
      <x:c r="Z207" s="38" t="n">
        <x:v>38</x:v>
      </x:c>
      <x:c r="AA207" s="38" t="n">
        <x:v>28</x:v>
      </x:c>
      <x:c r="AB207" s="38" t="n">
        <x:v>7</x:v>
      </x:c>
      <x:c r="AC207" s="38" t="n">
        <x:v>9880</x:v>
      </x:c>
      <x:c r="AD207" s="38" t="n">
        <x:v>0</x:v>
      </x:c>
      <x:c r="AE207" s="38" t="n">
        <x:f>IF(B207=1,0,F207-Q206)</x:f>
        <x:v>0</x:v>
      </x:c>
    </x:row>
    <x:row r="208" ht="27" customHeight="1">
      <x:c r="A208" s="28" t="str">
        <x:v>Core F2P</x:v>
      </x:c>
      <x:c r="B208" s="38" t="n">
        <x:v>84</x:v>
      </x:c>
      <x:c r="C208" s="38" t="n">
        <x:v>38</x:v>
      </x:c>
      <x:c r="D208" s="38" t="n">
        <x:v>647745</x:v>
      </x:c>
      <x:c r="E208" s="38" t="n">
        <x:v>95</x:v>
      </x:c>
      <x:c r="F208" s="38" t="n">
        <x:v>85833</x:v>
      </x:c>
      <x:c r="G208" s="38" t="n">
        <x:v>98800</x:v>
      </x:c>
      <x:c r="H208" s="38" t="n">
        <x:v>19760</x:v>
      </x:c>
      <x:c r="I208" s="38" t="n">
        <x:v>25415</x:v>
      </x:c>
      <x:c r="J208" s="38" t="n">
        <x:v>0</x:v>
      </x:c>
      <x:c r="K208" s="38" t="n">
        <x:v>0</x:v>
      </x:c>
      <x:c r="L208" s="38" t="n">
        <x:v>0</x:v>
      </x:c>
      <x:c r="M208" s="38" t="n">
        <x:v>0</x:v>
      </x:c>
      <x:c r="N208" s="38" t="n">
        <x:v>0</x:v>
      </x:c>
      <x:c r="O208" s="38" t="n">
        <x:v>104455</x:v>
      </x:c>
      <x:c r="P208" s="38" t="n">
        <x:f>F208+G208-H208+I208+J208+K208+L208-M208-N208-O208</x:f>
        <x:v>85833</x:v>
      </x:c>
      <x:c r="Q208" s="38" t="n">
        <x:v>85833</x:v>
      </x:c>
      <x:c r="R208" s="38" t="n">
        <x:f>P208-Q208</x:f>
        <x:v>0</x:v>
      </x:c>
      <x:c r="S208" s="38" t="n">
        <x:v>79040</x:v>
      </x:c>
      <x:c r="T208" s="38" t="n">
        <x:v>17911</x:v>
      </x:c>
      <x:c r="U208" s="38" t="n">
        <x:v>87</x:v>
      </x:c>
      <x:c r="V208" s="38" t="n">
        <x:v>2</x:v>
      </x:c>
      <x:c r="W208" s="38" t="n">
        <x:v>0</x:v>
      </x:c>
      <x:c r="X208" s="44" t="n">
        <x:v>0</x:v>
      </x:c>
      <x:c r="Y208" s="38" t="n">
        <x:v>190</x:v>
      </x:c>
      <x:c r="Z208" s="38" t="n">
        <x:v>38</x:v>
      </x:c>
      <x:c r="AA208" s="38" t="n">
        <x:v>28</x:v>
      </x:c>
      <x:c r="AB208" s="38" t="n">
        <x:v>7</x:v>
      </x:c>
      <x:c r="AC208" s="38" t="n">
        <x:v>9880</x:v>
      </x:c>
      <x:c r="AD208" s="38" t="n">
        <x:v>0</x:v>
      </x:c>
      <x:c r="AE208" s="38" t="n">
        <x:f>IF(B208=1,0,F208-Q207)</x:f>
        <x:v>0</x:v>
      </x:c>
    </x:row>
    <x:row r="209" ht="27" customHeight="1">
      <x:c r="A209" s="28" t="str">
        <x:v>Core F2P</x:v>
      </x:c>
      <x:c r="B209" s="38" t="n">
        <x:v>85</x:v>
      </x:c>
      <x:c r="C209" s="38" t="n">
        <x:v>38</x:v>
      </x:c>
      <x:c r="D209" s="38" t="n">
        <x:v>659824</x:v>
      </x:c>
      <x:c r="E209" s="38" t="n">
        <x:v>95</x:v>
      </x:c>
      <x:c r="F209" s="38" t="n">
        <x:v>85833</x:v>
      </x:c>
      <x:c r="G209" s="38" t="n">
        <x:v>98800</x:v>
      </x:c>
      <x:c r="H209" s="38" t="n">
        <x:v>19760</x:v>
      </x:c>
      <x:c r="I209" s="38" t="n">
        <x:v>4557</x:v>
      </x:c>
      <x:c r="J209" s="38" t="n">
        <x:v>0</x:v>
      </x:c>
      <x:c r="K209" s="38" t="n">
        <x:v>0</x:v>
      </x:c>
      <x:c r="L209" s="38" t="n">
        <x:v>0</x:v>
      </x:c>
      <x:c r="M209" s="38" t="n">
        <x:v>0</x:v>
      </x:c>
      <x:c r="N209" s="38" t="n">
        <x:v>7940</x:v>
      </x:c>
      <x:c r="O209" s="38" t="n">
        <x:v>41784</x:v>
      </x:c>
      <x:c r="P209" s="38" t="n">
        <x:f>F209+G209-H209+I209+J209+K209+L209-M209-N209-O209</x:f>
        <x:v>119706</x:v>
      </x:c>
      <x:c r="Q209" s="38" t="n">
        <x:v>119706</x:v>
      </x:c>
      <x:c r="R209" s="38" t="n">
        <x:f>P209-Q209</x:f>
        <x:v>0</x:v>
      </x:c>
      <x:c r="S209" s="38" t="n">
        <x:v>79040</x:v>
      </x:c>
      <x:c r="T209" s="38" t="n">
        <x:v>12079</x:v>
      </x:c>
      <x:c r="U209" s="38" t="n">
        <x:v>87</x:v>
      </x:c>
      <x:c r="V209" s="38" t="n">
        <x:v>0</x:v>
      </x:c>
      <x:c r="W209" s="38" t="n">
        <x:v>0</x:v>
      </x:c>
      <x:c r="X209" s="44" t="n">
        <x:v>0</x:v>
      </x:c>
      <x:c r="Y209" s="38" t="n">
        <x:v>190</x:v>
      </x:c>
      <x:c r="Z209" s="38" t="n">
        <x:v>38</x:v>
      </x:c>
      <x:c r="AA209" s="38" t="n">
        <x:v>29</x:v>
      </x:c>
      <x:c r="AB209" s="38" t="n">
        <x:v>8</x:v>
      </x:c>
      <x:c r="AC209" s="38" t="n">
        <x:v>9880</x:v>
      </x:c>
      <x:c r="AD209" s="38" t="n">
        <x:v>0</x:v>
      </x:c>
      <x:c r="AE209" s="38" t="n">
        <x:f>IF(B209=1,0,F209-Q208)</x:f>
        <x:v>0</x:v>
      </x:c>
    </x:row>
    <x:row r="210" ht="27" customHeight="1">
      <x:c r="A210" s="28" t="str">
        <x:v>Core F2P</x:v>
      </x:c>
      <x:c r="B210" s="38" t="n">
        <x:v>86</x:v>
      </x:c>
      <x:c r="C210" s="38" t="n">
        <x:v>38</x:v>
      </x:c>
      <x:c r="D210" s="38" t="n">
        <x:v>671903</x:v>
      </x:c>
      <x:c r="E210" s="38" t="n">
        <x:v>95</x:v>
      </x:c>
      <x:c r="F210" s="38" t="n">
        <x:v>119706</x:v>
      </x:c>
      <x:c r="G210" s="38" t="n">
        <x:v>98800</x:v>
      </x:c>
      <x:c r="H210" s="38" t="n">
        <x:v>19760</x:v>
      </x:c>
      <x:c r="I210" s="38" t="n">
        <x:v>4557</x:v>
      </x:c>
      <x:c r="J210" s="38" t="n">
        <x:v>0</x:v>
      </x:c>
      <x:c r="K210" s="38" t="n">
        <x:v>0</x:v>
      </x:c>
      <x:c r="L210" s="38" t="n">
        <x:v>0</x:v>
      </x:c>
      <x:c r="M210" s="38" t="n">
        <x:v>0</x:v>
      </x:c>
      <x:c r="N210" s="38" t="n">
        <x:v>0</x:v>
      </x:c>
      <x:c r="O210" s="38" t="n">
        <x:v>0</x:v>
      </x:c>
      <x:c r="P210" s="38" t="n">
        <x:f>F210+G210-H210+I210+J210+K210+L210-M210-N210-O210</x:f>
        <x:v>203303</x:v>
      </x:c>
      <x:c r="Q210" s="38" t="n">
        <x:v>203303</x:v>
      </x:c>
      <x:c r="R210" s="38" t="n">
        <x:f>P210-Q210</x:f>
        <x:v>0</x:v>
      </x:c>
      <x:c r="S210" s="38" t="n">
        <x:v>79040</x:v>
      </x:c>
      <x:c r="T210" s="38" t="n">
        <x:v>12079</x:v>
      </x:c>
      <x:c r="U210" s="38" t="n">
        <x:v>87</x:v>
      </x:c>
      <x:c r="V210" s="38" t="n">
        <x:v>0</x:v>
      </x:c>
      <x:c r="W210" s="38" t="n">
        <x:v>0</x:v>
      </x:c>
      <x:c r="X210" s="44" t="n">
        <x:v>0</x:v>
      </x:c>
      <x:c r="Y210" s="38" t="n">
        <x:v>190</x:v>
      </x:c>
      <x:c r="Z210" s="38" t="n">
        <x:v>38</x:v>
      </x:c>
      <x:c r="AA210" s="38" t="n">
        <x:v>29</x:v>
      </x:c>
      <x:c r="AB210" s="38" t="n">
        <x:v>8</x:v>
      </x:c>
      <x:c r="AC210" s="38" t="n">
        <x:v>9880</x:v>
      </x:c>
      <x:c r="AD210" s="38" t="n">
        <x:v>0</x:v>
      </x:c>
      <x:c r="AE210" s="38" t="n">
        <x:f>IF(B210=1,0,F210-Q209)</x:f>
        <x:v>0</x:v>
      </x:c>
    </x:row>
    <x:row r="211" ht="27" customHeight="1">
      <x:c r="A211" s="28" t="str">
        <x:v>Core F2P</x:v>
      </x:c>
      <x:c r="B211" s="38" t="n">
        <x:v>87</x:v>
      </x:c>
      <x:c r="C211" s="38" t="n">
        <x:v>39</x:v>
      </x:c>
      <x:c r="D211" s="38" t="n">
        <x:v>683982</x:v>
      </x:c>
      <x:c r="E211" s="38" t="n">
        <x:v>95</x:v>
      </x:c>
      <x:c r="F211" s="38" t="n">
        <x:v>203303</x:v>
      </x:c>
      <x:c r="G211" s="38" t="n">
        <x:v>98800</x:v>
      </x:c>
      <x:c r="H211" s="38" t="n">
        <x:v>20813</x:v>
      </x:c>
      <x:c r="I211" s="38" t="n">
        <x:v>4557</x:v>
      </x:c>
      <x:c r="J211" s="38" t="n">
        <x:v>1160</x:v>
      </x:c>
      <x:c r="K211" s="38" t="n">
        <x:v>0</x:v>
      </x:c>
      <x:c r="L211" s="38" t="n">
        <x:v>0</x:v>
      </x:c>
      <x:c r="M211" s="38" t="n">
        <x:v>0</x:v>
      </x:c>
      <x:c r="N211" s="38" t="n">
        <x:v>0</x:v>
      </x:c>
      <x:c r="O211" s="38" t="n">
        <x:v>0</x:v>
      </x:c>
      <x:c r="P211" s="38" t="n">
        <x:f>F211+G211-H211+I211+J211+K211+L211-M211-N211-O211</x:f>
        <x:v>287007</x:v>
      </x:c>
      <x:c r="Q211" s="38" t="n">
        <x:v>287007</x:v>
      </x:c>
      <x:c r="R211" s="38" t="n">
        <x:f>P211-Q211</x:f>
        <x:v>0</x:v>
      </x:c>
      <x:c r="S211" s="38" t="n">
        <x:v>79040</x:v>
      </x:c>
      <x:c r="T211" s="38" t="n">
        <x:v>12079</x:v>
      </x:c>
      <x:c r="U211" s="38" t="n">
        <x:v>87</x:v>
      </x:c>
      <x:c r="V211" s="38" t="n">
        <x:v>0</x:v>
      </x:c>
      <x:c r="W211" s="38" t="n">
        <x:v>0</x:v>
      </x:c>
      <x:c r="X211" s="44" t="n">
        <x:v>0</x:v>
      </x:c>
      <x:c r="Y211" s="38" t="n">
        <x:v>190</x:v>
      </x:c>
      <x:c r="Z211" s="38" t="n">
        <x:v>38</x:v>
      </x:c>
      <x:c r="AA211" s="38" t="n">
        <x:v>29</x:v>
      </x:c>
      <x:c r="AB211" s="38" t="n">
        <x:v>8</x:v>
      </x:c>
      <x:c r="AC211" s="38" t="n">
        <x:v>10933</x:v>
      </x:c>
      <x:c r="AD211" s="38" t="n">
        <x:v>0</x:v>
      </x:c>
      <x:c r="AE211" s="38" t="n">
        <x:f>IF(B211=1,0,F211-Q210)</x:f>
        <x:v>0</x:v>
      </x:c>
    </x:row>
    <x:row r="212" ht="27" customHeight="1">
      <x:c r="A212" s="28" t="str">
        <x:v>Core F2P</x:v>
      </x:c>
      <x:c r="B212" s="38" t="n">
        <x:v>88</x:v>
      </x:c>
      <x:c r="C212" s="38" t="n">
        <x:v>39</x:v>
      </x:c>
      <x:c r="D212" s="38" t="n">
        <x:v>695082</x:v>
      </x:c>
      <x:c r="E212" s="38" t="n">
        <x:v>95</x:v>
      </x:c>
      <x:c r="F212" s="38" t="n">
        <x:v>287007</x:v>
      </x:c>
      <x:c r="G212" s="38" t="n">
        <x:v>109954</x:v>
      </x:c>
      <x:c r="H212" s="38" t="n">
        <x:v>22040</x:v>
      </x:c>
      <x:c r="I212" s="38" t="n">
        <x:v>4634</x:v>
      </x:c>
      <x:c r="J212" s="38" t="n">
        <x:v>0</x:v>
      </x:c>
      <x:c r="K212" s="38" t="n">
        <x:v>0</x:v>
      </x:c>
      <x:c r="L212" s="38" t="n">
        <x:v>0</x:v>
      </x:c>
      <x:c r="M212" s="38" t="n">
        <x:v>0</x:v>
      </x:c>
      <x:c r="N212" s="38" t="n">
        <x:v>4340</x:v>
      </x:c>
      <x:c r="O212" s="38" t="n">
        <x:v>0</x:v>
      </x:c>
      <x:c r="P212" s="38" t="n">
        <x:f>F212+G212-H212+I212+J212+K212+L212-M212-N212-O212</x:f>
        <x:v>375215</x:v>
      </x:c>
      <x:c r="Q212" s="38" t="n">
        <x:v>375215</x:v>
      </x:c>
      <x:c r="R212" s="38" t="n">
        <x:f>P212-Q212</x:f>
        <x:v>0</x:v>
      </x:c>
      <x:c r="S212" s="38" t="n">
        <x:v>88001</x:v>
      </x:c>
      <x:c r="T212" s="38" t="n">
        <x:v>11100</x:v>
      </x:c>
      <x:c r="U212" s="38" t="n">
        <x:v>87</x:v>
      </x:c>
      <x:c r="V212" s="38" t="n">
        <x:v>0</x:v>
      </x:c>
      <x:c r="W212" s="38" t="n">
        <x:v>0</x:v>
      </x:c>
      <x:c r="X212" s="44" t="n">
        <x:v>0</x:v>
      </x:c>
      <x:c r="Y212" s="38" t="n">
        <x:v>190</x:v>
      </x:c>
      <x:c r="Z212" s="38" t="n">
        <x:v>39</x:v>
      </x:c>
      <x:c r="AA212" s="38" t="n">
        <x:v>30</x:v>
      </x:c>
      <x:c r="AB212" s="38" t="n">
        <x:v>8</x:v>
      </x:c>
      <x:c r="AC212" s="38" t="n">
        <x:v>11020</x:v>
      </x:c>
      <x:c r="AD212" s="38" t="n">
        <x:v>0</x:v>
      </x:c>
      <x:c r="AE212" s="38" t="n">
        <x:f>IF(B212=1,0,F212-Q211)</x:f>
        <x:v>0</x:v>
      </x:c>
    </x:row>
    <x:row r="213" ht="27" customHeight="1">
      <x:c r="A213" s="28" t="str">
        <x:v>Core F2P</x:v>
      </x:c>
      <x:c r="B213" s="38" t="n">
        <x:v>89</x:v>
      </x:c>
      <x:c r="C213" s="38" t="n">
        <x:v>39</x:v>
      </x:c>
      <x:c r="D213" s="38" t="n">
        <x:v>706221</x:v>
      </x:c>
      <x:c r="E213" s="38" t="n">
        <x:v>95</x:v>
      </x:c>
      <x:c r="F213" s="38" t="n">
        <x:v>375215</x:v>
      </x:c>
      <x:c r="G213" s="38" t="n">
        <x:v>110390</x:v>
      </x:c>
      <x:c r="H213" s="38" t="n">
        <x:v>22040</x:v>
      </x:c>
      <x:c r="I213" s="38" t="n">
        <x:v>4634</x:v>
      </x:c>
      <x:c r="J213" s="38" t="n">
        <x:v>0</x:v>
      </x:c>
      <x:c r="K213" s="38" t="n">
        <x:v>0</x:v>
      </x:c>
      <x:c r="L213" s="38" t="n">
        <x:v>0</x:v>
      </x:c>
      <x:c r="M213" s="38" t="n">
        <x:v>0</x:v>
      </x:c>
      <x:c r="N213" s="38" t="n">
        <x:v>0</x:v>
      </x:c>
      <x:c r="O213" s="38" t="n">
        <x:v>0</x:v>
      </x:c>
      <x:c r="P213" s="38" t="n">
        <x:f>F213+G213-H213+I213+J213+K213+L213-M213-N213-O213</x:f>
        <x:v>468199</x:v>
      </x:c>
      <x:c r="Q213" s="38" t="n">
        <x:v>468199</x:v>
      </x:c>
      <x:c r="R213" s="38" t="n">
        <x:f>P213-Q213</x:f>
        <x:v>0</x:v>
      </x:c>
      <x:c r="S213" s="38" t="n">
        <x:v>88350</x:v>
      </x:c>
      <x:c r="T213" s="38" t="n">
        <x:v>11139</x:v>
      </x:c>
      <x:c r="U213" s="38" t="n">
        <x:v>87</x:v>
      </x:c>
      <x:c r="V213" s="38" t="n">
        <x:v>0</x:v>
      </x:c>
      <x:c r="W213" s="38" t="n">
        <x:v>0</x:v>
      </x:c>
      <x:c r="X213" s="44" t="n">
        <x:v>0</x:v>
      </x:c>
      <x:c r="Y213" s="38" t="n">
        <x:v>190</x:v>
      </x:c>
      <x:c r="Z213" s="38" t="n">
        <x:v>39</x:v>
      </x:c>
      <x:c r="AA213" s="38" t="n">
        <x:v>30</x:v>
      </x:c>
      <x:c r="AB213" s="38" t="n">
        <x:v>8</x:v>
      </x:c>
      <x:c r="AC213" s="38" t="n">
        <x:v>11020</x:v>
      </x:c>
      <x:c r="AD213" s="38" t="n">
        <x:v>0</x:v>
      </x:c>
      <x:c r="AE213" s="38" t="n">
        <x:f>IF(B213=1,0,F213-Q212)</x:f>
        <x:v>0</x:v>
      </x:c>
    </x:row>
    <x:row r="214" ht="27" customHeight="1">
      <x:c r="A214" s="28" t="str">
        <x:v>Core F2P</x:v>
      </x:c>
      <x:c r="B214" s="38" t="n">
        <x:v>90</x:v>
      </x:c>
      <x:c r="C214" s="38" t="n">
        <x:v>39</x:v>
      </x:c>
      <x:c r="D214" s="38" t="n">
        <x:v>717360</x:v>
      </x:c>
      <x:c r="E214" s="38" t="n">
        <x:v>95</x:v>
      </x:c>
      <x:c r="F214" s="38" t="n">
        <x:v>468199</x:v>
      </x:c>
      <x:c r="G214" s="38" t="n">
        <x:v>110390</x:v>
      </x:c>
      <x:c r="H214" s="38" t="n">
        <x:v>22040</x:v>
      </x:c>
      <x:c r="I214" s="38" t="n">
        <x:v>4634</x:v>
      </x:c>
      <x:c r="J214" s="38" t="n">
        <x:v>0</x:v>
      </x:c>
      <x:c r="K214" s="38" t="n">
        <x:v>0</x:v>
      </x:c>
      <x:c r="L214" s="38" t="n">
        <x:v>0</x:v>
      </x:c>
      <x:c r="M214" s="38" t="n">
        <x:v>0</x:v>
      </x:c>
      <x:c r="N214" s="38" t="n">
        <x:v>0</x:v>
      </x:c>
      <x:c r="O214" s="38" t="n">
        <x:v>0</x:v>
      </x:c>
      <x:c r="P214" s="38" t="n">
        <x:f>F214+G214-H214+I214+J214+K214+L214-M214-N214-O214</x:f>
        <x:v>561183</x:v>
      </x:c>
      <x:c r="Q214" s="38" t="n">
        <x:v>561183</x:v>
      </x:c>
      <x:c r="R214" s="38" t="n">
        <x:f>P214-Q214</x:f>
        <x:v>0</x:v>
      </x:c>
      <x:c r="S214" s="38" t="n">
        <x:v>88350</x:v>
      </x:c>
      <x:c r="T214" s="38" t="n">
        <x:v>11139</x:v>
      </x:c>
      <x:c r="U214" s="38" t="n">
        <x:v>87</x:v>
      </x:c>
      <x:c r="V214" s="38" t="n">
        <x:v>0</x:v>
      </x:c>
      <x:c r="W214" s="38" t="n">
        <x:v>0</x:v>
      </x:c>
      <x:c r="X214" s="44" t="n">
        <x:v>0</x:v>
      </x:c>
      <x:c r="Y214" s="38" t="n">
        <x:v>190</x:v>
      </x:c>
      <x:c r="Z214" s="38" t="n">
        <x:v>39</x:v>
      </x:c>
      <x:c r="AA214" s="38" t="n">
        <x:v>30</x:v>
      </x:c>
      <x:c r="AB214" s="38" t="n">
        <x:v>8</x:v>
      </x:c>
      <x:c r="AC214" s="38" t="n">
        <x:v>11020</x:v>
      </x:c>
      <x:c r="AD214" s="38" t="n">
        <x:v>0</x:v>
      </x:c>
      <x:c r="AE214" s="38" t="n">
        <x:f>IF(B214=1,0,F214-Q213)</x:f>
        <x:v>0</x:v>
      </x:c>
    </x:row>
    <x:row r="215" ht="27" customHeight="1">
      <x:c r="A215" s="28" t="str">
        <x:v>Core F2P</x:v>
      </x:c>
      <x:c r="B215" s="38" t="n">
        <x:v>91</x:v>
      </x:c>
      <x:c r="C215" s="38" t="n">
        <x:v>39</x:v>
      </x:c>
      <x:c r="D215" s="38" t="n">
        <x:v>734746</x:v>
      </x:c>
      <x:c r="E215" s="38" t="n">
        <x:v>95</x:v>
      </x:c>
      <x:c r="F215" s="38" t="n">
        <x:v>561183</x:v>
      </x:c>
      <x:c r="G215" s="38" t="n">
        <x:v>110390</x:v>
      </x:c>
      <x:c r="H215" s="38" t="n">
        <x:v>22040</x:v>
      </x:c>
      <x:c r="I215" s="38" t="n">
        <x:v>27420</x:v>
      </x:c>
      <x:c r="J215" s="38" t="n">
        <x:v>0</x:v>
      </x:c>
      <x:c r="K215" s="38" t="n">
        <x:v>0</x:v>
      </x:c>
      <x:c r="L215" s="38" t="n">
        <x:v>0</x:v>
      </x:c>
      <x:c r="M215" s="38" t="n">
        <x:v>0</x:v>
      </x:c>
      <x:c r="N215" s="38" t="n">
        <x:v>9170</x:v>
      </x:c>
      <x:c r="O215" s="38" t="n">
        <x:v>0</x:v>
      </x:c>
      <x:c r="P215" s="38" t="n">
        <x:f>F215+G215-H215+I215+J215+K215+L215-M215-N215-O215</x:f>
        <x:v>667783</x:v>
      </x:c>
      <x:c r="Q215" s="38" t="n">
        <x:v>667783</x:v>
      </x:c>
      <x:c r="R215" s="38" t="n">
        <x:f>P215-Q215</x:f>
        <x:v>0</x:v>
      </x:c>
      <x:c r="S215" s="38" t="n">
        <x:v>88350</x:v>
      </x:c>
      <x:c r="T215" s="38" t="n">
        <x:v>17386</x:v>
      </x:c>
      <x:c r="U215" s="38" t="n">
        <x:v>89</x:v>
      </x:c>
      <x:c r="V215" s="38" t="n">
        <x:v>2</x:v>
      </x:c>
      <x:c r="W215" s="38" t="n">
        <x:v>0</x:v>
      </x:c>
      <x:c r="X215" s="44" t="n">
        <x:v>0</x:v>
      </x:c>
      <x:c r="Y215" s="38" t="n">
        <x:v>190</x:v>
      </x:c>
      <x:c r="Z215" s="38" t="n">
        <x:v>39</x:v>
      </x:c>
      <x:c r="AA215" s="38" t="n">
        <x:v>31</x:v>
      </x:c>
      <x:c r="AB215" s="38" t="n">
        <x:v>8</x:v>
      </x:c>
      <x:c r="AC215" s="38" t="n">
        <x:v>11020</x:v>
      </x:c>
      <x:c r="AD215" s="38" t="n">
        <x:v>0</x:v>
      </x:c>
      <x:c r="AE215" s="38" t="n">
        <x:f>IF(B215=1,0,F215-Q214)</x:f>
        <x:v>0</x:v>
      </x:c>
    </x:row>
    <x:row r="216" ht="27" customHeight="1">
      <x:c r="A216" s="28" t="str">
        <x:v>Core F2P</x:v>
      </x:c>
      <x:c r="B216" s="38" t="n">
        <x:v>92</x:v>
      </x:c>
      <x:c r="C216" s="38" t="n">
        <x:v>40</x:v>
      </x:c>
      <x:c r="D216" s="38" t="n">
        <x:v>742640</x:v>
      </x:c>
      <x:c r="E216" s="38" t="n">
        <x:v>100</x:v>
      </x:c>
      <x:c r="F216" s="38" t="n">
        <x:v>667783</x:v>
      </x:c>
      <x:c r="G216" s="38" t="n">
        <x:v>110390</x:v>
      </x:c>
      <x:c r="H216" s="38" t="n">
        <x:v>22130</x:v>
      </x:c>
      <x:c r="I216" s="38" t="n">
        <x:v>4634</x:v>
      </x:c>
      <x:c r="J216" s="38" t="n">
        <x:v>1240</x:v>
      </x:c>
      <x:c r="K216" s="38" t="n">
        <x:v>0</x:v>
      </x:c>
      <x:c r="L216" s="38" t="n">
        <x:v>0</x:v>
      </x:c>
      <x:c r="M216" s="38" t="n">
        <x:v>700000</x:v>
      </x:c>
      <x:c r="N216" s="38" t="n">
        <x:v>0</x:v>
      </x:c>
      <x:c r="O216" s="38" t="n">
        <x:v>51117</x:v>
      </x:c>
      <x:c r="P216" s="38" t="n">
        <x:f>F216+G216-H216+I216+J216+K216+L216-M216-N216-O216</x:f>
        <x:v>10800</x:v>
      </x:c>
      <x:c r="Q216" s="38" t="n">
        <x:v>10800</x:v>
      </x:c>
      <x:c r="R216" s="38" t="n">
        <x:f>P216-Q216</x:f>
        <x:v>0</x:v>
      </x:c>
      <x:c r="S216" s="38" t="n">
        <x:v>88350</x:v>
      </x:c>
      <x:c r="T216" s="38" t="n">
        <x:v>7894</x:v>
      </x:c>
      <x:c r="U216" s="38" t="n">
        <x:v>92</x:v>
      </x:c>
      <x:c r="V216" s="38" t="n">
        <x:v>3</x:v>
      </x:c>
      <x:c r="W216" s="38" t="n">
        <x:v>0</x:v>
      </x:c>
      <x:c r="X216" s="44" t="n">
        <x:v>0</x:v>
      </x:c>
      <x:c r="Y216" s="38" t="n">
        <x:v>190</x:v>
      </x:c>
      <x:c r="Z216" s="38" t="n">
        <x:v>39</x:v>
      </x:c>
      <x:c r="AA216" s="38" t="n">
        <x:v>31</x:v>
      </x:c>
      <x:c r="AB216" s="38" t="n">
        <x:v>8</x:v>
      </x:c>
      <x:c r="AC216" s="38" t="n">
        <x:v>11110</x:v>
      </x:c>
      <x:c r="AD216" s="38" t="n">
        <x:v>0</x:v>
      </x:c>
      <x:c r="AE216" s="38" t="n">
        <x:f>IF(B216=1,0,F216-Q215)</x:f>
        <x:v>0</x:v>
      </x:c>
    </x:row>
    <x:row r="217" ht="27" customHeight="1">
      <x:c r="A217" s="28" t="str">
        <x:v>Core F2P</x:v>
      </x:c>
      <x:c r="B217" s="38" t="n">
        <x:v>93</x:v>
      </x:c>
      <x:c r="C217" s="38" t="n">
        <x:v>40</x:v>
      </x:c>
      <x:c r="D217" s="38" t="n">
        <x:v>742640</x:v>
      </x:c>
      <x:c r="E217" s="38" t="n">
        <x:v>100</x:v>
      </x:c>
      <x:c r="F217" s="38" t="n">
        <x:v>10800</x:v>
      </x:c>
      <x:c r="G217" s="38" t="n">
        <x:v>106524</x:v>
      </x:c>
      <x:c r="H217" s="38" t="n">
        <x:v>21384</x:v>
      </x:c>
      <x:c r="I217" s="38" t="n">
        <x:v>4959</x:v>
      </x:c>
      <x:c r="J217" s="38" t="n">
        <x:v>0</x:v>
      </x:c>
      <x:c r="K217" s="38" t="n">
        <x:v>0</x:v>
      </x:c>
      <x:c r="L217" s="38" t="n">
        <x:v>0</x:v>
      </x:c>
      <x:c r="M217" s="38" t="n">
        <x:v>0</x:v>
      </x:c>
      <x:c r="N217" s="38" t="n">
        <x:v>0</x:v>
      </x:c>
      <x:c r="O217" s="38" t="n">
        <x:v>90099</x:v>
      </x:c>
      <x:c r="P217" s="38" t="n">
        <x:f>F217+G217-H217+I217+J217+K217+L217-M217-N217-O217</x:f>
        <x:v>10800</x:v>
      </x:c>
      <x:c r="Q217" s="38" t="n">
        <x:v>10800</x:v>
      </x:c>
      <x:c r="R217" s="38" t="n">
        <x:f>P217-Q217</x:f>
        <x:v>0</x:v>
      </x:c>
      <x:c r="S217" s="38" t="n">
        <x:v>85140</x:v>
      </x:c>
      <x:c r="T217" s="38" t="n">
        <x:v>0</x:v>
      </x:c>
      <x:c r="U217" s="38" t="n">
        <x:v>92</x:v>
      </x:c>
      <x:c r="V217" s="38" t="n">
        <x:v>0</x:v>
      </x:c>
      <x:c r="W217" s="38" t="n">
        <x:v>0</x:v>
      </x:c>
      <x:c r="X217" s="44" t="n">
        <x:v>0</x:v>
      </x:c>
      <x:c r="Y217" s="38" t="n">
        <x:v>198</x:v>
      </x:c>
      <x:c r="Z217" s="38" t="n">
        <x:v>39</x:v>
      </x:c>
      <x:c r="AA217" s="38" t="n">
        <x:v>31</x:v>
      </x:c>
      <x:c r="AB217" s="38" t="n">
        <x:v>8</x:v>
      </x:c>
      <x:c r="AC217" s="38" t="n">
        <x:v>11110</x:v>
      </x:c>
      <x:c r="AD217" s="38" t="n">
        <x:v>0</x:v>
      </x:c>
      <x:c r="AE217" s="38" t="n">
        <x:f>IF(B217=1,0,F217-Q216)</x:f>
        <x:v>0</x:v>
      </x:c>
    </x:row>
    <x:row r="218" ht="27" customHeight="1">
      <x:c r="A218" s="28" t="str">
        <x:v>Core F2P</x:v>
      </x:c>
      <x:c r="B218" s="38" t="n">
        <x:v>94</x:v>
      </x:c>
      <x:c r="C218" s="38" t="n">
        <x:v>40</x:v>
      </x:c>
      <x:c r="D218" s="38" t="n">
        <x:v>742640</x:v>
      </x:c>
      <x:c r="E218" s="38" t="n">
        <x:v>100</x:v>
      </x:c>
      <x:c r="F218" s="38" t="n">
        <x:v>10800</x:v>
      </x:c>
      <x:c r="G218" s="38" t="n">
        <x:v>108615</x:v>
      </x:c>
      <x:c r="H218" s="38" t="n">
        <x:v>21492</x:v>
      </x:c>
      <x:c r="I218" s="38" t="n">
        <x:v>4959</x:v>
      </x:c>
      <x:c r="J218" s="38" t="n">
        <x:v>0</x:v>
      </x:c>
      <x:c r="K218" s="38" t="n">
        <x:v>0</x:v>
      </x:c>
      <x:c r="L218" s="38" t="n">
        <x:v>0</x:v>
      </x:c>
      <x:c r="M218" s="38" t="n">
        <x:v>0</x:v>
      </x:c>
      <x:c r="N218" s="38" t="n">
        <x:v>5005</x:v>
      </x:c>
      <x:c r="O218" s="38" t="n">
        <x:v>87077</x:v>
      </x:c>
      <x:c r="P218" s="38" t="n">
        <x:f>F218+G218-H218+I218+J218+K218+L218-M218-N218-O218</x:f>
        <x:v>10800</x:v>
      </x:c>
      <x:c r="Q218" s="38" t="n">
        <x:v>10800</x:v>
      </x:c>
      <x:c r="R218" s="38" t="n">
        <x:f>P218-Q218</x:f>
        <x:v>0</x:v>
      </x:c>
      <x:c r="S218" s="38" t="n">
        <x:v>86813</x:v>
      </x:c>
      <x:c r="T218" s="38" t="n">
        <x:v>0</x:v>
      </x:c>
      <x:c r="U218" s="38" t="n">
        <x:v>94</x:v>
      </x:c>
      <x:c r="V218" s="38" t="n">
        <x:v>2</x:v>
      </x:c>
      <x:c r="W218" s="38" t="n">
        <x:v>0</x:v>
      </x:c>
      <x:c r="X218" s="44" t="n">
        <x:v>0</x:v>
      </x:c>
      <x:c r="Y218" s="38" t="n">
        <x:v>199</x:v>
      </x:c>
      <x:c r="Z218" s="38" t="n">
        <x:v>40</x:v>
      </x:c>
      <x:c r="AA218" s="38" t="n">
        <x:v>32</x:v>
      </x:c>
      <x:c r="AB218" s="38" t="n">
        <x:v>8</x:v>
      </x:c>
      <x:c r="AC218" s="38" t="n">
        <x:v>10800</x:v>
      </x:c>
      <x:c r="AD218" s="38" t="n">
        <x:v>0</x:v>
      </x:c>
      <x:c r="AE218" s="38" t="n">
        <x:f>IF(B218=1,0,F218-Q217)</x:f>
        <x:v>0</x:v>
      </x:c>
    </x:row>
    <x:row r="219" ht="27" customHeight="1">
      <x:c r="A219" s="28" t="str">
        <x:v>Core F2P</x:v>
      </x:c>
      <x:c r="B219" s="38" t="n">
        <x:v>95</x:v>
      </x:c>
      <x:c r="C219" s="38" t="n">
        <x:v>40</x:v>
      </x:c>
      <x:c r="D219" s="38" t="n">
        <x:v>742640</x:v>
      </x:c>
      <x:c r="E219" s="38" t="n">
        <x:v>100</x:v>
      </x:c>
      <x:c r="F219" s="38" t="n">
        <x:v>10800</x:v>
      </x:c>
      <x:c r="G219" s="38" t="n">
        <x:v>107600</x:v>
      </x:c>
      <x:c r="H219" s="38" t="n">
        <x:v>21600</x:v>
      </x:c>
      <x:c r="I219" s="38" t="n">
        <x:v>4959</x:v>
      </x:c>
      <x:c r="J219" s="38" t="n">
        <x:v>0</x:v>
      </x:c>
      <x:c r="K219" s="38" t="n">
        <x:v>0</x:v>
      </x:c>
      <x:c r="L219" s="38" t="n">
        <x:v>0</x:v>
      </x:c>
      <x:c r="M219" s="38" t="n">
        <x:v>0</x:v>
      </x:c>
      <x:c r="N219" s="38" t="n">
        <x:v>0</x:v>
      </x:c>
      <x:c r="O219" s="38" t="n">
        <x:v>90959</x:v>
      </x:c>
      <x:c r="P219" s="38" t="n">
        <x:f>F219+G219-H219+I219+J219+K219+L219-M219-N219-O219</x:f>
        <x:v>10800</x:v>
      </x:c>
      <x:c r="Q219" s="38" t="n">
        <x:v>10800</x:v>
      </x:c>
      <x:c r="R219" s="38" t="n">
        <x:f>P219-Q219</x:f>
        <x:v>0</x:v>
      </x:c>
      <x:c r="S219" s="38" t="n">
        <x:v>86000</x:v>
      </x:c>
      <x:c r="T219" s="38" t="n">
        <x:v>0</x:v>
      </x:c>
      <x:c r="U219" s="38" t="n">
        <x:v>94</x:v>
      </x:c>
      <x:c r="V219" s="38" t="n">
        <x:v>0</x:v>
      </x:c>
      <x:c r="W219" s="38" t="n">
        <x:v>0</x:v>
      </x:c>
      <x:c r="X219" s="44" t="n">
        <x:v>0</x:v>
      </x:c>
      <x:c r="Y219" s="38" t="n">
        <x:v>200</x:v>
      </x:c>
      <x:c r="Z219" s="38" t="n">
        <x:v>40</x:v>
      </x:c>
      <x:c r="AA219" s="38" t="n">
        <x:v>32</x:v>
      </x:c>
      <x:c r="AB219" s="38" t="n">
        <x:v>8</x:v>
      </x:c>
      <x:c r="AC219" s="38" t="n">
        <x:v>10800</x:v>
      </x:c>
      <x:c r="AD219" s="38" t="n">
        <x:v>0</x:v>
      </x:c>
      <x:c r="AE219" s="38" t="n">
        <x:f>IF(B219=1,0,F219-Q218)</x:f>
        <x:v>0</x:v>
      </x:c>
    </x:row>
    <x:row r="220" ht="27" customHeight="1">
      <x:c r="A220" s="28" t="str">
        <x:v>Core F2P</x:v>
      </x:c>
      <x:c r="B220" s="38" t="n">
        <x:v>96</x:v>
      </x:c>
      <x:c r="C220" s="38" t="n">
        <x:v>40</x:v>
      </x:c>
      <x:c r="D220" s="38" t="n">
        <x:v>742640</x:v>
      </x:c>
      <x:c r="E220" s="38" t="n">
        <x:v>100</x:v>
      </x:c>
      <x:c r="F220" s="38" t="n">
        <x:v>10800</x:v>
      </x:c>
      <x:c r="G220" s="38" t="n">
        <x:v>107600</x:v>
      </x:c>
      <x:c r="H220" s="38" t="n">
        <x:v>21600</x:v>
      </x:c>
      <x:c r="I220" s="38" t="n">
        <x:v>4959</x:v>
      </x:c>
      <x:c r="J220" s="38" t="n">
        <x:v>0</x:v>
      </x:c>
      <x:c r="K220" s="38" t="n">
        <x:v>0</x:v>
      </x:c>
      <x:c r="L220" s="38" t="n">
        <x:v>0</x:v>
      </x:c>
      <x:c r="M220" s="38" t="n">
        <x:v>0</x:v>
      </x:c>
      <x:c r="N220" s="38" t="n">
        <x:v>0</x:v>
      </x:c>
      <x:c r="O220" s="38" t="n">
        <x:v>90959</x:v>
      </x:c>
      <x:c r="P220" s="38" t="n">
        <x:f>F220+G220-H220+I220+J220+K220+L220-M220-N220-O220</x:f>
        <x:v>10800</x:v>
      </x:c>
      <x:c r="Q220" s="38" t="n">
        <x:v>10800</x:v>
      </x:c>
      <x:c r="R220" s="38" t="n">
        <x:f>P220-Q220</x:f>
        <x:v>0</x:v>
      </x:c>
      <x:c r="S220" s="38" t="n">
        <x:v>86000</x:v>
      </x:c>
      <x:c r="T220" s="38" t="n">
        <x:v>0</x:v>
      </x:c>
      <x:c r="U220" s="38" t="n">
        <x:v>94</x:v>
      </x:c>
      <x:c r="V220" s="38" t="n">
        <x:v>0</x:v>
      </x:c>
      <x:c r="W220" s="38" t="n">
        <x:v>0</x:v>
      </x:c>
      <x:c r="X220" s="44" t="n">
        <x:v>0</x:v>
      </x:c>
      <x:c r="Y220" s="38" t="n">
        <x:v>200</x:v>
      </x:c>
      <x:c r="Z220" s="38" t="n">
        <x:v>40</x:v>
      </x:c>
      <x:c r="AA220" s="38" t="n">
        <x:v>32</x:v>
      </x:c>
      <x:c r="AB220" s="38" t="n">
        <x:v>8</x:v>
      </x:c>
      <x:c r="AC220" s="38" t="n">
        <x:v>10800</x:v>
      </x:c>
      <x:c r="AD220" s="38" t="n">
        <x:v>0</x:v>
      </x:c>
      <x:c r="AE220" s="38" t="n">
        <x:f>IF(B220=1,0,F220-Q219)</x:f>
        <x:v>0</x:v>
      </x:c>
    </x:row>
    <x:row r="221" ht="27" customHeight="1">
      <x:c r="A221" s="28" t="str">
        <x:v>Core F2P</x:v>
      </x:c>
      <x:c r="B221" s="38" t="n">
        <x:v>97</x:v>
      </x:c>
      <x:c r="C221" s="38" t="n">
        <x:v>40</x:v>
      </x:c>
      <x:c r="D221" s="38" t="n">
        <x:v>742640</x:v>
      </x:c>
      <x:c r="E221" s="38" t="n">
        <x:v>100</x:v>
      </x:c>
      <x:c r="F221" s="38" t="n">
        <x:v>10800</x:v>
      </x:c>
      <x:c r="G221" s="38" t="n">
        <x:v>107600</x:v>
      </x:c>
      <x:c r="H221" s="38" t="n">
        <x:v>21600</x:v>
      </x:c>
      <x:c r="I221" s="38" t="n">
        <x:v>4959</x:v>
      </x:c>
      <x:c r="J221" s="38" t="n">
        <x:v>0</x:v>
      </x:c>
      <x:c r="K221" s="38" t="n">
        <x:v>0</x:v>
      </x:c>
      <x:c r="L221" s="38" t="n">
        <x:v>0</x:v>
      </x:c>
      <x:c r="M221" s="38" t="n">
        <x:v>0</x:v>
      </x:c>
      <x:c r="N221" s="38" t="n">
        <x:v>5120</x:v>
      </x:c>
      <x:c r="O221" s="38" t="n">
        <x:v>85689</x:v>
      </x:c>
      <x:c r="P221" s="38" t="n">
        <x:f>F221+G221-H221+I221+J221+K221+L221-M221-N221-O221</x:f>
        <x:v>10950</x:v>
      </x:c>
      <x:c r="Q221" s="38" t="n">
        <x:v>10950</x:v>
      </x:c>
      <x:c r="R221" s="38" t="n">
        <x:f>P221-Q221</x:f>
        <x:v>0</x:v>
      </x:c>
      <x:c r="S221" s="38" t="n">
        <x:v>86000</x:v>
      </x:c>
      <x:c r="T221" s="38" t="n">
        <x:v>0</x:v>
      </x:c>
      <x:c r="U221" s="38" t="n">
        <x:v>94</x:v>
      </x:c>
      <x:c r="V221" s="38" t="n">
        <x:v>0</x:v>
      </x:c>
      <x:c r="W221" s="38" t="n">
        <x:v>0</x:v>
      </x:c>
      <x:c r="X221" s="44" t="n">
        <x:v>0</x:v>
      </x:c>
      <x:c r="Y221" s="38" t="n">
        <x:v>200</x:v>
      </x:c>
      <x:c r="Z221" s="38" t="n">
        <x:v>40</x:v>
      </x:c>
      <x:c r="AA221" s="38" t="n">
        <x:v>33</x:v>
      </x:c>
      <x:c r="AB221" s="38" t="n">
        <x:v>9</x:v>
      </x:c>
      <x:c r="AC221" s="38" t="n">
        <x:v>10800</x:v>
      </x:c>
      <x:c r="AD221" s="38" t="n">
        <x:v>0</x:v>
      </x:c>
      <x:c r="AE221" s="38" t="n">
        <x:f>IF(B221=1,0,F221-Q220)</x:f>
        <x:v>0</x:v>
      </x:c>
    </x:row>
    <x:row r="222" ht="27" customHeight="1">
      <x:c r="A222" s="28" t="str">
        <x:v>Core F2P</x:v>
      </x:c>
      <x:c r="B222" s="38" t="n">
        <x:v>98</x:v>
      </x:c>
      <x:c r="C222" s="38" t="n">
        <x:v>40</x:v>
      </x:c>
      <x:c r="D222" s="38" t="n">
        <x:v>742640</x:v>
      </x:c>
      <x:c r="E222" s="38" t="n">
        <x:v>100</x:v>
      </x:c>
      <x:c r="F222" s="38" t="n">
        <x:v>10950</x:v>
      </x:c>
      <x:c r="G222" s="38" t="n">
        <x:v>107600</x:v>
      </x:c>
      <x:c r="H222" s="38" t="n">
        <x:v>21600</x:v>
      </x:c>
      <x:c r="I222" s="38" t="n">
        <x:v>28130</x:v>
      </x:c>
      <x:c r="J222" s="38" t="n">
        <x:v>0</x:v>
      </x:c>
      <x:c r="K222" s="38" t="n">
        <x:v>0</x:v>
      </x:c>
      <x:c r="L222" s="38" t="n">
        <x:v>0</x:v>
      </x:c>
      <x:c r="M222" s="38" t="n">
        <x:v>0</x:v>
      </x:c>
      <x:c r="N222" s="38" t="n">
        <x:v>0</x:v>
      </x:c>
      <x:c r="O222" s="38" t="n">
        <x:v>114280</x:v>
      </x:c>
      <x:c r="P222" s="38" t="n">
        <x:f>F222+G222-H222+I222+J222+K222+L222-M222-N222-O222</x:f>
        <x:v>10800</x:v>
      </x:c>
      <x:c r="Q222" s="38" t="n">
        <x:v>10800</x:v>
      </x:c>
      <x:c r="R222" s="38" t="n">
        <x:f>P222-Q222</x:f>
        <x:v>0</x:v>
      </x:c>
      <x:c r="S222" s="38" t="n">
        <x:v>86000</x:v>
      </x:c>
      <x:c r="T222" s="38" t="n">
        <x:v>0</x:v>
      </x:c>
      <x:c r="U222" s="38" t="n">
        <x:v>96</x:v>
      </x:c>
      <x:c r="V222" s="38" t="n">
        <x:v>2</x:v>
      </x:c>
      <x:c r="W222" s="38" t="n">
        <x:v>0</x:v>
      </x:c>
      <x:c r="X222" s="44" t="n">
        <x:v>0</x:v>
      </x:c>
      <x:c r="Y222" s="38" t="n">
        <x:v>200</x:v>
      </x:c>
      <x:c r="Z222" s="38" t="n">
        <x:v>40</x:v>
      </x:c>
      <x:c r="AA222" s="38" t="n">
        <x:v>33</x:v>
      </x:c>
      <x:c r="AB222" s="38" t="n">
        <x:v>9</x:v>
      </x:c>
      <x:c r="AC222" s="38" t="n">
        <x:v>10800</x:v>
      </x:c>
      <x:c r="AD222" s="38" t="n">
        <x:v>0</x:v>
      </x:c>
      <x:c r="AE222" s="38" t="n">
        <x:f>IF(B222=1,0,F222-Q221)</x:f>
        <x:v>0</x:v>
      </x:c>
    </x:row>
    <x:row r="223" ht="27" customHeight="1">
      <x:c r="A223" s="28" t="str">
        <x:v>Core F2P</x:v>
      </x:c>
      <x:c r="B223" s="38" t="n">
        <x:v>99</x:v>
      </x:c>
      <x:c r="C223" s="38" t="n">
        <x:v>40</x:v>
      </x:c>
      <x:c r="D223" s="38" t="n">
        <x:v>742640</x:v>
      </x:c>
      <x:c r="E223" s="38" t="n">
        <x:v>100</x:v>
      </x:c>
      <x:c r="F223" s="38" t="n">
        <x:v>10800</x:v>
      </x:c>
      <x:c r="G223" s="38" t="n">
        <x:v>107600</x:v>
      </x:c>
      <x:c r="H223" s="38" t="n">
        <x:v>21600</x:v>
      </x:c>
      <x:c r="I223" s="38" t="n">
        <x:v>4959</x:v>
      </x:c>
      <x:c r="J223" s="38" t="n">
        <x:v>0</x:v>
      </x:c>
      <x:c r="K223" s="38" t="n">
        <x:v>0</x:v>
      </x:c>
      <x:c r="L223" s="38" t="n">
        <x:v>0</x:v>
      </x:c>
      <x:c r="M223" s="38" t="n">
        <x:v>0</x:v>
      </x:c>
      <x:c r="N223" s="38" t="n">
        <x:v>0</x:v>
      </x:c>
      <x:c r="O223" s="38" t="n">
        <x:v>90959</x:v>
      </x:c>
      <x:c r="P223" s="38" t="n">
        <x:f>F223+G223-H223+I223+J223+K223+L223-M223-N223-O223</x:f>
        <x:v>10800</x:v>
      </x:c>
      <x:c r="Q223" s="38" t="n">
        <x:v>10800</x:v>
      </x:c>
      <x:c r="R223" s="38" t="n">
        <x:f>P223-Q223</x:f>
        <x:v>0</x:v>
      </x:c>
      <x:c r="S223" s="38" t="n">
        <x:v>86000</x:v>
      </x:c>
      <x:c r="T223" s="38" t="n">
        <x:v>0</x:v>
      </x:c>
      <x:c r="U223" s="38" t="n">
        <x:v>96</x:v>
      </x:c>
      <x:c r="V223" s="38" t="n">
        <x:v>0</x:v>
      </x:c>
      <x:c r="W223" s="38" t="n">
        <x:v>0</x:v>
      </x:c>
      <x:c r="X223" s="44" t="n">
        <x:v>0</x:v>
      </x:c>
      <x:c r="Y223" s="38" t="n">
        <x:v>200</x:v>
      </x:c>
      <x:c r="Z223" s="38" t="n">
        <x:v>40</x:v>
      </x:c>
      <x:c r="AA223" s="38" t="n">
        <x:v>33</x:v>
      </x:c>
      <x:c r="AB223" s="38" t="n">
        <x:v>9</x:v>
      </x:c>
      <x:c r="AC223" s="38" t="n">
        <x:v>10800</x:v>
      </x:c>
      <x:c r="AD223" s="38" t="n">
        <x:v>0</x:v>
      </x:c>
      <x:c r="AE223" s="38" t="n">
        <x:f>IF(B223=1,0,F223-Q222)</x:f>
        <x:v>0</x:v>
      </x:c>
    </x:row>
    <x:row r="224" ht="27" customHeight="1">
      <x:c r="A224" s="28" t="str">
        <x:v>Core F2P</x:v>
      </x:c>
      <x:c r="B224" s="38" t="n">
        <x:v>100</x:v>
      </x:c>
      <x:c r="C224" s="38" t="n">
        <x:v>40</x:v>
      </x:c>
      <x:c r="D224" s="38" t="n">
        <x:v>742640</x:v>
      </x:c>
      <x:c r="E224" s="38" t="n">
        <x:v>100</x:v>
      </x:c>
      <x:c r="F224" s="38" t="n">
        <x:v>10800</x:v>
      </x:c>
      <x:c r="G224" s="38" t="n">
        <x:v>107600</x:v>
      </x:c>
      <x:c r="H224" s="38" t="n">
        <x:v>21600</x:v>
      </x:c>
      <x:c r="I224" s="38" t="n">
        <x:v>4959</x:v>
      </x:c>
      <x:c r="J224" s="38" t="n">
        <x:v>0</x:v>
      </x:c>
      <x:c r="K224" s="38" t="n">
        <x:v>0</x:v>
      </x:c>
      <x:c r="L224" s="38" t="n">
        <x:v>0</x:v>
      </x:c>
      <x:c r="M224" s="38" t="n">
        <x:v>0</x:v>
      </x:c>
      <x:c r="N224" s="38" t="n">
        <x:v>9820</x:v>
      </x:c>
      <x:c r="O224" s="38" t="n">
        <x:v>81139</x:v>
      </x:c>
      <x:c r="P224" s="38" t="n">
        <x:f>F224+G224-H224+I224+J224+K224+L224-M224-N224-O224</x:f>
        <x:v>10800</x:v>
      </x:c>
      <x:c r="Q224" s="38" t="n">
        <x:v>10800</x:v>
      </x:c>
      <x:c r="R224" s="38" t="n">
        <x:f>P224-Q224</x:f>
        <x:v>0</x:v>
      </x:c>
      <x:c r="S224" s="38" t="n">
        <x:v>86000</x:v>
      </x:c>
      <x:c r="T224" s="38" t="n">
        <x:v>0</x:v>
      </x:c>
      <x:c r="U224" s="38" t="n">
        <x:v>96</x:v>
      </x:c>
      <x:c r="V224" s="38" t="n">
        <x:v>0</x:v>
      </x:c>
      <x:c r="W224" s="38" t="n">
        <x:v>0</x:v>
      </x:c>
      <x:c r="X224" s="44" t="n">
        <x:v>0</x:v>
      </x:c>
      <x:c r="Y224" s="38" t="n">
        <x:v>200</x:v>
      </x:c>
      <x:c r="Z224" s="38" t="n">
        <x:v>40</x:v>
      </x:c>
      <x:c r="AA224" s="38" t="n">
        <x:v>34</x:v>
      </x:c>
      <x:c r="AB224" s="38" t="n">
        <x:v>9</x:v>
      </x:c>
      <x:c r="AC224" s="38" t="n">
        <x:v>10800</x:v>
      </x:c>
      <x:c r="AD224" s="38" t="n">
        <x:v>0</x:v>
      </x:c>
      <x:c r="AE224" s="38" t="n">
        <x:f>IF(B224=1,0,F224-Q223)</x:f>
        <x:v>0</x:v>
      </x:c>
    </x:row>
    <x:row r="225" ht="27" customHeight="1">
      <x:c r="A225" s="28" t="str">
        <x:v>Core F2P</x:v>
      </x:c>
      <x:c r="B225" s="38" t="n">
        <x:v>101</x:v>
      </x:c>
      <x:c r="C225" s="38" t="n">
        <x:v>40</x:v>
      </x:c>
      <x:c r="D225" s="38" t="n">
        <x:v>742640</x:v>
      </x:c>
      <x:c r="E225" s="38" t="n">
        <x:v>100</x:v>
      </x:c>
      <x:c r="F225" s="38" t="n">
        <x:v>10800</x:v>
      </x:c>
      <x:c r="G225" s="38" t="n">
        <x:v>107600</x:v>
      </x:c>
      <x:c r="H225" s="38" t="n">
        <x:v>21600</x:v>
      </x:c>
      <x:c r="I225" s="38" t="n">
        <x:v>4959</x:v>
      </x:c>
      <x:c r="J225" s="38" t="n">
        <x:v>0</x:v>
      </x:c>
      <x:c r="K225" s="38" t="n">
        <x:v>0</x:v>
      </x:c>
      <x:c r="L225" s="38" t="n">
        <x:v>0</x:v>
      </x:c>
      <x:c r="M225" s="38" t="n">
        <x:v>0</x:v>
      </x:c>
      <x:c r="N225" s="38" t="n">
        <x:v>0</x:v>
      </x:c>
      <x:c r="O225" s="38" t="n">
        <x:v>90959</x:v>
      </x:c>
      <x:c r="P225" s="38" t="n">
        <x:f>F225+G225-H225+I225+J225+K225+L225-M225-N225-O225</x:f>
        <x:v>10800</x:v>
      </x:c>
      <x:c r="Q225" s="38" t="n">
        <x:v>10800</x:v>
      </x:c>
      <x:c r="R225" s="38" t="n">
        <x:f>P225-Q225</x:f>
        <x:v>0</x:v>
      </x:c>
      <x:c r="S225" s="38" t="n">
        <x:v>86000</x:v>
      </x:c>
      <x:c r="T225" s="38" t="n">
        <x:v>0</x:v>
      </x:c>
      <x:c r="U225" s="38" t="n">
        <x:v>96</x:v>
      </x:c>
      <x:c r="V225" s="38" t="n">
        <x:v>0</x:v>
      </x:c>
      <x:c r="W225" s="38" t="n">
        <x:v>0</x:v>
      </x:c>
      <x:c r="X225" s="44" t="n">
        <x:v>0</x:v>
      </x:c>
      <x:c r="Y225" s="38" t="n">
        <x:v>200</x:v>
      </x:c>
      <x:c r="Z225" s="38" t="n">
        <x:v>40</x:v>
      </x:c>
      <x:c r="AA225" s="38" t="n">
        <x:v>34</x:v>
      </x:c>
      <x:c r="AB225" s="38" t="n">
        <x:v>9</x:v>
      </x:c>
      <x:c r="AC225" s="38" t="n">
        <x:v>10800</x:v>
      </x:c>
      <x:c r="AD225" s="38" t="n">
        <x:v>0</x:v>
      </x:c>
      <x:c r="AE225" s="38" t="n">
        <x:f>IF(B225=1,0,F225-Q224)</x:f>
        <x:v>0</x:v>
      </x:c>
    </x:row>
    <x:row r="226" ht="27" customHeight="1">
      <x:c r="A226" s="28" t="str">
        <x:v>Core F2P</x:v>
      </x:c>
      <x:c r="B226" s="38" t="n">
        <x:v>102</x:v>
      </x:c>
      <x:c r="C226" s="38" t="n">
        <x:v>40</x:v>
      </x:c>
      <x:c r="D226" s="38" t="n">
        <x:v>742640</x:v>
      </x:c>
      <x:c r="E226" s="38" t="n">
        <x:v>100</x:v>
      </x:c>
      <x:c r="F226" s="38" t="n">
        <x:v>10800</x:v>
      </x:c>
      <x:c r="G226" s="38" t="n">
        <x:v>107600</x:v>
      </x:c>
      <x:c r="H226" s="38" t="n">
        <x:v>21600</x:v>
      </x:c>
      <x:c r="I226" s="38" t="n">
        <x:v>4959</x:v>
      </x:c>
      <x:c r="J226" s="38" t="n">
        <x:v>0</x:v>
      </x:c>
      <x:c r="K226" s="38" t="n">
        <x:v>0</x:v>
      </x:c>
      <x:c r="L226" s="38" t="n">
        <x:v>0</x:v>
      </x:c>
      <x:c r="M226" s="38" t="n">
        <x:v>0</x:v>
      </x:c>
      <x:c r="N226" s="38" t="n">
        <x:v>0</x:v>
      </x:c>
      <x:c r="O226" s="38" t="n">
        <x:v>90959</x:v>
      </x:c>
      <x:c r="P226" s="38" t="n">
        <x:f>F226+G226-H226+I226+J226+K226+L226-M226-N226-O226</x:f>
        <x:v>10800</x:v>
      </x:c>
      <x:c r="Q226" s="38" t="n">
        <x:v>10800</x:v>
      </x:c>
      <x:c r="R226" s="38" t="n">
        <x:f>P226-Q226</x:f>
        <x:v>0</x:v>
      </x:c>
      <x:c r="S226" s="38" t="n">
        <x:v>86000</x:v>
      </x:c>
      <x:c r="T226" s="38" t="n">
        <x:v>0</x:v>
      </x:c>
      <x:c r="U226" s="38" t="n">
        <x:v>96</x:v>
      </x:c>
      <x:c r="V226" s="38" t="n">
        <x:v>0</x:v>
      </x:c>
      <x:c r="W226" s="38" t="n">
        <x:v>0</x:v>
      </x:c>
      <x:c r="X226" s="44" t="n">
        <x:v>0</x:v>
      </x:c>
      <x:c r="Y226" s="38" t="n">
        <x:v>200</x:v>
      </x:c>
      <x:c r="Z226" s="38" t="n">
        <x:v>40</x:v>
      </x:c>
      <x:c r="AA226" s="38" t="n">
        <x:v>34</x:v>
      </x:c>
      <x:c r="AB226" s="38" t="n">
        <x:v>9</x:v>
      </x:c>
      <x:c r="AC226" s="38" t="n">
        <x:v>10800</x:v>
      </x:c>
      <x:c r="AD226" s="38" t="n">
        <x:v>0</x:v>
      </x:c>
      <x:c r="AE226" s="38" t="n">
        <x:f>IF(B226=1,0,F226-Q225)</x:f>
        <x:v>0</x:v>
      </x:c>
    </x:row>
    <x:row r="227" ht="27" customHeight="1">
      <x:c r="A227" s="28" t="str">
        <x:v>Core F2P</x:v>
      </x:c>
      <x:c r="B227" s="38" t="n">
        <x:v>103</x:v>
      </x:c>
      <x:c r="C227" s="38" t="n">
        <x:v>40</x:v>
      </x:c>
      <x:c r="D227" s="38" t="n">
        <x:v>742640</x:v>
      </x:c>
      <x:c r="E227" s="38" t="n">
        <x:v>100</x:v>
      </x:c>
      <x:c r="F227" s="38" t="n">
        <x:v>10800</x:v>
      </x:c>
      <x:c r="G227" s="38" t="n">
        <x:v>107600</x:v>
      </x:c>
      <x:c r="H227" s="38" t="n">
        <x:v>21600</x:v>
      </x:c>
      <x:c r="I227" s="38" t="n">
        <x:v>4959</x:v>
      </x:c>
      <x:c r="J227" s="38" t="n">
        <x:v>0</x:v>
      </x:c>
      <x:c r="K227" s="38" t="n">
        <x:v>0</x:v>
      </x:c>
      <x:c r="L227" s="38" t="n">
        <x:v>0</x:v>
      </x:c>
      <x:c r="M227" s="38" t="n">
        <x:v>0</x:v>
      </x:c>
      <x:c r="N227" s="38" t="n">
        <x:v>11865</x:v>
      </x:c>
      <x:c r="O227" s="38" t="n">
        <x:v>79094</x:v>
      </x:c>
      <x:c r="P227" s="38" t="n">
        <x:f>F227+G227-H227+I227+J227+K227+L227-M227-N227-O227</x:f>
        <x:v>10800</x:v>
      </x:c>
      <x:c r="Q227" s="38" t="n">
        <x:v>10800</x:v>
      </x:c>
      <x:c r="R227" s="38" t="n">
        <x:f>P227-Q227</x:f>
        <x:v>0</x:v>
      </x:c>
      <x:c r="S227" s="38" t="n">
        <x:v>86000</x:v>
      </x:c>
      <x:c r="T227" s="38" t="n">
        <x:v>0</x:v>
      </x:c>
      <x:c r="U227" s="38" t="n">
        <x:v>96</x:v>
      </x:c>
      <x:c r="V227" s="38" t="n">
        <x:v>0</x:v>
      </x:c>
      <x:c r="W227" s="38" t="n">
        <x:v>0</x:v>
      </x:c>
      <x:c r="X227" s="44" t="n">
        <x:v>0</x:v>
      </x:c>
      <x:c r="Y227" s="38" t="n">
        <x:v>200</x:v>
      </x:c>
      <x:c r="Z227" s="38" t="n">
        <x:v>40</x:v>
      </x:c>
      <x:c r="AA227" s="38" t="n">
        <x:v>35</x:v>
      </x:c>
      <x:c r="AB227" s="38" t="n">
        <x:v>9</x:v>
      </x:c>
      <x:c r="AC227" s="38" t="n">
        <x:v>10800</x:v>
      </x:c>
      <x:c r="AD227" s="38" t="n">
        <x:v>0</x:v>
      </x:c>
      <x:c r="AE227" s="38" t="n">
        <x:f>IF(B227=1,0,F227-Q226)</x:f>
        <x:v>0</x:v>
      </x:c>
    </x:row>
    <x:row r="228" ht="27" customHeight="1">
      <x:c r="A228" s="28" t="str">
        <x:v>Core F2P</x:v>
      </x:c>
      <x:c r="B228" s="38" t="n">
        <x:v>104</x:v>
      </x:c>
      <x:c r="C228" s="38" t="n">
        <x:v>40</x:v>
      </x:c>
      <x:c r="D228" s="38" t="n">
        <x:v>742640</x:v>
      </x:c>
      <x:c r="E228" s="38" t="n">
        <x:v>100</x:v>
      </x:c>
      <x:c r="F228" s="38" t="n">
        <x:v>10800</x:v>
      </x:c>
      <x:c r="G228" s="38" t="n">
        <x:v>107600</x:v>
      </x:c>
      <x:c r="H228" s="38" t="n">
        <x:v>21600</x:v>
      </x:c>
      <x:c r="I228" s="38" t="n">
        <x:v>4959</x:v>
      </x:c>
      <x:c r="J228" s="38" t="n">
        <x:v>0</x:v>
      </x:c>
      <x:c r="K228" s="38" t="n">
        <x:v>0</x:v>
      </x:c>
      <x:c r="L228" s="38" t="n">
        <x:v>0</x:v>
      </x:c>
      <x:c r="M228" s="38" t="n">
        <x:v>0</x:v>
      </x:c>
      <x:c r="N228" s="38" t="n">
        <x:v>0</x:v>
      </x:c>
      <x:c r="O228" s="38" t="n">
        <x:v>31672</x:v>
      </x:c>
      <x:c r="P228" s="38" t="n">
        <x:f>F228+G228-H228+I228+J228+K228+L228-M228-N228-O228</x:f>
        <x:v>70087</x:v>
      </x:c>
      <x:c r="Q228" s="38" t="n">
        <x:v>70087</x:v>
      </x:c>
      <x:c r="R228" s="38" t="n">
        <x:f>P228-Q228</x:f>
        <x:v>0</x:v>
      </x:c>
      <x:c r="S228" s="38" t="n">
        <x:v>86000</x:v>
      </x:c>
      <x:c r="T228" s="38" t="n">
        <x:v>0</x:v>
      </x:c>
      <x:c r="U228" s="38" t="n">
        <x:v>96</x:v>
      </x:c>
      <x:c r="V228" s="38" t="n">
        <x:v>0</x:v>
      </x:c>
      <x:c r="W228" s="38" t="n">
        <x:v>0</x:v>
      </x:c>
      <x:c r="X228" s="44" t="n">
        <x:v>0</x:v>
      </x:c>
      <x:c r="Y228" s="38" t="n">
        <x:v>200</x:v>
      </x:c>
      <x:c r="Z228" s="38" t="n">
        <x:v>40</x:v>
      </x:c>
      <x:c r="AA228" s="38" t="n">
        <x:v>35</x:v>
      </x:c>
      <x:c r="AB228" s="38" t="n">
        <x:v>9</x:v>
      </x:c>
      <x:c r="AC228" s="38" t="n">
        <x:v>10800</x:v>
      </x:c>
      <x:c r="AD228" s="38" t="n">
        <x:v>0</x:v>
      </x:c>
      <x:c r="AE228" s="38" t="n">
        <x:f>IF(B228=1,0,F228-Q227)</x:f>
        <x:v>0</x:v>
      </x:c>
    </x:row>
    <x:row r="229" ht="27" customHeight="1">
      <x:c r="A229" s="28" t="str">
        <x:v>Core F2P</x:v>
      </x:c>
      <x:c r="B229" s="38" t="n">
        <x:v>105</x:v>
      </x:c>
      <x:c r="C229" s="38" t="n">
        <x:v>40</x:v>
      </x:c>
      <x:c r="D229" s="38" t="n">
        <x:v>742640</x:v>
      </x:c>
      <x:c r="E229" s="38" t="n">
        <x:v>100</x:v>
      </x:c>
      <x:c r="F229" s="38" t="n">
        <x:v>70087</x:v>
      </x:c>
      <x:c r="G229" s="38" t="n">
        <x:v>107600</x:v>
      </x:c>
      <x:c r="H229" s="38" t="n">
        <x:v>21600</x:v>
      </x:c>
      <x:c r="I229" s="38" t="n">
        <x:v>29754</x:v>
      </x:c>
      <x:c r="J229" s="38" t="n">
        <x:v>0</x:v>
      </x:c>
      <x:c r="K229" s="38" t="n">
        <x:v>0</x:v>
      </x:c>
      <x:c r="L229" s="38" t="n">
        <x:v>0</x:v>
      </x:c>
      <x:c r="M229" s="38" t="n">
        <x:v>0</x:v>
      </x:c>
      <x:c r="N229" s="38" t="n">
        <x:v>0</x:v>
      </x:c>
      <x:c r="O229" s="38" t="n">
        <x:v>30100</x:v>
      </x:c>
      <x:c r="P229" s="38" t="n">
        <x:f>F229+G229-H229+I229+J229+K229+L229-M229-N229-O229</x:f>
        <x:v>155741</x:v>
      </x:c>
      <x:c r="Q229" s="38" t="n">
        <x:v>155741</x:v>
      </x:c>
      <x:c r="R229" s="38" t="n">
        <x:f>P229-Q229</x:f>
        <x:v>0</x:v>
      </x:c>
      <x:c r="S229" s="38" t="n">
        <x:v>86000</x:v>
      </x:c>
      <x:c r="T229" s="38" t="n">
        <x:v>0</x:v>
      </x:c>
      <x:c r="U229" s="38" t="n">
        <x:v>98</x:v>
      </x:c>
      <x:c r="V229" s="38" t="n">
        <x:v>2</x:v>
      </x:c>
      <x:c r="W229" s="38" t="n">
        <x:v>0</x:v>
      </x:c>
      <x:c r="X229" s="44" t="n">
        <x:v>0</x:v>
      </x:c>
      <x:c r="Y229" s="38" t="n">
        <x:v>200</x:v>
      </x:c>
      <x:c r="Z229" s="38" t="n">
        <x:v>40</x:v>
      </x:c>
      <x:c r="AA229" s="38" t="n">
        <x:v>35</x:v>
      </x:c>
      <x:c r="AB229" s="38" t="n">
        <x:v>9</x:v>
      </x:c>
      <x:c r="AC229" s="38" t="n">
        <x:v>10800</x:v>
      </x:c>
      <x:c r="AD229" s="38" t="n">
        <x:v>0</x:v>
      </x:c>
      <x:c r="AE229" s="38" t="n">
        <x:f>IF(B229=1,0,F229-Q228)</x:f>
        <x:v>0</x:v>
      </x:c>
    </x:row>
    <x:row r="230" ht="27" customHeight="1">
      <x:c r="A230" s="28" t="str">
        <x:v>Core F2P</x:v>
      </x:c>
      <x:c r="B230" s="38" t="n">
        <x:v>106</x:v>
      </x:c>
      <x:c r="C230" s="38" t="n">
        <x:v>40</x:v>
      </x:c>
      <x:c r="D230" s="38" t="n">
        <x:v>742640</x:v>
      </x:c>
      <x:c r="E230" s="38" t="n">
        <x:v>100</x:v>
      </x:c>
      <x:c r="F230" s="38" t="n">
        <x:v>155741</x:v>
      </x:c>
      <x:c r="G230" s="38" t="n">
        <x:v>107600</x:v>
      </x:c>
      <x:c r="H230" s="38" t="n">
        <x:v>21600</x:v>
      </x:c>
      <x:c r="I230" s="38" t="n">
        <x:v>4959</x:v>
      </x:c>
      <x:c r="J230" s="38" t="n">
        <x:v>0</x:v>
      </x:c>
      <x:c r="K230" s="38" t="n">
        <x:v>0</x:v>
      </x:c>
      <x:c r="L230" s="38" t="n">
        <x:v>0</x:v>
      </x:c>
      <x:c r="M230" s="38" t="n">
        <x:v>0</x:v>
      </x:c>
      <x:c r="N230" s="38" t="n">
        <x:v>12120</x:v>
      </x:c>
      <x:c r="O230" s="38" t="n">
        <x:v>30100</x:v>
      </x:c>
      <x:c r="P230" s="38" t="n">
        <x:f>F230+G230-H230+I230+J230+K230+L230-M230-N230-O230</x:f>
        <x:v>204480</x:v>
      </x:c>
      <x:c r="Q230" s="38" t="n">
        <x:v>204480</x:v>
      </x:c>
      <x:c r="R230" s="38" t="n">
        <x:f>P230-Q230</x:f>
        <x:v>0</x:v>
      </x:c>
      <x:c r="S230" s="38" t="n">
        <x:v>86000</x:v>
      </x:c>
      <x:c r="T230" s="38" t="n">
        <x:v>0</x:v>
      </x:c>
      <x:c r="U230" s="38" t="n">
        <x:v>102</x:v>
      </x:c>
      <x:c r="V230" s="38" t="n">
        <x:v>4</x:v>
      </x:c>
      <x:c r="W230" s="38" t="n">
        <x:v>0</x:v>
      </x:c>
      <x:c r="X230" s="44" t="n">
        <x:v>0</x:v>
      </x:c>
      <x:c r="Y230" s="38" t="n">
        <x:v>200</x:v>
      </x:c>
      <x:c r="Z230" s="38" t="n">
        <x:v>40</x:v>
      </x:c>
      <x:c r="AA230" s="38" t="n">
        <x:v>36</x:v>
      </x:c>
      <x:c r="AB230" s="38" t="n">
        <x:v>9</x:v>
      </x:c>
      <x:c r="AC230" s="38" t="n">
        <x:v>10800</x:v>
      </x:c>
      <x:c r="AD230" s="38" t="n">
        <x:v>0</x:v>
      </x:c>
      <x:c r="AE230" s="38" t="n">
        <x:f>IF(B230=1,0,F230-Q229)</x:f>
        <x:v>0</x:v>
      </x:c>
    </x:row>
    <x:row r="231" ht="27" customHeight="1">
      <x:c r="A231" s="28" t="str">
        <x:v>Core F2P</x:v>
      </x:c>
      <x:c r="B231" s="38" t="n">
        <x:v>107</x:v>
      </x:c>
      <x:c r="C231" s="38" t="n">
        <x:v>40</x:v>
      </x:c>
      <x:c r="D231" s="38" t="n">
        <x:v>742640</x:v>
      </x:c>
      <x:c r="E231" s="38" t="n">
        <x:v>100</x:v>
      </x:c>
      <x:c r="F231" s="38" t="n">
        <x:v>204480</x:v>
      </x:c>
      <x:c r="G231" s="38" t="n">
        <x:v>107600</x:v>
      </x:c>
      <x:c r="H231" s="38" t="n">
        <x:v>21600</x:v>
      </x:c>
      <x:c r="I231" s="38" t="n">
        <x:v>4959</x:v>
      </x:c>
      <x:c r="J231" s="38" t="n">
        <x:v>0</x:v>
      </x:c>
      <x:c r="K231" s="38" t="n">
        <x:v>0</x:v>
      </x:c>
      <x:c r="L231" s="38" t="n">
        <x:v>0</x:v>
      </x:c>
      <x:c r="M231" s="38" t="n">
        <x:v>0</x:v>
      </x:c>
      <x:c r="N231" s="38" t="n">
        <x:v>0</x:v>
      </x:c>
      <x:c r="O231" s="38" t="n">
        <x:v>30100</x:v>
      </x:c>
      <x:c r="P231" s="38" t="n">
        <x:f>F231+G231-H231+I231+J231+K231+L231-M231-N231-O231</x:f>
        <x:v>265339</x:v>
      </x:c>
      <x:c r="Q231" s="38" t="n">
        <x:v>265339</x:v>
      </x:c>
      <x:c r="R231" s="38" t="n">
        <x:f>P231-Q231</x:f>
        <x:v>0</x:v>
      </x:c>
      <x:c r="S231" s="38" t="n">
        <x:v>86000</x:v>
      </x:c>
      <x:c r="T231" s="38" t="n">
        <x:v>0</x:v>
      </x:c>
      <x:c r="U231" s="38" t="n">
        <x:v>102</x:v>
      </x:c>
      <x:c r="V231" s="38" t="n">
        <x:v>0</x:v>
      </x:c>
      <x:c r="W231" s="38" t="n">
        <x:v>0</x:v>
      </x:c>
      <x:c r="X231" s="44" t="n">
        <x:v>0</x:v>
      </x:c>
      <x:c r="Y231" s="38" t="n">
        <x:v>200</x:v>
      </x:c>
      <x:c r="Z231" s="38" t="n">
        <x:v>40</x:v>
      </x:c>
      <x:c r="AA231" s="38" t="n">
        <x:v>36</x:v>
      </x:c>
      <x:c r="AB231" s="38" t="n">
        <x:v>9</x:v>
      </x:c>
      <x:c r="AC231" s="38" t="n">
        <x:v>10800</x:v>
      </x:c>
      <x:c r="AD231" s="38" t="n">
        <x:v>0</x:v>
      </x:c>
      <x:c r="AE231" s="38" t="n">
        <x:f>IF(B231=1,0,F231-Q230)</x:f>
        <x:v>0</x:v>
      </x:c>
    </x:row>
    <x:row r="232" ht="27" customHeight="1">
      <x:c r="A232" s="28" t="str">
        <x:v>Core F2P</x:v>
      </x:c>
      <x:c r="B232" s="38" t="n">
        <x:v>108</x:v>
      </x:c>
      <x:c r="C232" s="38" t="n">
        <x:v>40</x:v>
      </x:c>
      <x:c r="D232" s="38" t="n">
        <x:v>742640</x:v>
      </x:c>
      <x:c r="E232" s="38" t="n">
        <x:v>100</x:v>
      </x:c>
      <x:c r="F232" s="38" t="n">
        <x:v>265339</x:v>
      </x:c>
      <x:c r="G232" s="38" t="n">
        <x:v>107600</x:v>
      </x:c>
      <x:c r="H232" s="38" t="n">
        <x:v>21600</x:v>
      </x:c>
      <x:c r="I232" s="38" t="n">
        <x:v>4959</x:v>
      </x:c>
      <x:c r="J232" s="38" t="n">
        <x:v>0</x:v>
      </x:c>
      <x:c r="K232" s="38" t="n">
        <x:v>0</x:v>
      </x:c>
      <x:c r="L232" s="38" t="n">
        <x:v>0</x:v>
      </x:c>
      <x:c r="M232" s="38" t="n">
        <x:v>0</x:v>
      </x:c>
      <x:c r="N232" s="38" t="n">
        <x:v>0</x:v>
      </x:c>
      <x:c r="O232" s="38" t="n">
        <x:v>30100</x:v>
      </x:c>
      <x:c r="P232" s="38" t="n">
        <x:f>F232+G232-H232+I232+J232+K232+L232-M232-N232-O232</x:f>
        <x:v>326198</x:v>
      </x:c>
      <x:c r="Q232" s="38" t="n">
        <x:v>326198</x:v>
      </x:c>
      <x:c r="R232" s="38" t="n">
        <x:f>P232-Q232</x:f>
        <x:v>0</x:v>
      </x:c>
      <x:c r="S232" s="38" t="n">
        <x:v>86000</x:v>
      </x:c>
      <x:c r="T232" s="38" t="n">
        <x:v>0</x:v>
      </x:c>
      <x:c r="U232" s="38" t="n">
        <x:v>102</x:v>
      </x:c>
      <x:c r="V232" s="38" t="n">
        <x:v>0</x:v>
      </x:c>
      <x:c r="W232" s="38" t="n">
        <x:v>0</x:v>
      </x:c>
      <x:c r="X232" s="44" t="n">
        <x:v>0</x:v>
      </x:c>
      <x:c r="Y232" s="38" t="n">
        <x:v>200</x:v>
      </x:c>
      <x:c r="Z232" s="38" t="n">
        <x:v>40</x:v>
      </x:c>
      <x:c r="AA232" s="38" t="n">
        <x:v>36</x:v>
      </x:c>
      <x:c r="AB232" s="38" t="n">
        <x:v>9</x:v>
      </x:c>
      <x:c r="AC232" s="38" t="n">
        <x:v>10800</x:v>
      </x:c>
      <x:c r="AD232" s="38" t="n">
        <x:v>0</x:v>
      </x:c>
      <x:c r="AE232" s="38" t="n">
        <x:f>IF(B232=1,0,F232-Q231)</x:f>
        <x:v>0</x:v>
      </x:c>
    </x:row>
    <x:row r="233" ht="27" customHeight="1">
      <x:c r="A233" s="28" t="str">
        <x:v>Core F2P</x:v>
      </x:c>
      <x:c r="B233" s="38" t="n">
        <x:v>109</x:v>
      </x:c>
      <x:c r="C233" s="38" t="n">
        <x:v>40</x:v>
      </x:c>
      <x:c r="D233" s="38" t="n">
        <x:v>742640</x:v>
      </x:c>
      <x:c r="E233" s="38" t="n">
        <x:v>100</x:v>
      </x:c>
      <x:c r="F233" s="38" t="n">
        <x:v>326198</x:v>
      </x:c>
      <x:c r="G233" s="38" t="n">
        <x:v>107600</x:v>
      </x:c>
      <x:c r="H233" s="38" t="n">
        <x:v>21600</x:v>
      </x:c>
      <x:c r="I233" s="38" t="n">
        <x:v>4959</x:v>
      </x:c>
      <x:c r="J233" s="38" t="n">
        <x:v>0</x:v>
      </x:c>
      <x:c r="K233" s="38" t="n">
        <x:v>0</x:v>
      </x:c>
      <x:c r="L233" s="38" t="n">
        <x:v>0</x:v>
      </x:c>
      <x:c r="M233" s="38" t="n">
        <x:v>0</x:v>
      </x:c>
      <x:c r="N233" s="38" t="n">
        <x:v>12375</x:v>
      </x:c>
      <x:c r="O233" s="38" t="n">
        <x:v>30100</x:v>
      </x:c>
      <x:c r="P233" s="38" t="n">
        <x:f>F233+G233-H233+I233+J233+K233+L233-M233-N233-O233</x:f>
        <x:v>374682</x:v>
      </x:c>
      <x:c r="Q233" s="38" t="n">
        <x:v>374682</x:v>
      </x:c>
      <x:c r="R233" s="38" t="n">
        <x:f>P233-Q233</x:f>
        <x:v>0</x:v>
      </x:c>
      <x:c r="S233" s="38" t="n">
        <x:v>86000</x:v>
      </x:c>
      <x:c r="T233" s="38" t="n">
        <x:v>0</x:v>
      </x:c>
      <x:c r="U233" s="38" t="n">
        <x:v>102</x:v>
      </x:c>
      <x:c r="V233" s="38" t="n">
        <x:v>0</x:v>
      </x:c>
      <x:c r="W233" s="38" t="n">
        <x:v>0</x:v>
      </x:c>
      <x:c r="X233" s="44" t="n">
        <x:v>0</x:v>
      </x:c>
      <x:c r="Y233" s="38" t="n">
        <x:v>200</x:v>
      </x:c>
      <x:c r="Z233" s="38" t="n">
        <x:v>40</x:v>
      </x:c>
      <x:c r="AA233" s="38" t="n">
        <x:v>37</x:v>
      </x:c>
      <x:c r="AB233" s="38" t="n">
        <x:v>9</x:v>
      </x:c>
      <x:c r="AC233" s="38" t="n">
        <x:v>10800</x:v>
      </x:c>
      <x:c r="AD233" s="38" t="n">
        <x:v>0</x:v>
      </x:c>
      <x:c r="AE233" s="38" t="n">
        <x:f>IF(B233=1,0,F233-Q232)</x:f>
        <x:v>0</x:v>
      </x:c>
    </x:row>
    <x:row r="234" ht="27" customHeight="1">
      <x:c r="A234" s="28" t="str">
        <x:v>Core F2P</x:v>
      </x:c>
      <x:c r="B234" s="38" t="n">
        <x:v>110</x:v>
      </x:c>
      <x:c r="C234" s="38" t="n">
        <x:v>40</x:v>
      </x:c>
      <x:c r="D234" s="38" t="n">
        <x:v>742640</x:v>
      </x:c>
      <x:c r="E234" s="38" t="n">
        <x:v>100</x:v>
      </x:c>
      <x:c r="F234" s="38" t="n">
        <x:v>374682</x:v>
      </x:c>
      <x:c r="G234" s="38" t="n">
        <x:v>107600</x:v>
      </x:c>
      <x:c r="H234" s="38" t="n">
        <x:v>21600</x:v>
      </x:c>
      <x:c r="I234" s="38" t="n">
        <x:v>4959</x:v>
      </x:c>
      <x:c r="J234" s="38" t="n">
        <x:v>0</x:v>
      </x:c>
      <x:c r="K234" s="38" t="n">
        <x:v>0</x:v>
      </x:c>
      <x:c r="L234" s="38" t="n">
        <x:v>0</x:v>
      </x:c>
      <x:c r="M234" s="38" t="n">
        <x:v>0</x:v>
      </x:c>
      <x:c r="N234" s="38" t="n">
        <x:v>0</x:v>
      </x:c>
      <x:c r="O234" s="38" t="n">
        <x:v>30100</x:v>
      </x:c>
      <x:c r="P234" s="38" t="n">
        <x:f>F234+G234-H234+I234+J234+K234+L234-M234-N234-O234</x:f>
        <x:v>435541</x:v>
      </x:c>
      <x:c r="Q234" s="38" t="n">
        <x:v>435541</x:v>
      </x:c>
      <x:c r="R234" s="38" t="n">
        <x:f>P234-Q234</x:f>
        <x:v>0</x:v>
      </x:c>
      <x:c r="S234" s="38" t="n">
        <x:v>86000</x:v>
      </x:c>
      <x:c r="T234" s="38" t="n">
        <x:v>0</x:v>
      </x:c>
      <x:c r="U234" s="38" t="n">
        <x:v>102</x:v>
      </x:c>
      <x:c r="V234" s="38" t="n">
        <x:v>0</x:v>
      </x:c>
      <x:c r="W234" s="38" t="n">
        <x:v>0</x:v>
      </x:c>
      <x:c r="X234" s="44" t="n">
        <x:v>0</x:v>
      </x:c>
      <x:c r="Y234" s="38" t="n">
        <x:v>200</x:v>
      </x:c>
      <x:c r="Z234" s="38" t="n">
        <x:v>40</x:v>
      </x:c>
      <x:c r="AA234" s="38" t="n">
        <x:v>37</x:v>
      </x:c>
      <x:c r="AB234" s="38" t="n">
        <x:v>9</x:v>
      </x:c>
      <x:c r="AC234" s="38" t="n">
        <x:v>10800</x:v>
      </x:c>
      <x:c r="AD234" s="38" t="n">
        <x:v>0</x:v>
      </x:c>
      <x:c r="AE234" s="38" t="n">
        <x:f>IF(B234=1,0,F234-Q233)</x:f>
        <x:v>0</x:v>
      </x:c>
    </x:row>
    <x:row r="235" ht="27" customHeight="1">
      <x:c r="A235" s="28" t="str">
        <x:v>Core F2P</x:v>
      </x:c>
      <x:c r="B235" s="38" t="n">
        <x:v>111</x:v>
      </x:c>
      <x:c r="C235" s="38" t="n">
        <x:v>40</x:v>
      </x:c>
      <x:c r="D235" s="38" t="n">
        <x:v>742640</x:v>
      </x:c>
      <x:c r="E235" s="38" t="n">
        <x:v>100</x:v>
      </x:c>
      <x:c r="F235" s="38" t="n">
        <x:v>435541</x:v>
      </x:c>
      <x:c r="G235" s="38" t="n">
        <x:v>107600</x:v>
      </x:c>
      <x:c r="H235" s="38" t="n">
        <x:v>21600</x:v>
      </x:c>
      <x:c r="I235" s="38" t="n">
        <x:v>4959</x:v>
      </x:c>
      <x:c r="J235" s="38" t="n">
        <x:v>0</x:v>
      </x:c>
      <x:c r="K235" s="38" t="n">
        <x:v>0</x:v>
      </x:c>
      <x:c r="L235" s="38" t="n">
        <x:v>0</x:v>
      </x:c>
      <x:c r="M235" s="38" t="n">
        <x:v>0</x:v>
      </x:c>
      <x:c r="N235" s="38" t="n">
        <x:v>0</x:v>
      </x:c>
      <x:c r="O235" s="38" t="n">
        <x:v>30100</x:v>
      </x:c>
      <x:c r="P235" s="38" t="n">
        <x:f>F235+G235-H235+I235+J235+K235+L235-M235-N235-O235</x:f>
        <x:v>496400</x:v>
      </x:c>
      <x:c r="Q235" s="38" t="n">
        <x:v>496400</x:v>
      </x:c>
      <x:c r="R235" s="38" t="n">
        <x:f>P235-Q235</x:f>
        <x:v>0</x:v>
      </x:c>
      <x:c r="S235" s="38" t="n">
        <x:v>86000</x:v>
      </x:c>
      <x:c r="T235" s="38" t="n">
        <x:v>0</x:v>
      </x:c>
      <x:c r="U235" s="38" t="n">
        <x:v>102</x:v>
      </x:c>
      <x:c r="V235" s="38" t="n">
        <x:v>0</x:v>
      </x:c>
      <x:c r="W235" s="38" t="n">
        <x:v>0</x:v>
      </x:c>
      <x:c r="X235" s="44" t="n">
        <x:v>0</x:v>
      </x:c>
      <x:c r="Y235" s="38" t="n">
        <x:v>200</x:v>
      </x:c>
      <x:c r="Z235" s="38" t="n">
        <x:v>40</x:v>
      </x:c>
      <x:c r="AA235" s="38" t="n">
        <x:v>37</x:v>
      </x:c>
      <x:c r="AB235" s="38" t="n">
        <x:v>9</x:v>
      </x:c>
      <x:c r="AC235" s="38" t="n">
        <x:v>10800</x:v>
      </x:c>
      <x:c r="AD235" s="38" t="n">
        <x:v>0</x:v>
      </x:c>
      <x:c r="AE235" s="38" t="n">
        <x:f>IF(B235=1,0,F235-Q234)</x:f>
        <x:v>0</x:v>
      </x:c>
    </x:row>
    <x:row r="236" ht="27" customHeight="1">
      <x:c r="A236" s="28" t="str">
        <x:v>Core F2P</x:v>
      </x:c>
      <x:c r="B236" s="38" t="n">
        <x:v>112</x:v>
      </x:c>
      <x:c r="C236" s="38" t="n">
        <x:v>40</x:v>
      </x:c>
      <x:c r="D236" s="38" t="n">
        <x:v>742640</x:v>
      </x:c>
      <x:c r="E236" s="38" t="n">
        <x:v>100</x:v>
      </x:c>
      <x:c r="F236" s="38" t="n">
        <x:v>496400</x:v>
      </x:c>
      <x:c r="G236" s="38" t="n">
        <x:v>107600</x:v>
      </x:c>
      <x:c r="H236" s="38" t="n">
        <x:v>21600</x:v>
      </x:c>
      <x:c r="I236" s="38" t="n">
        <x:v>29754</x:v>
      </x:c>
      <x:c r="J236" s="38" t="n">
        <x:v>0</x:v>
      </x:c>
      <x:c r="K236" s="38" t="n">
        <x:v>0</x:v>
      </x:c>
      <x:c r="L236" s="38" t="n">
        <x:v>0</x:v>
      </x:c>
      <x:c r="M236" s="38" t="n">
        <x:v>0</x:v>
      </x:c>
      <x:c r="N236" s="38" t="n">
        <x:v>13605</x:v>
      </x:c>
      <x:c r="O236" s="38" t="n">
        <x:v>30100</x:v>
      </x:c>
      <x:c r="P236" s="38" t="n">
        <x:f>F236+G236-H236+I236+J236+K236+L236-M236-N236-O236</x:f>
        <x:v>568449</x:v>
      </x:c>
      <x:c r="Q236" s="38" t="n">
        <x:v>568449</x:v>
      </x:c>
      <x:c r="R236" s="38" t="n">
        <x:f>P236-Q236</x:f>
        <x:v>0</x:v>
      </x:c>
      <x:c r="S236" s="38" t="n">
        <x:v>86000</x:v>
      </x:c>
      <x:c r="T236" s="38" t="n">
        <x:v>0</x:v>
      </x:c>
      <x:c r="U236" s="38" t="n">
        <x:v>104</x:v>
      </x:c>
      <x:c r="V236" s="38" t="n">
        <x:v>2</x:v>
      </x:c>
      <x:c r="W236" s="38" t="n">
        <x:v>0</x:v>
      </x:c>
      <x:c r="X236" s="44" t="n">
        <x:v>0</x:v>
      </x:c>
      <x:c r="Y236" s="38" t="n">
        <x:v>200</x:v>
      </x:c>
      <x:c r="Z236" s="38" t="n">
        <x:v>40</x:v>
      </x:c>
      <x:c r="AA236" s="38" t="n">
        <x:v>38</x:v>
      </x:c>
      <x:c r="AB236" s="38" t="n">
        <x:v>9</x:v>
      </x:c>
      <x:c r="AC236" s="38" t="n">
        <x:v>10800</x:v>
      </x:c>
      <x:c r="AD236" s="38" t="n">
        <x:v>0</x:v>
      </x:c>
      <x:c r="AE236" s="38" t="n">
        <x:f>IF(B236=1,0,F236-Q235)</x:f>
        <x:v>0</x:v>
      </x:c>
    </x:row>
    <x:row r="237" ht="27" customHeight="1">
      <x:c r="A237" s="28" t="str">
        <x:v>Core F2P</x:v>
      </x:c>
      <x:c r="B237" s="38" t="n">
        <x:v>113</x:v>
      </x:c>
      <x:c r="C237" s="38" t="n">
        <x:v>40</x:v>
      </x:c>
      <x:c r="D237" s="38" t="n">
        <x:v>742640</x:v>
      </x:c>
      <x:c r="E237" s="38" t="n">
        <x:v>100</x:v>
      </x:c>
      <x:c r="F237" s="38" t="n">
        <x:v>568449</x:v>
      </x:c>
      <x:c r="G237" s="38" t="n">
        <x:v>107600</x:v>
      </x:c>
      <x:c r="H237" s="38" t="n">
        <x:v>21600</x:v>
      </x:c>
      <x:c r="I237" s="38" t="n">
        <x:v>4959</x:v>
      </x:c>
      <x:c r="J237" s="38" t="n">
        <x:v>0</x:v>
      </x:c>
      <x:c r="K237" s="38" t="n">
        <x:v>0</x:v>
      </x:c>
      <x:c r="L237" s="38" t="n">
        <x:v>0</x:v>
      </x:c>
      <x:c r="M237" s="38" t="n">
        <x:v>0</x:v>
      </x:c>
      <x:c r="N237" s="38" t="n">
        <x:v>0</x:v>
      </x:c>
      <x:c r="O237" s="38" t="n">
        <x:v>30100</x:v>
      </x:c>
      <x:c r="P237" s="38" t="n">
        <x:f>F237+G237-H237+I237+J237+K237+L237-M237-N237-O237</x:f>
        <x:v>629308</x:v>
      </x:c>
      <x:c r="Q237" s="38" t="n">
        <x:v>629308</x:v>
      </x:c>
      <x:c r="R237" s="38" t="n">
        <x:f>P237-Q237</x:f>
        <x:v>0</x:v>
      </x:c>
      <x:c r="S237" s="38" t="n">
        <x:v>86000</x:v>
      </x:c>
      <x:c r="T237" s="38" t="n">
        <x:v>0</x:v>
      </x:c>
      <x:c r="U237" s="38" t="n">
        <x:v>104</x:v>
      </x:c>
      <x:c r="V237" s="38" t="n">
        <x:v>0</x:v>
      </x:c>
      <x:c r="W237" s="38" t="n">
        <x:v>0</x:v>
      </x:c>
      <x:c r="X237" s="44" t="n">
        <x:v>0</x:v>
      </x:c>
      <x:c r="Y237" s="38" t="n">
        <x:v>200</x:v>
      </x:c>
      <x:c r="Z237" s="38" t="n">
        <x:v>40</x:v>
      </x:c>
      <x:c r="AA237" s="38" t="n">
        <x:v>38</x:v>
      </x:c>
      <x:c r="AB237" s="38" t="n">
        <x:v>9</x:v>
      </x:c>
      <x:c r="AC237" s="38" t="n">
        <x:v>10800</x:v>
      </x:c>
      <x:c r="AD237" s="38" t="n">
        <x:v>0</x:v>
      </x:c>
      <x:c r="AE237" s="38" t="n">
        <x:f>IF(B237=1,0,F237-Q236)</x:f>
        <x:v>0</x:v>
      </x:c>
    </x:row>
    <x:row r="238" ht="27" customHeight="1">
      <x:c r="A238" s="28" t="str">
        <x:v>Core F2P</x:v>
      </x:c>
      <x:c r="B238" s="38" t="n">
        <x:v>114</x:v>
      </x:c>
      <x:c r="C238" s="38" t="n">
        <x:v>40</x:v>
      </x:c>
      <x:c r="D238" s="38" t="n">
        <x:v>742640</x:v>
      </x:c>
      <x:c r="E238" s="38" t="n">
        <x:v>100</x:v>
      </x:c>
      <x:c r="F238" s="38" t="n">
        <x:v>629308</x:v>
      </x:c>
      <x:c r="G238" s="38" t="n">
        <x:v>107600</x:v>
      </x:c>
      <x:c r="H238" s="38" t="n">
        <x:v>21600</x:v>
      </x:c>
      <x:c r="I238" s="38" t="n">
        <x:v>4959</x:v>
      </x:c>
      <x:c r="J238" s="38" t="n">
        <x:v>0</x:v>
      </x:c>
      <x:c r="K238" s="38" t="n">
        <x:v>0</x:v>
      </x:c>
      <x:c r="L238" s="38" t="n">
        <x:v>0</x:v>
      </x:c>
      <x:c r="M238" s="38" t="n">
        <x:v>0</x:v>
      </x:c>
      <x:c r="N238" s="38" t="n">
        <x:v>0</x:v>
      </x:c>
      <x:c r="O238" s="38" t="n">
        <x:v>30100</x:v>
      </x:c>
      <x:c r="P238" s="38" t="n">
        <x:f>F238+G238-H238+I238+J238+K238+L238-M238-N238-O238</x:f>
        <x:v>690167</x:v>
      </x:c>
      <x:c r="Q238" s="38" t="n">
        <x:v>690167</x:v>
      </x:c>
      <x:c r="R238" s="38" t="n">
        <x:f>P238-Q238</x:f>
        <x:v>0</x:v>
      </x:c>
      <x:c r="S238" s="38" t="n">
        <x:v>86000</x:v>
      </x:c>
      <x:c r="T238" s="38" t="n">
        <x:v>0</x:v>
      </x:c>
      <x:c r="U238" s="38" t="n">
        <x:v>104</x:v>
      </x:c>
      <x:c r="V238" s="38" t="n">
        <x:v>0</x:v>
      </x:c>
      <x:c r="W238" s="38" t="n">
        <x:v>0</x:v>
      </x:c>
      <x:c r="X238" s="44" t="n">
        <x:v>0</x:v>
      </x:c>
      <x:c r="Y238" s="38" t="n">
        <x:v>200</x:v>
      </x:c>
      <x:c r="Z238" s="38" t="n">
        <x:v>40</x:v>
      </x:c>
      <x:c r="AA238" s="38" t="n">
        <x:v>38</x:v>
      </x:c>
      <x:c r="AB238" s="38" t="n">
        <x:v>9</x:v>
      </x:c>
      <x:c r="AC238" s="38" t="n">
        <x:v>10800</x:v>
      </x:c>
      <x:c r="AD238" s="38" t="n">
        <x:v>0</x:v>
      </x:c>
      <x:c r="AE238" s="38" t="n">
        <x:f>IF(B238=1,0,F238-Q237)</x:f>
        <x:v>0</x:v>
      </x:c>
    </x:row>
    <x:row r="239" ht="27" customHeight="1">
      <x:c r="A239" s="28" t="str">
        <x:v>Core F2P</x:v>
      </x:c>
      <x:c r="B239" s="38" t="n">
        <x:v>115</x:v>
      </x:c>
      <x:c r="C239" s="38" t="n">
        <x:v>40</x:v>
      </x:c>
      <x:c r="D239" s="38" t="n">
        <x:v>742640</x:v>
      </x:c>
      <x:c r="E239" s="38" t="n">
        <x:v>100</x:v>
      </x:c>
      <x:c r="F239" s="38" t="n">
        <x:v>690167</x:v>
      </x:c>
      <x:c r="G239" s="38" t="n">
        <x:v>107600</x:v>
      </x:c>
      <x:c r="H239" s="38" t="n">
        <x:v>21600</x:v>
      </x:c>
      <x:c r="I239" s="38" t="n">
        <x:v>4959</x:v>
      </x:c>
      <x:c r="J239" s="38" t="n">
        <x:v>0</x:v>
      </x:c>
      <x:c r="K239" s="38" t="n">
        <x:v>0</x:v>
      </x:c>
      <x:c r="L239" s="38" t="n">
        <x:v>0</x:v>
      </x:c>
      <x:c r="M239" s="38" t="n">
        <x:v>0</x:v>
      </x:c>
      <x:c r="N239" s="38" t="n">
        <x:v>13880</x:v>
      </x:c>
      <x:c r="O239" s="38" t="n">
        <x:v>30100</x:v>
      </x:c>
      <x:c r="P239" s="38" t="n">
        <x:f>F239+G239-H239+I239+J239+K239+L239-M239-N239-O239</x:f>
        <x:v>737146</x:v>
      </x:c>
      <x:c r="Q239" s="38" t="n">
        <x:v>737146</x:v>
      </x:c>
      <x:c r="R239" s="38" t="n">
        <x:f>P239-Q239</x:f>
        <x:v>0</x:v>
      </x:c>
      <x:c r="S239" s="38" t="n">
        <x:v>86000</x:v>
      </x:c>
      <x:c r="T239" s="38" t="n">
        <x:v>0</x:v>
      </x:c>
      <x:c r="U239" s="38" t="n">
        <x:v>104</x:v>
      </x:c>
      <x:c r="V239" s="38" t="n">
        <x:v>0</x:v>
      </x:c>
      <x:c r="W239" s="38" t="n">
        <x:v>0</x:v>
      </x:c>
      <x:c r="X239" s="44" t="n">
        <x:v>0</x:v>
      </x:c>
      <x:c r="Y239" s="38" t="n">
        <x:v>200</x:v>
      </x:c>
      <x:c r="Z239" s="38" t="n">
        <x:v>40</x:v>
      </x:c>
      <x:c r="AA239" s="38" t="n">
        <x:v>39</x:v>
      </x:c>
      <x:c r="AB239" s="38" t="n">
        <x:v>9</x:v>
      </x:c>
      <x:c r="AC239" s="38" t="n">
        <x:v>10800</x:v>
      </x:c>
      <x:c r="AD239" s="38" t="n">
        <x:v>0</x:v>
      </x:c>
      <x:c r="AE239" s="38" t="n">
        <x:f>IF(B239=1,0,F239-Q238)</x:f>
        <x:v>0</x:v>
      </x:c>
    </x:row>
    <x:row r="240" ht="27" customHeight="1">
      <x:c r="A240" s="28" t="str">
        <x:v>Core F2P</x:v>
      </x:c>
      <x:c r="B240" s="38" t="n">
        <x:v>116</x:v>
      </x:c>
      <x:c r="C240" s="38" t="n">
        <x:v>40</x:v>
      </x:c>
      <x:c r="D240" s="38" t="n">
        <x:v>742640</x:v>
      </x:c>
      <x:c r="E240" s="38" t="n">
        <x:v>100</x:v>
      </x:c>
      <x:c r="F240" s="38" t="n">
        <x:v>737146</x:v>
      </x:c>
      <x:c r="G240" s="38" t="n">
        <x:v>107600</x:v>
      </x:c>
      <x:c r="H240" s="38" t="n">
        <x:v>21600</x:v>
      </x:c>
      <x:c r="I240" s="38" t="n">
        <x:v>4959</x:v>
      </x:c>
      <x:c r="J240" s="38" t="n">
        <x:v>0</x:v>
      </x:c>
      <x:c r="K240" s="38" t="n">
        <x:v>0</x:v>
      </x:c>
      <x:c r="L240" s="38" t="n">
        <x:v>0</x:v>
      </x:c>
      <x:c r="M240" s="38" t="n">
        <x:v>0</x:v>
      </x:c>
      <x:c r="N240" s="38" t="n">
        <x:v>0</x:v>
      </x:c>
      <x:c r="O240" s="38" t="n">
        <x:v>30100</x:v>
      </x:c>
      <x:c r="P240" s="38" t="n">
        <x:f>F240+G240-H240+I240+J240+K240+L240-M240-N240-O240</x:f>
        <x:v>798005</x:v>
      </x:c>
      <x:c r="Q240" s="38" t="n">
        <x:v>798005</x:v>
      </x:c>
      <x:c r="R240" s="38" t="n">
        <x:f>P240-Q240</x:f>
        <x:v>0</x:v>
      </x:c>
      <x:c r="S240" s="38" t="n">
        <x:v>86000</x:v>
      </x:c>
      <x:c r="T240" s="38" t="n">
        <x:v>0</x:v>
      </x:c>
      <x:c r="U240" s="38" t="n">
        <x:v>104</x:v>
      </x:c>
      <x:c r="V240" s="38" t="n">
        <x:v>0</x:v>
      </x:c>
      <x:c r="W240" s="38" t="n">
        <x:v>0</x:v>
      </x:c>
      <x:c r="X240" s="44" t="n">
        <x:v>0</x:v>
      </x:c>
      <x:c r="Y240" s="38" t="n">
        <x:v>200</x:v>
      </x:c>
      <x:c r="Z240" s="38" t="n">
        <x:v>40</x:v>
      </x:c>
      <x:c r="AA240" s="38" t="n">
        <x:v>39</x:v>
      </x:c>
      <x:c r="AB240" s="38" t="n">
        <x:v>9</x:v>
      </x:c>
      <x:c r="AC240" s="38" t="n">
        <x:v>10800</x:v>
      </x:c>
      <x:c r="AD240" s="38" t="n">
        <x:v>0</x:v>
      </x:c>
      <x:c r="AE240" s="38" t="n">
        <x:f>IF(B240=1,0,F240-Q239)</x:f>
        <x:v>0</x:v>
      </x:c>
    </x:row>
    <x:row r="241" ht="27" customHeight="1">
      <x:c r="A241" s="28" t="str">
        <x:v>Core F2P</x:v>
      </x:c>
      <x:c r="B241" s="38" t="n">
        <x:v>117</x:v>
      </x:c>
      <x:c r="C241" s="38" t="n">
        <x:v>40</x:v>
      </x:c>
      <x:c r="D241" s="38" t="n">
        <x:v>742640</x:v>
      </x:c>
      <x:c r="E241" s="38" t="n">
        <x:v>100</x:v>
      </x:c>
      <x:c r="F241" s="38" t="n">
        <x:v>798005</x:v>
      </x:c>
      <x:c r="G241" s="38" t="n">
        <x:v>107600</x:v>
      </x:c>
      <x:c r="H241" s="38" t="n">
        <x:v>21600</x:v>
      </x:c>
      <x:c r="I241" s="38" t="n">
        <x:v>4959</x:v>
      </x:c>
      <x:c r="J241" s="38" t="n">
        <x:v>0</x:v>
      </x:c>
      <x:c r="K241" s="38" t="n">
        <x:v>0</x:v>
      </x:c>
      <x:c r="L241" s="38" t="n">
        <x:v>0</x:v>
      </x:c>
      <x:c r="M241" s="38" t="n">
        <x:v>0</x:v>
      </x:c>
      <x:c r="N241" s="38" t="n">
        <x:v>0</x:v>
      </x:c>
      <x:c r="O241" s="38" t="n">
        <x:v>30100</x:v>
      </x:c>
      <x:c r="P241" s="38" t="n">
        <x:f>F241+G241-H241+I241+J241+K241+L241-M241-N241-O241</x:f>
        <x:v>858864</x:v>
      </x:c>
      <x:c r="Q241" s="38" t="n">
        <x:v>858864</x:v>
      </x:c>
      <x:c r="R241" s="38" t="n">
        <x:f>P241-Q241</x:f>
        <x:v>0</x:v>
      </x:c>
      <x:c r="S241" s="38" t="n">
        <x:v>86000</x:v>
      </x:c>
      <x:c r="T241" s="38" t="n">
        <x:v>0</x:v>
      </x:c>
      <x:c r="U241" s="38" t="n">
        <x:v>104</x:v>
      </x:c>
      <x:c r="V241" s="38" t="n">
        <x:v>0</x:v>
      </x:c>
      <x:c r="W241" s="38" t="n">
        <x:v>0</x:v>
      </x:c>
      <x:c r="X241" s="44" t="n">
        <x:v>0</x:v>
      </x:c>
      <x:c r="Y241" s="38" t="n">
        <x:v>200</x:v>
      </x:c>
      <x:c r="Z241" s="38" t="n">
        <x:v>40</x:v>
      </x:c>
      <x:c r="AA241" s="38" t="n">
        <x:v>39</x:v>
      </x:c>
      <x:c r="AB241" s="38" t="n">
        <x:v>9</x:v>
      </x:c>
      <x:c r="AC241" s="38" t="n">
        <x:v>10800</x:v>
      </x:c>
      <x:c r="AD241" s="38" t="n">
        <x:v>0</x:v>
      </x:c>
      <x:c r="AE241" s="38" t="n">
        <x:f>IF(B241=1,0,F241-Q240)</x:f>
        <x:v>0</x:v>
      </x:c>
    </x:row>
    <x:row r="242" ht="27" customHeight="1">
      <x:c r="A242" s="28" t="str">
        <x:v>Core F2P</x:v>
      </x:c>
      <x:c r="B242" s="38" t="n">
        <x:v>118</x:v>
      </x:c>
      <x:c r="C242" s="38" t="n">
        <x:v>40</x:v>
      </x:c>
      <x:c r="D242" s="38" t="n">
        <x:v>742640</x:v>
      </x:c>
      <x:c r="E242" s="38" t="n">
        <x:v>100</x:v>
      </x:c>
      <x:c r="F242" s="38" t="n">
        <x:v>858864</x:v>
      </x:c>
      <x:c r="G242" s="38" t="n">
        <x:v>107600</x:v>
      </x:c>
      <x:c r="H242" s="38" t="n">
        <x:v>21600</x:v>
      </x:c>
      <x:c r="I242" s="38" t="n">
        <x:v>4959</x:v>
      </x:c>
      <x:c r="J242" s="38" t="n">
        <x:v>0</x:v>
      </x:c>
      <x:c r="K242" s="38" t="n">
        <x:v>0</x:v>
      </x:c>
      <x:c r="L242" s="38" t="n">
        <x:v>0</x:v>
      </x:c>
      <x:c r="M242" s="38" t="n">
        <x:v>0</x:v>
      </x:c>
      <x:c r="N242" s="38" t="n">
        <x:v>15170</x:v>
      </x:c>
      <x:c r="O242" s="38" t="n">
        <x:v>21438</x:v>
      </x:c>
      <x:c r="P242" s="38" t="n">
        <x:f>F242+G242-H242+I242+J242+K242+L242-M242-N242-O242</x:f>
        <x:v>913215</x:v>
      </x:c>
      <x:c r="Q242" s="38" t="n">
        <x:v>913215</x:v>
      </x:c>
      <x:c r="R242" s="38" t="n">
        <x:f>P242-Q242</x:f>
        <x:v>0</x:v>
      </x:c>
      <x:c r="S242" s="38" t="n">
        <x:v>86000</x:v>
      </x:c>
      <x:c r="T242" s="38" t="n">
        <x:v>0</x:v>
      </x:c>
      <x:c r="U242" s="38" t="n">
        <x:v>104</x:v>
      </x:c>
      <x:c r="V242" s="38" t="n">
        <x:v>0</x:v>
      </x:c>
      <x:c r="W242" s="38" t="n">
        <x:v>0</x:v>
      </x:c>
      <x:c r="X242" s="44" t="n">
        <x:v>0</x:v>
      </x:c>
      <x:c r="Y242" s="38" t="n">
        <x:v>200</x:v>
      </x:c>
      <x:c r="Z242" s="38" t="n">
        <x:v>40</x:v>
      </x:c>
      <x:c r="AA242" s="38" t="n">
        <x:v>40</x:v>
      </x:c>
      <x:c r="AB242" s="38" t="n">
        <x:v>10</x:v>
      </x:c>
      <x:c r="AC242" s="38" t="n">
        <x:v>10800</x:v>
      </x:c>
      <x:c r="AD242" s="38" t="n">
        <x:v>0</x:v>
      </x:c>
      <x:c r="AE242" s="38" t="n">
        <x:f>IF(B242=1,0,F242-Q241)</x:f>
        <x:v>0</x:v>
      </x:c>
    </x:row>
    <x:row r="243" ht="27" customHeight="1">
      <x:c r="A243" s="28" t="str">
        <x:v>Core F2P</x:v>
      </x:c>
      <x:c r="B243" s="38" t="n">
        <x:v>119</x:v>
      </x:c>
      <x:c r="C243" s="38" t="n">
        <x:v>40</x:v>
      </x:c>
      <x:c r="D243" s="38" t="n">
        <x:v>742640</x:v>
      </x:c>
      <x:c r="E243" s="38" t="n">
        <x:v>100</x:v>
      </x:c>
      <x:c r="F243" s="38" t="n">
        <x:v>913215</x:v>
      </x:c>
      <x:c r="G243" s="38" t="n">
        <x:v>107600</x:v>
      </x:c>
      <x:c r="H243" s="38" t="n">
        <x:v>21600</x:v>
      </x:c>
      <x:c r="I243" s="38" t="n">
        <x:v>29754</x:v>
      </x:c>
      <x:c r="J243" s="38" t="n">
        <x:v>0</x:v>
      </x:c>
      <x:c r="K243" s="38" t="n">
        <x:v>0</x:v>
      </x:c>
      <x:c r="L243" s="38" t="n">
        <x:v>0</x:v>
      </x:c>
      <x:c r="M243" s="38" t="n">
        <x:v>0</x:v>
      </x:c>
      <x:c r="N243" s="38" t="n">
        <x:v>0</x:v>
      </x:c>
      <x:c r="O243" s="38" t="n">
        <x:v>0</x:v>
      </x:c>
      <x:c r="P243" s="38" t="n">
        <x:f>F243+G243-H243+I243+J243+K243+L243-M243-N243-O243</x:f>
        <x:v>1028969</x:v>
      </x:c>
      <x:c r="Q243" s="38" t="n">
        <x:v>1028969</x:v>
      </x:c>
      <x:c r="R243" s="38" t="n">
        <x:f>P243-Q243</x:f>
        <x:v>0</x:v>
      </x:c>
      <x:c r="S243" s="38" t="n">
        <x:v>86000</x:v>
      </x:c>
      <x:c r="T243" s="38" t="n">
        <x:v>0</x:v>
      </x:c>
      <x:c r="U243" s="38" t="n">
        <x:v>106</x:v>
      </x:c>
      <x:c r="V243" s="38" t="n">
        <x:v>2</x:v>
      </x:c>
      <x:c r="W243" s="38" t="n">
        <x:v>0</x:v>
      </x:c>
      <x:c r="X243" s="44" t="n">
        <x:v>0</x:v>
      </x:c>
      <x:c r="Y243" s="38" t="n">
        <x:v>200</x:v>
      </x:c>
      <x:c r="Z243" s="38" t="n">
        <x:v>40</x:v>
      </x:c>
      <x:c r="AA243" s="38" t="n">
        <x:v>40</x:v>
      </x:c>
      <x:c r="AB243" s="38" t="n">
        <x:v>10</x:v>
      </x:c>
      <x:c r="AC243" s="38" t="n">
        <x:v>10800</x:v>
      </x:c>
      <x:c r="AD243" s="38" t="n">
        <x:v>0</x:v>
      </x:c>
      <x:c r="AE243" s="38" t="n">
        <x:f>IF(B243=1,0,F243-Q242)</x:f>
        <x:v>0</x:v>
      </x:c>
    </x:row>
    <x:row r="244" ht="27" customHeight="1">
      <x:c r="A244" s="28" t="str">
        <x:v>Core F2P</x:v>
      </x:c>
      <x:c r="B244" s="38" t="n">
        <x:v>120</x:v>
      </x:c>
      <x:c r="C244" s="38" t="n">
        <x:v>40</x:v>
      </x:c>
      <x:c r="D244" s="38" t="n">
        <x:v>742640</x:v>
      </x:c>
      <x:c r="E244" s="38" t="n">
        <x:v>100</x:v>
      </x:c>
      <x:c r="F244" s="38" t="n">
        <x:v>1028969</x:v>
      </x:c>
      <x:c r="G244" s="38" t="n">
        <x:v>107600</x:v>
      </x:c>
      <x:c r="H244" s="38" t="n">
        <x:v>21600</x:v>
      </x:c>
      <x:c r="I244" s="38" t="n">
        <x:v>4959</x:v>
      </x:c>
      <x:c r="J244" s="38" t="n">
        <x:v>0</x:v>
      </x:c>
      <x:c r="K244" s="38" t="n">
        <x:v>0</x:v>
      </x:c>
      <x:c r="L244" s="38" t="n">
        <x:v>0</x:v>
      </x:c>
      <x:c r="M244" s="38" t="n">
        <x:v>0</x:v>
      </x:c>
      <x:c r="N244" s="38" t="n">
        <x:v>0</x:v>
      </x:c>
      <x:c r="O244" s="38" t="n">
        <x:v>0</x:v>
      </x:c>
      <x:c r="P244" s="38" t="n">
        <x:f>F244+G244-H244+I244+J244+K244+L244-M244-N244-O244</x:f>
        <x:v>1119928</x:v>
      </x:c>
      <x:c r="Q244" s="38" t="n">
        <x:v>1119928</x:v>
      </x:c>
      <x:c r="R244" s="38" t="n">
        <x:f>P244-Q244</x:f>
        <x:v>0</x:v>
      </x:c>
      <x:c r="S244" s="38" t="n">
        <x:v>86000</x:v>
      </x:c>
      <x:c r="T244" s="38" t="n">
        <x:v>0</x:v>
      </x:c>
      <x:c r="U244" s="38" t="n">
        <x:v>106</x:v>
      </x:c>
      <x:c r="V244" s="38" t="n">
        <x:v>0</x:v>
      </x:c>
      <x:c r="W244" s="38" t="n">
        <x:v>0</x:v>
      </x:c>
      <x:c r="X244" s="44" t="n">
        <x:v>0</x:v>
      </x:c>
      <x:c r="Y244" s="38" t="n">
        <x:v>200</x:v>
      </x:c>
      <x:c r="Z244" s="38" t="n">
        <x:v>40</x:v>
      </x:c>
      <x:c r="AA244" s="38" t="n">
        <x:v>40</x:v>
      </x:c>
      <x:c r="AB244" s="38" t="n">
        <x:v>10</x:v>
      </x:c>
      <x:c r="AC244" s="38" t="n">
        <x:v>10800</x:v>
      </x:c>
      <x:c r="AD244" s="38" t="n">
        <x:v>0</x:v>
      </x:c>
      <x:c r="AE244" s="38" t="n">
        <x:f>IF(B244=1,0,F244-Q243)</x:f>
        <x:v>0</x:v>
      </x:c>
    </x:row>
    <x:row r="245" ht="27" customHeight="1">
      <x:c r="A245" s="28" t="str">
        <x:v>Enthusiast F2P</x:v>
      </x:c>
      <x:c r="B245" s="38" t="n">
        <x:v>1</x:v>
      </x:c>
      <x:c r="C245" s="38" t="n">
        <x:v>5</x:v>
      </x:c>
      <x:c r="D245" s="38" t="n">
        <x:v>1246</x:v>
      </x:c>
      <x:c r="E245" s="38" t="n">
        <x:v>15</x:v>
      </x:c>
      <x:c r="F245" s="38" t="n">
        <x:v>731</x:v>
      </x:c>
      <x:c r="G245" s="38" t="n">
        <x:v>4681</x:v>
      </x:c>
      <x:c r="H245" s="38" t="n">
        <x:v>1517</x:v>
      </x:c>
      <x:c r="I245" s="38" t="n">
        <x:v>0</x:v>
      </x:c>
      <x:c r="J245" s="38" t="n">
        <x:v>230</x:v>
      </x:c>
      <x:c r="K245" s="38" t="n">
        <x:v>0</x:v>
      </x:c>
      <x:c r="L245" s="38" t="n">
        <x:v>0</x:v>
      </x:c>
      <x:c r="M245" s="38" t="n">
        <x:v>300</x:v>
      </x:c>
      <x:c r="N245" s="38" t="n">
        <x:v>0</x:v>
      </x:c>
      <x:c r="O245" s="38" t="n">
        <x:v>0</x:v>
      </x:c>
      <x:c r="P245" s="38" t="n">
        <x:f>F245+G245-H245+I245+J245+K245+L245-M245-N245-O245</x:f>
        <x:v>3825</x:v>
      </x:c>
      <x:c r="Q245" s="38" t="n">
        <x:v>3825</x:v>
      </x:c>
      <x:c r="R245" s="38" t="n">
        <x:f>P245-Q245</x:f>
        <x:v>0</x:v>
      </x:c>
      <x:c r="S245" s="38" t="n">
        <x:v>3816</x:v>
      </x:c>
      <x:c r="T245" s="38" t="n">
        <x:v>1166</x:v>
      </x:c>
      <x:c r="U245" s="38" t="n">
        <x:v>5</x:v>
      </x:c>
      <x:c r="V245" s="38" t="n">
        <x:v>4</x:v>
      </x:c>
      <x:c r="W245" s="38" t="n">
        <x:v>0</x:v>
      </x:c>
      <x:c r="X245" s="44" t="n">
        <x:v>0</x:v>
      </x:c>
      <x:c r="Y245" s="38" t="n">
        <x:v>27</x:v>
      </x:c>
      <x:c r="Z245" s="38" t="n">
        <x:v>4</x:v>
      </x:c>
      <x:c r="AA245" s="38" t="n">
        <x:v>1</x:v>
      </x:c>
      <x:c r="AB245" s="38" t="n">
        <x:v>0</x:v>
      </x:c>
      <x:c r="AC245" s="38" t="n">
        <x:v>652</x:v>
      </x:c>
      <x:c r="AD245" s="38" t="n">
        <x:v>0</x:v>
      </x:c>
      <x:c r="AE245" s="38" t="n">
        <x:f>IF(B245=1,0,F245-Q244)</x:f>
        <x:v>0</x:v>
      </x:c>
    </x:row>
    <x:row r="246" ht="27" customHeight="1">
      <x:c r="A246" s="28" t="str">
        <x:v>Enthusiast F2P</x:v>
      </x:c>
      <x:c r="B246" s="38" t="n">
        <x:v>2</x:v>
      </x:c>
      <x:c r="C246" s="38" t="n">
        <x:v>7</x:v>
      </x:c>
      <x:c r="D246" s="38" t="n">
        <x:v>3425</x:v>
      </x:c>
      <x:c r="E246" s="38" t="n">
        <x:v>25</x:v>
      </x:c>
      <x:c r="F246" s="38" t="n">
        <x:v>3825</x:v>
      </x:c>
      <x:c r="G246" s="38" t="n">
        <x:v>10092</x:v>
      </x:c>
      <x:c r="H246" s="38" t="n">
        <x:v>2499</x:v>
      </x:c>
      <x:c r="I246" s="38" t="n">
        <x:v>319</x:v>
      </x:c>
      <x:c r="J246" s="38" t="n">
        <x:v>230</x:v>
      </x:c>
      <x:c r="K246" s="38" t="n">
        <x:v>0</x:v>
      </x:c>
      <x:c r="L246" s="38" t="n">
        <x:v>0</x:v>
      </x:c>
      <x:c r="M246" s="38" t="n">
        <x:v>6500</x:v>
      </x:c>
      <x:c r="N246" s="38" t="n">
        <x:v>0</x:v>
      </x:c>
      <x:c r="O246" s="38" t="n">
        <x:v>0</x:v>
      </x:c>
      <x:c r="P246" s="38" t="n">
        <x:f>F246+G246-H246+I246+J246+K246+L246-M246-N246-O246</x:f>
        <x:v>5467</x:v>
      </x:c>
      <x:c r="Q246" s="38" t="n">
        <x:v>5467</x:v>
      </x:c>
      <x:c r="R246" s="38" t="n">
        <x:f>P246-Q246</x:f>
        <x:v>0</x:v>
      </x:c>
      <x:c r="S246" s="38" t="n">
        <x:v>8066</x:v>
      </x:c>
      <x:c r="T246" s="38" t="n">
        <x:v>2179</x:v>
      </x:c>
      <x:c r="U246" s="38" t="n">
        <x:v>6</x:v>
      </x:c>
      <x:c r="V246" s="38" t="n">
        <x:v>1</x:v>
      </x:c>
      <x:c r="W246" s="38" t="n">
        <x:v>0</x:v>
      </x:c>
      <x:c r="X246" s="44" t="n">
        <x:v>0</x:v>
      </x:c>
      <x:c r="Y246" s="38" t="n">
        <x:v>45</x:v>
      </x:c>
      <x:c r="Z246" s="38" t="n">
        <x:v>6</x:v>
      </x:c>
      <x:c r="AA246" s="38" t="n">
        <x:v>1</x:v>
      </x:c>
      <x:c r="AB246" s="38" t="n">
        <x:v>0</x:v>
      </x:c>
      <x:c r="AC246" s="38" t="n">
        <x:v>1125</x:v>
      </x:c>
      <x:c r="AD246" s="38" t="n">
        <x:v>0</x:v>
      </x:c>
      <x:c r="AE246" s="38" t="n">
        <x:f>IF(B246=1,0,F246-Q245)</x:f>
        <x:v>0</x:v>
      </x:c>
    </x:row>
    <x:row r="247" ht="27" customHeight="1">
      <x:c r="A247" s="28" t="str">
        <x:v>Enthusiast F2P</x:v>
      </x:c>
      <x:c r="B247" s="38" t="n">
        <x:v>3</x:v>
      </x:c>
      <x:c r="C247" s="38" t="n">
        <x:v>8</x:v>
      </x:c>
      <x:c r="D247" s="38" t="n">
        <x:v>7254</x:v>
      </x:c>
      <x:c r="E247" s="38" t="n">
        <x:v>25</x:v>
      </x:c>
      <x:c r="F247" s="38" t="n">
        <x:v>5467</x:v>
      </x:c>
      <x:c r="G247" s="38" t="n">
        <x:v>17550</x:v>
      </x:c>
      <x:c r="H247" s="38" t="n">
        <x:v>3675</x:v>
      </x:c>
      <x:c r="I247" s="38" t="n">
        <x:v>572</x:v>
      </x:c>
      <x:c r="J247" s="38" t="n">
        <x:v>150</x:v>
      </x:c>
      <x:c r="K247" s="38" t="n">
        <x:v>0</x:v>
      </x:c>
      <x:c r="L247" s="38" t="n">
        <x:v>0</x:v>
      </x:c>
      <x:c r="M247" s="38" t="n">
        <x:v>0</x:v>
      </x:c>
      <x:c r="N247" s="38" t="n">
        <x:v>0</x:v>
      </x:c>
      <x:c r="O247" s="38" t="n">
        <x:v>0</x:v>
      </x:c>
      <x:c r="P247" s="38" t="n">
        <x:f>F247+G247-H247+I247+J247+K247+L247-M247-N247-O247</x:f>
        <x:v>20064</x:v>
      </x:c>
      <x:c r="Q247" s="38" t="n">
        <x:v>20064</x:v>
      </x:c>
      <x:c r="R247" s="38" t="n">
        <x:f>P247-Q247</x:f>
        <x:v>0</x:v>
      </x:c>
      <x:c r="S247" s="38" t="n">
        <x:v>14025</x:v>
      </x:c>
      <x:c r="T247" s="38" t="n">
        <x:v>3829</x:v>
      </x:c>
      <x:c r="U247" s="38" t="n">
        <x:v>7</x:v>
      </x:c>
      <x:c r="V247" s="38" t="n">
        <x:v>1</x:v>
      </x:c>
      <x:c r="W247" s="38" t="n">
        <x:v>0</x:v>
      </x:c>
      <x:c r="X247" s="44" t="n">
        <x:v>0</x:v>
      </x:c>
      <x:c r="Y247" s="38" t="n">
        <x:v>75</x:v>
      </x:c>
      <x:c r="Z247" s="38" t="n">
        <x:v>6</x:v>
      </x:c>
      <x:c r="AA247" s="38" t="n">
        <x:v>1</x:v>
      </x:c>
      <x:c r="AB247" s="38" t="n">
        <x:v>0</x:v>
      </x:c>
      <x:c r="AC247" s="38" t="n">
        <x:v>1275</x:v>
      </x:c>
      <x:c r="AD247" s="38" t="n">
        <x:v>0</x:v>
      </x:c>
      <x:c r="AE247" s="38" t="n">
        <x:f>IF(B247=1,0,F247-Q246)</x:f>
        <x:v>0</x:v>
      </x:c>
    </x:row>
    <x:row r="248" ht="27" customHeight="1">
      <x:c r="A248" s="28" t="str">
        <x:v>Enthusiast F2P</x:v>
      </x:c>
      <x:c r="B248" s="38" t="n">
        <x:v>4</x:v>
      </x:c>
      <x:c r="C248" s="38" t="n">
        <x:v>9</x:v>
      </x:c>
      <x:c r="D248" s="38" t="n">
        <x:v>11336</x:v>
      </x:c>
      <x:c r="E248" s="38" t="n">
        <x:v>30</x:v>
      </x:c>
      <x:c r="F248" s="38" t="n">
        <x:v>20064</x:v>
      </x:c>
      <x:c r="G248" s="38" t="n">
        <x:v>22300</x:v>
      </x:c>
      <x:c r="H248" s="38" t="n">
        <x:v>4770</x:v>
      </x:c>
      <x:c r="I248" s="38" t="n">
        <x:v>592</x:v>
      </x:c>
      <x:c r="J248" s="38" t="n">
        <x:v>185</x:v>
      </x:c>
      <x:c r="K248" s="38" t="n">
        <x:v>0</x:v>
      </x:c>
      <x:c r="L248" s="38" t="n">
        <x:v>0</x:v>
      </x:c>
      <x:c r="M248" s="38" t="n">
        <x:v>15000</x:v>
      </x:c>
      <x:c r="N248" s="38" t="n">
        <x:v>70</x:v>
      </x:c>
      <x:c r="O248" s="38" t="n">
        <x:v>0</x:v>
      </x:c>
      <x:c r="P248" s="38" t="n">
        <x:f>F248+G248-H248+I248+J248+K248+L248-M248-N248-O248</x:f>
        <x:v>23301</x:v>
      </x:c>
      <x:c r="Q248" s="38" t="n">
        <x:v>23301</x:v>
      </x:c>
      <x:c r="R248" s="38" t="n">
        <x:f>P248-Q248</x:f>
        <x:v>0</x:v>
      </x:c>
      <x:c r="S248" s="38" t="n">
        <x:v>17845</x:v>
      </x:c>
      <x:c r="T248" s="38" t="n">
        <x:v>4082</x:v>
      </x:c>
      <x:c r="U248" s="38" t="n">
        <x:v>7</x:v>
      </x:c>
      <x:c r="V248" s="38" t="n">
        <x:v>0</x:v>
      </x:c>
      <x:c r="W248" s="38" t="n">
        <x:v>0</x:v>
      </x:c>
      <x:c r="X248" s="44" t="n">
        <x:v>0</x:v>
      </x:c>
      <x:c r="Y248" s="38" t="n">
        <x:v>85</x:v>
      </x:c>
      <x:c r="Z248" s="38" t="n">
        <x:v>6</x:v>
      </x:c>
      <x:c r="AA248" s="38" t="n">
        <x:v>2</x:v>
      </x:c>
      <x:c r="AB248" s="38" t="n">
        <x:v>0</x:v>
      </x:c>
      <x:c r="AC248" s="38" t="n">
        <x:v>1590</x:v>
      </x:c>
      <x:c r="AD248" s="38" t="n">
        <x:v>0</x:v>
      </x:c>
      <x:c r="AE248" s="38" t="n">
        <x:f>IF(B248=1,0,F248-Q247)</x:f>
        <x:v>0</x:v>
      </x:c>
    </x:row>
    <x:row r="249" ht="27" customHeight="1">
      <x:c r="A249" s="28" t="str">
        <x:v>Enthusiast F2P</x:v>
      </x:c>
      <x:c r="B249" s="38" t="n">
        <x:v>5</x:v>
      </x:c>
      <x:c r="C249" s="38" t="n">
        <x:v>11</x:v>
      </x:c>
      <x:c r="D249" s="38" t="n">
        <x:v>15697</x:v>
      </x:c>
      <x:c r="E249" s="38" t="n">
        <x:v>30</x:v>
      </x:c>
      <x:c r="F249" s="38" t="n">
        <x:v>23301</x:v>
      </x:c>
      <x:c r="G249" s="38" t="n">
        <x:v>24390</x:v>
      </x:c>
      <x:c r="H249" s="38" t="n">
        <x:v>5010</x:v>
      </x:c>
      <x:c r="I249" s="38" t="n">
        <x:v>734</x:v>
      </x:c>
      <x:c r="J249" s="38" t="n">
        <x:v>385</x:v>
      </x:c>
      <x:c r="K249" s="38" t="n">
        <x:v>0</x:v>
      </x:c>
      <x:c r="L249" s="38" t="n">
        <x:v>0</x:v>
      </x:c>
      <x:c r="M249" s="38" t="n">
        <x:v>0</x:v>
      </x:c>
      <x:c r="N249" s="38" t="n">
        <x:v>0</x:v>
      </x:c>
      <x:c r="O249" s="38" t="n">
        <x:v>0</x:v>
      </x:c>
      <x:c r="P249" s="38" t="n">
        <x:f>F249+G249-H249+I249+J249+K249+L249-M249-N249-O249</x:f>
        <x:v>43800</x:v>
      </x:c>
      <x:c r="Q249" s="38" t="n">
        <x:v>43800</x:v>
      </x:c>
      <x:c r="R249" s="38" t="n">
        <x:f>P249-Q249</x:f>
        <x:v>0</x:v>
      </x:c>
      <x:c r="S249" s="38" t="n">
        <x:v>19500</x:v>
      </x:c>
      <x:c r="T249" s="38" t="n">
        <x:v>4361</x:v>
      </x:c>
      <x:c r="U249" s="38" t="n">
        <x:v>10</x:v>
      </x:c>
      <x:c r="V249" s="38" t="n">
        <x:v>3</x:v>
      </x:c>
      <x:c r="W249" s="38" t="n">
        <x:v>0</x:v>
      </x:c>
      <x:c r="X249" s="44" t="n">
        <x:v>0</x:v>
      </x:c>
      <x:c r="Y249" s="38" t="n">
        <x:v>90</x:v>
      </x:c>
      <x:c r="Z249" s="38" t="n">
        <x:v>6</x:v>
      </x:c>
      <x:c r="AA249" s="38" t="n">
        <x:v>2</x:v>
      </x:c>
      <x:c r="AB249" s="38" t="n">
        <x:v>0</x:v>
      </x:c>
      <x:c r="AC249" s="38" t="n">
        <x:v>1710</x:v>
      </x:c>
      <x:c r="AD249" s="38" t="n">
        <x:v>0</x:v>
      </x:c>
      <x:c r="AE249" s="38" t="n">
        <x:f>IF(B249=1,0,F249-Q248)</x:f>
        <x:v>0</x:v>
      </x:c>
    </x:row>
    <x:row r="250" ht="27" customHeight="1">
      <x:c r="A250" s="28" t="str">
        <x:v>Enthusiast F2P</x:v>
      </x:c>
      <x:c r="B250" s="38" t="n">
        <x:v>6</x:v>
      </x:c>
      <x:c r="C250" s="38" t="n">
        <x:v>12</x:v>
      </x:c>
      <x:c r="D250" s="38" t="n">
        <x:v>20154</x:v>
      </x:c>
      <x:c r="E250" s="38" t="n">
        <x:v>35</x:v>
      </x:c>
      <x:c r="F250" s="38" t="n">
        <x:v>43800</x:v>
      </x:c>
      <x:c r="G250" s="38" t="n">
        <x:v>25470</x:v>
      </x:c>
      <x:c r="H250" s="38" t="n">
        <x:v>5450</x:v>
      </x:c>
      <x:c r="I250" s="38" t="n">
        <x:v>783</x:v>
      </x:c>
      <x:c r="J250" s="38" t="n">
        <x:v>235</x:v>
      </x:c>
      <x:c r="K250" s="38" t="n">
        <x:v>0</x:v>
      </x:c>
      <x:c r="L250" s="38" t="n">
        <x:v>0</x:v>
      </x:c>
      <x:c r="M250" s="38" t="n">
        <x:v>40000</x:v>
      </x:c>
      <x:c r="N250" s="38" t="n">
        <x:v>0</x:v>
      </x:c>
      <x:c r="O250" s="38" t="n">
        <x:v>0</x:v>
      </x:c>
      <x:c r="P250" s="38" t="n">
        <x:f>F250+G250-H250+I250+J250+K250+L250-M250-N250-O250</x:f>
        <x:v>24838</x:v>
      </x:c>
      <x:c r="Q250" s="38" t="n">
        <x:v>24838</x:v>
      </x:c>
      <x:c r="R250" s="38" t="n">
        <x:f>P250-Q250</x:f>
        <x:v>0</x:v>
      </x:c>
      <x:c r="S250" s="38" t="n">
        <x:v>20340</x:v>
      </x:c>
      <x:c r="T250" s="38" t="n">
        <x:v>4457</x:v>
      </x:c>
      <x:c r="U250" s="38" t="n">
        <x:v>11</x:v>
      </x:c>
      <x:c r="V250" s="38" t="n">
        <x:v>1</x:v>
      </x:c>
      <x:c r="W250" s="38" t="n">
        <x:v>0</x:v>
      </x:c>
      <x:c r="X250" s="44" t="n">
        <x:v>0</x:v>
      </x:c>
      <x:c r="Y250" s="38" t="n">
        <x:v>90</x:v>
      </x:c>
      <x:c r="Z250" s="38" t="n">
        <x:v>6</x:v>
      </x:c>
      <x:c r="AA250" s="38" t="n">
        <x:v>2</x:v>
      </x:c>
      <x:c r="AB250" s="38" t="n">
        <x:v>0</x:v>
      </x:c>
      <x:c r="AC250" s="38" t="n">
        <x:v>2030</x:v>
      </x:c>
      <x:c r="AD250" s="38" t="n">
        <x:v>0</x:v>
      </x:c>
      <x:c r="AE250" s="38" t="n">
        <x:f>IF(B250=1,0,F250-Q249)</x:f>
        <x:v>0</x:v>
      </x:c>
    </x:row>
    <x:row r="251" ht="27" customHeight="1">
      <x:c r="A251" s="28" t="str">
        <x:v>Enthusiast F2P</x:v>
      </x:c>
      <x:c r="B251" s="38" t="n">
        <x:v>7</x:v>
      </x:c>
      <x:c r="C251" s="38" t="n">
        <x:v>13</x:v>
      </x:c>
      <x:c r="D251" s="38" t="n">
        <x:v>26106</x:v>
      </x:c>
      <x:c r="E251" s="38" t="n">
        <x:v>35</x:v>
      </x:c>
      <x:c r="F251" s="38" t="n">
        <x:v>24838</x:v>
      </x:c>
      <x:c r="G251" s="38" t="n">
        <x:v>30555</x:v>
      </x:c>
      <x:c r="H251" s="38" t="n">
        <x:v>6160</x:v>
      </x:c>
      <x:c r="I251" s="38" t="n">
        <x:v>2535</x:v>
      </x:c>
      <x:c r="J251" s="38" t="n">
        <x:v>245</x:v>
      </x:c>
      <x:c r="K251" s="38" t="n">
        <x:v>0</x:v>
      </x:c>
      <x:c r="L251" s="38" t="n">
        <x:v>0</x:v>
      </x:c>
      <x:c r="M251" s="38" t="n">
        <x:v>0</x:v>
      </x:c>
      <x:c r="N251" s="38" t="n">
        <x:v>70</x:v>
      </x:c>
      <x:c r="O251" s="38" t="n">
        <x:v>0</x:v>
      </x:c>
      <x:c r="P251" s="38" t="n">
        <x:f>F251+G251-H251+I251+J251+K251+L251-M251-N251-O251</x:f>
        <x:v>51943</x:v>
      </x:c>
      <x:c r="Q251" s="38" t="n">
        <x:v>51943</x:v>
      </x:c>
      <x:c r="R251" s="38" t="n">
        <x:f>P251-Q251</x:f>
        <x:v>0</x:v>
      </x:c>
      <x:c r="S251" s="38" t="n">
        <x:v>24465</x:v>
      </x:c>
      <x:c r="T251" s="38" t="n">
        <x:v>5952</x:v>
      </x:c>
      <x:c r="U251" s="38" t="n">
        <x:v>13</x:v>
      </x:c>
      <x:c r="V251" s="38" t="n">
        <x:v>2</x:v>
      </x:c>
      <x:c r="W251" s="38" t="n">
        <x:v>0</x:v>
      </x:c>
      <x:c r="X251" s="44" t="n">
        <x:v>0</x:v>
      </x:c>
      <x:c r="Y251" s="38" t="n">
        <x:v>105</x:v>
      </x:c>
      <x:c r="Z251" s="38" t="n">
        <x:v>6</x:v>
      </x:c>
      <x:c r="AA251" s="38" t="n">
        <x:v>3</x:v>
      </x:c>
      <x:c r="AB251" s="38" t="n">
        <x:v>0</x:v>
      </x:c>
      <x:c r="AC251" s="38" t="n">
        <x:v>2100</x:v>
      </x:c>
      <x:c r="AD251" s="38" t="n">
        <x:v>0</x:v>
      </x:c>
      <x:c r="AE251" s="38" t="n">
        <x:f>IF(B251=1,0,F251-Q250)</x:f>
        <x:v>0</x:v>
      </x:c>
    </x:row>
    <x:row r="252" ht="27" customHeight="1">
      <x:c r="A252" s="28" t="str">
        <x:v>Enthusiast F2P</x:v>
      </x:c>
      <x:c r="B252" s="38" t="n">
        <x:v>8</x:v>
      </x:c>
      <x:c r="C252" s="38" t="n">
        <x:v>13</x:v>
      </x:c>
      <x:c r="D252" s="38" t="n">
        <x:v>31417</x:v>
      </x:c>
      <x:c r="E252" s="38" t="n">
        <x:v>35</x:v>
      </x:c>
      <x:c r="F252" s="38" t="n">
        <x:v>51943</x:v>
      </x:c>
      <x:c r="G252" s="38" t="n">
        <x:v>31500</x:v>
      </x:c>
      <x:c r="H252" s="38" t="n">
        <x:v>6300</x:v>
      </x:c>
      <x:c r="I252" s="38" t="n">
        <x:v>970</x:v>
      </x:c>
      <x:c r="J252" s="38" t="n">
        <x:v>0</x:v>
      </x:c>
      <x:c r="K252" s="38" t="n">
        <x:v>0</x:v>
      </x:c>
      <x:c r="L252" s="38" t="n">
        <x:v>0</x:v>
      </x:c>
      <x:c r="M252" s="38" t="n">
        <x:v>0</x:v>
      </x:c>
      <x:c r="N252" s="38" t="n">
        <x:v>0</x:v>
      </x:c>
      <x:c r="O252" s="38" t="n">
        <x:v>1325</x:v>
      </x:c>
      <x:c r="P252" s="38" t="n">
        <x:f>F252+G252-H252+I252+J252+K252+L252-M252-N252-O252</x:f>
        <x:v>76788</x:v>
      </x:c>
      <x:c r="Q252" s="38" t="n">
        <x:v>76788</x:v>
      </x:c>
      <x:c r="R252" s="38" t="n">
        <x:f>P252-Q252</x:f>
        <x:v>0</x:v>
      </x:c>
      <x:c r="S252" s="38" t="n">
        <x:v>25200</x:v>
      </x:c>
      <x:c r="T252" s="38" t="n">
        <x:v>5311</x:v>
      </x:c>
      <x:c r="U252" s="38" t="n">
        <x:v>13</x:v>
      </x:c>
      <x:c r="V252" s="38" t="n">
        <x:v>0</x:v>
      </x:c>
      <x:c r="W252" s="38" t="n">
        <x:v>0</x:v>
      </x:c>
      <x:c r="X252" s="44" t="n">
        <x:v>0</x:v>
      </x:c>
      <x:c r="Y252" s="38" t="n">
        <x:v>105</x:v>
      </x:c>
      <x:c r="Z252" s="38" t="n">
        <x:v>6</x:v>
      </x:c>
      <x:c r="AA252" s="38" t="n">
        <x:v>3</x:v>
      </x:c>
      <x:c r="AB252" s="38" t="n">
        <x:v>1</x:v>
      </x:c>
      <x:c r="AC252" s="38" t="n">
        <x:v>2100</x:v>
      </x:c>
      <x:c r="AD252" s="38" t="n">
        <x:v>0</x:v>
      </x:c>
      <x:c r="AE252" s="38" t="n">
        <x:f>IF(B252=1,0,F252-Q251)</x:f>
        <x:v>0</x:v>
      </x:c>
    </x:row>
    <x:row r="253" ht="27" customHeight="1">
      <x:c r="A253" s="28" t="str">
        <x:v>Enthusiast F2P</x:v>
      </x:c>
      <x:c r="B253" s="38" t="n">
        <x:v>9</x:v>
      </x:c>
      <x:c r="C253" s="38" t="n">
        <x:v>14</x:v>
      </x:c>
      <x:c r="D253" s="38" t="n">
        <x:v>36728</x:v>
      </x:c>
      <x:c r="E253" s="38" t="n">
        <x:v>35</x:v>
      </x:c>
      <x:c r="F253" s="38" t="n">
        <x:v>76788</x:v>
      </x:c>
      <x:c r="G253" s="38" t="n">
        <x:v>32130</x:v>
      </x:c>
      <x:c r="H253" s="38" t="n">
        <x:v>6510</x:v>
      </x:c>
      <x:c r="I253" s="38" t="n">
        <x:v>970</x:v>
      </x:c>
      <x:c r="J253" s="38" t="n">
        <x:v>250</x:v>
      </x:c>
      <x:c r="K253" s="38" t="n">
        <x:v>0</x:v>
      </x:c>
      <x:c r="L253" s="38" t="n">
        <x:v>0</x:v>
      </x:c>
      <x:c r="M253" s="38" t="n">
        <x:v>0</x:v>
      </x:c>
      <x:c r="N253" s="38" t="n">
        <x:v>0</x:v>
      </x:c>
      <x:c r="O253" s="38" t="n">
        <x:v>6325</x:v>
      </x:c>
      <x:c r="P253" s="38" t="n">
        <x:f>F253+G253-H253+I253+J253+K253+L253-M253-N253-O253</x:f>
        <x:v>97303</x:v>
      </x:c>
      <x:c r="Q253" s="38" t="n">
        <x:v>97303</x:v>
      </x:c>
      <x:c r="R253" s="38" t="n">
        <x:f>P253-Q253</x:f>
        <x:v>0</x:v>
      </x:c>
      <x:c r="S253" s="38" t="n">
        <x:v>25690</x:v>
      </x:c>
      <x:c r="T253" s="38" t="n">
        <x:v>5311</x:v>
      </x:c>
      <x:c r="U253" s="38" t="n">
        <x:v>14</x:v>
      </x:c>
      <x:c r="V253" s="38" t="n">
        <x:v>1</x:v>
      </x:c>
      <x:c r="W253" s="38" t="n">
        <x:v>0</x:v>
      </x:c>
      <x:c r="X253" s="44" t="n">
        <x:v>0</x:v>
      </x:c>
      <x:c r="Y253" s="38" t="n">
        <x:v>105</x:v>
      </x:c>
      <x:c r="Z253" s="38" t="n">
        <x:v>6</x:v>
      </x:c>
      <x:c r="AA253" s="38" t="n">
        <x:v>3</x:v>
      </x:c>
      <x:c r="AB253" s="38" t="n">
        <x:v>2</x:v>
      </x:c>
      <x:c r="AC253" s="38" t="n">
        <x:v>2170</x:v>
      </x:c>
      <x:c r="AD253" s="38" t="n">
        <x:v>0</x:v>
      </x:c>
      <x:c r="AE253" s="38" t="n">
        <x:f>IF(B253=1,0,F253-Q252)</x:f>
        <x:v>0</x:v>
      </x:c>
    </x:row>
    <x:row r="254" ht="27" customHeight="1">
      <x:c r="A254" s="28" t="str">
        <x:v>Enthusiast F2P</x:v>
      </x:c>
      <x:c r="B254" s="38" t="n">
        <x:v>10</x:v>
      </x:c>
      <x:c r="C254" s="38" t="n">
        <x:v>15</x:v>
      </x:c>
      <x:c r="D254" s="38" t="n">
        <x:v>41887</x:v>
      </x:c>
      <x:c r="E254" s="38" t="n">
        <x:v>35</x:v>
      </x:c>
      <x:c r="F254" s="38" t="n">
        <x:v>97303</x:v>
      </x:c>
      <x:c r="G254" s="38" t="n">
        <x:v>34044</x:v>
      </x:c>
      <x:c r="H254" s="38" t="n">
        <x:v>7102</x:v>
      </x:c>
      <x:c r="I254" s="38" t="n">
        <x:v>999</x:v>
      </x:c>
      <x:c r="J254" s="38" t="n">
        <x:v>255</x:v>
      </x:c>
      <x:c r="K254" s="38" t="n">
        <x:v>0</x:v>
      </x:c>
      <x:c r="L254" s="38" t="n">
        <x:v>0</x:v>
      </x:c>
      <x:c r="M254" s="38" t="n">
        <x:v>0</x:v>
      </x:c>
      <x:c r="N254" s="38" t="n">
        <x:v>70</x:v>
      </x:c>
      <x:c r="O254" s="38" t="n">
        <x:v>17115</x:v>
      </x:c>
      <x:c r="P254" s="38" t="n">
        <x:f>F254+G254-H254+I254+J254+K254+L254-M254-N254-O254</x:f>
        <x:v>108314</x:v>
      </x:c>
      <x:c r="Q254" s="38" t="n">
        <x:v>108314</x:v>
      </x:c>
      <x:c r="R254" s="38" t="n">
        <x:f>P254-Q254</x:f>
        <x:v>0</x:v>
      </x:c>
      <x:c r="S254" s="38" t="n">
        <x:v>27222</x:v>
      </x:c>
      <x:c r="T254" s="38" t="n">
        <x:v>5159</x:v>
      </x:c>
      <x:c r="U254" s="38" t="n">
        <x:v>17</x:v>
      </x:c>
      <x:c r="V254" s="38" t="n">
        <x:v>3</x:v>
      </x:c>
      <x:c r="W254" s="38" t="n">
        <x:v>0</x:v>
      </x:c>
      <x:c r="X254" s="44" t="n">
        <x:v>0</x:v>
      </x:c>
      <x:c r="Y254" s="38" t="n">
        <x:v>105</x:v>
      </x:c>
      <x:c r="Z254" s="38" t="n">
        <x:v>7</x:v>
      </x:c>
      <x:c r="AA254" s="38" t="n">
        <x:v>4</x:v>
      </x:c>
      <x:c r="AB254" s="38" t="n">
        <x:v>3</x:v>
      </x:c>
      <x:c r="AC254" s="38" t="n">
        <x:v>2450</x:v>
      </x:c>
      <x:c r="AD254" s="38" t="n">
        <x:v>0</x:v>
      </x:c>
      <x:c r="AE254" s="38" t="n">
        <x:f>IF(B254=1,0,F254-Q253)</x:f>
        <x:v>0</x:v>
      </x:c>
    </x:row>
    <x:row r="255" ht="27" customHeight="1">
      <x:c r="A255" s="28" t="str">
        <x:v>Enthusiast F2P</x:v>
      </x:c>
      <x:c r="B255" s="38" t="n">
        <x:v>11</x:v>
      </x:c>
      <x:c r="C255" s="38" t="n">
        <x:v>16</x:v>
      </x:c>
      <x:c r="D255" s="38" t="n">
        <x:v>46785</x:v>
      </x:c>
      <x:c r="E255" s="38" t="n">
        <x:v>45</x:v>
      </x:c>
      <x:c r="F255" s="38" t="n">
        <x:v>108314</x:v>
      </x:c>
      <x:c r="G255" s="38" t="n">
        <x:v>36750</x:v>
      </x:c>
      <x:c r="H255" s="38" t="n">
        <x:v>7825</x:v>
      </x:c>
      <x:c r="I255" s="38" t="n">
        <x:v>1027</x:v>
      </x:c>
      <x:c r="J255" s="38" t="n">
        <x:v>340</x:v>
      </x:c>
      <x:c r="K255" s="38" t="n">
        <x:v>0</x:v>
      </x:c>
      <x:c r="L255" s="38" t="n">
        <x:v>0</x:v>
      </x:c>
      <x:c r="M255" s="38" t="n">
        <x:v>120000</x:v>
      </x:c>
      <x:c r="N255" s="38" t="n">
        <x:v>0</x:v>
      </x:c>
      <x:c r="O255" s="38" t="n">
        <x:v>0</x:v>
      </x:c>
      <x:c r="P255" s="38" t="n">
        <x:f>F255+G255-H255+I255+J255+K255+L255-M255-N255-O255</x:f>
        <x:v>18606</x:v>
      </x:c>
      <x:c r="Q255" s="38" t="n">
        <x:v>18606</x:v>
      </x:c>
      <x:c r="R255" s="38" t="n">
        <x:f>P255-Q255</x:f>
        <x:v>0</x:v>
      </x:c>
      <x:c r="S255" s="38" t="n">
        <x:v>29400</x:v>
      </x:c>
      <x:c r="T255" s="38" t="n">
        <x:v>4898</x:v>
      </x:c>
      <x:c r="U255" s="38" t="n">
        <x:v>18</x:v>
      </x:c>
      <x:c r="V255" s="38" t="n">
        <x:v>1</x:v>
      </x:c>
      <x:c r="W255" s="38" t="n">
        <x:v>0</x:v>
      </x:c>
      <x:c r="X255" s="44" t="n">
        <x:v>0</x:v>
      </x:c>
      <x:c r="Y255" s="38" t="n">
        <x:v>105</x:v>
      </x:c>
      <x:c r="Z255" s="38" t="n">
        <x:v>7</x:v>
      </x:c>
      <x:c r="AA255" s="38" t="n">
        <x:v>4</x:v>
      </x:c>
      <x:c r="AB255" s="38" t="n">
        <x:v>3</x:v>
      </x:c>
      <x:c r="AC255" s="38" t="n">
        <x:v>2925</x:v>
      </x:c>
      <x:c r="AD255" s="38" t="n">
        <x:v>0</x:v>
      </x:c>
      <x:c r="AE255" s="38" t="n">
        <x:f>IF(B255=1,0,F255-Q254)</x:f>
        <x:v>0</x:v>
      </x:c>
    </x:row>
    <x:row r="256" ht="27" customHeight="1">
      <x:c r="A256" s="28" t="str">
        <x:v>Enthusiast F2P</x:v>
      </x:c>
      <x:c r="B256" s="38" t="n">
        <x:v>12</x:v>
      </x:c>
      <x:c r="C256" s="38" t="n">
        <x:v>16</x:v>
      </x:c>
      <x:c r="D256" s="38" t="n">
        <x:v>53762</x:v>
      </x:c>
      <x:c r="E256" s="38" t="n">
        <x:v>45</x:v>
      </x:c>
      <x:c r="F256" s="38" t="n">
        <x:v>18606</x:v>
      </x:c>
      <x:c r="G256" s="38" t="n">
        <x:v>44010</x:v>
      </x:c>
      <x:c r="H256" s="38" t="n">
        <x:v>8775</x:v>
      </x:c>
      <x:c r="I256" s="38" t="n">
        <x:v>1357</x:v>
      </x:c>
      <x:c r="J256" s="38" t="n">
        <x:v>0</x:v>
      </x:c>
      <x:c r="K256" s="38" t="n">
        <x:v>0</x:v>
      </x:c>
      <x:c r="L256" s="38" t="n">
        <x:v>0</x:v>
      </x:c>
      <x:c r="M256" s="38" t="n">
        <x:v>0</x:v>
      </x:c>
      <x:c r="N256" s="38" t="n">
        <x:v>0</x:v>
      </x:c>
      <x:c r="O256" s="38" t="n">
        <x:v>0</x:v>
      </x:c>
      <x:c r="P256" s="38" t="n">
        <x:f>F256+G256-H256+I256+J256+K256+L256-M256-N256-O256</x:f>
        <x:v>55198</x:v>
      </x:c>
      <x:c r="Q256" s="38" t="n">
        <x:v>55198</x:v>
      </x:c>
      <x:c r="R256" s="38" t="n">
        <x:f>P256-Q256</x:f>
        <x:v>0</x:v>
      </x:c>
      <x:c r="S256" s="38" t="n">
        <x:v>35235</x:v>
      </x:c>
      <x:c r="T256" s="38" t="n">
        <x:v>6977</x:v>
      </x:c>
      <x:c r="U256" s="38" t="n">
        <x:v>18</x:v>
      </x:c>
      <x:c r="V256" s="38" t="n">
        <x:v>0</x:v>
      </x:c>
      <x:c r="W256" s="38" t="n">
        <x:v>0</x:v>
      </x:c>
      <x:c r="X256" s="44" t="n">
        <x:v>0</x:v>
      </x:c>
      <x:c r="Y256" s="38" t="n">
        <x:v>135</x:v>
      </x:c>
      <x:c r="Z256" s="38" t="n">
        <x:v>7</x:v>
      </x:c>
      <x:c r="AA256" s="38" t="n">
        <x:v>4</x:v>
      </x:c>
      <x:c r="AB256" s="38" t="n">
        <x:v>3</x:v>
      </x:c>
      <x:c r="AC256" s="38" t="n">
        <x:v>2925</x:v>
      </x:c>
      <x:c r="AD256" s="38" t="n">
        <x:v>0</x:v>
      </x:c>
      <x:c r="AE256" s="38" t="n">
        <x:f>IF(B256=1,0,F256-Q255)</x:f>
        <x:v>0</x:v>
      </x:c>
    </x:row>
    <x:row r="257" ht="27" customHeight="1">
      <x:c r="A257" s="28" t="str">
        <x:v>Enthusiast F2P</x:v>
      </x:c>
      <x:c r="B257" s="38" t="n">
        <x:v>13</x:v>
      </x:c>
      <x:c r="C257" s="38" t="n">
        <x:v>17</x:v>
      </x:c>
      <x:c r="D257" s="38" t="n">
        <x:v>60739</x:v>
      </x:c>
      <x:c r="E257" s="38" t="n">
        <x:v>45</x:v>
      </x:c>
      <x:c r="F257" s="38" t="n">
        <x:v>55198</x:v>
      </x:c>
      <x:c r="G257" s="38" t="n">
        <x:v>44415</x:v>
      </x:c>
      <x:c r="H257" s="38" t="n">
        <x:v>8955</x:v>
      </x:c>
      <x:c r="I257" s="38" t="n">
        <x:v>1357</x:v>
      </x:c>
      <x:c r="J257" s="38" t="n">
        <x:v>350</x:v>
      </x:c>
      <x:c r="K257" s="38" t="n">
        <x:v>0</x:v>
      </x:c>
      <x:c r="L257" s="38" t="n">
        <x:v>0</x:v>
      </x:c>
      <x:c r="M257" s="38" t="n">
        <x:v>0</x:v>
      </x:c>
      <x:c r="N257" s="38" t="n">
        <x:v>110</x:v>
      </x:c>
      <x:c r="O257" s="38" t="n">
        <x:v>0</x:v>
      </x:c>
      <x:c r="P257" s="38" t="n">
        <x:f>F257+G257-H257+I257+J257+K257+L257-M257-N257-O257</x:f>
        <x:v>92255</x:v>
      </x:c>
      <x:c r="Q257" s="38" t="n">
        <x:v>92255</x:v>
      </x:c>
      <x:c r="R257" s="38" t="n">
        <x:f>P257-Q257</x:f>
        <x:v>0</x:v>
      </x:c>
      <x:c r="S257" s="38" t="n">
        <x:v>35550</x:v>
      </x:c>
      <x:c r="T257" s="38" t="n">
        <x:v>6977</x:v>
      </x:c>
      <x:c r="U257" s="38" t="n">
        <x:v>18</x:v>
      </x:c>
      <x:c r="V257" s="38" t="n">
        <x:v>0</x:v>
      </x:c>
      <x:c r="W257" s="38" t="n">
        <x:v>0</x:v>
      </x:c>
      <x:c r="X257" s="44" t="n">
        <x:v>0</x:v>
      </x:c>
      <x:c r="Y257" s="38" t="n">
        <x:v>135</x:v>
      </x:c>
      <x:c r="Z257" s="38" t="n">
        <x:v>7</x:v>
      </x:c>
      <x:c r="AA257" s="38" t="n">
        <x:v>5</x:v>
      </x:c>
      <x:c r="AB257" s="38" t="n">
        <x:v>3</x:v>
      </x:c>
      <x:c r="AC257" s="38" t="n">
        <x:v>3015</x:v>
      </x:c>
      <x:c r="AD257" s="38" t="n">
        <x:v>0</x:v>
      </x:c>
      <x:c r="AE257" s="38" t="n">
        <x:f>IF(B257=1,0,F257-Q256)</x:f>
        <x:v>0</x:v>
      </x:c>
    </x:row>
    <x:row r="258" ht="27" customHeight="1">
      <x:c r="A258" s="28" t="str">
        <x:v>Enthusiast F2P</x:v>
      </x:c>
      <x:c r="B258" s="38" t="n">
        <x:v>14</x:v>
      </x:c>
      <x:c r="C258" s="38" t="n">
        <x:v>18</x:v>
      </x:c>
      <x:c r="D258" s="38" t="n">
        <x:v>69602</x:v>
      </x:c>
      <x:c r="E258" s="38" t="n">
        <x:v>50</x:v>
      </x:c>
      <x:c r="F258" s="38" t="n">
        <x:v>92255</x:v>
      </x:c>
      <x:c r="G258" s="38" t="n">
        <x:v>45225</x:v>
      </x:c>
      <x:c r="H258" s="38" t="n">
        <x:v>9480</x:v>
      </x:c>
      <x:c r="I258" s="38" t="n">
        <x:v>6244</x:v>
      </x:c>
      <x:c r="J258" s="38" t="n">
        <x:v>395</x:v>
      </x:c>
      <x:c r="K258" s="38" t="n">
        <x:v>0</x:v>
      </x:c>
      <x:c r="L258" s="38" t="n">
        <x:v>0</x:v>
      </x:c>
      <x:c r="M258" s="38" t="n">
        <x:v>105000</x:v>
      </x:c>
      <x:c r="N258" s="38" t="n">
        <x:v>0</x:v>
      </x:c>
      <x:c r="O258" s="38" t="n">
        <x:v>0</x:v>
      </x:c>
      <x:c r="P258" s="38" t="n">
        <x:f>F258+G258-H258+I258+J258+K258+L258-M258-N258-O258</x:f>
        <x:v>29639</x:v>
      </x:c>
      <x:c r="Q258" s="38" t="n">
        <x:v>29639</x:v>
      </x:c>
      <x:c r="R258" s="38" t="n">
        <x:f>P258-Q258</x:f>
        <x:v>0</x:v>
      </x:c>
      <x:c r="S258" s="38" t="n">
        <x:v>36180</x:v>
      </x:c>
      <x:c r="T258" s="38" t="n">
        <x:v>8863</x:v>
      </x:c>
      <x:c r="U258" s="38" t="n">
        <x:v>21</x:v>
      </x:c>
      <x:c r="V258" s="38" t="n">
        <x:v>3</x:v>
      </x:c>
      <x:c r="W258" s="38" t="n">
        <x:v>0</x:v>
      </x:c>
      <x:c r="X258" s="44" t="n">
        <x:v>0</x:v>
      </x:c>
      <x:c r="Y258" s="38" t="n">
        <x:v>135</x:v>
      </x:c>
      <x:c r="Z258" s="38" t="n">
        <x:v>7</x:v>
      </x:c>
      <x:c r="AA258" s="38" t="n">
        <x:v>5</x:v>
      </x:c>
      <x:c r="AB258" s="38" t="n">
        <x:v>3</x:v>
      </x:c>
      <x:c r="AC258" s="38" t="n">
        <x:v>3450</x:v>
      </x:c>
      <x:c r="AD258" s="38" t="n">
        <x:v>0</x:v>
      </x:c>
      <x:c r="AE258" s="38" t="n">
        <x:f>IF(B258=1,0,F258-Q257)</x:f>
        <x:v>0</x:v>
      </x:c>
    </x:row>
    <x:row r="259" ht="27" customHeight="1">
      <x:c r="A259" s="28" t="str">
        <x:v>Enthusiast F2P</x:v>
      </x:c>
      <x:c r="B259" s="38" t="n">
        <x:v>15</x:v>
      </x:c>
      <x:c r="C259" s="38" t="n">
        <x:v>18</x:v>
      </x:c>
      <x:c r="D259" s="38" t="n">
        <x:v>77514</x:v>
      </x:c>
      <x:c r="E259" s="38" t="n">
        <x:v>50</x:v>
      </x:c>
      <x:c r="F259" s="38" t="n">
        <x:v>29639</x:v>
      </x:c>
      <x:c r="G259" s="38" t="n">
        <x:v>51600</x:v>
      </x:c>
      <x:c r="H259" s="38" t="n">
        <x:v>10350</x:v>
      </x:c>
      <x:c r="I259" s="38" t="n">
        <x:v>1589</x:v>
      </x:c>
      <x:c r="J259" s="38" t="n">
        <x:v>0</x:v>
      </x:c>
      <x:c r="K259" s="38" t="n">
        <x:v>0</x:v>
      </x:c>
      <x:c r="L259" s="38" t="n">
        <x:v>0</x:v>
      </x:c>
      <x:c r="M259" s="38" t="n">
        <x:v>0</x:v>
      </x:c>
      <x:c r="N259" s="38" t="n">
        <x:v>0</x:v>
      </x:c>
      <x:c r="O259" s="38" t="n">
        <x:v>0</x:v>
      </x:c>
      <x:c r="P259" s="38" t="n">
        <x:f>F259+G259-H259+I259+J259+K259+L259-M259-N259-O259</x:f>
        <x:v>72478</x:v>
      </x:c>
      <x:c r="Q259" s="38" t="n">
        <x:v>72478</x:v>
      </x:c>
      <x:c r="R259" s="38" t="n">
        <x:f>P259-Q259</x:f>
        <x:v>0</x:v>
      </x:c>
      <x:c r="S259" s="38" t="n">
        <x:v>41250</x:v>
      </x:c>
      <x:c r="T259" s="38" t="n">
        <x:v>7912</x:v>
      </x:c>
      <x:c r="U259" s="38" t="n">
        <x:v>21</x:v>
      </x:c>
      <x:c r="V259" s="38" t="n">
        <x:v>0</x:v>
      </x:c>
      <x:c r="W259" s="38" t="n">
        <x:v>0</x:v>
      </x:c>
      <x:c r="X259" s="44" t="n">
        <x:v>0</x:v>
      </x:c>
      <x:c r="Y259" s="38" t="n">
        <x:v>150</x:v>
      </x:c>
      <x:c r="Z259" s="38" t="n">
        <x:v>7</x:v>
      </x:c>
      <x:c r="AA259" s="38" t="n">
        <x:v>5</x:v>
      </x:c>
      <x:c r="AB259" s="38" t="n">
        <x:v>3</x:v>
      </x:c>
      <x:c r="AC259" s="38" t="n">
        <x:v>3450</x:v>
      </x:c>
      <x:c r="AD259" s="38" t="n">
        <x:v>0</x:v>
      </x:c>
      <x:c r="AE259" s="38" t="n">
        <x:f>IF(B259=1,0,F259-Q258)</x:f>
        <x:v>0</x:v>
      </x:c>
    </x:row>
    <x:row r="260" ht="27" customHeight="1">
      <x:c r="A260" s="28" t="str">
        <x:v>Enthusiast F2P</x:v>
      </x:c>
      <x:c r="B260" s="38" t="n">
        <x:v>16</x:v>
      </x:c>
      <x:c r="C260" s="38" t="n">
        <x:v>19</x:v>
      </x:c>
      <x:c r="D260" s="38" t="n">
        <x:v>85426</x:v>
      </x:c>
      <x:c r="E260" s="38" t="n">
        <x:v>50</x:v>
      </x:c>
      <x:c r="F260" s="38" t="n">
        <x:v>72478</x:v>
      </x:c>
      <x:c r="G260" s="38" t="n">
        <x:v>51636</x:v>
      </x:c>
      <x:c r="H260" s="38" t="n">
        <x:v>10458</x:v>
      </x:c>
      <x:c r="I260" s="38" t="n">
        <x:v>1589</x:v>
      </x:c>
      <x:c r="J260" s="38" t="n">
        <x:v>405</x:v>
      </x:c>
      <x:c r="K260" s="38" t="n">
        <x:v>0</x:v>
      </x:c>
      <x:c r="L260" s="38" t="n">
        <x:v>0</x:v>
      </x:c>
      <x:c r="M260" s="38" t="n">
        <x:v>0</x:v>
      </x:c>
      <x:c r="N260" s="38" t="n">
        <x:v>110</x:v>
      </x:c>
      <x:c r="O260" s="38" t="n">
        <x:v>0</x:v>
      </x:c>
      <x:c r="P260" s="38" t="n">
        <x:f>F260+G260-H260+I260+J260+K260+L260-M260-N260-O260</x:f>
        <x:v>115540</x:v>
      </x:c>
      <x:c r="Q260" s="38" t="n">
        <x:v>115540</x:v>
      </x:c>
      <x:c r="R260" s="38" t="n">
        <x:f>P260-Q260</x:f>
        <x:v>0</x:v>
      </x:c>
      <x:c r="S260" s="38" t="n">
        <x:v>41278</x:v>
      </x:c>
      <x:c r="T260" s="38" t="n">
        <x:v>7912</x:v>
      </x:c>
      <x:c r="U260" s="38" t="n">
        <x:v>21</x:v>
      </x:c>
      <x:c r="V260" s="38" t="n">
        <x:v>0</x:v>
      </x:c>
      <x:c r="W260" s="38" t="n">
        <x:v>0</x:v>
      </x:c>
      <x:c r="X260" s="44" t="n">
        <x:v>0</x:v>
      </x:c>
      <x:c r="Y260" s="38" t="n">
        <x:v>150</x:v>
      </x:c>
      <x:c r="Z260" s="38" t="n">
        <x:v>7</x:v>
      </x:c>
      <x:c r="AA260" s="38" t="n">
        <x:v>6</x:v>
      </x:c>
      <x:c r="AB260" s="38" t="n">
        <x:v>3</x:v>
      </x:c>
      <x:c r="AC260" s="38" t="n">
        <x:v>3550</x:v>
      </x:c>
      <x:c r="AD260" s="38" t="n">
        <x:v>0</x:v>
      </x:c>
      <x:c r="AE260" s="38" t="n">
        <x:f>IF(B260=1,0,F260-Q259)</x:f>
        <x:v>0</x:v>
      </x:c>
    </x:row>
    <x:row r="261" ht="27" customHeight="1">
      <x:c r="A261" s="28" t="str">
        <x:v>Enthusiast F2P</x:v>
      </x:c>
      <x:c r="B261" s="38" t="n">
        <x:v>17</x:v>
      </x:c>
      <x:c r="C261" s="38" t="n">
        <x:v>19</x:v>
      </x:c>
      <x:c r="D261" s="38" t="n">
        <x:v>93342</x:v>
      </x:c>
      <x:c r="E261" s="38" t="n">
        <x:v>50</x:v>
      </x:c>
      <x:c r="F261" s="38" t="n">
        <x:v>115540</x:v>
      </x:c>
      <x:c r="G261" s="38" t="n">
        <x:v>52950</x:v>
      </x:c>
      <x:c r="H261" s="38" t="n">
        <x:v>10650</x:v>
      </x:c>
      <x:c r="I261" s="38" t="n">
        <x:v>1629</x:v>
      </x:c>
      <x:c r="J261" s="38" t="n">
        <x:v>0</x:v>
      </x:c>
      <x:c r="K261" s="38" t="n">
        <x:v>0</x:v>
      </x:c>
      <x:c r="L261" s="38" t="n">
        <x:v>0</x:v>
      </x:c>
      <x:c r="M261" s="38" t="n">
        <x:v>0</x:v>
      </x:c>
      <x:c r="N261" s="38" t="n">
        <x:v>0</x:v>
      </x:c>
      <x:c r="O261" s="38" t="n">
        <x:v>0</x:v>
      </x:c>
      <x:c r="P261" s="38" t="n">
        <x:f>F261+G261-H261+I261+J261+K261+L261-M261-N261-O261</x:f>
        <x:v>159469</x:v>
      </x:c>
      <x:c r="Q261" s="38" t="n">
        <x:v>159469</x:v>
      </x:c>
      <x:c r="R261" s="38" t="n">
        <x:f>P261-Q261</x:f>
        <x:v>0</x:v>
      </x:c>
      <x:c r="S261" s="38" t="n">
        <x:v>42300</x:v>
      </x:c>
      <x:c r="T261" s="38" t="n">
        <x:v>7916</x:v>
      </x:c>
      <x:c r="U261" s="38" t="n">
        <x:v>21</x:v>
      </x:c>
      <x:c r="V261" s="38" t="n">
        <x:v>0</x:v>
      </x:c>
      <x:c r="W261" s="38" t="n">
        <x:v>0</x:v>
      </x:c>
      <x:c r="X261" s="44" t="n">
        <x:v>0</x:v>
      </x:c>
      <x:c r="Y261" s="38" t="n">
        <x:v>150</x:v>
      </x:c>
      <x:c r="Z261" s="38" t="n">
        <x:v>7</x:v>
      </x:c>
      <x:c r="AA261" s="38" t="n">
        <x:v>6</x:v>
      </x:c>
      <x:c r="AB261" s="38" t="n">
        <x:v>3</x:v>
      </x:c>
      <x:c r="AC261" s="38" t="n">
        <x:v>3550</x:v>
      </x:c>
      <x:c r="AD261" s="38" t="n">
        <x:v>0</x:v>
      </x:c>
      <x:c r="AE261" s="38" t="n">
        <x:f>IF(B261=1,0,F261-Q260)</x:f>
        <x:v>0</x:v>
      </x:c>
    </x:row>
    <x:row r="262" ht="27" customHeight="1">
      <x:c r="A262" s="28" t="str">
        <x:v>Enthusiast F2P</x:v>
      </x:c>
      <x:c r="B262" s="38" t="n">
        <x:v>18</x:v>
      </x:c>
      <x:c r="C262" s="38" t="n">
        <x:v>20</x:v>
      </x:c>
      <x:c r="D262" s="38" t="n">
        <x:v>101308</x:v>
      </x:c>
      <x:c r="E262" s="38" t="n">
        <x:v>50</x:v>
      </x:c>
      <x:c r="F262" s="38" t="n">
        <x:v>159469</x:v>
      </x:c>
      <x:c r="G262" s="38" t="n">
        <x:v>53350</x:v>
      </x:c>
      <x:c r="H262" s="38" t="n">
        <x:v>10750</x:v>
      </x:c>
      <x:c r="I262" s="38" t="n">
        <x:v>1629</x:v>
      </x:c>
      <x:c r="J262" s="38" t="n">
        <x:v>415</x:v>
      </x:c>
      <x:c r="K262" s="38" t="n">
        <x:v>0</x:v>
      </x:c>
      <x:c r="L262" s="38" t="n">
        <x:v>0</x:v>
      </x:c>
      <x:c r="M262" s="38" t="n">
        <x:v>0</x:v>
      </x:c>
      <x:c r="N262" s="38" t="n">
        <x:v>0</x:v>
      </x:c>
      <x:c r="O262" s="38" t="n">
        <x:v>41740</x:v>
      </x:c>
      <x:c r="P262" s="38" t="n">
        <x:f>F262+G262-H262+I262+J262+K262+L262-M262-N262-O262</x:f>
        <x:v>162373</x:v>
      </x:c>
      <x:c r="Q262" s="38" t="n">
        <x:v>162373</x:v>
      </x:c>
      <x:c r="R262" s="38" t="n">
        <x:f>P262-Q262</x:f>
        <x:v>0</x:v>
      </x:c>
      <x:c r="S262" s="38" t="n">
        <x:v>42650</x:v>
      </x:c>
      <x:c r="T262" s="38" t="n">
        <x:v>7966</x:v>
      </x:c>
      <x:c r="U262" s="38" t="n">
        <x:v>24</x:v>
      </x:c>
      <x:c r="V262" s="38" t="n">
        <x:v>3</x:v>
      </x:c>
      <x:c r="W262" s="38" t="n">
        <x:v>0</x:v>
      </x:c>
      <x:c r="X262" s="44" t="n">
        <x:v>0</x:v>
      </x:c>
      <x:c r="Y262" s="38" t="n">
        <x:v>150</x:v>
      </x:c>
      <x:c r="Z262" s="38" t="n">
        <x:v>7</x:v>
      </x:c>
      <x:c r="AA262" s="38" t="n">
        <x:v>6</x:v>
      </x:c>
      <x:c r="AB262" s="38" t="n">
        <x:v>4</x:v>
      </x:c>
      <x:c r="AC262" s="38" t="n">
        <x:v>3600</x:v>
      </x:c>
      <x:c r="AD262" s="38" t="n">
        <x:v>0</x:v>
      </x:c>
      <x:c r="AE262" s="38" t="n">
        <x:f>IF(B262=1,0,F262-Q261)</x:f>
        <x:v>0</x:v>
      </x:c>
    </x:row>
    <x:row r="263" ht="27" customHeight="1">
      <x:c r="A263" s="28" t="str">
        <x:v>Enthusiast F2P</x:v>
      </x:c>
      <x:c r="B263" s="38" t="n">
        <x:v>19</x:v>
      </x:c>
      <x:c r="C263" s="38" t="n">
        <x:v>20</x:v>
      </x:c>
      <x:c r="D263" s="38" t="n">
        <x:v>109379</x:v>
      </x:c>
      <x:c r="E263" s="38" t="n">
        <x:v>50</x:v>
      </x:c>
      <x:c r="F263" s="38" t="n">
        <x:v>162373</x:v>
      </x:c>
      <x:c r="G263" s="38" t="n">
        <x:v>54150</x:v>
      </x:c>
      <x:c r="H263" s="38" t="n">
        <x:v>10800</x:v>
      </x:c>
      <x:c r="I263" s="38" t="n">
        <x:v>1670</x:v>
      </x:c>
      <x:c r="J263" s="38" t="n">
        <x:v>0</x:v>
      </x:c>
      <x:c r="K263" s="38" t="n">
        <x:v>0</x:v>
      </x:c>
      <x:c r="L263" s="38" t="n">
        <x:v>0</x:v>
      </x:c>
      <x:c r="M263" s="38" t="n">
        <x:v>0</x:v>
      </x:c>
      <x:c r="N263" s="38" t="n">
        <x:v>305</x:v>
      </x:c>
      <x:c r="O263" s="38" t="n">
        <x:v>0</x:v>
      </x:c>
      <x:c r="P263" s="38" t="n">
        <x:f>F263+G263-H263+I263+J263+K263+L263-M263-N263-O263</x:f>
        <x:v>207088</x:v>
      </x:c>
      <x:c r="Q263" s="38" t="n">
        <x:v>207088</x:v>
      </x:c>
      <x:c r="R263" s="38" t="n">
        <x:f>P263-Q263</x:f>
        <x:v>0</x:v>
      </x:c>
      <x:c r="S263" s="38" t="n">
        <x:v>43350</x:v>
      </x:c>
      <x:c r="T263" s="38" t="n">
        <x:v>8071</x:v>
      </x:c>
      <x:c r="U263" s="38" t="n">
        <x:v>24</x:v>
      </x:c>
      <x:c r="V263" s="38" t="n">
        <x:v>0</x:v>
      </x:c>
      <x:c r="W263" s="38" t="n">
        <x:v>0</x:v>
      </x:c>
      <x:c r="X263" s="44" t="n">
        <x:v>0</x:v>
      </x:c>
      <x:c r="Y263" s="38" t="n">
        <x:v>150</x:v>
      </x:c>
      <x:c r="Z263" s="38" t="n">
        <x:v>7</x:v>
      </x:c>
      <x:c r="AA263" s="38" t="n">
        <x:v>7</x:v>
      </x:c>
      <x:c r="AB263" s="38" t="n">
        <x:v>4</x:v>
      </x:c>
      <x:c r="AC263" s="38" t="n">
        <x:v>3600</x:v>
      </x:c>
      <x:c r="AD263" s="38" t="n">
        <x:v>0</x:v>
      </x:c>
      <x:c r="AE263" s="38" t="n">
        <x:f>IF(B263=1,0,F263-Q262)</x:f>
        <x:v>0</x:v>
      </x:c>
    </x:row>
    <x:row r="264" ht="27" customHeight="1">
      <x:c r="A264" s="28" t="str">
        <x:v>Enthusiast F2P</x:v>
      </x:c>
      <x:c r="B264" s="38" t="n">
        <x:v>20</x:v>
      </x:c>
      <x:c r="C264" s="38" t="n">
        <x:v>21</x:v>
      </x:c>
      <x:c r="D264" s="38" t="n">
        <x:v>117950</x:v>
      </x:c>
      <x:c r="E264" s="38" t="n">
        <x:v>55</x:v>
      </x:c>
      <x:c r="F264" s="38" t="n">
        <x:v>207088</x:v>
      </x:c>
      <x:c r="G264" s="38" t="n">
        <x:v>58750</x:v>
      </x:c>
      <x:c r="H264" s="38" t="n">
        <x:v>12210</x:v>
      </x:c>
      <x:c r="I264" s="38" t="n">
        <x:v>1670</x:v>
      </x:c>
      <x:c r="J264" s="38" t="n">
        <x:v>470</x:v>
      </x:c>
      <x:c r="K264" s="38" t="n">
        <x:v>0</x:v>
      </x:c>
      <x:c r="L264" s="38" t="n">
        <x:v>0</x:v>
      </x:c>
      <x:c r="M264" s="38" t="n">
        <x:v>200000</x:v>
      </x:c>
      <x:c r="N264" s="38" t="n">
        <x:v>0</x:v>
      </x:c>
      <x:c r="O264" s="38" t="n">
        <x:v>0</x:v>
      </x:c>
      <x:c r="P264" s="38" t="n">
        <x:f>F264+G264-H264+I264+J264+K264+L264-M264-N264-O264</x:f>
        <x:v>55768</x:v>
      </x:c>
      <x:c r="Q264" s="38" t="n">
        <x:v>55768</x:v>
      </x:c>
      <x:c r="R264" s="38" t="n">
        <x:f>P264-Q264</x:f>
        <x:v>0</x:v>
      </x:c>
      <x:c r="S264" s="38" t="n">
        <x:v>47010</x:v>
      </x:c>
      <x:c r="T264" s="38" t="n">
        <x:v>8571</x:v>
      </x:c>
      <x:c r="U264" s="38" t="n">
        <x:v>24</x:v>
      </x:c>
      <x:c r="V264" s="38" t="n">
        <x:v>0</x:v>
      </x:c>
      <x:c r="W264" s="38" t="n">
        <x:v>0</x:v>
      </x:c>
      <x:c r="X264" s="44" t="n">
        <x:v>0</x:v>
      </x:c>
      <x:c r="Y264" s="38" t="n">
        <x:v>160</x:v>
      </x:c>
      <x:c r="Z264" s="38" t="n">
        <x:v>7</x:v>
      </x:c>
      <x:c r="AA264" s="38" t="n">
        <x:v>7</x:v>
      </x:c>
      <x:c r="AB264" s="38" t="n">
        <x:v>4</x:v>
      </x:c>
      <x:c r="AC264" s="38" t="n">
        <x:v>4070</x:v>
      </x:c>
      <x:c r="AD264" s="38" t="n">
        <x:v>0</x:v>
      </x:c>
      <x:c r="AE264" s="38" t="n">
        <x:f>IF(B264=1,0,F264-Q263)</x:f>
        <x:v>0</x:v>
      </x:c>
    </x:row>
    <x:row r="265" ht="27" customHeight="1">
      <x:c r="A265" s="28" t="str">
        <x:v>Enthusiast F2P</x:v>
      </x:c>
      <x:c r="B265" s="38" t="n">
        <x:v>21</x:v>
      </x:c>
      <x:c r="C265" s="38" t="n">
        <x:v>22</x:v>
      </x:c>
      <x:c r="D265" s="38" t="n">
        <x:v>129642</x:v>
      </x:c>
      <x:c r="E265" s="38" t="n">
        <x:v>55</x:v>
      </x:c>
      <x:c r="F265" s="38" t="n">
        <x:v>55768</x:v>
      </x:c>
      <x:c r="G265" s="38" t="n">
        <x:v>62040</x:v>
      </x:c>
      <x:c r="H265" s="38" t="n">
        <x:v>12540</x:v>
      </x:c>
      <x:c r="I265" s="38" t="n">
        <x:v>9824</x:v>
      </x:c>
      <x:c r="J265" s="38" t="n">
        <x:v>480</x:v>
      </x:c>
      <x:c r="K265" s="38" t="n">
        <x:v>0</x:v>
      </x:c>
      <x:c r="L265" s="38" t="n">
        <x:v>0</x:v>
      </x:c>
      <x:c r="M265" s="38" t="n">
        <x:v>0</x:v>
      </x:c>
      <x:c r="N265" s="38" t="n">
        <x:v>0</x:v>
      </x:c>
      <x:c r="O265" s="38" t="n">
        <x:v>0</x:v>
      </x:c>
      <x:c r="P265" s="38" t="n">
        <x:f>F265+G265-H265+I265+J265+K265+L265-M265-N265-O265</x:f>
        <x:v>115572</x:v>
      </x:c>
      <x:c r="Q265" s="38" t="n">
        <x:v>115572</x:v>
      </x:c>
      <x:c r="R265" s="38" t="n">
        <x:f>P265-Q265</x:f>
        <x:v>0</x:v>
      </x:c>
      <x:c r="S265" s="38" t="n">
        <x:v>49610</x:v>
      </x:c>
      <x:c r="T265" s="38" t="n">
        <x:v>11692</x:v>
      </x:c>
      <x:c r="U265" s="38" t="n">
        <x:v>27</x:v>
      </x:c>
      <x:c r="V265" s="38" t="n">
        <x:v>3</x:v>
      </x:c>
      <x:c r="W265" s="38" t="n">
        <x:v>0</x:v>
      </x:c>
      <x:c r="X265" s="44" t="n">
        <x:v>0</x:v>
      </x:c>
      <x:c r="Y265" s="38" t="n">
        <x:v>165</x:v>
      </x:c>
      <x:c r="Z265" s="38" t="n">
        <x:v>7</x:v>
      </x:c>
      <x:c r="AA265" s="38" t="n">
        <x:v>7</x:v>
      </x:c>
      <x:c r="AB265" s="38" t="n">
        <x:v>4</x:v>
      </x:c>
      <x:c r="AC265" s="38" t="n">
        <x:v>4180</x:v>
      </x:c>
      <x:c r="AD265" s="38" t="n">
        <x:v>0</x:v>
      </x:c>
      <x:c r="AE265" s="38" t="n">
        <x:f>IF(B265=1,0,F265-Q264)</x:f>
        <x:v>0</x:v>
      </x:c>
    </x:row>
    <x:row r="266" ht="27" customHeight="1">
      <x:c r="A266" s="28" t="str">
        <x:v>Enthusiast F2P</x:v>
      </x:c>
      <x:c r="B266" s="38" t="n">
        <x:v>22</x:v>
      </x:c>
      <x:c r="C266" s="38" t="n">
        <x:v>22</x:v>
      </x:c>
      <x:c r="D266" s="38" t="n">
        <x:v>138531</x:v>
      </x:c>
      <x:c r="E266" s="38" t="n">
        <x:v>55</x:v>
      </x:c>
      <x:c r="F266" s="38" t="n">
        <x:v>115572</x:v>
      </x:c>
      <x:c r="G266" s="38" t="n">
        <x:v>62535</x:v>
      </x:c>
      <x:c r="H266" s="38" t="n">
        <x:v>12540</x:v>
      </x:c>
      <x:c r="I266" s="38" t="n">
        <x:v>1926</x:v>
      </x:c>
      <x:c r="J266" s="38" t="n">
        <x:v>0</x:v>
      </x:c>
      <x:c r="K266" s="38" t="n">
        <x:v>0</x:v>
      </x:c>
      <x:c r="L266" s="38" t="n">
        <x:v>0</x:v>
      </x:c>
      <x:c r="M266" s="38" t="n">
        <x:v>0</x:v>
      </x:c>
      <x:c r="N266" s="38" t="n">
        <x:v>305</x:v>
      </x:c>
      <x:c r="O266" s="38" t="n">
        <x:v>0</x:v>
      </x:c>
      <x:c r="P266" s="38" t="n">
        <x:f>F266+G266-H266+I266+J266+K266+L266-M266-N266-O266</x:f>
        <x:v>167188</x:v>
      </x:c>
      <x:c r="Q266" s="38" t="n">
        <x:v>167188</x:v>
      </x:c>
      <x:c r="R266" s="38" t="n">
        <x:f>P266-Q266</x:f>
        <x:v>0</x:v>
      </x:c>
      <x:c r="S266" s="38" t="n">
        <x:v>49995</x:v>
      </x:c>
      <x:c r="T266" s="38" t="n">
        <x:v>8889</x:v>
      </x:c>
      <x:c r="U266" s="38" t="n">
        <x:v>31</x:v>
      </x:c>
      <x:c r="V266" s="38" t="n">
        <x:v>4</x:v>
      </x:c>
      <x:c r="W266" s="38" t="n">
        <x:v>0</x:v>
      </x:c>
      <x:c r="X266" s="44" t="n">
        <x:v>0</x:v>
      </x:c>
      <x:c r="Y266" s="38" t="n">
        <x:v>165</x:v>
      </x:c>
      <x:c r="Z266" s="38" t="n">
        <x:v>7</x:v>
      </x:c>
      <x:c r="AA266" s="38" t="n">
        <x:v>8</x:v>
      </x:c>
      <x:c r="AB266" s="38" t="n">
        <x:v>4</x:v>
      </x:c>
      <x:c r="AC266" s="38" t="n">
        <x:v>4180</x:v>
      </x:c>
      <x:c r="AD266" s="38" t="n">
        <x:v>0</x:v>
      </x:c>
      <x:c r="AE266" s="38" t="n">
        <x:f>IF(B266=1,0,F266-Q265)</x:f>
        <x:v>0</x:v>
      </x:c>
    </x:row>
    <x:row r="267" ht="27" customHeight="1">
      <x:c r="A267" s="28" t="str">
        <x:v>Enthusiast F2P</x:v>
      </x:c>
      <x:c r="B267" s="38" t="n">
        <x:v>23</x:v>
      </x:c>
      <x:c r="C267" s="38" t="n">
        <x:v>23</x:v>
      </x:c>
      <x:c r="D267" s="38" t="n">
        <x:v>147530</x:v>
      </x:c>
      <x:c r="E267" s="38" t="n">
        <x:v>55</x:v>
      </x:c>
      <x:c r="F267" s="38" t="n">
        <x:v>167188</x:v>
      </x:c>
      <x:c r="G267" s="38" t="n">
        <x:v>63525</x:v>
      </x:c>
      <x:c r="H267" s="38" t="n">
        <x:v>12870</x:v>
      </x:c>
      <x:c r="I267" s="38" t="n">
        <x:v>1926</x:v>
      </x:c>
      <x:c r="J267" s="38" t="n">
        <x:v>495</x:v>
      </x:c>
      <x:c r="K267" s="38" t="n">
        <x:v>0</x:v>
      </x:c>
      <x:c r="L267" s="38" t="n">
        <x:v>0</x:v>
      </x:c>
      <x:c r="M267" s="38" t="n">
        <x:v>0</x:v>
      </x:c>
      <x:c r="N267" s="38" t="n">
        <x:v>0</x:v>
      </x:c>
      <x:c r="O267" s="38" t="n">
        <x:v>0</x:v>
      </x:c>
      <x:c r="P267" s="38" t="n">
        <x:f>F267+G267-H267+I267+J267+K267+L267-M267-N267-O267</x:f>
        <x:v>220264</x:v>
      </x:c>
      <x:c r="Q267" s="38" t="n">
        <x:v>220264</x:v>
      </x:c>
      <x:c r="R267" s="38" t="n">
        <x:f>P267-Q267</x:f>
        <x:v>0</x:v>
      </x:c>
      <x:c r="S267" s="38" t="n">
        <x:v>50765</x:v>
      </x:c>
      <x:c r="T267" s="38" t="n">
        <x:v>8999</x:v>
      </x:c>
      <x:c r="U267" s="38" t="n">
        <x:v>31</x:v>
      </x:c>
      <x:c r="V267" s="38" t="n">
        <x:v>0</x:v>
      </x:c>
      <x:c r="W267" s="38" t="n">
        <x:v>0</x:v>
      </x:c>
      <x:c r="X267" s="44" t="n">
        <x:v>0</x:v>
      </x:c>
      <x:c r="Y267" s="38" t="n">
        <x:v>165</x:v>
      </x:c>
      <x:c r="Z267" s="38" t="n">
        <x:v>7</x:v>
      </x:c>
      <x:c r="AA267" s="38" t="n">
        <x:v>8</x:v>
      </x:c>
      <x:c r="AB267" s="38" t="n">
        <x:v>4</x:v>
      </x:c>
      <x:c r="AC267" s="38" t="n">
        <x:v>4290</x:v>
      </x:c>
      <x:c r="AD267" s="38" t="n">
        <x:v>0</x:v>
      </x:c>
      <x:c r="AE267" s="38" t="n">
        <x:f>IF(B267=1,0,F267-Q266)</x:f>
        <x:v>0</x:v>
      </x:c>
    </x:row>
    <x:row r="268" ht="27" customHeight="1">
      <x:c r="A268" s="28" t="str">
        <x:v>Enthusiast F2P</x:v>
      </x:c>
      <x:c r="B268" s="38" t="n">
        <x:v>24</x:v>
      </x:c>
      <x:c r="C268" s="38" t="n">
        <x:v>24</x:v>
      </x:c>
      <x:c r="D268" s="38" t="n">
        <x:v>156589</x:v>
      </x:c>
      <x:c r="E268" s="38" t="n">
        <x:v>55</x:v>
      </x:c>
      <x:c r="F268" s="38" t="n">
        <x:v>220264</x:v>
      </x:c>
      <x:c r="G268" s="38" t="n">
        <x:v>64020</x:v>
      </x:c>
      <x:c r="H268" s="38" t="n">
        <x:v>12925</x:v>
      </x:c>
      <x:c r="I268" s="38" t="n">
        <x:v>1970</x:v>
      </x:c>
      <x:c r="J268" s="38" t="n">
        <x:v>505</x:v>
      </x:c>
      <x:c r="K268" s="38" t="n">
        <x:v>0</x:v>
      </x:c>
      <x:c r="L268" s="38" t="n">
        <x:v>0</x:v>
      </x:c>
      <x:c r="M268" s="38" t="n">
        <x:v>0</x:v>
      </x:c>
      <x:c r="N268" s="38" t="n">
        <x:v>0</x:v>
      </x:c>
      <x:c r="O268" s="38" t="n">
        <x:v>0</x:v>
      </x:c>
      <x:c r="P268" s="38" t="n">
        <x:f>F268+G268-H268+I268+J268+K268+L268-M268-N268-O268</x:f>
        <x:v>273834</x:v>
      </x:c>
      <x:c r="Q268" s="38" t="n">
        <x:v>273834</x:v>
      </x:c>
      <x:c r="R268" s="38" t="n">
        <x:f>P268-Q268</x:f>
        <x:v>0</x:v>
      </x:c>
      <x:c r="S268" s="38" t="n">
        <x:v>51150</x:v>
      </x:c>
      <x:c r="T268" s="38" t="n">
        <x:v>9059</x:v>
      </x:c>
      <x:c r="U268" s="38" t="n">
        <x:v>32</x:v>
      </x:c>
      <x:c r="V268" s="38" t="n">
        <x:v>1</x:v>
      </x:c>
      <x:c r="W268" s="38" t="n">
        <x:v>0</x:v>
      </x:c>
      <x:c r="X268" s="44" t="n">
        <x:v>0</x:v>
      </x:c>
      <x:c r="Y268" s="38" t="n">
        <x:v>165</x:v>
      </x:c>
      <x:c r="Z268" s="38" t="n">
        <x:v>7</x:v>
      </x:c>
      <x:c r="AA268" s="38" t="n">
        <x:v>8</x:v>
      </x:c>
      <x:c r="AB268" s="38" t="n">
        <x:v>4</x:v>
      </x:c>
      <x:c r="AC268" s="38" t="n">
        <x:v>4345</x:v>
      </x:c>
      <x:c r="AD268" s="38" t="n">
        <x:v>0</x:v>
      </x:c>
      <x:c r="AE268" s="38" t="n">
        <x:f>IF(B268=1,0,F268-Q267)</x:f>
        <x:v>0</x:v>
      </x:c>
    </x:row>
    <x:row r="269" ht="27" customHeight="1">
      <x:c r="A269" s="28" t="str">
        <x:v>Enthusiast F2P</x:v>
      </x:c>
      <x:c r="B269" s="38" t="n">
        <x:v>25</x:v>
      </x:c>
      <x:c r="C269" s="38" t="n">
        <x:v>24</x:v>
      </x:c>
      <x:c r="D269" s="38" t="n">
        <x:v>165653</x:v>
      </x:c>
      <x:c r="E269" s="38" t="n">
        <x:v>55</x:v>
      </x:c>
      <x:c r="F269" s="38" t="n">
        <x:v>273834</x:v>
      </x:c>
      <x:c r="G269" s="38" t="n">
        <x:v>65340</x:v>
      </x:c>
      <x:c r="H269" s="38" t="n">
        <x:v>13035</x:v>
      </x:c>
      <x:c r="I269" s="38" t="n">
        <x:v>2015</x:v>
      </x:c>
      <x:c r="J269" s="38" t="n">
        <x:v>0</x:v>
      </x:c>
      <x:c r="K269" s="38" t="n">
        <x:v>0</x:v>
      </x:c>
      <x:c r="L269" s="38" t="n">
        <x:v>0</x:v>
      </x:c>
      <x:c r="M269" s="38" t="n">
        <x:v>0</x:v>
      </x:c>
      <x:c r="N269" s="38" t="n">
        <x:v>320</x:v>
      </x:c>
      <x:c r="O269" s="38" t="n">
        <x:v>0</x:v>
      </x:c>
      <x:c r="P269" s="38" t="n">
        <x:f>F269+G269-H269+I269+J269+K269+L269-M269-N269-O269</x:f>
        <x:v>327834</x:v>
      </x:c>
      <x:c r="Q269" s="38" t="n">
        <x:v>327834</x:v>
      </x:c>
      <x:c r="R269" s="38" t="n">
        <x:f>P269-Q269</x:f>
        <x:v>0</x:v>
      </x:c>
      <x:c r="S269" s="38" t="n">
        <x:v>52305</x:v>
      </x:c>
      <x:c r="T269" s="38" t="n">
        <x:v>9064</x:v>
      </x:c>
      <x:c r="U269" s="38" t="n">
        <x:v>32</x:v>
      </x:c>
      <x:c r="V269" s="38" t="n">
        <x:v>0</x:v>
      </x:c>
      <x:c r="W269" s="38" t="n">
        <x:v>0</x:v>
      </x:c>
      <x:c r="X269" s="44" t="n">
        <x:v>0</x:v>
      </x:c>
      <x:c r="Y269" s="38" t="n">
        <x:v>165</x:v>
      </x:c>
      <x:c r="Z269" s="38" t="n">
        <x:v>7</x:v>
      </x:c>
      <x:c r="AA269" s="38" t="n">
        <x:v>9</x:v>
      </x:c>
      <x:c r="AB269" s="38" t="n">
        <x:v>4</x:v>
      </x:c>
      <x:c r="AC269" s="38" t="n">
        <x:v>4345</x:v>
      </x:c>
      <x:c r="AD269" s="38" t="n">
        <x:v>0</x:v>
      </x:c>
      <x:c r="AE269" s="38" t="n">
        <x:f>IF(B269=1,0,F269-Q268)</x:f>
        <x:v>0</x:v>
      </x:c>
    </x:row>
    <x:row r="270" ht="27" customHeight="1">
      <x:c r="A270" s="28" t="str">
        <x:v>Enthusiast F2P</x:v>
      </x:c>
      <x:c r="B270" s="38" t="n">
        <x:v>26</x:v>
      </x:c>
      <x:c r="C270" s="38" t="n">
        <x:v>25</x:v>
      </x:c>
      <x:c r="D270" s="38" t="n">
        <x:v>174717</x:v>
      </x:c>
      <x:c r="E270" s="38" t="n">
        <x:v>65</x:v>
      </x:c>
      <x:c r="F270" s="38" t="n">
        <x:v>327834</x:v>
      </x:c>
      <x:c r="G270" s="38" t="n">
        <x:v>65340</x:v>
      </x:c>
      <x:c r="H270" s="38" t="n">
        <x:v>13955</x:v>
      </x:c>
      <x:c r="I270" s="38" t="n">
        <x:v>2015</x:v>
      </x:c>
      <x:c r="J270" s="38" t="n">
        <x:v>610</x:v>
      </x:c>
      <x:c r="K270" s="38" t="n">
        <x:v>0</x:v>
      </x:c>
      <x:c r="L270" s="38" t="n">
        <x:v>0</x:v>
      </x:c>
      <x:c r="M270" s="38" t="n">
        <x:v>300000</x:v>
      </x:c>
      <x:c r="N270" s="38" t="n">
        <x:v>0</x:v>
      </x:c>
      <x:c r="O270" s="38" t="n">
        <x:v>36018</x:v>
      </x:c>
      <x:c r="P270" s="38" t="n">
        <x:f>F270+G270-H270+I270+J270+K270+L270-M270-N270-O270</x:f>
        <x:v>45826</x:v>
      </x:c>
      <x:c r="Q270" s="38" t="n">
        <x:v>45826</x:v>
      </x:c>
      <x:c r="R270" s="38" t="n">
        <x:f>P270-Q270</x:f>
        <x:v>0</x:v>
      </x:c>
      <x:c r="S270" s="38" t="n">
        <x:v>52305</x:v>
      </x:c>
      <x:c r="T270" s="38" t="n">
        <x:v>9064</x:v>
      </x:c>
      <x:c r="U270" s="38" t="n">
        <x:v>35</x:v>
      </x:c>
      <x:c r="V270" s="38" t="n">
        <x:v>3</x:v>
      </x:c>
      <x:c r="W270" s="38" t="n">
        <x:v>0</x:v>
      </x:c>
      <x:c r="X270" s="44" t="n">
        <x:v>0</x:v>
      </x:c>
      <x:c r="Y270" s="38" t="n">
        <x:v>165</x:v>
      </x:c>
      <x:c r="Z270" s="38" t="n">
        <x:v>7</x:v>
      </x:c>
      <x:c r="AA270" s="38" t="n">
        <x:v>9</x:v>
      </x:c>
      <x:c r="AB270" s="38" t="n">
        <x:v>4</x:v>
      </x:c>
      <x:c r="AC270" s="38" t="n">
        <x:v>5265</x:v>
      </x:c>
      <x:c r="AD270" s="38" t="n">
        <x:v>0</x:v>
      </x:c>
      <x:c r="AE270" s="38" t="n">
        <x:f>IF(B270=1,0,F270-Q269)</x:f>
        <x:v>0</x:v>
      </x:c>
    </x:row>
    <x:row r="271" ht="27" customHeight="1">
      <x:c r="A271" s="28" t="str">
        <x:v>Enthusiast F2P</x:v>
      </x:c>
      <x:c r="B271" s="38" t="n">
        <x:v>27</x:v>
      </x:c>
      <x:c r="C271" s="38" t="n">
        <x:v>25</x:v>
      </x:c>
      <x:c r="D271" s="38" t="n">
        <x:v>185631</x:v>
      </x:c>
      <x:c r="E271" s="38" t="n">
        <x:v>65</x:v>
      </x:c>
      <x:c r="F271" s="38" t="n">
        <x:v>45826</x:v>
      </x:c>
      <x:c r="G271" s="38" t="n">
        <x:v>78975</x:v>
      </x:c>
      <x:c r="H271" s="38" t="n">
        <x:v>15795</x:v>
      </x:c>
      <x:c r="I271" s="38" t="n">
        <x:v>2434</x:v>
      </x:c>
      <x:c r="J271" s="38" t="n">
        <x:v>0</x:v>
      </x:c>
      <x:c r="K271" s="38" t="n">
        <x:v>0</x:v>
      </x:c>
      <x:c r="L271" s="38" t="n">
        <x:v>0</x:v>
      </x:c>
      <x:c r="M271" s="38" t="n">
        <x:v>0</x:v>
      </x:c>
      <x:c r="N271" s="38" t="n">
        <x:v>0</x:v>
      </x:c>
      <x:c r="O271" s="38" t="n">
        <x:v>45102</x:v>
      </x:c>
      <x:c r="P271" s="38" t="n">
        <x:f>F271+G271-H271+I271+J271+K271+L271-M271-N271-O271</x:f>
        <x:v>66338</x:v>
      </x:c>
      <x:c r="Q271" s="38" t="n">
        <x:v>66338</x:v>
      </x:c>
      <x:c r="R271" s="38" t="n">
        <x:f>P271-Q271</x:f>
        <x:v>0</x:v>
      </x:c>
      <x:c r="S271" s="38" t="n">
        <x:v>63180</x:v>
      </x:c>
      <x:c r="T271" s="38" t="n">
        <x:v>10914</x:v>
      </x:c>
      <x:c r="U271" s="38" t="n">
        <x:v>35</x:v>
      </x:c>
      <x:c r="V271" s="38" t="n">
        <x:v>0</x:v>
      </x:c>
      <x:c r="W271" s="38" t="n">
        <x:v>0</x:v>
      </x:c>
      <x:c r="X271" s="44" t="n">
        <x:v>0</x:v>
      </x:c>
      <x:c r="Y271" s="38" t="n">
        <x:v>195</x:v>
      </x:c>
      <x:c r="Z271" s="38" t="n">
        <x:v>7</x:v>
      </x:c>
      <x:c r="AA271" s="38" t="n">
        <x:v>9</x:v>
      </x:c>
      <x:c r="AB271" s="38" t="n">
        <x:v>5</x:v>
      </x:c>
      <x:c r="AC271" s="38" t="n">
        <x:v>5265</x:v>
      </x:c>
      <x:c r="AD271" s="38" t="n">
        <x:v>0</x:v>
      </x:c>
      <x:c r="AE271" s="38" t="n">
        <x:f>IF(B271=1,0,F271-Q270)</x:f>
        <x:v>0</x:v>
      </x:c>
    </x:row>
    <x:row r="272" ht="27" customHeight="1">
      <x:c r="A272" s="28" t="str">
        <x:v>Enthusiast F2P</x:v>
      </x:c>
      <x:c r="B272" s="38" t="n">
        <x:v>28</x:v>
      </x:c>
      <x:c r="C272" s="38" t="n">
        <x:v>26</x:v>
      </x:c>
      <x:c r="D272" s="38" t="n">
        <x:v>199739</x:v>
      </x:c>
      <x:c r="E272" s="38" t="n">
        <x:v>65</x:v>
      </x:c>
      <x:c r="F272" s="38" t="n">
        <x:v>66338</x:v>
      </x:c>
      <x:c r="G272" s="38" t="n">
        <x:v>78975</x:v>
      </x:c>
      <x:c r="H272" s="38" t="n">
        <x:v>15925</x:v>
      </x:c>
      <x:c r="I272" s="38" t="n">
        <x:v>12062</x:v>
      </x:c>
      <x:c r="J272" s="38" t="n">
        <x:v>620</x:v>
      </x:c>
      <x:c r="K272" s="38" t="n">
        <x:v>0</x:v>
      </x:c>
      <x:c r="L272" s="38" t="n">
        <x:v>0</x:v>
      </x:c>
      <x:c r="M272" s="38" t="n">
        <x:v>0</x:v>
      </x:c>
      <x:c r="N272" s="38" t="n">
        <x:v>320</x:v>
      </x:c>
      <x:c r="O272" s="38" t="n">
        <x:v>0</x:v>
      </x:c>
      <x:c r="P272" s="38" t="n">
        <x:f>F272+G272-H272+I272+J272+K272+L272-M272-N272-O272</x:f>
        <x:v>141750</x:v>
      </x:c>
      <x:c r="Q272" s="38" t="n">
        <x:v>141750</x:v>
      </x:c>
      <x:c r="R272" s="38" t="n">
        <x:f>P272-Q272</x:f>
        <x:v>0</x:v>
      </x:c>
      <x:c r="S272" s="38" t="n">
        <x:v>63180</x:v>
      </x:c>
      <x:c r="T272" s="38" t="n">
        <x:v>14108</x:v>
      </x:c>
      <x:c r="U272" s="38" t="n">
        <x:v>38</x:v>
      </x:c>
      <x:c r="V272" s="38" t="n">
        <x:v>3</x:v>
      </x:c>
      <x:c r="W272" s="38" t="n">
        <x:v>0</x:v>
      </x:c>
      <x:c r="X272" s="44" t="n">
        <x:v>0</x:v>
      </x:c>
      <x:c r="Y272" s="38" t="n">
        <x:v>195</x:v>
      </x:c>
      <x:c r="Z272" s="38" t="n">
        <x:v>7</x:v>
      </x:c>
      <x:c r="AA272" s="38" t="n">
        <x:v>10</x:v>
      </x:c>
      <x:c r="AB272" s="38" t="n">
        <x:v>5</x:v>
      </x:c>
      <x:c r="AC272" s="38" t="n">
        <x:v>5395</x:v>
      </x:c>
      <x:c r="AD272" s="38" t="n">
        <x:v>0</x:v>
      </x:c>
      <x:c r="AE272" s="38" t="n">
        <x:f>IF(B272=1,0,F272-Q271)</x:f>
        <x:v>0</x:v>
      </x:c>
    </x:row>
    <x:row r="273" ht="27" customHeight="1">
      <x:c r="A273" s="28" t="str">
        <x:v>Enthusiast F2P</x:v>
      </x:c>
      <x:c r="B273" s="38" t="n">
        <x:v>29</x:v>
      </x:c>
      <x:c r="C273" s="38" t="n">
        <x:v>26</x:v>
      </x:c>
      <x:c r="D273" s="38" t="n">
        <x:v>210659</x:v>
      </x:c>
      <x:c r="E273" s="38" t="n">
        <x:v>65</x:v>
      </x:c>
      <x:c r="F273" s="38" t="n">
        <x:v>141750</x:v>
      </x:c>
      <x:c r="G273" s="38" t="n">
        <x:v>80925</x:v>
      </x:c>
      <x:c r="H273" s="38" t="n">
        <x:v>16185</x:v>
      </x:c>
      <x:c r="I273" s="38" t="n">
        <x:v>2486</x:v>
      </x:c>
      <x:c r="J273" s="38" t="n">
        <x:v>0</x:v>
      </x:c>
      <x:c r="K273" s="38" t="n">
        <x:v>0</x:v>
      </x:c>
      <x:c r="L273" s="38" t="n">
        <x:v>0</x:v>
      </x:c>
      <x:c r="M273" s="38" t="n">
        <x:v>0</x:v>
      </x:c>
      <x:c r="N273" s="38" t="n">
        <x:v>0</x:v>
      </x:c>
      <x:c r="O273" s="38" t="n">
        <x:v>0</x:v>
      </x:c>
      <x:c r="P273" s="38" t="n">
        <x:f>F273+G273-H273+I273+J273+K273+L273-M273-N273-O273</x:f>
        <x:v>208976</x:v>
      </x:c>
      <x:c r="Q273" s="38" t="n">
        <x:v>208976</x:v>
      </x:c>
      <x:c r="R273" s="38" t="n">
        <x:f>P273-Q273</x:f>
        <x:v>0</x:v>
      </x:c>
      <x:c r="S273" s="38" t="n">
        <x:v>64740</x:v>
      </x:c>
      <x:c r="T273" s="38" t="n">
        <x:v>10920</x:v>
      </x:c>
      <x:c r="U273" s="38" t="n">
        <x:v>38</x:v>
      </x:c>
      <x:c r="V273" s="38" t="n">
        <x:v>0</x:v>
      </x:c>
      <x:c r="W273" s="38" t="n">
        <x:v>0</x:v>
      </x:c>
      <x:c r="X273" s="44" t="n">
        <x:v>0</x:v>
      </x:c>
      <x:c r="Y273" s="38" t="n">
        <x:v>195</x:v>
      </x:c>
      <x:c r="Z273" s="38" t="n">
        <x:v>7</x:v>
      </x:c>
      <x:c r="AA273" s="38" t="n">
        <x:v>10</x:v>
      </x:c>
      <x:c r="AB273" s="38" t="n">
        <x:v>5</x:v>
      </x:c>
      <x:c r="AC273" s="38" t="n">
        <x:v>5395</x:v>
      </x:c>
      <x:c r="AD273" s="38" t="n">
        <x:v>0</x:v>
      </x:c>
      <x:c r="AE273" s="38" t="n">
        <x:f>IF(B273=1,0,F273-Q272)</x:f>
        <x:v>0</x:v>
      </x:c>
    </x:row>
    <x:row r="274" ht="27" customHeight="1">
      <x:c r="A274" s="28" t="str">
        <x:v>Enthusiast F2P</x:v>
      </x:c>
      <x:c r="B274" s="38" t="n">
        <x:v>30</x:v>
      </x:c>
      <x:c r="C274" s="38" t="n">
        <x:v>26</x:v>
      </x:c>
      <x:c r="D274" s="38" t="n">
        <x:v>221579</x:v>
      </x:c>
      <x:c r="E274" s="38" t="n">
        <x:v>65</x:v>
      </x:c>
      <x:c r="F274" s="38" t="n">
        <x:v>208976</x:v>
      </x:c>
      <x:c r="G274" s="38" t="n">
        <x:v>80925</x:v>
      </x:c>
      <x:c r="H274" s="38" t="n">
        <x:v>16185</x:v>
      </x:c>
      <x:c r="I274" s="38" t="n">
        <x:v>2486</x:v>
      </x:c>
      <x:c r="J274" s="38" t="n">
        <x:v>0</x:v>
      </x:c>
      <x:c r="K274" s="38" t="n">
        <x:v>0</x:v>
      </x:c>
      <x:c r="L274" s="38" t="n">
        <x:v>0</x:v>
      </x:c>
      <x:c r="M274" s="38" t="n">
        <x:v>0</x:v>
      </x:c>
      <x:c r="N274" s="38" t="n">
        <x:v>0</x:v>
      </x:c>
      <x:c r="O274" s="38" t="n">
        <x:v>0</x:v>
      </x:c>
      <x:c r="P274" s="38" t="n">
        <x:f>F274+G274-H274+I274+J274+K274+L274-M274-N274-O274</x:f>
        <x:v>276202</x:v>
      </x:c>
      <x:c r="Q274" s="38" t="n">
        <x:v>276202</x:v>
      </x:c>
      <x:c r="R274" s="38" t="n">
        <x:f>P274-Q274</x:f>
        <x:v>0</x:v>
      </x:c>
      <x:c r="S274" s="38" t="n">
        <x:v>64740</x:v>
      </x:c>
      <x:c r="T274" s="38" t="n">
        <x:v>10920</x:v>
      </x:c>
      <x:c r="U274" s="38" t="n">
        <x:v>38</x:v>
      </x:c>
      <x:c r="V274" s="38" t="n">
        <x:v>0</x:v>
      </x:c>
      <x:c r="W274" s="38" t="n">
        <x:v>0</x:v>
      </x:c>
      <x:c r="X274" s="44" t="n">
        <x:v>0</x:v>
      </x:c>
      <x:c r="Y274" s="38" t="n">
        <x:v>195</x:v>
      </x:c>
      <x:c r="Z274" s="38" t="n">
        <x:v>7</x:v>
      </x:c>
      <x:c r="AA274" s="38" t="n">
        <x:v>10</x:v>
      </x:c>
      <x:c r="AB274" s="38" t="n">
        <x:v>5</x:v>
      </x:c>
      <x:c r="AC274" s="38" t="n">
        <x:v>5395</x:v>
      </x:c>
      <x:c r="AD274" s="38" t="n">
        <x:v>0</x:v>
      </x:c>
      <x:c r="AE274" s="38" t="n">
        <x:f>IF(B274=1,0,F274-Q273)</x:f>
        <x:v>0</x:v>
      </x:c>
    </x:row>
    <x:row r="275" ht="27" customHeight="1">
      <x:c r="A275" s="28" t="str">
        <x:v>Enthusiast F2P</x:v>
      </x:c>
      <x:c r="B275" s="38" t="n">
        <x:v>31</x:v>
      </x:c>
      <x:c r="C275" s="38" t="n">
        <x:v>27</x:v>
      </x:c>
      <x:c r="D275" s="38" t="n">
        <x:v>233279</x:v>
      </x:c>
      <x:c r="E275" s="38" t="n">
        <x:v>65</x:v>
      </x:c>
      <x:c r="F275" s="38" t="n">
        <x:v>276202</x:v>
      </x:c>
      <x:c r="G275" s="38" t="n">
        <x:v>76505</x:v>
      </x:c>
      <x:c r="H275" s="38" t="n">
        <x:v>14820</x:v>
      </x:c>
      <x:c r="I275" s="38" t="n">
        <x:v>2486</x:v>
      </x:c>
      <x:c r="J275" s="38" t="n">
        <x:v>635</x:v>
      </x:c>
      <x:c r="K275" s="38" t="n">
        <x:v>0</x:v>
      </x:c>
      <x:c r="L275" s="38" t="n">
        <x:v>0</x:v>
      </x:c>
      <x:c r="M275" s="38" t="n">
        <x:v>0</x:v>
      </x:c>
      <x:c r="N275" s="38" t="n">
        <x:v>330</x:v>
      </x:c>
      <x:c r="O275" s="38" t="n">
        <x:v>0</x:v>
      </x:c>
      <x:c r="P275" s="38" t="n">
        <x:f>F275+G275-H275+I275+J275+K275+L275-M275-N275-O275</x:f>
        <x:v>340678</x:v>
      </x:c>
      <x:c r="Q275" s="38" t="n">
        <x:v>340678</x:v>
      </x:c>
      <x:c r="R275" s="38" t="n">
        <x:f>P275-Q275</x:f>
        <x:v>0</x:v>
      </x:c>
      <x:c r="S275" s="38" t="n">
        <x:v>61230</x:v>
      </x:c>
      <x:c r="T275" s="38" t="n">
        <x:v>11700</x:v>
      </x:c>
      <x:c r="U275" s="38" t="n">
        <x:v>38</x:v>
      </x:c>
      <x:c r="V275" s="38" t="n">
        <x:v>0</x:v>
      </x:c>
      <x:c r="W275" s="38" t="n">
        <x:v>0</x:v>
      </x:c>
      <x:c r="X275" s="44" t="n">
        <x:v>0</x:v>
      </x:c>
      <x:c r="Y275" s="38" t="n">
        <x:v>195</x:v>
      </x:c>
      <x:c r="Z275" s="38" t="n">
        <x:v>7</x:v>
      </x:c>
      <x:c r="AA275" s="38" t="n">
        <x:v>11</x:v>
      </x:c>
      <x:c r="AB275" s="38" t="n">
        <x:v>5</x:v>
      </x:c>
      <x:c r="AC275" s="38" t="n">
        <x:v>4940</x:v>
      </x:c>
      <x:c r="AD275" s="38" t="n">
        <x:v>0</x:v>
      </x:c>
      <x:c r="AE275" s="38" t="n">
        <x:f>IF(B275=1,0,F275-Q274)</x:f>
        <x:v>0</x:v>
      </x:c>
    </x:row>
    <x:row r="276" ht="27" customHeight="1">
      <x:c r="A276" s="28" t="str">
        <x:v>Enthusiast F2P</x:v>
      </x:c>
      <x:c r="B276" s="38" t="n">
        <x:v>32</x:v>
      </x:c>
      <x:c r="C276" s="38" t="n">
        <x:v>27</x:v>
      </x:c>
      <x:c r="D276" s="38" t="n">
        <x:v>245375</x:v>
      </x:c>
      <x:c r="E276" s="38" t="n">
        <x:v>65</x:v>
      </x:c>
      <x:c r="F276" s="38" t="n">
        <x:v>340678</x:v>
      </x:c>
      <x:c r="G276" s="38" t="n">
        <x:v>74295</x:v>
      </x:c>
      <x:c r="H276" s="38" t="n">
        <x:v>14820</x:v>
      </x:c>
      <x:c r="I276" s="38" t="n">
        <x:v>2539</x:v>
      </x:c>
      <x:c r="J276" s="38" t="n">
        <x:v>0</x:v>
      </x:c>
      <x:c r="K276" s="38" t="n">
        <x:v>0</x:v>
      </x:c>
      <x:c r="L276" s="38" t="n">
        <x:v>0</x:v>
      </x:c>
      <x:c r="M276" s="38" t="n">
        <x:v>0</x:v>
      </x:c>
      <x:c r="N276" s="38" t="n">
        <x:v>0</x:v>
      </x:c>
      <x:c r="O276" s="38" t="n">
        <x:v>0</x:v>
      </x:c>
      <x:c r="P276" s="38" t="n">
        <x:f>F276+G276-H276+I276+J276+K276+L276-M276-N276-O276</x:f>
        <x:v>402692</x:v>
      </x:c>
      <x:c r="Q276" s="38" t="n">
        <x:v>402692</x:v>
      </x:c>
      <x:c r="R276" s="38" t="n">
        <x:f>P276-Q276</x:f>
        <x:v>0</x:v>
      </x:c>
      <x:c r="S276" s="38" t="n">
        <x:v>59475</x:v>
      </x:c>
      <x:c r="T276" s="38" t="n">
        <x:v>12096</x:v>
      </x:c>
      <x:c r="U276" s="38" t="n">
        <x:v>38</x:v>
      </x:c>
      <x:c r="V276" s="38" t="n">
        <x:v>0</x:v>
      </x:c>
      <x:c r="W276" s="38" t="n">
        <x:v>0</x:v>
      </x:c>
      <x:c r="X276" s="44" t="n">
        <x:v>0</x:v>
      </x:c>
      <x:c r="Y276" s="38" t="n">
        <x:v>195</x:v>
      </x:c>
      <x:c r="Z276" s="38" t="n">
        <x:v>7</x:v>
      </x:c>
      <x:c r="AA276" s="38" t="n">
        <x:v>11</x:v>
      </x:c>
      <x:c r="AB276" s="38" t="n">
        <x:v>5</x:v>
      </x:c>
      <x:c r="AC276" s="38" t="n">
        <x:v>4940</x:v>
      </x:c>
      <x:c r="AD276" s="38" t="n">
        <x:v>0</x:v>
      </x:c>
      <x:c r="AE276" s="38" t="n">
        <x:f>IF(B276=1,0,F276-Q275)</x:f>
        <x:v>0</x:v>
      </x:c>
    </x:row>
    <x:row r="277" ht="27" customHeight="1">
      <x:c r="A277" s="28" t="str">
        <x:v>Enthusiast F2P</x:v>
      </x:c>
      <x:c r="B277" s="38" t="n">
        <x:v>33</x:v>
      </x:c>
      <x:c r="C277" s="38" t="n">
        <x:v>28</x:v>
      </x:c>
      <x:c r="D277" s="38" t="n">
        <x:v>257351</x:v>
      </x:c>
      <x:c r="E277" s="38" t="n">
        <x:v>70</x:v>
      </x:c>
      <x:c r="F277" s="38" t="n">
        <x:v>402692</x:v>
      </x:c>
      <x:c r="G277" s="38" t="n">
        <x:v>85385</x:v>
      </x:c>
      <x:c r="H277" s="38" t="n">
        <x:v>18270</x:v>
      </x:c>
      <x:c r="I277" s="38" t="n">
        <x:v>2539</x:v>
      </x:c>
      <x:c r="J277" s="38" t="n">
        <x:v>700</x:v>
      </x:c>
      <x:c r="K277" s="38" t="n">
        <x:v>0</x:v>
      </x:c>
      <x:c r="L277" s="38" t="n">
        <x:v>0</x:v>
      </x:c>
      <x:c r="M277" s="38" t="n">
        <x:v>350000</x:v>
      </x:c>
      <x:c r="N277" s="38" t="n">
        <x:v>0</x:v>
      </x:c>
      <x:c r="O277" s="38" t="n">
        <x:v>0</x:v>
      </x:c>
      <x:c r="P277" s="38" t="n">
        <x:f>F277+G277-H277+I277+J277+K277+L277-M277-N277-O277</x:f>
        <x:v>123046</x:v>
      </x:c>
      <x:c r="Q277" s="38" t="n">
        <x:v>123046</x:v>
      </x:c>
      <x:c r="R277" s="38" t="n">
        <x:f>P277-Q277</x:f>
        <x:v>0</x:v>
      </x:c>
      <x:c r="S277" s="38" t="n">
        <x:v>68265</x:v>
      </x:c>
      <x:c r="T277" s="38" t="n">
        <x:v>11976</x:v>
      </x:c>
      <x:c r="U277" s="38" t="n">
        <x:v>39</x:v>
      </x:c>
      <x:c r="V277" s="38" t="n">
        <x:v>1</x:v>
      </x:c>
      <x:c r="W277" s="38" t="n">
        <x:v>0</x:v>
      </x:c>
      <x:c r="X277" s="44" t="n">
        <x:v>0</x:v>
      </x:c>
      <x:c r="Y277" s="38" t="n">
        <x:v>205</x:v>
      </x:c>
      <x:c r="Z277" s="38" t="n">
        <x:v>7</x:v>
      </x:c>
      <x:c r="AA277" s="38" t="n">
        <x:v>11</x:v>
      </x:c>
      <x:c r="AB277" s="38" t="n">
        <x:v>5</x:v>
      </x:c>
      <x:c r="AC277" s="38" t="n">
        <x:v>6090</x:v>
      </x:c>
      <x:c r="AD277" s="38" t="n">
        <x:v>0</x:v>
      </x:c>
      <x:c r="AE277" s="38" t="n">
        <x:f>IF(B277=1,0,F277-Q276)</x:f>
        <x:v>0</x:v>
      </x:c>
    </x:row>
    <x:row r="278" ht="27" customHeight="1">
      <x:c r="A278" s="28" t="str">
        <x:v>Enthusiast F2P</x:v>
      </x:c>
      <x:c r="B278" s="38" t="n">
        <x:v>34</x:v>
      </x:c>
      <x:c r="C278" s="38" t="n">
        <x:v>28</x:v>
      </x:c>
      <x:c r="D278" s="38" t="n">
        <x:v>269334</x:v>
      </x:c>
      <x:c r="E278" s="38" t="n">
        <x:v>70</x:v>
      </x:c>
      <x:c r="F278" s="38" t="n">
        <x:v>123046</x:v>
      </x:c>
      <x:c r="G278" s="38" t="n">
        <x:v>90930</x:v>
      </x:c>
      <x:c r="H278" s="38" t="n">
        <x:v>18270</x:v>
      </x:c>
      <x:c r="I278" s="38" t="n">
        <x:v>2791</x:v>
      </x:c>
      <x:c r="J278" s="38" t="n">
        <x:v>0</x:v>
      </x:c>
      <x:c r="K278" s="38" t="n">
        <x:v>0</x:v>
      </x:c>
      <x:c r="L278" s="38" t="n">
        <x:v>0</x:v>
      </x:c>
      <x:c r="M278" s="38" t="n">
        <x:v>0</x:v>
      </x:c>
      <x:c r="N278" s="38" t="n">
        <x:v>330</x:v>
      </x:c>
      <x:c r="O278" s="38" t="n">
        <x:v>0</x:v>
      </x:c>
      <x:c r="P278" s="38" t="n">
        <x:f>F278+G278-H278+I278+J278+K278+L278-M278-N278-O278</x:f>
        <x:v>198167</x:v>
      </x:c>
      <x:c r="Q278" s="38" t="n">
        <x:v>198167</x:v>
      </x:c>
      <x:c r="R278" s="38" t="n">
        <x:f>P278-Q278</x:f>
        <x:v>0</x:v>
      </x:c>
      <x:c r="S278" s="38" t="n">
        <x:v>72660</x:v>
      </x:c>
      <x:c r="T278" s="38" t="n">
        <x:v>11983</x:v>
      </x:c>
      <x:c r="U278" s="38" t="n">
        <x:v>39</x:v>
      </x:c>
      <x:c r="V278" s="38" t="n">
        <x:v>0</x:v>
      </x:c>
      <x:c r="W278" s="38" t="n">
        <x:v>0</x:v>
      </x:c>
      <x:c r="X278" s="44" t="n">
        <x:v>0</x:v>
      </x:c>
      <x:c r="Y278" s="38" t="n">
        <x:v>210</x:v>
      </x:c>
      <x:c r="Z278" s="38" t="n">
        <x:v>7</x:v>
      </x:c>
      <x:c r="AA278" s="38" t="n">
        <x:v>12</x:v>
      </x:c>
      <x:c r="AB278" s="38" t="n">
        <x:v>5</x:v>
      </x:c>
      <x:c r="AC278" s="38" t="n">
        <x:v>6090</x:v>
      </x:c>
      <x:c r="AD278" s="38" t="n">
        <x:v>0</x:v>
      </x:c>
      <x:c r="AE278" s="38" t="n">
        <x:f>IF(B278=1,0,F278-Q277)</x:f>
        <x:v>0</x:v>
      </x:c>
    </x:row>
    <x:row r="279" ht="27" customHeight="1">
      <x:c r="A279" s="28" t="str">
        <x:v>Enthusiast F2P</x:v>
      </x:c>
      <x:c r="B279" s="38" t="n">
        <x:v>35</x:v>
      </x:c>
      <x:c r="C279" s="38" t="n">
        <x:v>29</x:v>
      </x:c>
      <x:c r="D279" s="38" t="n">
        <x:v>285217</x:v>
      </x:c>
      <x:c r="E279" s="38" t="n">
        <x:v>70</x:v>
      </x:c>
      <x:c r="F279" s="38" t="n">
        <x:v>198167</x:v>
      </x:c>
      <x:c r="G279" s="38" t="n">
        <x:v>91490</x:v>
      </x:c>
      <x:c r="H279" s="38" t="n">
        <x:v>18410</x:v>
      </x:c>
      <x:c r="I279" s="38" t="n">
        <x:v>15222</x:v>
      </x:c>
      <x:c r="J279" s="38" t="n">
        <x:v>710</x:v>
      </x:c>
      <x:c r="K279" s="38" t="n">
        <x:v>0</x:v>
      </x:c>
      <x:c r="L279" s="38" t="n">
        <x:v>0</x:v>
      </x:c>
      <x:c r="M279" s="38" t="n">
        <x:v>0</x:v>
      </x:c>
      <x:c r="N279" s="38" t="n">
        <x:v>0</x:v>
      </x:c>
      <x:c r="O279" s="38" t="n">
        <x:v>0</x:v>
      </x:c>
      <x:c r="P279" s="38" t="n">
        <x:f>F279+G279-H279+I279+J279+K279+L279-M279-N279-O279</x:f>
        <x:v>287179</x:v>
      </x:c>
      <x:c r="Q279" s="38" t="n">
        <x:v>287179</x:v>
      </x:c>
      <x:c r="R279" s="38" t="n">
        <x:f>P279-Q279</x:f>
        <x:v>0</x:v>
      </x:c>
      <x:c r="S279" s="38" t="n">
        <x:v>73150</x:v>
      </x:c>
      <x:c r="T279" s="38" t="n">
        <x:v>15883</x:v>
      </x:c>
      <x:c r="U279" s="38" t="n">
        <x:v>41</x:v>
      </x:c>
      <x:c r="V279" s="38" t="n">
        <x:v>2</x:v>
      </x:c>
      <x:c r="W279" s="38" t="n">
        <x:v>0</x:v>
      </x:c>
      <x:c r="X279" s="44" t="n">
        <x:v>0</x:v>
      </x:c>
      <x:c r="Y279" s="38" t="n">
        <x:v>210</x:v>
      </x:c>
      <x:c r="Z279" s="38" t="n">
        <x:v>7</x:v>
      </x:c>
      <x:c r="AA279" s="38" t="n">
        <x:v>12</x:v>
      </x:c>
      <x:c r="AB279" s="38" t="n">
        <x:v>5</x:v>
      </x:c>
      <x:c r="AC279" s="38" t="n">
        <x:v>6160</x:v>
      </x:c>
      <x:c r="AD279" s="38" t="n">
        <x:v>0</x:v>
      </x:c>
      <x:c r="AE279" s="38" t="n">
        <x:f>IF(B279=1,0,F279-Q278)</x:f>
        <x:v>0</x:v>
      </x:c>
    </x:row>
    <x:row r="280" ht="27" customHeight="1">
      <x:c r="A280" s="28" t="str">
        <x:v>Enthusiast F2P</x:v>
      </x:c>
      <x:c r="B280" s="38" t="n">
        <x:v>36</x:v>
      </x:c>
      <x:c r="C280" s="38" t="n">
        <x:v>29</x:v>
      </x:c>
      <x:c r="D280" s="38" t="n">
        <x:v>297207</x:v>
      </x:c>
      <x:c r="E280" s="38" t="n">
        <x:v>70</x:v>
      </x:c>
      <x:c r="F280" s="38" t="n">
        <x:v>287179</x:v>
      </x:c>
      <x:c r="G280" s="38" t="n">
        <x:v>92610</x:v>
      </x:c>
      <x:c r="H280" s="38" t="n">
        <x:v>18480</x:v>
      </x:c>
      <x:c r="I280" s="38" t="n">
        <x:v>2848</x:v>
      </x:c>
      <x:c r="J280" s="38" t="n">
        <x:v>0</x:v>
      </x:c>
      <x:c r="K280" s="38" t="n">
        <x:v>0</x:v>
      </x:c>
      <x:c r="L280" s="38" t="n">
        <x:v>0</x:v>
      </x:c>
      <x:c r="M280" s="38" t="n">
        <x:v>0</x:v>
      </x:c>
      <x:c r="N280" s="38" t="n">
        <x:v>0</x:v>
      </x:c>
      <x:c r="O280" s="38" t="n">
        <x:v>0</x:v>
      </x:c>
      <x:c r="P280" s="38" t="n">
        <x:f>F280+G280-H280+I280+J280+K280+L280-M280-N280-O280</x:f>
        <x:v>364157</x:v>
      </x:c>
      <x:c r="Q280" s="38" t="n">
        <x:v>364157</x:v>
      </x:c>
      <x:c r="R280" s="38" t="n">
        <x:f>P280-Q280</x:f>
        <x:v>0</x:v>
      </x:c>
      <x:c r="S280" s="38" t="n">
        <x:v>74130</x:v>
      </x:c>
      <x:c r="T280" s="38" t="n">
        <x:v>11990</x:v>
      </x:c>
      <x:c r="U280" s="38" t="n">
        <x:v>41</x:v>
      </x:c>
      <x:c r="V280" s="38" t="n">
        <x:v>0</x:v>
      </x:c>
      <x:c r="W280" s="38" t="n">
        <x:v>0</x:v>
      </x:c>
      <x:c r="X280" s="44" t="n">
        <x:v>0</x:v>
      </x:c>
      <x:c r="Y280" s="38" t="n">
        <x:v>210</x:v>
      </x:c>
      <x:c r="Z280" s="38" t="n">
        <x:v>7</x:v>
      </x:c>
      <x:c r="AA280" s="38" t="n">
        <x:v>12</x:v>
      </x:c>
      <x:c r="AB280" s="38" t="n">
        <x:v>5</x:v>
      </x:c>
      <x:c r="AC280" s="38" t="n">
        <x:v>6160</x:v>
      </x:c>
      <x:c r="AD280" s="38" t="n">
        <x:v>0</x:v>
      </x:c>
      <x:c r="AE280" s="38" t="n">
        <x:f>IF(B280=1,0,F280-Q279)</x:f>
        <x:v>0</x:v>
      </x:c>
    </x:row>
    <x:row r="281" ht="27" customHeight="1">
      <x:c r="A281" s="28" t="str">
        <x:v>Enthusiast F2P</x:v>
      </x:c>
      <x:c r="B281" s="38" t="n">
        <x:v>37</x:v>
      </x:c>
      <x:c r="C281" s="38" t="n">
        <x:v>29</x:v>
      </x:c>
      <x:c r="D281" s="38" t="n">
        <x:v>309197</x:v>
      </x:c>
      <x:c r="E281" s="38" t="n">
        <x:v>70</x:v>
      </x:c>
      <x:c r="F281" s="38" t="n">
        <x:v>364157</x:v>
      </x:c>
      <x:c r="G281" s="38" t="n">
        <x:v>92610</x:v>
      </x:c>
      <x:c r="H281" s="38" t="n">
        <x:v>18480</x:v>
      </x:c>
      <x:c r="I281" s="38" t="n">
        <x:v>2848</x:v>
      </x:c>
      <x:c r="J281" s="38" t="n">
        <x:v>0</x:v>
      </x:c>
      <x:c r="K281" s="38" t="n">
        <x:v>0</x:v>
      </x:c>
      <x:c r="L281" s="38" t="n">
        <x:v>0</x:v>
      </x:c>
      <x:c r="M281" s="38" t="n">
        <x:v>0</x:v>
      </x:c>
      <x:c r="N281" s="38" t="n">
        <x:v>570</x:v>
      </x:c>
      <x:c r="O281" s="38" t="n">
        <x:v>0</x:v>
      </x:c>
      <x:c r="P281" s="38" t="n">
        <x:f>F281+G281-H281+I281+J281+K281+L281-M281-N281-O281</x:f>
        <x:v>440565</x:v>
      </x:c>
      <x:c r="Q281" s="38" t="n">
        <x:v>440565</x:v>
      </x:c>
      <x:c r="R281" s="38" t="n">
        <x:f>P281-Q281</x:f>
        <x:v>0</x:v>
      </x:c>
      <x:c r="S281" s="38" t="n">
        <x:v>74130</x:v>
      </x:c>
      <x:c r="T281" s="38" t="n">
        <x:v>11990</x:v>
      </x:c>
      <x:c r="U281" s="38" t="n">
        <x:v>41</x:v>
      </x:c>
      <x:c r="V281" s="38" t="n">
        <x:v>0</x:v>
      </x:c>
      <x:c r="W281" s="38" t="n">
        <x:v>0</x:v>
      </x:c>
      <x:c r="X281" s="44" t="n">
        <x:v>0</x:v>
      </x:c>
      <x:c r="Y281" s="38" t="n">
        <x:v>210</x:v>
      </x:c>
      <x:c r="Z281" s="38" t="n">
        <x:v>7</x:v>
      </x:c>
      <x:c r="AA281" s="38" t="n">
        <x:v>13</x:v>
      </x:c>
      <x:c r="AB281" s="38" t="n">
        <x:v>5</x:v>
      </x:c>
      <x:c r="AC281" s="38" t="n">
        <x:v>6160</x:v>
      </x:c>
      <x:c r="AD281" s="38" t="n">
        <x:v>0</x:v>
      </x:c>
      <x:c r="AE281" s="38" t="n">
        <x:f>IF(B281=1,0,F281-Q280)</x:f>
        <x:v>0</x:v>
      </x:c>
    </x:row>
    <x:row r="282" ht="27" customHeight="1">
      <x:c r="A282" s="28" t="str">
        <x:v>Enthusiast F2P</x:v>
      </x:c>
      <x:c r="B282" s="38" t="n">
        <x:v>38</x:v>
      </x:c>
      <x:c r="C282" s="38" t="n">
        <x:v>30</x:v>
      </x:c>
      <x:c r="D282" s="38" t="n">
        <x:v>321867</x:v>
      </x:c>
      <x:c r="E282" s="38" t="n">
        <x:v>75</x:v>
      </x:c>
      <x:c r="F282" s="38" t="n">
        <x:v>440565</x:v>
      </x:c>
      <x:c r="G282" s="38" t="n">
        <x:v>98370</x:v>
      </x:c>
      <x:c r="H282" s="38" t="n">
        <x:v>20250</x:v>
      </x:c>
      <x:c r="I282" s="38" t="n">
        <x:v>2848</x:v>
      </x:c>
      <x:c r="J282" s="38" t="n">
        <x:v>780</x:v>
      </x:c>
      <x:c r="K282" s="38" t="n">
        <x:v>0</x:v>
      </x:c>
      <x:c r="L282" s="38" t="n">
        <x:v>0</x:v>
      </x:c>
      <x:c r="M282" s="38" t="n">
        <x:v>300000</x:v>
      </x:c>
      <x:c r="N282" s="38" t="n">
        <x:v>0</x:v>
      </x:c>
      <x:c r="O282" s="38" t="n">
        <x:v>129655</x:v>
      </x:c>
      <x:c r="P282" s="38" t="n">
        <x:f>F282+G282-H282+I282+J282+K282+L282-M282-N282-O282</x:f>
        <x:v>92658</x:v>
      </x:c>
      <x:c r="Q282" s="38" t="n">
        <x:v>92658</x:v>
      </x:c>
      <x:c r="R282" s="38" t="n">
        <x:f>P282-Q282</x:f>
        <x:v>0</x:v>
      </x:c>
      <x:c r="S282" s="38" t="n">
        <x:v>78710</x:v>
      </x:c>
      <x:c r="T282" s="38" t="n">
        <x:v>12670</x:v>
      </x:c>
      <x:c r="U282" s="38" t="n">
        <x:v>44</x:v>
      </x:c>
      <x:c r="V282" s="38" t="n">
        <x:v>3</x:v>
      </x:c>
      <x:c r="W282" s="38" t="n">
        <x:v>0</x:v>
      </x:c>
      <x:c r="X282" s="44" t="n">
        <x:v>0</x:v>
      </x:c>
      <x:c r="Y282" s="38" t="n">
        <x:v>220</x:v>
      </x:c>
      <x:c r="Z282" s="38" t="n">
        <x:v>7</x:v>
      </x:c>
      <x:c r="AA282" s="38" t="n">
        <x:v>13</x:v>
      </x:c>
      <x:c r="AB282" s="38" t="n">
        <x:v>6</x:v>
      </x:c>
      <x:c r="AC282" s="38" t="n">
        <x:v>6750</x:v>
      </x:c>
      <x:c r="AD282" s="38" t="n">
        <x:v>0</x:v>
      </x:c>
      <x:c r="AE282" s="38" t="n">
        <x:f>IF(B282=1,0,F282-Q281)</x:f>
        <x:v>0</x:v>
      </x:c>
    </x:row>
    <x:row r="283" ht="27" customHeight="1">
      <x:c r="A283" s="28" t="str">
        <x:v>Enthusiast F2P</x:v>
      </x:c>
      <x:c r="B283" s="38" t="n">
        <x:v>39</x:v>
      </x:c>
      <x:c r="C283" s="38" t="n">
        <x:v>30</x:v>
      </x:c>
      <x:c r="D283" s="38" t="n">
        <x:v>334946</x:v>
      </x:c>
      <x:c r="E283" s="38" t="n">
        <x:v>75</x:v>
      </x:c>
      <x:c r="F283" s="38" t="n">
        <x:v>92658</x:v>
      </x:c>
      <x:c r="G283" s="38" t="n">
        <x:v>101250</x:v>
      </x:c>
      <x:c r="H283" s="38" t="n">
        <x:v>20250</x:v>
      </x:c>
      <x:c r="I283" s="38" t="n">
        <x:v>3112</x:v>
      </x:c>
      <x:c r="J283" s="38" t="n">
        <x:v>0</x:v>
      </x:c>
      <x:c r="K283" s="38" t="n">
        <x:v>0</x:v>
      </x:c>
      <x:c r="L283" s="38" t="n">
        <x:v>0</x:v>
      </x:c>
      <x:c r="M283" s="38" t="n">
        <x:v>0</x:v>
      </x:c>
      <x:c r="N283" s="38" t="n">
        <x:v>0</x:v>
      </x:c>
      <x:c r="O283" s="38" t="n">
        <x:v>0</x:v>
      </x:c>
      <x:c r="P283" s="38" t="n">
        <x:f>F283+G283-H283+I283+J283+K283+L283-M283-N283-O283</x:f>
        <x:v>176770</x:v>
      </x:c>
      <x:c r="Q283" s="38" t="n">
        <x:v>176770</x:v>
      </x:c>
      <x:c r="R283" s="38" t="n">
        <x:f>P283-Q283</x:f>
        <x:v>0</x:v>
      </x:c>
      <x:c r="S283" s="38" t="n">
        <x:v>81000</x:v>
      </x:c>
      <x:c r="T283" s="38" t="n">
        <x:v>13079</x:v>
      </x:c>
      <x:c r="U283" s="38" t="n">
        <x:v>44</x:v>
      </x:c>
      <x:c r="V283" s="38" t="n">
        <x:v>0</x:v>
      </x:c>
      <x:c r="W283" s="38" t="n">
        <x:v>0</x:v>
      </x:c>
      <x:c r="X283" s="44" t="n">
        <x:v>0</x:v>
      </x:c>
      <x:c r="Y283" s="38" t="n">
        <x:v>225</x:v>
      </x:c>
      <x:c r="Z283" s="38" t="n">
        <x:v>7</x:v>
      </x:c>
      <x:c r="AA283" s="38" t="n">
        <x:v>13</x:v>
      </x:c>
      <x:c r="AB283" s="38" t="n">
        <x:v>6</x:v>
      </x:c>
      <x:c r="AC283" s="38" t="n">
        <x:v>6750</x:v>
      </x:c>
      <x:c r="AD283" s="38" t="n">
        <x:v>0</x:v>
      </x:c>
      <x:c r="AE283" s="38" t="n">
        <x:f>IF(B283=1,0,F283-Q282)</x:f>
        <x:v>0</x:v>
      </x:c>
    </x:row>
    <x:row r="284" ht="27" customHeight="1">
      <x:c r="A284" s="28" t="str">
        <x:v>Enthusiast F2P</x:v>
      </x:c>
      <x:c r="B284" s="38" t="n">
        <x:v>40</x:v>
      </x:c>
      <x:c r="C284" s="38" t="n">
        <x:v>31</x:v>
      </x:c>
      <x:c r="D284" s="38" t="n">
        <x:v>348025</x:v>
      </x:c>
      <x:c r="E284" s="38" t="n">
        <x:v>75</x:v>
      </x:c>
      <x:c r="F284" s="38" t="n">
        <x:v>176770</x:v>
      </x:c>
      <x:c r="G284" s="38" t="n">
        <x:v>101925</x:v>
      </x:c>
      <x:c r="H284" s="38" t="n">
        <x:v>20550</x:v>
      </x:c>
      <x:c r="I284" s="38" t="n">
        <x:v>3112</x:v>
      </x:c>
      <x:c r="J284" s="38" t="n">
        <x:v>795</x:v>
      </x:c>
      <x:c r="K284" s="38" t="n">
        <x:v>0</x:v>
      </x:c>
      <x:c r="L284" s="38" t="n">
        <x:v>0</x:v>
      </x:c>
      <x:c r="M284" s="38" t="n">
        <x:v>0</x:v>
      </x:c>
      <x:c r="N284" s="38" t="n">
        <x:v>570</x:v>
      </x:c>
      <x:c r="O284" s="38" t="n">
        <x:v>0</x:v>
      </x:c>
      <x:c r="P284" s="38" t="n">
        <x:f>F284+G284-H284+I284+J284+K284+L284-M284-N284-O284</x:f>
        <x:v>261482</x:v>
      </x:c>
      <x:c r="Q284" s="38" t="n">
        <x:v>261482</x:v>
      </x:c>
      <x:c r="R284" s="38" t="n">
        <x:f>P284-Q284</x:f>
        <x:v>0</x:v>
      </x:c>
      <x:c r="S284" s="38" t="n">
        <x:v>81525</x:v>
      </x:c>
      <x:c r="T284" s="38" t="n">
        <x:v>13079</x:v>
      </x:c>
      <x:c r="U284" s="38" t="n">
        <x:v>44</x:v>
      </x:c>
      <x:c r="V284" s="38" t="n">
        <x:v>0</x:v>
      </x:c>
      <x:c r="W284" s="38" t="n">
        <x:v>0</x:v>
      </x:c>
      <x:c r="X284" s="44" t="n">
        <x:v>0</x:v>
      </x:c>
      <x:c r="Y284" s="38" t="n">
        <x:v>225</x:v>
      </x:c>
      <x:c r="Z284" s="38" t="n">
        <x:v>7</x:v>
      </x:c>
      <x:c r="AA284" s="38" t="n">
        <x:v>14</x:v>
      </x:c>
      <x:c r="AB284" s="38" t="n">
        <x:v>6</x:v>
      </x:c>
      <x:c r="AC284" s="38" t="n">
        <x:v>6900</x:v>
      </x:c>
      <x:c r="AD284" s="38" t="n">
        <x:v>0</x:v>
      </x:c>
      <x:c r="AE284" s="38" t="n">
        <x:f>IF(B284=1,0,F284-Q283)</x:f>
        <x:v>0</x:v>
      </x:c>
    </x:row>
    <x:row r="285" ht="27" customHeight="1">
      <x:c r="A285" s="28" t="str">
        <x:v>Enthusiast F2P</x:v>
      </x:c>
      <x:c r="B285" s="38" t="n">
        <x:v>41</x:v>
      </x:c>
      <x:c r="C285" s="38" t="n">
        <x:v>31</x:v>
      </x:c>
      <x:c r="D285" s="38" t="n">
        <x:v>361111</x:v>
      </x:c>
      <x:c r="E285" s="38" t="n">
        <x:v>75</x:v>
      </x:c>
      <x:c r="F285" s="38" t="n">
        <x:v>261482</x:v>
      </x:c>
      <x:c r="G285" s="38" t="n">
        <x:v>103275</x:v>
      </x:c>
      <x:c r="H285" s="38" t="n">
        <x:v>20700</x:v>
      </x:c>
      <x:c r="I285" s="38" t="n">
        <x:v>3172</x:v>
      </x:c>
      <x:c r="J285" s="38" t="n">
        <x:v>0</x:v>
      </x:c>
      <x:c r="K285" s="38" t="n">
        <x:v>0</x:v>
      </x:c>
      <x:c r="L285" s="38" t="n">
        <x:v>0</x:v>
      </x:c>
      <x:c r="M285" s="38" t="n">
        <x:v>0</x:v>
      </x:c>
      <x:c r="N285" s="38" t="n">
        <x:v>0</x:v>
      </x:c>
      <x:c r="O285" s="38" t="n">
        <x:v>0</x:v>
      </x:c>
      <x:c r="P285" s="38" t="n">
        <x:f>F285+G285-H285+I285+J285+K285+L285-M285-N285-O285</x:f>
        <x:v>347229</x:v>
      </x:c>
      <x:c r="Q285" s="38" t="n">
        <x:v>347229</x:v>
      </x:c>
      <x:c r="R285" s="38" t="n">
        <x:f>P285-Q285</x:f>
        <x:v>0</x:v>
      </x:c>
      <x:c r="S285" s="38" t="n">
        <x:v>82575</x:v>
      </x:c>
      <x:c r="T285" s="38" t="n">
        <x:v>13086</x:v>
      </x:c>
      <x:c r="U285" s="38" t="n">
        <x:v>44</x:v>
      </x:c>
      <x:c r="V285" s="38" t="n">
        <x:v>0</x:v>
      </x:c>
      <x:c r="W285" s="38" t="n">
        <x:v>0</x:v>
      </x:c>
      <x:c r="X285" s="44" t="n">
        <x:v>0</x:v>
      </x:c>
      <x:c r="Y285" s="38" t="n">
        <x:v>225</x:v>
      </x:c>
      <x:c r="Z285" s="38" t="n">
        <x:v>7</x:v>
      </x:c>
      <x:c r="AA285" s="38" t="n">
        <x:v>14</x:v>
      </x:c>
      <x:c r="AB285" s="38" t="n">
        <x:v>6</x:v>
      </x:c>
      <x:c r="AC285" s="38" t="n">
        <x:v>6900</x:v>
      </x:c>
      <x:c r="AD285" s="38" t="n">
        <x:v>0</x:v>
      </x:c>
      <x:c r="AE285" s="38" t="n">
        <x:f>IF(B285=1,0,F285-Q284)</x:f>
        <x:v>0</x:v>
      </x:c>
    </x:row>
    <x:row r="286" ht="27" customHeight="1">
      <x:c r="A286" s="28" t="str">
        <x:v>Enthusiast F2P</x:v>
      </x:c>
      <x:c r="B286" s="38" t="n">
        <x:v>42</x:v>
      </x:c>
      <x:c r="C286" s="38" t="n">
        <x:v>32</x:v>
      </x:c>
      <x:c r="D286" s="38" t="n">
        <x:v>378498</x:v>
      </x:c>
      <x:c r="E286" s="38" t="n">
        <x:v>75</x:v>
      </x:c>
      <x:c r="F286" s="38" t="n">
        <x:v>347229</x:v>
      </x:c>
      <x:c r="G286" s="38" t="n">
        <x:v>103950</x:v>
      </x:c>
      <x:c r="H286" s="38" t="n">
        <x:v>21000</x:v>
      </x:c>
      <x:c r="I286" s="38" t="n">
        <x:v>17410</x:v>
      </x:c>
      <x:c r="J286" s="38" t="n">
        <x:v>810</x:v>
      </x:c>
      <x:c r="K286" s="38" t="n">
        <x:v>0</x:v>
      </x:c>
      <x:c r="L286" s="38" t="n">
        <x:v>0</x:v>
      </x:c>
      <x:c r="M286" s="38" t="n">
        <x:v>0</x:v>
      </x:c>
      <x:c r="N286" s="38" t="n">
        <x:v>0</x:v>
      </x:c>
      <x:c r="O286" s="38" t="n">
        <x:v>0</x:v>
      </x:c>
      <x:c r="P286" s="38" t="n">
        <x:f>F286+G286-H286+I286+J286+K286+L286-M286-N286-O286</x:f>
        <x:v>448399</x:v>
      </x:c>
      <x:c r="Q286" s="38" t="n">
        <x:v>448399</x:v>
      </x:c>
      <x:c r="R286" s="38" t="n">
        <x:f>P286-Q286</x:f>
        <x:v>0</x:v>
      </x:c>
      <x:c r="S286" s="38" t="n">
        <x:v>83100</x:v>
      </x:c>
      <x:c r="T286" s="38" t="n">
        <x:v>17387</x:v>
      </x:c>
      <x:c r="U286" s="38" t="n">
        <x:v>47</x:v>
      </x:c>
      <x:c r="V286" s="38" t="n">
        <x:v>3</x:v>
      </x:c>
      <x:c r="W286" s="38" t="n">
        <x:v>0</x:v>
      </x:c>
      <x:c r="X286" s="44" t="n">
        <x:v>0</x:v>
      </x:c>
      <x:c r="Y286" s="38" t="n">
        <x:v>225</x:v>
      </x:c>
      <x:c r="Z286" s="38" t="n">
        <x:v>7</x:v>
      </x:c>
      <x:c r="AA286" s="38" t="n">
        <x:v>14</x:v>
      </x:c>
      <x:c r="AB286" s="38" t="n">
        <x:v>6</x:v>
      </x:c>
      <x:c r="AC286" s="38" t="n">
        <x:v>7050</x:v>
      </x:c>
      <x:c r="AD286" s="38" t="n">
        <x:v>0</x:v>
      </x:c>
      <x:c r="AE286" s="38" t="n">
        <x:f>IF(B286=1,0,F286-Q285)</x:f>
        <x:v>0</x:v>
      </x:c>
    </x:row>
    <x:row r="287" ht="27" customHeight="1">
      <x:c r="A287" s="28" t="str">
        <x:v>Enthusiast F2P</x:v>
      </x:c>
      <x:c r="B287" s="38" t="n">
        <x:v>43</x:v>
      </x:c>
      <x:c r="C287" s="38" t="n">
        <x:v>32</x:v>
      </x:c>
      <x:c r="D287" s="38" t="n">
        <x:v>391591</x:v>
      </x:c>
      <x:c r="E287" s="38" t="n">
        <x:v>75</x:v>
      </x:c>
      <x:c r="F287" s="38" t="n">
        <x:v>448399</x:v>
      </x:c>
      <x:c r="G287" s="38" t="n">
        <x:v>105300</x:v>
      </x:c>
      <x:c r="H287" s="38" t="n">
        <x:v>21150</x:v>
      </x:c>
      <x:c r="I287" s="38" t="n">
        <x:v>3233</x:v>
      </x:c>
      <x:c r="J287" s="38" t="n">
        <x:v>0</x:v>
      </x:c>
      <x:c r="K287" s="38" t="n">
        <x:v>0</x:v>
      </x:c>
      <x:c r="L287" s="38" t="n">
        <x:v>0</x:v>
      </x:c>
      <x:c r="M287" s="38" t="n">
        <x:v>0</x:v>
      </x:c>
      <x:c r="N287" s="38" t="n">
        <x:v>905</x:v>
      </x:c>
      <x:c r="O287" s="38" t="n">
        <x:v>0</x:v>
      </x:c>
      <x:c r="P287" s="38" t="n">
        <x:f>F287+G287-H287+I287+J287+K287+L287-M287-N287-O287</x:f>
        <x:v>534877</x:v>
      </x:c>
      <x:c r="Q287" s="38" t="n">
        <x:v>534877</x:v>
      </x:c>
      <x:c r="R287" s="38" t="n">
        <x:f>P287-Q287</x:f>
        <x:v>0</x:v>
      </x:c>
      <x:c r="S287" s="38" t="n">
        <x:v>84150</x:v>
      </x:c>
      <x:c r="T287" s="38" t="n">
        <x:v>13093</x:v>
      </x:c>
      <x:c r="U287" s="38" t="n">
        <x:v>47</x:v>
      </x:c>
      <x:c r="V287" s="38" t="n">
        <x:v>0</x:v>
      </x:c>
      <x:c r="W287" s="38" t="n">
        <x:v>0</x:v>
      </x:c>
      <x:c r="X287" s="44" t="n">
        <x:v>0</x:v>
      </x:c>
      <x:c r="Y287" s="38" t="n">
        <x:v>225</x:v>
      </x:c>
      <x:c r="Z287" s="38" t="n">
        <x:v>7</x:v>
      </x:c>
      <x:c r="AA287" s="38" t="n">
        <x:v>15</x:v>
      </x:c>
      <x:c r="AB287" s="38" t="n">
        <x:v>6</x:v>
      </x:c>
      <x:c r="AC287" s="38" t="n">
        <x:v>7050</x:v>
      </x:c>
      <x:c r="AD287" s="38" t="n">
        <x:v>0</x:v>
      </x:c>
      <x:c r="AE287" s="38" t="n">
        <x:f>IF(B287=1,0,F287-Q286)</x:f>
        <x:v>0</x:v>
      </x:c>
    </x:row>
    <x:row r="288" ht="27" customHeight="1">
      <x:c r="A288" s="28" t="str">
        <x:v>Enthusiast F2P</x:v>
      </x:c>
      <x:c r="B288" s="38" t="n">
        <x:v>44</x:v>
      </x:c>
      <x:c r="C288" s="38" t="n">
        <x:v>33</x:v>
      </x:c>
      <x:c r="D288" s="38" t="n">
        <x:v>404684</x:v>
      </x:c>
      <x:c r="E288" s="38" t="n">
        <x:v>75</x:v>
      </x:c>
      <x:c r="F288" s="38" t="n">
        <x:v>534877</x:v>
      </x:c>
      <x:c r="G288" s="38" t="n">
        <x:v>105300</x:v>
      </x:c>
      <x:c r="H288" s="38" t="n">
        <x:v>21225</x:v>
      </x:c>
      <x:c r="I288" s="38" t="n">
        <x:v>3233</x:v>
      </x:c>
      <x:c r="J288" s="38" t="n">
        <x:v>825</x:v>
      </x:c>
      <x:c r="K288" s="38" t="n">
        <x:v>0</x:v>
      </x:c>
      <x:c r="L288" s="38" t="n">
        <x:v>0</x:v>
      </x:c>
      <x:c r="M288" s="38" t="n">
        <x:v>0</x:v>
      </x:c>
      <x:c r="N288" s="38" t="n">
        <x:v>0</x:v>
      </x:c>
      <x:c r="O288" s="38" t="n">
        <x:v>0</x:v>
      </x:c>
      <x:c r="P288" s="38" t="n">
        <x:f>F288+G288-H288+I288+J288+K288+L288-M288-N288-O288</x:f>
        <x:v>623010</x:v>
      </x:c>
      <x:c r="Q288" s="38" t="n">
        <x:v>623010</x:v>
      </x:c>
      <x:c r="R288" s="38" t="n">
        <x:f>P288-Q288</x:f>
        <x:v>0</x:v>
      </x:c>
      <x:c r="S288" s="38" t="n">
        <x:v>84150</x:v>
      </x:c>
      <x:c r="T288" s="38" t="n">
        <x:v>13093</x:v>
      </x:c>
      <x:c r="U288" s="38" t="n">
        <x:v>47</x:v>
      </x:c>
      <x:c r="V288" s="38" t="n">
        <x:v>0</x:v>
      </x:c>
      <x:c r="W288" s="38" t="n">
        <x:v>0</x:v>
      </x:c>
      <x:c r="X288" s="44" t="n">
        <x:v>0</x:v>
      </x:c>
      <x:c r="Y288" s="38" t="n">
        <x:v>225</x:v>
      </x:c>
      <x:c r="Z288" s="38" t="n">
        <x:v>7</x:v>
      </x:c>
      <x:c r="AA288" s="38" t="n">
        <x:v>15</x:v>
      </x:c>
      <x:c r="AB288" s="38" t="n">
        <x:v>6</x:v>
      </x:c>
      <x:c r="AC288" s="38" t="n">
        <x:v>7125</x:v>
      </x:c>
      <x:c r="AD288" s="38" t="n">
        <x:v>0</x:v>
      </x:c>
      <x:c r="AE288" s="38" t="n">
        <x:f>IF(B288=1,0,F288-Q287)</x:f>
        <x:v>0</x:v>
      </x:c>
    </x:row>
    <x:row r="289" ht="27" customHeight="1">
      <x:c r="A289" s="28" t="str">
        <x:v>Enthusiast F2P</x:v>
      </x:c>
      <x:c r="B289" s="38" t="n">
        <x:v>45</x:v>
      </x:c>
      <x:c r="C289" s="38" t="n">
        <x:v>33</x:v>
      </x:c>
      <x:c r="D289" s="38" t="n">
        <x:v>418009</x:v>
      </x:c>
      <x:c r="E289" s="38" t="n">
        <x:v>75</x:v>
      </x:c>
      <x:c r="F289" s="38" t="n">
        <x:v>623010</x:v>
      </x:c>
      <x:c r="G289" s="38" t="n">
        <x:v>107100</x:v>
      </x:c>
      <x:c r="H289" s="38" t="n">
        <x:v>21375</x:v>
      </x:c>
      <x:c r="I289" s="38" t="n">
        <x:v>3294</x:v>
      </x:c>
      <x:c r="J289" s="38" t="n">
        <x:v>0</x:v>
      </x:c>
      <x:c r="K289" s="38" t="n">
        <x:v>0</x:v>
      </x:c>
      <x:c r="L289" s="38" t="n">
        <x:v>0</x:v>
      </x:c>
      <x:c r="M289" s="38" t="n">
        <x:v>0</x:v>
      </x:c>
      <x:c r="N289" s="38" t="n">
        <x:v>0</x:v>
      </x:c>
      <x:c r="O289" s="38" t="n">
        <x:v>0</x:v>
      </x:c>
      <x:c r="P289" s="38" t="n">
        <x:f>F289+G289-H289+I289+J289+K289+L289-M289-N289-O289</x:f>
        <x:v>712029</x:v>
      </x:c>
      <x:c r="Q289" s="38" t="n">
        <x:v>712029</x:v>
      </x:c>
      <x:c r="R289" s="38" t="n">
        <x:f>P289-Q289</x:f>
        <x:v>0</x:v>
      </x:c>
      <x:c r="S289" s="38" t="n">
        <x:v>85725</x:v>
      </x:c>
      <x:c r="T289" s="38" t="n">
        <x:v>13325</x:v>
      </x:c>
      <x:c r="U289" s="38" t="n">
        <x:v>47</x:v>
      </x:c>
      <x:c r="V289" s="38" t="n">
        <x:v>0</x:v>
      </x:c>
      <x:c r="W289" s="38" t="n">
        <x:v>0</x:v>
      </x:c>
      <x:c r="X289" s="44" t="n">
        <x:v>0</x:v>
      </x:c>
      <x:c r="Y289" s="38" t="n">
        <x:v>225</x:v>
      </x:c>
      <x:c r="Z289" s="38" t="n">
        <x:v>7</x:v>
      </x:c>
      <x:c r="AA289" s="38" t="n">
        <x:v>15</x:v>
      </x:c>
      <x:c r="AB289" s="38" t="n">
        <x:v>6</x:v>
      </x:c>
      <x:c r="AC289" s="38" t="n">
        <x:v>7125</x:v>
      </x:c>
      <x:c r="AD289" s="38" t="n">
        <x:v>0</x:v>
      </x:c>
      <x:c r="AE289" s="38" t="n">
        <x:f>IF(B289=1,0,F289-Q288)</x:f>
        <x:v>0</x:v>
      </x:c>
    </x:row>
    <x:row r="290" ht="27" customHeight="1">
      <x:c r="A290" s="28" t="str">
        <x:v>Enthusiast F2P</x:v>
      </x:c>
      <x:c r="B290" s="38" t="n">
        <x:v>46</x:v>
      </x:c>
      <x:c r="C290" s="38" t="n">
        <x:v>33</x:v>
      </x:c>
      <x:c r="D290" s="38" t="n">
        <x:v>431334</x:v>
      </x:c>
      <x:c r="E290" s="38" t="n">
        <x:v>75</x:v>
      </x:c>
      <x:c r="F290" s="38" t="n">
        <x:v>712029</x:v>
      </x:c>
      <x:c r="G290" s="38" t="n">
        <x:v>107100</x:v>
      </x:c>
      <x:c r="H290" s="38" t="n">
        <x:v>21375</x:v>
      </x:c>
      <x:c r="I290" s="38" t="n">
        <x:v>3294</x:v>
      </x:c>
      <x:c r="J290" s="38" t="n">
        <x:v>0</x:v>
      </x:c>
      <x:c r="K290" s="38" t="n">
        <x:v>0</x:v>
      </x:c>
      <x:c r="L290" s="38" t="n">
        <x:v>0</x:v>
      </x:c>
      <x:c r="M290" s="38" t="n">
        <x:v>0</x:v>
      </x:c>
      <x:c r="N290" s="38" t="n">
        <x:v>1700</x:v>
      </x:c>
      <x:c r="O290" s="38" t="n">
        <x:v>0</x:v>
      </x:c>
      <x:c r="P290" s="38" t="n">
        <x:f>F290+G290-H290+I290+J290+K290+L290-M290-N290-O290</x:f>
        <x:v>799348</x:v>
      </x:c>
      <x:c r="Q290" s="38" t="n">
        <x:v>799348</x:v>
      </x:c>
      <x:c r="R290" s="38" t="n">
        <x:f>P290-Q290</x:f>
        <x:v>0</x:v>
      </x:c>
      <x:c r="S290" s="38" t="n">
        <x:v>85725</x:v>
      </x:c>
      <x:c r="T290" s="38" t="n">
        <x:v>13325</x:v>
      </x:c>
      <x:c r="U290" s="38" t="n">
        <x:v>47</x:v>
      </x:c>
      <x:c r="V290" s="38" t="n">
        <x:v>0</x:v>
      </x:c>
      <x:c r="W290" s="38" t="n">
        <x:v>0</x:v>
      </x:c>
      <x:c r="X290" s="44" t="n">
        <x:v>0</x:v>
      </x:c>
      <x:c r="Y290" s="38" t="n">
        <x:v>225</x:v>
      </x:c>
      <x:c r="Z290" s="38" t="n">
        <x:v>7</x:v>
      </x:c>
      <x:c r="AA290" s="38" t="n">
        <x:v>16</x:v>
      </x:c>
      <x:c r="AB290" s="38" t="n">
        <x:v>6</x:v>
      </x:c>
      <x:c r="AC290" s="38" t="n">
        <x:v>7125</x:v>
      </x:c>
      <x:c r="AD290" s="38" t="n">
        <x:v>0</x:v>
      </x:c>
      <x:c r="AE290" s="38" t="n">
        <x:f>IF(B290=1,0,F290-Q289)</x:f>
        <x:v>0</x:v>
      </x:c>
    </x:row>
    <x:row r="291" ht="27" customHeight="1">
      <x:c r="A291" s="28" t="str">
        <x:v>Enthusiast F2P</x:v>
      </x:c>
      <x:c r="B291" s="38" t="n">
        <x:v>47</x:v>
      </x:c>
      <x:c r="C291" s="38" t="n">
        <x:v>34</x:v>
      </x:c>
      <x:c r="D291" s="38" t="n">
        <x:v>445209</x:v>
      </x:c>
      <x:c r="E291" s="38" t="n">
        <x:v>85</x:v>
      </x:c>
      <x:c r="F291" s="38" t="n">
        <x:v>799348</x:v>
      </x:c>
      <x:c r="G291" s="38" t="n">
        <x:v>112625</x:v>
      </x:c>
      <x:c r="H291" s="38" t="n">
        <x:v>23615</x:v>
      </x:c>
      <x:c r="I291" s="38" t="n">
        <x:v>3294</x:v>
      </x:c>
      <x:c r="J291" s="38" t="n">
        <x:v>950</x:v>
      </x:c>
      <x:c r="K291" s="38" t="n">
        <x:v>0</x:v>
      </x:c>
      <x:c r="L291" s="38" t="n">
        <x:v>0</x:v>
      </x:c>
      <x:c r="M291" s="38" t="n">
        <x:v>600000</x:v>
      </x:c>
      <x:c r="N291" s="38" t="n">
        <x:v>0</x:v>
      </x:c>
      <x:c r="O291" s="38" t="n">
        <x:v>190100</x:v>
      </x:c>
      <x:c r="P291" s="38" t="n">
        <x:f>F291+G291-H291+I291+J291+K291+L291-M291-N291-O291</x:f>
        <x:v>102502</x:v>
      </x:c>
      <x:c r="Q291" s="38" t="n">
        <x:v>102502</x:v>
      </x:c>
      <x:c r="R291" s="38" t="n">
        <x:f>P291-Q291</x:f>
        <x:v>0</x:v>
      </x:c>
      <x:c r="S291" s="38" t="n">
        <x:v>90130</x:v>
      </x:c>
      <x:c r="T291" s="38" t="n">
        <x:v>13875</x:v>
      </x:c>
      <x:c r="U291" s="38" t="n">
        <x:v>48</x:v>
      </x:c>
      <x:c r="V291" s="38" t="n">
        <x:v>1</x:v>
      </x:c>
      <x:c r="W291" s="38" t="n">
        <x:v>0</x:v>
      </x:c>
      <x:c r="X291" s="44" t="n">
        <x:v>0</x:v>
      </x:c>
      <x:c r="Y291" s="38" t="n">
        <x:v>235</x:v>
      </x:c>
      <x:c r="Z291" s="38" t="n">
        <x:v>7</x:v>
      </x:c>
      <x:c r="AA291" s="38" t="n">
        <x:v>16</x:v>
      </x:c>
      <x:c r="AB291" s="38" t="n">
        <x:v>7</x:v>
      </x:c>
      <x:c r="AC291" s="38" t="n">
        <x:v>8245</x:v>
      </x:c>
      <x:c r="AD291" s="38" t="n">
        <x:v>0</x:v>
      </x:c>
      <x:c r="AE291" s="38" t="n">
        <x:f>IF(B291=1,0,F291-Q290)</x:f>
        <x:v>0</x:v>
      </x:c>
    </x:row>
    <x:row r="292" ht="27" customHeight="1">
      <x:c r="A292" s="28" t="str">
        <x:v>Enthusiast F2P</x:v>
      </x:c>
      <x:c r="B292" s="38" t="n">
        <x:v>48</x:v>
      </x:c>
      <x:c r="C292" s="38" t="n">
        <x:v>34</x:v>
      </x:c>
      <x:c r="D292" s="38" t="n">
        <x:v>460319</x:v>
      </x:c>
      <x:c r="E292" s="38" t="n">
        <x:v>85</x:v>
      </x:c>
      <x:c r="F292" s="38" t="n">
        <x:v>102502</x:v>
      </x:c>
      <x:c r="G292" s="38" t="n">
        <x:v>123675</x:v>
      </x:c>
      <x:c r="H292" s="38" t="n">
        <x:v>24735</x:v>
      </x:c>
      <x:c r="I292" s="38" t="n">
        <x:v>3802</x:v>
      </x:c>
      <x:c r="J292" s="38" t="n">
        <x:v>0</x:v>
      </x:c>
      <x:c r="K292" s="38" t="n">
        <x:v>0</x:v>
      </x:c>
      <x:c r="L292" s="38" t="n">
        <x:v>0</x:v>
      </x:c>
      <x:c r="M292" s="38" t="n">
        <x:v>0</x:v>
      </x:c>
      <x:c r="N292" s="38" t="n">
        <x:v>0</x:v>
      </x:c>
      <x:c r="O292" s="38" t="n">
        <x:v>0</x:v>
      </x:c>
      <x:c r="P292" s="38" t="n">
        <x:f>F292+G292-H292+I292+J292+K292+L292-M292-N292-O292</x:f>
        <x:v>205244</x:v>
      </x:c>
      <x:c r="Q292" s="38" t="n">
        <x:v>205244</x:v>
      </x:c>
      <x:c r="R292" s="38" t="n">
        <x:f>P292-Q292</x:f>
        <x:v>0</x:v>
      </x:c>
      <x:c r="S292" s="38" t="n">
        <x:v>98940</x:v>
      </x:c>
      <x:c r="T292" s="38" t="n">
        <x:v>15110</x:v>
      </x:c>
      <x:c r="U292" s="38" t="n">
        <x:v>48</x:v>
      </x:c>
      <x:c r="V292" s="38" t="n">
        <x:v>0</x:v>
      </x:c>
      <x:c r="W292" s="38" t="n">
        <x:v>0</x:v>
      </x:c>
      <x:c r="X292" s="44" t="n">
        <x:v>0</x:v>
      </x:c>
      <x:c r="Y292" s="38" t="n">
        <x:v>255</x:v>
      </x:c>
      <x:c r="Z292" s="38" t="n">
        <x:v>7</x:v>
      </x:c>
      <x:c r="AA292" s="38" t="n">
        <x:v>16</x:v>
      </x:c>
      <x:c r="AB292" s="38" t="n">
        <x:v>7</x:v>
      </x:c>
      <x:c r="AC292" s="38" t="n">
        <x:v>8245</x:v>
      </x:c>
      <x:c r="AD292" s="38" t="n">
        <x:v>0</x:v>
      </x:c>
      <x:c r="AE292" s="38" t="n">
        <x:f>IF(B292=1,0,F292-Q291)</x:f>
        <x:v>0</x:v>
      </x:c>
    </x:row>
    <x:row r="293" ht="27" customHeight="1">
      <x:c r="A293" s="28" t="str">
        <x:v>Enthusiast F2P</x:v>
      </x:c>
      <x:c r="B293" s="38" t="n">
        <x:v>49</x:v>
      </x:c>
      <x:c r="C293" s="38" t="n">
        <x:v>35</x:v>
      </x:c>
      <x:c r="D293" s="38" t="n">
        <x:v>480145</x:v>
      </x:c>
      <x:c r="E293" s="38" t="n">
        <x:v>85</x:v>
      </x:c>
      <x:c r="F293" s="38" t="n">
        <x:v>205244</x:v>
      </x:c>
      <x:c r="G293" s="38" t="n">
        <x:v>123675</x:v>
      </x:c>
      <x:c r="H293" s="38" t="n">
        <x:v>24905</x:v>
      </x:c>
      <x:c r="I293" s="38" t="n">
        <x:v>19968</x:v>
      </x:c>
      <x:c r="J293" s="38" t="n">
        <x:v>970</x:v>
      </x:c>
      <x:c r="K293" s="38" t="n">
        <x:v>0</x:v>
      </x:c>
      <x:c r="L293" s="38" t="n">
        <x:v>0</x:v>
      </x:c>
      <x:c r="M293" s="38" t="n">
        <x:v>0</x:v>
      </x:c>
      <x:c r="N293" s="38" t="n">
        <x:v>1125</x:v>
      </x:c>
      <x:c r="O293" s="38" t="n">
        <x:v>0</x:v>
      </x:c>
      <x:c r="P293" s="38" t="n">
        <x:f>F293+G293-H293+I293+J293+K293+L293-M293-N293-O293</x:f>
        <x:v>323827</x:v>
      </x:c>
      <x:c r="Q293" s="38" t="n">
        <x:v>323827</x:v>
      </x:c>
      <x:c r="R293" s="38" t="n">
        <x:f>P293-Q293</x:f>
        <x:v>0</x:v>
      </x:c>
      <x:c r="S293" s="38" t="n">
        <x:v>98940</x:v>
      </x:c>
      <x:c r="T293" s="38" t="n">
        <x:v>19826</x:v>
      </x:c>
      <x:c r="U293" s="38" t="n">
        <x:v>53</x:v>
      </x:c>
      <x:c r="V293" s="38" t="n">
        <x:v>5</x:v>
      </x:c>
      <x:c r="W293" s="38" t="n">
        <x:v>0</x:v>
      </x:c>
      <x:c r="X293" s="44" t="n">
        <x:v>0</x:v>
      </x:c>
      <x:c r="Y293" s="38" t="n">
        <x:v>255</x:v>
      </x:c>
      <x:c r="Z293" s="38" t="n">
        <x:v>7</x:v>
      </x:c>
      <x:c r="AA293" s="38" t="n">
        <x:v>17</x:v>
      </x:c>
      <x:c r="AB293" s="38" t="n">
        <x:v>7</x:v>
      </x:c>
      <x:c r="AC293" s="38" t="n">
        <x:v>8415</x:v>
      </x:c>
      <x:c r="AD293" s="38" t="n">
        <x:v>0</x:v>
      </x:c>
      <x:c r="AE293" s="38" t="n">
        <x:f>IF(B293=1,0,F293-Q292)</x:f>
        <x:v>0</x:v>
      </x:c>
    </x:row>
    <x:row r="294" ht="27" customHeight="1">
      <x:c r="A294" s="28" t="str">
        <x:v>Enthusiast F2P</x:v>
      </x:c>
      <x:c r="B294" s="38" t="n">
        <x:v>50</x:v>
      </x:c>
      <x:c r="C294" s="38" t="n">
        <x:v>35</x:v>
      </x:c>
      <x:c r="D294" s="38" t="n">
        <x:v>495518</x:v>
      </x:c>
      <x:c r="E294" s="38" t="n">
        <x:v>85</x:v>
      </x:c>
      <x:c r="F294" s="38" t="n">
        <x:v>323827</x:v>
      </x:c>
      <x:c r="G294" s="38" t="n">
        <x:v>125970</x:v>
      </x:c>
      <x:c r="H294" s="38" t="n">
        <x:v>25245</x:v>
      </x:c>
      <x:c r="I294" s="38" t="n">
        <x:v>3871</x:v>
      </x:c>
      <x:c r="J294" s="38" t="n">
        <x:v>0</x:v>
      </x:c>
      <x:c r="K294" s="38" t="n">
        <x:v>0</x:v>
      </x:c>
      <x:c r="L294" s="38" t="n">
        <x:v>0</x:v>
      </x:c>
      <x:c r="M294" s="38" t="n">
        <x:v>0</x:v>
      </x:c>
      <x:c r="N294" s="38" t="n">
        <x:v>0</x:v>
      </x:c>
      <x:c r="O294" s="38" t="n">
        <x:v>0</x:v>
      </x:c>
      <x:c r="P294" s="38" t="n">
        <x:f>F294+G294-H294+I294+J294+K294+L294-M294-N294-O294</x:f>
        <x:v>428423</x:v>
      </x:c>
      <x:c r="Q294" s="38" t="n">
        <x:v>428423</x:v>
      </x:c>
      <x:c r="R294" s="38" t="n">
        <x:f>P294-Q294</x:f>
        <x:v>0</x:v>
      </x:c>
      <x:c r="S294" s="38" t="n">
        <x:v>100725</x:v>
      </x:c>
      <x:c r="T294" s="38" t="n">
        <x:v>15373</x:v>
      </x:c>
      <x:c r="U294" s="38" t="n">
        <x:v>57</x:v>
      </x:c>
      <x:c r="V294" s="38" t="n">
        <x:v>4</x:v>
      </x:c>
      <x:c r="W294" s="38" t="n">
        <x:v>0</x:v>
      </x:c>
      <x:c r="X294" s="44" t="n">
        <x:v>0</x:v>
      </x:c>
      <x:c r="Y294" s="38" t="n">
        <x:v>255</x:v>
      </x:c>
      <x:c r="Z294" s="38" t="n">
        <x:v>7</x:v>
      </x:c>
      <x:c r="AA294" s="38" t="n">
        <x:v>17</x:v>
      </x:c>
      <x:c r="AB294" s="38" t="n">
        <x:v>7</x:v>
      </x:c>
      <x:c r="AC294" s="38" t="n">
        <x:v>8415</x:v>
      </x:c>
      <x:c r="AD294" s="38" t="n">
        <x:v>0</x:v>
      </x:c>
      <x:c r="AE294" s="38" t="n">
        <x:f>IF(B294=1,0,F294-Q293)</x:f>
        <x:v>0</x:v>
      </x:c>
    </x:row>
    <x:row r="295" ht="27" customHeight="1">
      <x:c r="A295" s="28" t="str">
        <x:v>Enthusiast F2P</x:v>
      </x:c>
      <x:c r="B295" s="38" t="n">
        <x:v>51</x:v>
      </x:c>
      <x:c r="C295" s="38" t="n">
        <x:v>35</x:v>
      </x:c>
      <x:c r="D295" s="38" t="n">
        <x:v>510891</x:v>
      </x:c>
      <x:c r="E295" s="38" t="n">
        <x:v>85</x:v>
      </x:c>
      <x:c r="F295" s="38" t="n">
        <x:v>428423</x:v>
      </x:c>
      <x:c r="G295" s="38" t="n">
        <x:v>125970</x:v>
      </x:c>
      <x:c r="H295" s="38" t="n">
        <x:v>25245</x:v>
      </x:c>
      <x:c r="I295" s="38" t="n">
        <x:v>3871</x:v>
      </x:c>
      <x:c r="J295" s="38" t="n">
        <x:v>0</x:v>
      </x:c>
      <x:c r="K295" s="38" t="n">
        <x:v>0</x:v>
      </x:c>
      <x:c r="L295" s="38" t="n">
        <x:v>0</x:v>
      </x:c>
      <x:c r="M295" s="38" t="n">
        <x:v>0</x:v>
      </x:c>
      <x:c r="N295" s="38" t="n">
        <x:v>0</x:v>
      </x:c>
      <x:c r="O295" s="38" t="n">
        <x:v>0</x:v>
      </x:c>
      <x:c r="P295" s="38" t="n">
        <x:f>F295+G295-H295+I295+J295+K295+L295-M295-N295-O295</x:f>
        <x:v>533019</x:v>
      </x:c>
      <x:c r="Q295" s="38" t="n">
        <x:v>533019</x:v>
      </x:c>
      <x:c r="R295" s="38" t="n">
        <x:f>P295-Q295</x:f>
        <x:v>0</x:v>
      </x:c>
      <x:c r="S295" s="38" t="n">
        <x:v>100725</x:v>
      </x:c>
      <x:c r="T295" s="38" t="n">
        <x:v>15373</x:v>
      </x:c>
      <x:c r="U295" s="38" t="n">
        <x:v>57</x:v>
      </x:c>
      <x:c r="V295" s="38" t="n">
        <x:v>0</x:v>
      </x:c>
      <x:c r="W295" s="38" t="n">
        <x:v>0</x:v>
      </x:c>
      <x:c r="X295" s="44" t="n">
        <x:v>0</x:v>
      </x:c>
      <x:c r="Y295" s="38" t="n">
        <x:v>255</x:v>
      </x:c>
      <x:c r="Z295" s="38" t="n">
        <x:v>7</x:v>
      </x:c>
      <x:c r="AA295" s="38" t="n">
        <x:v>17</x:v>
      </x:c>
      <x:c r="AB295" s="38" t="n">
        <x:v>7</x:v>
      </x:c>
      <x:c r="AC295" s="38" t="n">
        <x:v>8415</x:v>
      </x:c>
      <x:c r="AD295" s="38" t="n">
        <x:v>0</x:v>
      </x:c>
      <x:c r="AE295" s="38" t="n">
        <x:f>IF(B295=1,0,F295-Q294)</x:f>
        <x:v>0</x:v>
      </x:c>
    </x:row>
    <x:row r="296" ht="27" customHeight="1">
      <x:c r="A296" s="28" t="str">
        <x:v>Enthusiast F2P</x:v>
      </x:c>
      <x:c r="B296" s="38" t="n">
        <x:v>52</x:v>
      </x:c>
      <x:c r="C296" s="38" t="n">
        <x:v>36</x:v>
      </x:c>
      <x:c r="D296" s="38" t="n">
        <x:v>526264</x:v>
      </x:c>
      <x:c r="E296" s="38" t="n">
        <x:v>90</x:v>
      </x:c>
      <x:c r="F296" s="38" t="n">
        <x:v>533019</x:v>
      </x:c>
      <x:c r="G296" s="38" t="n">
        <x:v>125970</x:v>
      </x:c>
      <x:c r="H296" s="38" t="n">
        <x:v>26820</x:v>
      </x:c>
      <x:c r="I296" s="38" t="n">
        <x:v>3871</x:v>
      </x:c>
      <x:c r="J296" s="38" t="n">
        <x:v>1045</x:v>
      </x:c>
      <x:c r="K296" s="38" t="n">
        <x:v>0</x:v>
      </x:c>
      <x:c r="L296" s="38" t="n">
        <x:v>0</x:v>
      </x:c>
      <x:c r="M296" s="38" t="n">
        <x:v>425000</x:v>
      </x:c>
      <x:c r="N296" s="38" t="n">
        <x:v>2110</x:v>
      </x:c>
      <x:c r="O296" s="38" t="n">
        <x:v>0</x:v>
      </x:c>
      <x:c r="P296" s="38" t="n">
        <x:f>F296+G296-H296+I296+J296+K296+L296-M296-N296-O296</x:f>
        <x:v>209975</x:v>
      </x:c>
      <x:c r="Q296" s="38" t="n">
        <x:v>209975</x:v>
      </x:c>
      <x:c r="R296" s="38" t="n">
        <x:f>P296-Q296</x:f>
        <x:v>0</x:v>
      </x:c>
      <x:c r="S296" s="38" t="n">
        <x:v>100725</x:v>
      </x:c>
      <x:c r="T296" s="38" t="n">
        <x:v>15373</x:v>
      </x:c>
      <x:c r="U296" s="38" t="n">
        <x:v>58</x:v>
      </x:c>
      <x:c r="V296" s="38" t="n">
        <x:v>1</x:v>
      </x:c>
      <x:c r="W296" s="38" t="n">
        <x:v>0</x:v>
      </x:c>
      <x:c r="X296" s="44" t="n">
        <x:v>0</x:v>
      </x:c>
      <x:c r="Y296" s="38" t="n">
        <x:v>255</x:v>
      </x:c>
      <x:c r="Z296" s="38" t="n">
        <x:v>7</x:v>
      </x:c>
      <x:c r="AA296" s="38" t="n">
        <x:v>18</x:v>
      </x:c>
      <x:c r="AB296" s="38" t="n">
        <x:v>7</x:v>
      </x:c>
      <x:c r="AC296" s="38" t="n">
        <x:v>9990</x:v>
      </x:c>
      <x:c r="AD296" s="38" t="n">
        <x:v>0</x:v>
      </x:c>
      <x:c r="AE296" s="38" t="n">
        <x:f>IF(B296=1,0,F296-Q295)</x:f>
        <x:v>0</x:v>
      </x:c>
    </x:row>
    <x:row r="297" ht="27" customHeight="1">
      <x:c r="A297" s="28" t="str">
        <x:v>Enthusiast F2P</x:v>
      </x:c>
      <x:c r="B297" s="38" t="n">
        <x:v>53</x:v>
      </x:c>
      <x:c r="C297" s="38" t="n">
        <x:v>36</x:v>
      </x:c>
      <x:c r="D297" s="38" t="n">
        <x:v>541200</x:v>
      </x:c>
      <x:c r="E297" s="38" t="n">
        <x:v>90</x:v>
      </x:c>
      <x:c r="F297" s="38" t="n">
        <x:v>209975</x:v>
      </x:c>
      <x:c r="G297" s="38" t="n">
        <x:v>149310</x:v>
      </x:c>
      <x:c r="H297" s="38" t="n">
        <x:v>29970</x:v>
      </x:c>
      <x:c r="I297" s="38" t="n">
        <x:v>4172</x:v>
      </x:c>
      <x:c r="J297" s="38" t="n">
        <x:v>0</x:v>
      </x:c>
      <x:c r="K297" s="38" t="n">
        <x:v>0</x:v>
      </x:c>
      <x:c r="L297" s="38" t="n">
        <x:v>0</x:v>
      </x:c>
      <x:c r="M297" s="38" t="n">
        <x:v>0</x:v>
      </x:c>
      <x:c r="N297" s="38" t="n">
        <x:v>0</x:v>
      </x:c>
      <x:c r="O297" s="38" t="n">
        <x:v>0</x:v>
      </x:c>
      <x:c r="P297" s="38" t="n">
        <x:f>F297+G297-H297+I297+J297+K297+L297-M297-N297-O297</x:f>
        <x:v>333487</x:v>
      </x:c>
      <x:c r="Q297" s="38" t="n">
        <x:v>333487</x:v>
      </x:c>
      <x:c r="R297" s="38" t="n">
        <x:f>P297-Q297</x:f>
        <x:v>0</x:v>
      </x:c>
      <x:c r="S297" s="38" t="n">
        <x:v>119340</x:v>
      </x:c>
      <x:c r="T297" s="38" t="n">
        <x:v>14936</x:v>
      </x:c>
      <x:c r="U297" s="38" t="n">
        <x:v>58</x:v>
      </x:c>
      <x:c r="V297" s="38" t="n">
        <x:v>0</x:v>
      </x:c>
      <x:c r="W297" s="38" t="n">
        <x:v>0</x:v>
      </x:c>
      <x:c r="X297" s="44" t="n">
        <x:v>0</x:v>
      </x:c>
      <x:c r="Y297" s="38" t="n">
        <x:v>270</x:v>
      </x:c>
      <x:c r="Z297" s="38" t="n">
        <x:v>7</x:v>
      </x:c>
      <x:c r="AA297" s="38" t="n">
        <x:v>18</x:v>
      </x:c>
      <x:c r="AB297" s="38" t="n">
        <x:v>7</x:v>
      </x:c>
      <x:c r="AC297" s="38" t="n">
        <x:v>9990</x:v>
      </x:c>
      <x:c r="AD297" s="38" t="n">
        <x:v>0</x:v>
      </x:c>
      <x:c r="AE297" s="38" t="n">
        <x:f>IF(B297=1,0,F297-Q296)</x:f>
        <x:v>0</x:v>
      </x:c>
    </x:row>
    <x:row r="298" ht="27" customHeight="1">
      <x:c r="A298" s="28" t="str">
        <x:v>Enthusiast F2P</x:v>
      </x:c>
      <x:c r="B298" s="38" t="n">
        <x:v>54</x:v>
      </x:c>
      <x:c r="C298" s="38" t="n">
        <x:v>36</x:v>
      </x:c>
      <x:c r="D298" s="38" t="n">
        <x:v>556136</x:v>
      </x:c>
      <x:c r="E298" s="38" t="n">
        <x:v>90</x:v>
      </x:c>
      <x:c r="F298" s="38" t="n">
        <x:v>333487</x:v>
      </x:c>
      <x:c r="G298" s="38" t="n">
        <x:v>149310</x:v>
      </x:c>
      <x:c r="H298" s="38" t="n">
        <x:v>29970</x:v>
      </x:c>
      <x:c r="I298" s="38" t="n">
        <x:v>4172</x:v>
      </x:c>
      <x:c r="J298" s="38" t="n">
        <x:v>0</x:v>
      </x:c>
      <x:c r="K298" s="38" t="n">
        <x:v>0</x:v>
      </x:c>
      <x:c r="L298" s="38" t="n">
        <x:v>0</x:v>
      </x:c>
      <x:c r="M298" s="38" t="n">
        <x:v>0</x:v>
      </x:c>
      <x:c r="N298" s="38" t="n">
        <x:v>0</x:v>
      </x:c>
      <x:c r="O298" s="38" t="n">
        <x:v>0</x:v>
      </x:c>
      <x:c r="P298" s="38" t="n">
        <x:f>F298+G298-H298+I298+J298+K298+L298-M298-N298-O298</x:f>
        <x:v>456999</x:v>
      </x:c>
      <x:c r="Q298" s="38" t="n">
        <x:v>456999</x:v>
      </x:c>
      <x:c r="R298" s="38" t="n">
        <x:f>P298-Q298</x:f>
        <x:v>0</x:v>
      </x:c>
      <x:c r="S298" s="38" t="n">
        <x:v>119340</x:v>
      </x:c>
      <x:c r="T298" s="38" t="n">
        <x:v>14936</x:v>
      </x:c>
      <x:c r="U298" s="38" t="n">
        <x:v>58</x:v>
      </x:c>
      <x:c r="V298" s="38" t="n">
        <x:v>0</x:v>
      </x:c>
      <x:c r="W298" s="38" t="n">
        <x:v>0</x:v>
      </x:c>
      <x:c r="X298" s="44" t="n">
        <x:v>0</x:v>
      </x:c>
      <x:c r="Y298" s="38" t="n">
        <x:v>270</x:v>
      </x:c>
      <x:c r="Z298" s="38" t="n">
        <x:v>7</x:v>
      </x:c>
      <x:c r="AA298" s="38" t="n">
        <x:v>18</x:v>
      </x:c>
      <x:c r="AB298" s="38" t="n">
        <x:v>7</x:v>
      </x:c>
      <x:c r="AC298" s="38" t="n">
        <x:v>9990</x:v>
      </x:c>
      <x:c r="AD298" s="38" t="n">
        <x:v>0</x:v>
      </x:c>
      <x:c r="AE298" s="38" t="n">
        <x:f>IF(B298=1,0,F298-Q297)</x:f>
        <x:v>0</x:v>
      </x:c>
    </x:row>
    <x:row r="299" ht="27" customHeight="1">
      <x:c r="A299" s="28" t="str">
        <x:v>Enthusiast F2P</x:v>
      </x:c>
      <x:c r="B299" s="38" t="n">
        <x:v>55</x:v>
      </x:c>
      <x:c r="C299" s="38" t="n">
        <x:v>36</x:v>
      </x:c>
      <x:c r="D299" s="38" t="n">
        <x:v>571072</x:v>
      </x:c>
      <x:c r="E299" s="38" t="n">
        <x:v>90</x:v>
      </x:c>
      <x:c r="F299" s="38" t="n">
        <x:v>456999</x:v>
      </x:c>
      <x:c r="G299" s="38" t="n">
        <x:v>149310</x:v>
      </x:c>
      <x:c r="H299" s="38" t="n">
        <x:v>29970</x:v>
      </x:c>
      <x:c r="I299" s="38" t="n">
        <x:v>4172</x:v>
      </x:c>
      <x:c r="J299" s="38" t="n">
        <x:v>0</x:v>
      </x:c>
      <x:c r="K299" s="38" t="n">
        <x:v>0</x:v>
      </x:c>
      <x:c r="L299" s="38" t="n">
        <x:v>0</x:v>
      </x:c>
      <x:c r="M299" s="38" t="n">
        <x:v>0</x:v>
      </x:c>
      <x:c r="N299" s="38" t="n">
        <x:v>2180</x:v>
      </x:c>
      <x:c r="O299" s="38" t="n">
        <x:v>0</x:v>
      </x:c>
      <x:c r="P299" s="38" t="n">
        <x:f>F299+G299-H299+I299+J299+K299+L299-M299-N299-O299</x:f>
        <x:v>578331</x:v>
      </x:c>
      <x:c r="Q299" s="38" t="n">
        <x:v>578331</x:v>
      </x:c>
      <x:c r="R299" s="38" t="n">
        <x:f>P299-Q299</x:f>
        <x:v>0</x:v>
      </x:c>
      <x:c r="S299" s="38" t="n">
        <x:v>119340</x:v>
      </x:c>
      <x:c r="T299" s="38" t="n">
        <x:v>14936</x:v>
      </x:c>
      <x:c r="U299" s="38" t="n">
        <x:v>58</x:v>
      </x:c>
      <x:c r="V299" s="38" t="n">
        <x:v>0</x:v>
      </x:c>
      <x:c r="W299" s="38" t="n">
        <x:v>0</x:v>
      </x:c>
      <x:c r="X299" s="44" t="n">
        <x:v>0</x:v>
      </x:c>
      <x:c r="Y299" s="38" t="n">
        <x:v>270</x:v>
      </x:c>
      <x:c r="Z299" s="38" t="n">
        <x:v>7</x:v>
      </x:c>
      <x:c r="AA299" s="38" t="n">
        <x:v>19</x:v>
      </x:c>
      <x:c r="AB299" s="38" t="n">
        <x:v>7</x:v>
      </x:c>
      <x:c r="AC299" s="38" t="n">
        <x:v>9990</x:v>
      </x:c>
      <x:c r="AD299" s="38" t="n">
        <x:v>0</x:v>
      </x:c>
      <x:c r="AE299" s="38" t="n">
        <x:f>IF(B299=1,0,F299-Q298)</x:f>
        <x:v>0</x:v>
      </x:c>
    </x:row>
    <x:row r="300" ht="27" customHeight="1">
      <x:c r="A300" s="28" t="str">
        <x:v>Enthusiast F2P</x:v>
      </x:c>
      <x:c r="B300" s="38" t="n">
        <x:v>56</x:v>
      </x:c>
      <x:c r="C300" s="38" t="n">
        <x:v>37</x:v>
      </x:c>
      <x:c r="D300" s="38" t="n">
        <x:v>592555</x:v>
      </x:c>
      <x:c r="E300" s="38" t="n">
        <x:v>90</x:v>
      </x:c>
      <x:c r="F300" s="38" t="n">
        <x:v>578331</x:v>
      </x:c>
      <x:c r="G300" s="38" t="n">
        <x:v>141750</x:v>
      </x:c>
      <x:c r="H300" s="38" t="n">
        <x:v>27540</x:v>
      </x:c>
      <x:c r="I300" s="38" t="n">
        <x:v>23527</x:v>
      </x:c>
      <x:c r="J300" s="38" t="n">
        <x:v>1060</x:v>
      </x:c>
      <x:c r="K300" s="38" t="n">
        <x:v>0</x:v>
      </x:c>
      <x:c r="L300" s="38" t="n">
        <x:v>0</x:v>
      </x:c>
      <x:c r="M300" s="38" t="n">
        <x:v>0</x:v>
      </x:c>
      <x:c r="N300" s="38" t="n">
        <x:v>0</x:v>
      </x:c>
      <x:c r="O300" s="38" t="n">
        <x:v>0</x:v>
      </x:c>
      <x:c r="P300" s="38" t="n">
        <x:f>F300+G300-H300+I300+J300+K300+L300-M300-N300-O300</x:f>
        <x:v>717128</x:v>
      </x:c>
      <x:c r="Q300" s="38" t="n">
        <x:v>717128</x:v>
      </x:c>
      <x:c r="R300" s="38" t="n">
        <x:f>P300-Q300</x:f>
        <x:v>0</x:v>
      </x:c>
      <x:c r="S300" s="38" t="n">
        <x:v>113400</x:v>
      </x:c>
      <x:c r="T300" s="38" t="n">
        <x:v>21483</x:v>
      </x:c>
      <x:c r="U300" s="38" t="n">
        <x:v>60</x:v>
      </x:c>
      <x:c r="V300" s="38" t="n">
        <x:v>2</x:v>
      </x:c>
      <x:c r="W300" s="38" t="n">
        <x:v>0</x:v>
      </x:c>
      <x:c r="X300" s="44" t="n">
        <x:v>0</x:v>
      </x:c>
      <x:c r="Y300" s="38" t="n">
        <x:v>270</x:v>
      </x:c>
      <x:c r="Z300" s="38" t="n">
        <x:v>7</x:v>
      </x:c>
      <x:c r="AA300" s="38" t="n">
        <x:v>19</x:v>
      </x:c>
      <x:c r="AB300" s="38" t="n">
        <x:v>7</x:v>
      </x:c>
      <x:c r="AC300" s="38" t="n">
        <x:v>9180</x:v>
      </x:c>
      <x:c r="AD300" s="38" t="n">
        <x:v>0</x:v>
      </x:c>
      <x:c r="AE300" s="38" t="n">
        <x:f>IF(B300=1,0,F300-Q299)</x:f>
        <x:v>0</x:v>
      </x:c>
    </x:row>
    <x:row r="301" ht="27" customHeight="1">
      <x:c r="A301" s="28" t="str">
        <x:v>Enthusiast F2P</x:v>
      </x:c>
      <x:c r="B301" s="38" t="n">
        <x:v>57</x:v>
      </x:c>
      <x:c r="C301" s="38" t="n">
        <x:v>37</x:v>
      </x:c>
      <x:c r="D301" s="38" t="n">
        <x:v>609120</x:v>
      </x:c>
      <x:c r="E301" s="38" t="n">
        <x:v>90</x:v>
      </x:c>
      <x:c r="F301" s="38" t="n">
        <x:v>717128</x:v>
      </x:c>
      <x:c r="G301" s="38" t="n">
        <x:v>137970</x:v>
      </x:c>
      <x:c r="H301" s="38" t="n">
        <x:v>27540</x:v>
      </x:c>
      <x:c r="I301" s="38" t="n">
        <x:v>4244</x:v>
      </x:c>
      <x:c r="J301" s="38" t="n">
        <x:v>0</x:v>
      </x:c>
      <x:c r="K301" s="38" t="n">
        <x:v>0</x:v>
      </x:c>
      <x:c r="L301" s="38" t="n">
        <x:v>0</x:v>
      </x:c>
      <x:c r="M301" s="38" t="n">
        <x:v>0</x:v>
      </x:c>
      <x:c r="N301" s="38" t="n">
        <x:v>0</x:v>
      </x:c>
      <x:c r="O301" s="38" t="n">
        <x:v>0</x:v>
      </x:c>
      <x:c r="P301" s="38" t="n">
        <x:f>F301+G301-H301+I301+J301+K301+L301-M301-N301-O301</x:f>
        <x:v>831802</x:v>
      </x:c>
      <x:c r="Q301" s="38" t="n">
        <x:v>831802</x:v>
      </x:c>
      <x:c r="R301" s="38" t="n">
        <x:f>P301-Q301</x:f>
        <x:v>0</x:v>
      </x:c>
      <x:c r="S301" s="38" t="n">
        <x:v>110430</x:v>
      </x:c>
      <x:c r="T301" s="38" t="n">
        <x:v>16565</x:v>
      </x:c>
      <x:c r="U301" s="38" t="n">
        <x:v>60</x:v>
      </x:c>
      <x:c r="V301" s="38" t="n">
        <x:v>0</x:v>
      </x:c>
      <x:c r="W301" s="38" t="n">
        <x:v>0</x:v>
      </x:c>
      <x:c r="X301" s="44" t="n">
        <x:v>0</x:v>
      </x:c>
      <x:c r="Y301" s="38" t="n">
        <x:v>270</x:v>
      </x:c>
      <x:c r="Z301" s="38" t="n">
        <x:v>7</x:v>
      </x:c>
      <x:c r="AA301" s="38" t="n">
        <x:v>19</x:v>
      </x:c>
      <x:c r="AB301" s="38" t="n">
        <x:v>7</x:v>
      </x:c>
      <x:c r="AC301" s="38" t="n">
        <x:v>9180</x:v>
      </x:c>
      <x:c r="AD301" s="38" t="n">
        <x:v>0</x:v>
      </x:c>
      <x:c r="AE301" s="38" t="n">
        <x:f>IF(B301=1,0,F301-Q300)</x:f>
        <x:v>0</x:v>
      </x:c>
    </x:row>
    <x:row r="302" ht="27" customHeight="1">
      <x:c r="A302" s="28" t="str">
        <x:v>Enthusiast F2P</x:v>
      </x:c>
      <x:c r="B302" s="38" t="n">
        <x:v>58</x:v>
      </x:c>
      <x:c r="C302" s="38" t="n">
        <x:v>38</x:v>
      </x:c>
      <x:c r="D302" s="38" t="n">
        <x:v>625685</x:v>
      </x:c>
      <x:c r="E302" s="38" t="n">
        <x:v>95</x:v>
      </x:c>
      <x:c r="F302" s="38" t="n">
        <x:v>831802</x:v>
      </x:c>
      <x:c r="G302" s="38" t="n">
        <x:v>137970</x:v>
      </x:c>
      <x:c r="H302" s="38" t="n">
        <x:v>28240</x:v>
      </x:c>
      <x:c r="I302" s="38" t="n">
        <x:v>4244</x:v>
      </x:c>
      <x:c r="J302" s="38" t="n">
        <x:v>1140</x:v>
      </x:c>
      <x:c r="K302" s="38" t="n">
        <x:v>0</x:v>
      </x:c>
      <x:c r="L302" s="38" t="n">
        <x:v>0</x:v>
      </x:c>
      <x:c r="M302" s="38" t="n">
        <x:v>600000</x:v>
      </x:c>
      <x:c r="N302" s="38" t="n">
        <x:v>2180</x:v>
      </x:c>
      <x:c r="O302" s="38" t="n">
        <x:v>258903</x:v>
      </x:c>
      <x:c r="P302" s="38" t="n">
        <x:f>F302+G302-H302+I302+J302+K302+L302-M302-N302-O302</x:f>
        <x:v>85833</x:v>
      </x:c>
      <x:c r="Q302" s="38" t="n">
        <x:v>85833</x:v>
      </x:c>
      <x:c r="R302" s="38" t="n">
        <x:f>P302-Q302</x:f>
        <x:v>0</x:v>
      </x:c>
      <x:c r="S302" s="38" t="n">
        <x:v>110430</x:v>
      </x:c>
      <x:c r="T302" s="38" t="n">
        <x:v>16565</x:v>
      </x:c>
      <x:c r="U302" s="38" t="n">
        <x:v>61</x:v>
      </x:c>
      <x:c r="V302" s="38" t="n">
        <x:v>1</x:v>
      </x:c>
      <x:c r="W302" s="38" t="n">
        <x:v>0</x:v>
      </x:c>
      <x:c r="X302" s="44" t="n">
        <x:v>0</x:v>
      </x:c>
      <x:c r="Y302" s="38" t="n">
        <x:v>270</x:v>
      </x:c>
      <x:c r="Z302" s="38" t="n">
        <x:v>7</x:v>
      </x:c>
      <x:c r="AA302" s="38" t="n">
        <x:v>20</x:v>
      </x:c>
      <x:c r="AB302" s="38" t="n">
        <x:v>7</x:v>
      </x:c>
      <x:c r="AC302" s="38" t="n">
        <x:v>9880</x:v>
      </x:c>
      <x:c r="AD302" s="38" t="n">
        <x:v>0</x:v>
      </x:c>
      <x:c r="AE302" s="38" t="n">
        <x:f>IF(B302=1,0,F302-Q301)</x:f>
        <x:v>0</x:v>
      </x:c>
    </x:row>
    <x:row r="303" ht="27" customHeight="1">
      <x:c r="A303" s="28" t="str">
        <x:v>Enthusiast F2P</x:v>
      </x:c>
      <x:c r="B303" s="38" t="n">
        <x:v>59</x:v>
      </x:c>
      <x:c r="C303" s="38" t="n">
        <x:v>38</x:v>
      </x:c>
      <x:c r="D303" s="38" t="n">
        <x:v>643179</x:v>
      </x:c>
      <x:c r="E303" s="38" t="n">
        <x:v>95</x:v>
      </x:c>
      <x:c r="F303" s="38" t="n">
        <x:v>85833</x:v>
      </x:c>
      <x:c r="G303" s="38" t="n">
        <x:v>148200</x:v>
      </x:c>
      <x:c r="H303" s="38" t="n">
        <x:v>29640</x:v>
      </x:c>
      <x:c r="I303" s="38" t="n">
        <x:v>4557</x:v>
      </x:c>
      <x:c r="J303" s="38" t="n">
        <x:v>0</x:v>
      </x:c>
      <x:c r="K303" s="38" t="n">
        <x:v>0</x:v>
      </x:c>
      <x:c r="L303" s="38" t="n">
        <x:v>0</x:v>
      </x:c>
      <x:c r="M303" s="38" t="n">
        <x:v>0</x:v>
      </x:c>
      <x:c r="N303" s="38" t="n">
        <x:v>0</x:v>
      </x:c>
      <x:c r="O303" s="38" t="n">
        <x:v>44907</x:v>
      </x:c>
      <x:c r="P303" s="38" t="n">
        <x:f>F303+G303-H303+I303+J303+K303+L303-M303-N303-O303</x:f>
        <x:v>164043</x:v>
      </x:c>
      <x:c r="Q303" s="38" t="n">
        <x:v>164043</x:v>
      </x:c>
      <x:c r="R303" s="38" t="n">
        <x:f>P303-Q303</x:f>
        <x:v>0</x:v>
      </x:c>
      <x:c r="S303" s="38" t="n">
        <x:v>118560</x:v>
      </x:c>
      <x:c r="T303" s="38" t="n">
        <x:v>17494</x:v>
      </x:c>
      <x:c r="U303" s="38" t="n">
        <x:v>61</x:v>
      </x:c>
      <x:c r="V303" s="38" t="n">
        <x:v>0</x:v>
      </x:c>
      <x:c r="W303" s="38" t="n">
        <x:v>0</x:v>
      </x:c>
      <x:c r="X303" s="44" t="n">
        <x:v>0</x:v>
      </x:c>
      <x:c r="Y303" s="38" t="n">
        <x:v>285</x:v>
      </x:c>
      <x:c r="Z303" s="38" t="n">
        <x:v>7</x:v>
      </x:c>
      <x:c r="AA303" s="38" t="n">
        <x:v>20</x:v>
      </x:c>
      <x:c r="AB303" s="38" t="n">
        <x:v>8</x:v>
      </x:c>
      <x:c r="AC303" s="38" t="n">
        <x:v>9880</x:v>
      </x:c>
      <x:c r="AD303" s="38" t="n">
        <x:v>0</x:v>
      </x:c>
      <x:c r="AE303" s="38" t="n">
        <x:f>IF(B303=1,0,F303-Q302)</x:f>
        <x:v>0</x:v>
      </x:c>
    </x:row>
    <x:row r="304" ht="27" customHeight="1">
      <x:c r="A304" s="28" t="str">
        <x:v>Enthusiast F2P</x:v>
      </x:c>
      <x:c r="B304" s="38" t="n">
        <x:v>60</x:v>
      </x:c>
      <x:c r="C304" s="38" t="n">
        <x:v>38</x:v>
      </x:c>
      <x:c r="D304" s="38" t="n">
        <x:v>660673</x:v>
      </x:c>
      <x:c r="E304" s="38" t="n">
        <x:v>95</x:v>
      </x:c>
      <x:c r="F304" s="38" t="n">
        <x:v>164043</x:v>
      </x:c>
      <x:c r="G304" s="38" t="n">
        <x:v>148200</x:v>
      </x:c>
      <x:c r="H304" s="38" t="n">
        <x:v>29640</x:v>
      </x:c>
      <x:c r="I304" s="38" t="n">
        <x:v>4557</x:v>
      </x:c>
      <x:c r="J304" s="38" t="n">
        <x:v>0</x:v>
      </x:c>
      <x:c r="K304" s="38" t="n">
        <x:v>0</x:v>
      </x:c>
      <x:c r="L304" s="38" t="n">
        <x:v>0</x:v>
      </x:c>
      <x:c r="M304" s="38" t="n">
        <x:v>0</x:v>
      </x:c>
      <x:c r="N304" s="38" t="n">
        <x:v>0</x:v>
      </x:c>
      <x:c r="O304" s="38" t="n">
        <x:v>0</x:v>
      </x:c>
      <x:c r="P304" s="38" t="n">
        <x:f>F304+G304-H304+I304+J304+K304+L304-M304-N304-O304</x:f>
        <x:v>287160</x:v>
      </x:c>
      <x:c r="Q304" s="38" t="n">
        <x:v>287160</x:v>
      </x:c>
      <x:c r="R304" s="38" t="n">
        <x:f>P304-Q304</x:f>
        <x:v>0</x:v>
      </x:c>
      <x:c r="S304" s="38" t="n">
        <x:v>118560</x:v>
      </x:c>
      <x:c r="T304" s="38" t="n">
        <x:v>17494</x:v>
      </x:c>
      <x:c r="U304" s="38" t="n">
        <x:v>61</x:v>
      </x:c>
      <x:c r="V304" s="38" t="n">
        <x:v>0</x:v>
      </x:c>
      <x:c r="W304" s="38" t="n">
        <x:v>0</x:v>
      </x:c>
      <x:c r="X304" s="44" t="n">
        <x:v>0</x:v>
      </x:c>
      <x:c r="Y304" s="38" t="n">
        <x:v>285</x:v>
      </x:c>
      <x:c r="Z304" s="38" t="n">
        <x:v>7</x:v>
      </x:c>
      <x:c r="AA304" s="38" t="n">
        <x:v>20</x:v>
      </x:c>
      <x:c r="AB304" s="38" t="n">
        <x:v>8</x:v>
      </x:c>
      <x:c r="AC304" s="38" t="n">
        <x:v>9880</x:v>
      </x:c>
      <x:c r="AD304" s="38" t="n">
        <x:v>0</x:v>
      </x:c>
      <x:c r="AE304" s="38" t="n">
        <x:f>IF(B304=1,0,F304-Q303)</x:f>
        <x:v>0</x:v>
      </x:c>
    </x:row>
    <x:row r="305" ht="27" customHeight="1">
      <x:c r="A305" s="28" t="str">
        <x:v>Enthusiast F2P</x:v>
      </x:c>
      <x:c r="B305" s="38" t="n">
        <x:v>61</x:v>
      </x:c>
      <x:c r="C305" s="38" t="n">
        <x:v>38</x:v>
      </x:c>
      <x:c r="D305" s="38" t="n">
        <x:v>678167</x:v>
      </x:c>
      <x:c r="E305" s="38" t="n">
        <x:v>95</x:v>
      </x:c>
      <x:c r="F305" s="38" t="n">
        <x:v>287160</x:v>
      </x:c>
      <x:c r="G305" s="38" t="n">
        <x:v>148200</x:v>
      </x:c>
      <x:c r="H305" s="38" t="n">
        <x:v>29640</x:v>
      </x:c>
      <x:c r="I305" s="38" t="n">
        <x:v>4557</x:v>
      </x:c>
      <x:c r="J305" s="38" t="n">
        <x:v>0</x:v>
      </x:c>
      <x:c r="K305" s="38" t="n">
        <x:v>0</x:v>
      </x:c>
      <x:c r="L305" s="38" t="n">
        <x:v>0</x:v>
      </x:c>
      <x:c r="M305" s="38" t="n">
        <x:v>0</x:v>
      </x:c>
      <x:c r="N305" s="38" t="n">
        <x:v>1200</x:v>
      </x:c>
      <x:c r="O305" s="38" t="n">
        <x:v>0</x:v>
      </x:c>
      <x:c r="P305" s="38" t="n">
        <x:f>F305+G305-H305+I305+J305+K305+L305-M305-N305-O305</x:f>
        <x:v>409077</x:v>
      </x:c>
      <x:c r="Q305" s="38" t="n">
        <x:v>409077</x:v>
      </x:c>
      <x:c r="R305" s="38" t="n">
        <x:f>P305-Q305</x:f>
        <x:v>0</x:v>
      </x:c>
      <x:c r="S305" s="38" t="n">
        <x:v>118560</x:v>
      </x:c>
      <x:c r="T305" s="38" t="n">
        <x:v>17494</x:v>
      </x:c>
      <x:c r="U305" s="38" t="n">
        <x:v>61</x:v>
      </x:c>
      <x:c r="V305" s="38" t="n">
        <x:v>0</x:v>
      </x:c>
      <x:c r="W305" s="38" t="n">
        <x:v>0</x:v>
      </x:c>
      <x:c r="X305" s="44" t="n">
        <x:v>0</x:v>
      </x:c>
      <x:c r="Y305" s="38" t="n">
        <x:v>285</x:v>
      </x:c>
      <x:c r="Z305" s="38" t="n">
        <x:v>7</x:v>
      </x:c>
      <x:c r="AA305" s="38" t="n">
        <x:v>21</x:v>
      </x:c>
      <x:c r="AB305" s="38" t="n">
        <x:v>8</x:v>
      </x:c>
      <x:c r="AC305" s="38" t="n">
        <x:v>9880</x:v>
      </x:c>
      <x:c r="AD305" s="38" t="n">
        <x:v>0</x:v>
      </x:c>
      <x:c r="AE305" s="38" t="n">
        <x:f>IF(B305=1,0,F305-Q304)</x:f>
        <x:v>0</x:v>
      </x:c>
    </x:row>
    <x:row r="306" ht="27" customHeight="1">
      <x:c r="A306" s="28" t="str">
        <x:v>Enthusiast F2P</x:v>
      </x:c>
      <x:c r="B306" s="38" t="n">
        <x:v>62</x:v>
      </x:c>
      <x:c r="C306" s="38" t="n">
        <x:v>39</x:v>
      </x:c>
      <x:c r="D306" s="38" t="n">
        <x:v>694711</x:v>
      </x:c>
      <x:c r="E306" s="38" t="n">
        <x:v>95</x:v>
      </x:c>
      <x:c r="F306" s="38" t="n">
        <x:v>409077</x:v>
      </x:c>
      <x:c r="G306" s="38" t="n">
        <x:v>159790</x:v>
      </x:c>
      <x:c r="H306" s="38" t="n">
        <x:v>33060</x:v>
      </x:c>
      <x:c r="I306" s="38" t="n">
        <x:v>4557</x:v>
      </x:c>
      <x:c r="J306" s="38" t="n">
        <x:v>1160</x:v>
      </x:c>
      <x:c r="K306" s="38" t="n">
        <x:v>0</x:v>
      </x:c>
      <x:c r="L306" s="38" t="n">
        <x:v>0</x:v>
      </x:c>
      <x:c r="M306" s="38" t="n">
        <x:v>0</x:v>
      </x:c>
      <x:c r="N306" s="38" t="n">
        <x:v>0</x:v>
      </x:c>
      <x:c r="O306" s="38" t="n">
        <x:v>0</x:v>
      </x:c>
      <x:c r="P306" s="38" t="n">
        <x:f>F306+G306-H306+I306+J306+K306+L306-M306-N306-O306</x:f>
        <x:v>541524</x:v>
      </x:c>
      <x:c r="Q306" s="38" t="n">
        <x:v>541524</x:v>
      </x:c>
      <x:c r="R306" s="38" t="n">
        <x:f>P306-Q306</x:f>
        <x:v>0</x:v>
      </x:c>
      <x:c r="S306" s="38" t="n">
        <x:v>127870</x:v>
      </x:c>
      <x:c r="T306" s="38" t="n">
        <x:v>16544</x:v>
      </x:c>
      <x:c r="U306" s="38" t="n">
        <x:v>61</x:v>
      </x:c>
      <x:c r="V306" s="38" t="n">
        <x:v>0</x:v>
      </x:c>
      <x:c r="W306" s="38" t="n">
        <x:v>0</x:v>
      </x:c>
      <x:c r="X306" s="44" t="n">
        <x:v>0</x:v>
      </x:c>
      <x:c r="Y306" s="38" t="n">
        <x:v>285</x:v>
      </x:c>
      <x:c r="Z306" s="38" t="n">
        <x:v>7</x:v>
      </x:c>
      <x:c r="AA306" s="38" t="n">
        <x:v>21</x:v>
      </x:c>
      <x:c r="AB306" s="38" t="n">
        <x:v>8</x:v>
      </x:c>
      <x:c r="AC306" s="38" t="n">
        <x:v>11020</x:v>
      </x:c>
      <x:c r="AD306" s="38" t="n">
        <x:v>0</x:v>
      </x:c>
      <x:c r="AE306" s="38" t="n">
        <x:f>IF(B306=1,0,F306-Q305)</x:f>
        <x:v>0</x:v>
      </x:c>
    </x:row>
    <x:row r="307" ht="27" customHeight="1">
      <x:c r="A307" s="28" t="str">
        <x:v>Enthusiast F2P</x:v>
      </x:c>
      <x:c r="B307" s="38" t="n">
        <x:v>63</x:v>
      </x:c>
      <x:c r="C307" s="38" t="n">
        <x:v>39</x:v>
      </x:c>
      <x:c r="D307" s="38" t="n">
        <x:v>716665</x:v>
      </x:c>
      <x:c r="E307" s="38" t="n">
        <x:v>95</x:v>
      </x:c>
      <x:c r="F307" s="38" t="n">
        <x:v>541524</x:v>
      </x:c>
      <x:c r="G307" s="38" t="n">
        <x:v>165585</x:v>
      </x:c>
      <x:c r="H307" s="38" t="n">
        <x:v>33060</x:v>
      </x:c>
      <x:c r="I307" s="38" t="n">
        <x:v>25856</x:v>
      </x:c>
      <x:c r="J307" s="38" t="n">
        <x:v>0</x:v>
      </x:c>
      <x:c r="K307" s="38" t="n">
        <x:v>0</x:v>
      </x:c>
      <x:c r="L307" s="38" t="n">
        <x:v>0</x:v>
      </x:c>
      <x:c r="M307" s="38" t="n">
        <x:v>0</x:v>
      </x:c>
      <x:c r="N307" s="38" t="n">
        <x:v>0</x:v>
      </x:c>
      <x:c r="O307" s="38" t="n">
        <x:v>0</x:v>
      </x:c>
      <x:c r="P307" s="38" t="n">
        <x:f>F307+G307-H307+I307+J307+K307+L307-M307-N307-O307</x:f>
        <x:v>699905</x:v>
      </x:c>
      <x:c r="Q307" s="38" t="n">
        <x:v>699905</x:v>
      </x:c>
      <x:c r="R307" s="38" t="n">
        <x:f>P307-Q307</x:f>
        <x:v>0</x:v>
      </x:c>
      <x:c r="S307" s="38" t="n">
        <x:v>132525</x:v>
      </x:c>
      <x:c r="T307" s="38" t="n">
        <x:v>21954</x:v>
      </x:c>
      <x:c r="U307" s="38" t="n">
        <x:v>63</x:v>
      </x:c>
      <x:c r="V307" s="38" t="n">
        <x:v>2</x:v>
      </x:c>
      <x:c r="W307" s="38" t="n">
        <x:v>0</x:v>
      </x:c>
      <x:c r="X307" s="44" t="n">
        <x:v>0</x:v>
      </x:c>
      <x:c r="Y307" s="38" t="n">
        <x:v>285</x:v>
      </x:c>
      <x:c r="Z307" s="38" t="n">
        <x:v>7</x:v>
      </x:c>
      <x:c r="AA307" s="38" t="n">
        <x:v>21</x:v>
      </x:c>
      <x:c r="AB307" s="38" t="n">
        <x:v>8</x:v>
      </x:c>
      <x:c r="AC307" s="38" t="n">
        <x:v>11020</x:v>
      </x:c>
      <x:c r="AD307" s="38" t="n">
        <x:v>0</x:v>
      </x:c>
      <x:c r="AE307" s="38" t="n">
        <x:f>IF(B307=1,0,F307-Q306)</x:f>
        <x:v>0</x:v>
      </x:c>
    </x:row>
    <x:row r="308" ht="27" customHeight="1">
      <x:c r="A308" s="28" t="str">
        <x:v>Enthusiast F2P</x:v>
      </x:c>
      <x:c r="B308" s="38" t="n">
        <x:v>64</x:v>
      </x:c>
      <x:c r="C308" s="38" t="n">
        <x:v>39</x:v>
      </x:c>
      <x:c r="D308" s="38" t="n">
        <x:v>732744</x:v>
      </x:c>
      <x:c r="E308" s="38" t="n">
        <x:v>95</x:v>
      </x:c>
      <x:c r="F308" s="38" t="n">
        <x:v>699905</x:v>
      </x:c>
      <x:c r="G308" s="38" t="n">
        <x:v>165585</x:v>
      </x:c>
      <x:c r="H308" s="38" t="n">
        <x:v>33060</x:v>
      </x:c>
      <x:c r="I308" s="38" t="n">
        <x:v>4634</x:v>
      </x:c>
      <x:c r="J308" s="38" t="n">
        <x:v>0</x:v>
      </x:c>
      <x:c r="K308" s="38" t="n">
        <x:v>0</x:v>
      </x:c>
      <x:c r="L308" s="38" t="n">
        <x:v>0</x:v>
      </x:c>
      <x:c r="M308" s="38" t="n">
        <x:v>0</x:v>
      </x:c>
      <x:c r="N308" s="38" t="n">
        <x:v>2710</x:v>
      </x:c>
      <x:c r="O308" s="38" t="n">
        <x:v>0</x:v>
      </x:c>
      <x:c r="P308" s="38" t="n">
        <x:f>F308+G308-H308+I308+J308+K308+L308-M308-N308-O308</x:f>
        <x:v>834354</x:v>
      </x:c>
      <x:c r="Q308" s="38" t="n">
        <x:v>834354</x:v>
      </x:c>
      <x:c r="R308" s="38" t="n">
        <x:f>P308-Q308</x:f>
        <x:v>0</x:v>
      </x:c>
      <x:c r="S308" s="38" t="n">
        <x:v>132525</x:v>
      </x:c>
      <x:c r="T308" s="38" t="n">
        <x:v>16079</x:v>
      </x:c>
      <x:c r="U308" s="38" t="n">
        <x:v>63</x:v>
      </x:c>
      <x:c r="V308" s="38" t="n">
        <x:v>0</x:v>
      </x:c>
      <x:c r="W308" s="38" t="n">
        <x:v>0</x:v>
      </x:c>
      <x:c r="X308" s="44" t="n">
        <x:v>0</x:v>
      </x:c>
      <x:c r="Y308" s="38" t="n">
        <x:v>285</x:v>
      </x:c>
      <x:c r="Z308" s="38" t="n">
        <x:v>7</x:v>
      </x:c>
      <x:c r="AA308" s="38" t="n">
        <x:v>22</x:v>
      </x:c>
      <x:c r="AB308" s="38" t="n">
        <x:v>8</x:v>
      </x:c>
      <x:c r="AC308" s="38" t="n">
        <x:v>11020</x:v>
      </x:c>
      <x:c r="AD308" s="38" t="n">
        <x:v>0</x:v>
      </x:c>
      <x:c r="AE308" s="38" t="n">
        <x:f>IF(B308=1,0,F308-Q307)</x:f>
        <x:v>0</x:v>
      </x:c>
    </x:row>
    <x:row r="309" ht="27" customHeight="1">
      <x:c r="A309" s="28" t="str">
        <x:v>Enthusiast F2P</x:v>
      </x:c>
      <x:c r="B309" s="38" t="n">
        <x:v>65</x:v>
      </x:c>
      <x:c r="C309" s="38" t="n">
        <x:v>40</x:v>
      </x:c>
      <x:c r="D309" s="38" t="n">
        <x:v>742640</x:v>
      </x:c>
      <x:c r="E309" s="38" t="n">
        <x:v>100</x:v>
      </x:c>
      <x:c r="F309" s="38" t="n">
        <x:v>834354</x:v>
      </x:c>
      <x:c r="G309" s="38" t="n">
        <x:v>164190</x:v>
      </x:c>
      <x:c r="H309" s="38" t="n">
        <x:v>32620</x:v>
      </x:c>
      <x:c r="I309" s="38" t="n">
        <x:v>4634</x:v>
      </x:c>
      <x:c r="J309" s="38" t="n">
        <x:v>1240</x:v>
      </x:c>
      <x:c r="K309" s="38" t="n">
        <x:v>0</x:v>
      </x:c>
      <x:c r="L309" s="38" t="n">
        <x:v>0</x:v>
      </x:c>
      <x:c r="M309" s="38" t="n">
        <x:v>700000</x:v>
      </x:c>
      <x:c r="N309" s="38" t="n">
        <x:v>0</x:v>
      </x:c>
      <x:c r="O309" s="38" t="n">
        <x:v>260998</x:v>
      </x:c>
      <x:c r="P309" s="38" t="n">
        <x:f>F309+G309-H309+I309+J309+K309+L309-M309-N309-O309</x:f>
        <x:v>10800</x:v>
      </x:c>
      <x:c r="Q309" s="38" t="n">
        <x:v>10800</x:v>
      </x:c>
      <x:c r="R309" s="38" t="n">
        <x:f>P309-Q309</x:f>
        <x:v>0</x:v>
      </x:c>
      <x:c r="S309" s="38" t="n">
        <x:v>131350</x:v>
      </x:c>
      <x:c r="T309" s="38" t="n">
        <x:v>9896</x:v>
      </x:c>
      <x:c r="U309" s="38" t="n">
        <x:v>66</x:v>
      </x:c>
      <x:c r="V309" s="38" t="n">
        <x:v>3</x:v>
      </x:c>
      <x:c r="W309" s="38" t="n">
        <x:v>0</x:v>
      </x:c>
      <x:c r="X309" s="44" t="n">
        <x:v>0</x:v>
      </x:c>
      <x:c r="Y309" s="38" t="n">
        <x:v>290</x:v>
      </x:c>
      <x:c r="Z309" s="38" t="n">
        <x:v>7</x:v>
      </x:c>
      <x:c r="AA309" s="38" t="n">
        <x:v>22</x:v>
      </x:c>
      <x:c r="AB309" s="38" t="n">
        <x:v>8</x:v>
      </x:c>
      <x:c r="AC309" s="38" t="n">
        <x:v>10800</x:v>
      </x:c>
      <x:c r="AD309" s="38" t="n">
        <x:v>0</x:v>
      </x:c>
      <x:c r="AE309" s="38" t="n">
        <x:f>IF(B309=1,0,F309-Q308)</x:f>
        <x:v>0</x:v>
      </x:c>
    </x:row>
    <x:row r="310" ht="27" customHeight="1">
      <x:c r="A310" s="28" t="str">
        <x:v>Enthusiast F2P</x:v>
      </x:c>
      <x:c r="B310" s="38" t="n">
        <x:v>66</x:v>
      </x:c>
      <x:c r="C310" s="38" t="n">
        <x:v>40</x:v>
      </x:c>
      <x:c r="D310" s="38" t="n">
        <x:v>742640</x:v>
      </x:c>
      <x:c r="E310" s="38" t="n">
        <x:v>100</x:v>
      </x:c>
      <x:c r="F310" s="38" t="n">
        <x:v>10800</x:v>
      </x:c>
      <x:c r="G310" s="38" t="n">
        <x:v>161400</x:v>
      </x:c>
      <x:c r="H310" s="38" t="n">
        <x:v>32400</x:v>
      </x:c>
      <x:c r="I310" s="38" t="n">
        <x:v>4959</x:v>
      </x:c>
      <x:c r="J310" s="38" t="n">
        <x:v>0</x:v>
      </x:c>
      <x:c r="K310" s="38" t="n">
        <x:v>0</x:v>
      </x:c>
      <x:c r="L310" s="38" t="n">
        <x:v>0</x:v>
      </x:c>
      <x:c r="M310" s="38" t="n">
        <x:v>0</x:v>
      </x:c>
      <x:c r="N310" s="38" t="n">
        <x:v>0</x:v>
      </x:c>
      <x:c r="O310" s="38" t="n">
        <x:v>133959</x:v>
      </x:c>
      <x:c r="P310" s="38" t="n">
        <x:f>F310+G310-H310+I310+J310+K310+L310-M310-N310-O310</x:f>
        <x:v>10800</x:v>
      </x:c>
      <x:c r="Q310" s="38" t="n">
        <x:v>10800</x:v>
      </x:c>
      <x:c r="R310" s="38" t="n">
        <x:f>P310-Q310</x:f>
        <x:v>0</x:v>
      </x:c>
      <x:c r="S310" s="38" t="n">
        <x:v>129000</x:v>
      </x:c>
      <x:c r="T310" s="38" t="n">
        <x:v>0</x:v>
      </x:c>
      <x:c r="U310" s="38" t="n">
        <x:v>66</x:v>
      </x:c>
      <x:c r="V310" s="38" t="n">
        <x:v>0</x:v>
      </x:c>
      <x:c r="W310" s="38" t="n">
        <x:v>0</x:v>
      </x:c>
      <x:c r="X310" s="44" t="n">
        <x:v>0</x:v>
      </x:c>
      <x:c r="Y310" s="38" t="n">
        <x:v>300</x:v>
      </x:c>
      <x:c r="Z310" s="38" t="n">
        <x:v>7</x:v>
      </x:c>
      <x:c r="AA310" s="38" t="n">
        <x:v>22</x:v>
      </x:c>
      <x:c r="AB310" s="38" t="n">
        <x:v>8</x:v>
      </x:c>
      <x:c r="AC310" s="38" t="n">
        <x:v>10800</x:v>
      </x:c>
      <x:c r="AD310" s="38" t="n">
        <x:v>0</x:v>
      </x:c>
      <x:c r="AE310" s="38" t="n">
        <x:f>IF(B310=1,0,F310-Q309)</x:f>
        <x:v>0</x:v>
      </x:c>
    </x:row>
    <x:row r="311" ht="27" customHeight="1">
      <x:c r="A311" s="28" t="str">
        <x:v>Enthusiast F2P</x:v>
      </x:c>
      <x:c r="B311" s="38" t="n">
        <x:v>67</x:v>
      </x:c>
      <x:c r="C311" s="38" t="n">
        <x:v>40</x:v>
      </x:c>
      <x:c r="D311" s="38" t="n">
        <x:v>742640</x:v>
      </x:c>
      <x:c r="E311" s="38" t="n">
        <x:v>100</x:v>
      </x:c>
      <x:c r="F311" s="38" t="n">
        <x:v>10800</x:v>
      </x:c>
      <x:c r="G311" s="38" t="n">
        <x:v>161400</x:v>
      </x:c>
      <x:c r="H311" s="38" t="n">
        <x:v>32400</x:v>
      </x:c>
      <x:c r="I311" s="38" t="n">
        <x:v>4959</x:v>
      </x:c>
      <x:c r="J311" s="38" t="n">
        <x:v>0</x:v>
      </x:c>
      <x:c r="K311" s="38" t="n">
        <x:v>0</x:v>
      </x:c>
      <x:c r="L311" s="38" t="n">
        <x:v>0</x:v>
      </x:c>
      <x:c r="M311" s="38" t="n">
        <x:v>0</x:v>
      </x:c>
      <x:c r="N311" s="38" t="n">
        <x:v>1490</x:v>
      </x:c>
      <x:c r="O311" s="38" t="n">
        <x:v>100943</x:v>
      </x:c>
      <x:c r="P311" s="38" t="n">
        <x:f>F311+G311-H311+I311+J311+K311+L311-M311-N311-O311</x:f>
        <x:v>42326</x:v>
      </x:c>
      <x:c r="Q311" s="38" t="n">
        <x:v>42326</x:v>
      </x:c>
      <x:c r="R311" s="38" t="n">
        <x:f>P311-Q311</x:f>
        <x:v>0</x:v>
      </x:c>
      <x:c r="S311" s="38" t="n">
        <x:v>129000</x:v>
      </x:c>
      <x:c r="T311" s="38" t="n">
        <x:v>0</x:v>
      </x:c>
      <x:c r="U311" s="38" t="n">
        <x:v>66</x:v>
      </x:c>
      <x:c r="V311" s="38" t="n">
        <x:v>0</x:v>
      </x:c>
      <x:c r="W311" s="38" t="n">
        <x:v>0</x:v>
      </x:c>
      <x:c r="X311" s="44" t="n">
        <x:v>0</x:v>
      </x:c>
      <x:c r="Y311" s="38" t="n">
        <x:v>300</x:v>
      </x:c>
      <x:c r="Z311" s="38" t="n">
        <x:v>7</x:v>
      </x:c>
      <x:c r="AA311" s="38" t="n">
        <x:v>23</x:v>
      </x:c>
      <x:c r="AB311" s="38" t="n">
        <x:v>9</x:v>
      </x:c>
      <x:c r="AC311" s="38" t="n">
        <x:v>10800</x:v>
      </x:c>
      <x:c r="AD311" s="38" t="n">
        <x:v>0</x:v>
      </x:c>
      <x:c r="AE311" s="38" t="n">
        <x:f>IF(B311=1,0,F311-Q310)</x:f>
        <x:v>0</x:v>
      </x:c>
    </x:row>
    <x:row r="312" ht="27" customHeight="1">
      <x:c r="A312" s="28" t="str">
        <x:v>Enthusiast F2P</x:v>
      </x:c>
      <x:c r="B312" s="38" t="n">
        <x:v>68</x:v>
      </x:c>
      <x:c r="C312" s="38" t="n">
        <x:v>40</x:v>
      </x:c>
      <x:c r="D312" s="38" t="n">
        <x:v>742640</x:v>
      </x:c>
      <x:c r="E312" s="38" t="n">
        <x:v>100</x:v>
      </x:c>
      <x:c r="F312" s="38" t="n">
        <x:v>42326</x:v>
      </x:c>
      <x:c r="G312" s="38" t="n">
        <x:v>161400</x:v>
      </x:c>
      <x:c r="H312" s="38" t="n">
        <x:v>32400</x:v>
      </x:c>
      <x:c r="I312" s="38" t="n">
        <x:v>4959</x:v>
      </x:c>
      <x:c r="J312" s="38" t="n">
        <x:v>0</x:v>
      </x:c>
      <x:c r="K312" s="38" t="n">
        <x:v>0</x:v>
      </x:c>
      <x:c r="L312" s="38" t="n">
        <x:v>0</x:v>
      </x:c>
      <x:c r="M312" s="38" t="n">
        <x:v>0</x:v>
      </x:c>
      <x:c r="N312" s="38" t="n">
        <x:v>0</x:v>
      </x:c>
      <x:c r="O312" s="38" t="n">
        <x:v>165485</x:v>
      </x:c>
      <x:c r="P312" s="38" t="n">
        <x:f>F312+G312-H312+I312+J312+K312+L312-M312-N312-O312</x:f>
        <x:v>10800</x:v>
      </x:c>
      <x:c r="Q312" s="38" t="n">
        <x:v>10800</x:v>
      </x:c>
      <x:c r="R312" s="38" t="n">
        <x:f>P312-Q312</x:f>
        <x:v>0</x:v>
      </x:c>
      <x:c r="S312" s="38" t="n">
        <x:v>129000</x:v>
      </x:c>
      <x:c r="T312" s="38" t="n">
        <x:v>0</x:v>
      </x:c>
      <x:c r="U312" s="38" t="n">
        <x:v>66</x:v>
      </x:c>
      <x:c r="V312" s="38" t="n">
        <x:v>0</x:v>
      </x:c>
      <x:c r="W312" s="38" t="n">
        <x:v>0</x:v>
      </x:c>
      <x:c r="X312" s="44" t="n">
        <x:v>0</x:v>
      </x:c>
      <x:c r="Y312" s="38" t="n">
        <x:v>300</x:v>
      </x:c>
      <x:c r="Z312" s="38" t="n">
        <x:v>7</x:v>
      </x:c>
      <x:c r="AA312" s="38" t="n">
        <x:v>23</x:v>
      </x:c>
      <x:c r="AB312" s="38" t="n">
        <x:v>9</x:v>
      </x:c>
      <x:c r="AC312" s="38" t="n">
        <x:v>10800</x:v>
      </x:c>
      <x:c r="AD312" s="38" t="n">
        <x:v>0</x:v>
      </x:c>
      <x:c r="AE312" s="38" t="n">
        <x:f>IF(B312=1,0,F312-Q311)</x:f>
        <x:v>0</x:v>
      </x:c>
    </x:row>
    <x:row r="313" ht="27" customHeight="1">
      <x:c r="A313" s="28" t="str">
        <x:v>Enthusiast F2P</x:v>
      </x:c>
      <x:c r="B313" s="38" t="n">
        <x:v>69</x:v>
      </x:c>
      <x:c r="C313" s="38" t="n">
        <x:v>40</x:v>
      </x:c>
      <x:c r="D313" s="38" t="n">
        <x:v>742640</x:v>
      </x:c>
      <x:c r="E313" s="38" t="n">
        <x:v>100</x:v>
      </x:c>
      <x:c r="F313" s="38" t="n">
        <x:v>10800</x:v>
      </x:c>
      <x:c r="G313" s="38" t="n">
        <x:v>161400</x:v>
      </x:c>
      <x:c r="H313" s="38" t="n">
        <x:v>32400</x:v>
      </x:c>
      <x:c r="I313" s="38" t="n">
        <x:v>4959</x:v>
      </x:c>
      <x:c r="J313" s="38" t="n">
        <x:v>0</x:v>
      </x:c>
      <x:c r="K313" s="38" t="n">
        <x:v>0</x:v>
      </x:c>
      <x:c r="L313" s="38" t="n">
        <x:v>0</x:v>
      </x:c>
      <x:c r="M313" s="38" t="n">
        <x:v>0</x:v>
      </x:c>
      <x:c r="N313" s="38" t="n">
        <x:v>0</x:v>
      </x:c>
      <x:c r="O313" s="38" t="n">
        <x:v>133959</x:v>
      </x:c>
      <x:c r="P313" s="38" t="n">
        <x:f>F313+G313-H313+I313+J313+K313+L313-M313-N313-O313</x:f>
        <x:v>10800</x:v>
      </x:c>
      <x:c r="Q313" s="38" t="n">
        <x:v>10800</x:v>
      </x:c>
      <x:c r="R313" s="38" t="n">
        <x:f>P313-Q313</x:f>
        <x:v>0</x:v>
      </x:c>
      <x:c r="S313" s="38" t="n">
        <x:v>129000</x:v>
      </x:c>
      <x:c r="T313" s="38" t="n">
        <x:v>0</x:v>
      </x:c>
      <x:c r="U313" s="38" t="n">
        <x:v>66</x:v>
      </x:c>
      <x:c r="V313" s="38" t="n">
        <x:v>0</x:v>
      </x:c>
      <x:c r="W313" s="38" t="n">
        <x:v>0</x:v>
      </x:c>
      <x:c r="X313" s="44" t="n">
        <x:v>0</x:v>
      </x:c>
      <x:c r="Y313" s="38" t="n">
        <x:v>300</x:v>
      </x:c>
      <x:c r="Z313" s="38" t="n">
        <x:v>7</x:v>
      </x:c>
      <x:c r="AA313" s="38" t="n">
        <x:v>23</x:v>
      </x:c>
      <x:c r="AB313" s="38" t="n">
        <x:v>9</x:v>
      </x:c>
      <x:c r="AC313" s="38" t="n">
        <x:v>10800</x:v>
      </x:c>
      <x:c r="AD313" s="38" t="n">
        <x:v>0</x:v>
      </x:c>
      <x:c r="AE313" s="38" t="n">
        <x:f>IF(B313=1,0,F313-Q312)</x:f>
        <x:v>0</x:v>
      </x:c>
    </x:row>
    <x:row r="314" ht="27" customHeight="1">
      <x:c r="A314" s="28" t="str">
        <x:v>Enthusiast F2P</x:v>
      </x:c>
      <x:c r="B314" s="38" t="n">
        <x:v>70</x:v>
      </x:c>
      <x:c r="C314" s="38" t="n">
        <x:v>40</x:v>
      </x:c>
      <x:c r="D314" s="38" t="n">
        <x:v>742640</x:v>
      </x:c>
      <x:c r="E314" s="38" t="n">
        <x:v>100</x:v>
      </x:c>
      <x:c r="F314" s="38" t="n">
        <x:v>10800</x:v>
      </x:c>
      <x:c r="G314" s="38" t="n">
        <x:v>161400</x:v>
      </x:c>
      <x:c r="H314" s="38" t="n">
        <x:v>32400</x:v>
      </x:c>
      <x:c r="I314" s="38" t="n">
        <x:v>28130</x:v>
      </x:c>
      <x:c r="J314" s="38" t="n">
        <x:v>0</x:v>
      </x:c>
      <x:c r="K314" s="38" t="n">
        <x:v>0</x:v>
      </x:c>
      <x:c r="L314" s="38" t="n">
        <x:v>0</x:v>
      </x:c>
      <x:c r="M314" s="38" t="n">
        <x:v>0</x:v>
      </x:c>
      <x:c r="N314" s="38" t="n">
        <x:v>2870</x:v>
      </x:c>
      <x:c r="O314" s="38" t="n">
        <x:v>154260</x:v>
      </x:c>
      <x:c r="P314" s="38" t="n">
        <x:f>F314+G314-H314+I314+J314+K314+L314-M314-N314-O314</x:f>
        <x:v>10800</x:v>
      </x:c>
      <x:c r="Q314" s="38" t="n">
        <x:v>10800</x:v>
      </x:c>
      <x:c r="R314" s="38" t="n">
        <x:f>P314-Q314</x:f>
        <x:v>0</x:v>
      </x:c>
      <x:c r="S314" s="38" t="n">
        <x:v>129000</x:v>
      </x:c>
      <x:c r="T314" s="38" t="n">
        <x:v>0</x:v>
      </x:c>
      <x:c r="U314" s="38" t="n">
        <x:v>68</x:v>
      </x:c>
      <x:c r="V314" s="38" t="n">
        <x:v>2</x:v>
      </x:c>
      <x:c r="W314" s="38" t="n">
        <x:v>0</x:v>
      </x:c>
      <x:c r="X314" s="44" t="n">
        <x:v>0</x:v>
      </x:c>
      <x:c r="Y314" s="38" t="n">
        <x:v>300</x:v>
      </x:c>
      <x:c r="Z314" s="38" t="n">
        <x:v>7</x:v>
      </x:c>
      <x:c r="AA314" s="38" t="n">
        <x:v>24</x:v>
      </x:c>
      <x:c r="AB314" s="38" t="n">
        <x:v>9</x:v>
      </x:c>
      <x:c r="AC314" s="38" t="n">
        <x:v>10800</x:v>
      </x:c>
      <x:c r="AD314" s="38" t="n">
        <x:v>0</x:v>
      </x:c>
      <x:c r="AE314" s="38" t="n">
        <x:f>IF(B314=1,0,F314-Q313)</x:f>
        <x:v>0</x:v>
      </x:c>
    </x:row>
    <x:row r="315" ht="27" customHeight="1">
      <x:c r="A315" s="28" t="str">
        <x:v>Enthusiast F2P</x:v>
      </x:c>
      <x:c r="B315" s="38" t="n">
        <x:v>71</x:v>
      </x:c>
      <x:c r="C315" s="38" t="n">
        <x:v>40</x:v>
      </x:c>
      <x:c r="D315" s="38" t="n">
        <x:v>742640</x:v>
      </x:c>
      <x:c r="E315" s="38" t="n">
        <x:v>100</x:v>
      </x:c>
      <x:c r="F315" s="38" t="n">
        <x:v>10800</x:v>
      </x:c>
      <x:c r="G315" s="38" t="n">
        <x:v>161400</x:v>
      </x:c>
      <x:c r="H315" s="38" t="n">
        <x:v>32400</x:v>
      </x:c>
      <x:c r="I315" s="38" t="n">
        <x:v>4959</x:v>
      </x:c>
      <x:c r="J315" s="38" t="n">
        <x:v>0</x:v>
      </x:c>
      <x:c r="K315" s="38" t="n">
        <x:v>0</x:v>
      </x:c>
      <x:c r="L315" s="38" t="n">
        <x:v>0</x:v>
      </x:c>
      <x:c r="M315" s="38" t="n">
        <x:v>0</x:v>
      </x:c>
      <x:c r="N315" s="38" t="n">
        <x:v>0</x:v>
      </x:c>
      <x:c r="O315" s="38" t="n">
        <x:v>133959</x:v>
      </x:c>
      <x:c r="P315" s="38" t="n">
        <x:f>F315+G315-H315+I315+J315+K315+L315-M315-N315-O315</x:f>
        <x:v>10800</x:v>
      </x:c>
      <x:c r="Q315" s="38" t="n">
        <x:v>10800</x:v>
      </x:c>
      <x:c r="R315" s="38" t="n">
        <x:f>P315-Q315</x:f>
        <x:v>0</x:v>
      </x:c>
      <x:c r="S315" s="38" t="n">
        <x:v>129000</x:v>
      </x:c>
      <x:c r="T315" s="38" t="n">
        <x:v>0</x:v>
      </x:c>
      <x:c r="U315" s="38" t="n">
        <x:v>68</x:v>
      </x:c>
      <x:c r="V315" s="38" t="n">
        <x:v>0</x:v>
      </x:c>
      <x:c r="W315" s="38" t="n">
        <x:v>0</x:v>
      </x:c>
      <x:c r="X315" s="44" t="n">
        <x:v>0</x:v>
      </x:c>
      <x:c r="Y315" s="38" t="n">
        <x:v>300</x:v>
      </x:c>
      <x:c r="Z315" s="38" t="n">
        <x:v>7</x:v>
      </x:c>
      <x:c r="AA315" s="38" t="n">
        <x:v>24</x:v>
      </x:c>
      <x:c r="AB315" s="38" t="n">
        <x:v>9</x:v>
      </x:c>
      <x:c r="AC315" s="38" t="n">
        <x:v>10800</x:v>
      </x:c>
      <x:c r="AD315" s="38" t="n">
        <x:v>0</x:v>
      </x:c>
      <x:c r="AE315" s="38" t="n">
        <x:f>IF(B315=1,0,F315-Q314)</x:f>
        <x:v>0</x:v>
      </x:c>
    </x:row>
    <x:row r="316" ht="27" customHeight="1">
      <x:c r="A316" s="28" t="str">
        <x:v>Enthusiast F2P</x:v>
      </x:c>
      <x:c r="B316" s="38" t="n">
        <x:v>72</x:v>
      </x:c>
      <x:c r="C316" s="38" t="n">
        <x:v>40</x:v>
      </x:c>
      <x:c r="D316" s="38" t="n">
        <x:v>742640</x:v>
      </x:c>
      <x:c r="E316" s="38" t="n">
        <x:v>100</x:v>
      </x:c>
      <x:c r="F316" s="38" t="n">
        <x:v>10800</x:v>
      </x:c>
      <x:c r="G316" s="38" t="n">
        <x:v>161400</x:v>
      </x:c>
      <x:c r="H316" s="38" t="n">
        <x:v>32400</x:v>
      </x:c>
      <x:c r="I316" s="38" t="n">
        <x:v>4959</x:v>
      </x:c>
      <x:c r="J316" s="38" t="n">
        <x:v>0</x:v>
      </x:c>
      <x:c r="K316" s="38" t="n">
        <x:v>0</x:v>
      </x:c>
      <x:c r="L316" s="38" t="n">
        <x:v>0</x:v>
      </x:c>
      <x:c r="M316" s="38" t="n">
        <x:v>0</x:v>
      </x:c>
      <x:c r="N316" s="38" t="n">
        <x:v>0</x:v>
      </x:c>
      <x:c r="O316" s="38" t="n">
        <x:v>48356</x:v>
      </x:c>
      <x:c r="P316" s="38" t="n">
        <x:f>F316+G316-H316+I316+J316+K316+L316-M316-N316-O316</x:f>
        <x:v>96403</x:v>
      </x:c>
      <x:c r="Q316" s="38" t="n">
        <x:v>96403</x:v>
      </x:c>
      <x:c r="R316" s="38" t="n">
        <x:f>P316-Q316</x:f>
        <x:v>0</x:v>
      </x:c>
      <x:c r="S316" s="38" t="n">
        <x:v>129000</x:v>
      </x:c>
      <x:c r="T316" s="38" t="n">
        <x:v>0</x:v>
      </x:c>
      <x:c r="U316" s="38" t="n">
        <x:v>68</x:v>
      </x:c>
      <x:c r="V316" s="38" t="n">
        <x:v>0</x:v>
      </x:c>
      <x:c r="W316" s="38" t="n">
        <x:v>0</x:v>
      </x:c>
      <x:c r="X316" s="44" t="n">
        <x:v>0</x:v>
      </x:c>
      <x:c r="Y316" s="38" t="n">
        <x:v>300</x:v>
      </x:c>
      <x:c r="Z316" s="38" t="n">
        <x:v>7</x:v>
      </x:c>
      <x:c r="AA316" s="38" t="n">
        <x:v>24</x:v>
      </x:c>
      <x:c r="AB316" s="38" t="n">
        <x:v>9</x:v>
      </x:c>
      <x:c r="AC316" s="38" t="n">
        <x:v>10800</x:v>
      </x:c>
      <x:c r="AD316" s="38" t="n">
        <x:v>0</x:v>
      </x:c>
      <x:c r="AE316" s="38" t="n">
        <x:f>IF(B316=1,0,F316-Q315)</x:f>
        <x:v>0</x:v>
      </x:c>
    </x:row>
    <x:row r="317" ht="27" customHeight="1">
      <x:c r="A317" s="28" t="str">
        <x:v>Enthusiast F2P</x:v>
      </x:c>
      <x:c r="B317" s="38" t="n">
        <x:v>73</x:v>
      </x:c>
      <x:c r="C317" s="38" t="n">
        <x:v>40</x:v>
      </x:c>
      <x:c r="D317" s="38" t="n">
        <x:v>742640</x:v>
      </x:c>
      <x:c r="E317" s="38" t="n">
        <x:v>100</x:v>
      </x:c>
      <x:c r="F317" s="38" t="n">
        <x:v>96403</x:v>
      </x:c>
      <x:c r="G317" s="38" t="n">
        <x:v>161400</x:v>
      </x:c>
      <x:c r="H317" s="38" t="n">
        <x:v>32400</x:v>
      </x:c>
      <x:c r="I317" s="38" t="n">
        <x:v>4959</x:v>
      </x:c>
      <x:c r="J317" s="38" t="n">
        <x:v>0</x:v>
      </x:c>
      <x:c r="K317" s="38" t="n">
        <x:v>0</x:v>
      </x:c>
      <x:c r="L317" s="38" t="n">
        <x:v>0</x:v>
      </x:c>
      <x:c r="M317" s="38" t="n">
        <x:v>0</x:v>
      </x:c>
      <x:c r="N317" s="38" t="n">
        <x:v>1575</x:v>
      </x:c>
      <x:c r="O317" s="38" t="n">
        <x:v>45150</x:v>
      </x:c>
      <x:c r="P317" s="38" t="n">
        <x:f>F317+G317-H317+I317+J317+K317+L317-M317-N317-O317</x:f>
        <x:v>183637</x:v>
      </x:c>
      <x:c r="Q317" s="38" t="n">
        <x:v>183637</x:v>
      </x:c>
      <x:c r="R317" s="38" t="n">
        <x:f>P317-Q317</x:f>
        <x:v>0</x:v>
      </x:c>
      <x:c r="S317" s="38" t="n">
        <x:v>129000</x:v>
      </x:c>
      <x:c r="T317" s="38" t="n">
        <x:v>0</x:v>
      </x:c>
      <x:c r="U317" s="38" t="n">
        <x:v>68</x:v>
      </x:c>
      <x:c r="V317" s="38" t="n">
        <x:v>0</x:v>
      </x:c>
      <x:c r="W317" s="38" t="n">
        <x:v>0</x:v>
      </x:c>
      <x:c r="X317" s="44" t="n">
        <x:v>0</x:v>
      </x:c>
      <x:c r="Y317" s="38" t="n">
        <x:v>300</x:v>
      </x:c>
      <x:c r="Z317" s="38" t="n">
        <x:v>7</x:v>
      </x:c>
      <x:c r="AA317" s="38" t="n">
        <x:v>25</x:v>
      </x:c>
      <x:c r="AB317" s="38" t="n">
        <x:v>9</x:v>
      </x:c>
      <x:c r="AC317" s="38" t="n">
        <x:v>10800</x:v>
      </x:c>
      <x:c r="AD317" s="38" t="n">
        <x:v>0</x:v>
      </x:c>
      <x:c r="AE317" s="38" t="n">
        <x:f>IF(B317=1,0,F317-Q316)</x:f>
        <x:v>0</x:v>
      </x:c>
    </x:row>
    <x:row r="318" ht="27" customHeight="1">
      <x:c r="A318" s="28" t="str">
        <x:v>Enthusiast F2P</x:v>
      </x:c>
      <x:c r="B318" s="38" t="n">
        <x:v>74</x:v>
      </x:c>
      <x:c r="C318" s="38" t="n">
        <x:v>40</x:v>
      </x:c>
      <x:c r="D318" s="38" t="n">
        <x:v>742640</x:v>
      </x:c>
      <x:c r="E318" s="38" t="n">
        <x:v>100</x:v>
      </x:c>
      <x:c r="F318" s="38" t="n">
        <x:v>183637</x:v>
      </x:c>
      <x:c r="G318" s="38" t="n">
        <x:v>161400</x:v>
      </x:c>
      <x:c r="H318" s="38" t="n">
        <x:v>32400</x:v>
      </x:c>
      <x:c r="I318" s="38" t="n">
        <x:v>4959</x:v>
      </x:c>
      <x:c r="J318" s="38" t="n">
        <x:v>0</x:v>
      </x:c>
      <x:c r="K318" s="38" t="n">
        <x:v>0</x:v>
      </x:c>
      <x:c r="L318" s="38" t="n">
        <x:v>0</x:v>
      </x:c>
      <x:c r="M318" s="38" t="n">
        <x:v>0</x:v>
      </x:c>
      <x:c r="N318" s="38" t="n">
        <x:v>0</x:v>
      </x:c>
      <x:c r="O318" s="38" t="n">
        <x:v>45150</x:v>
      </x:c>
      <x:c r="P318" s="38" t="n">
        <x:f>F318+G318-H318+I318+J318+K318+L318-M318-N318-O318</x:f>
        <x:v>272446</x:v>
      </x:c>
      <x:c r="Q318" s="38" t="n">
        <x:v>272446</x:v>
      </x:c>
      <x:c r="R318" s="38" t="n">
        <x:f>P318-Q318</x:f>
        <x:v>0</x:v>
      </x:c>
      <x:c r="S318" s="38" t="n">
        <x:v>129000</x:v>
      </x:c>
      <x:c r="T318" s="38" t="n">
        <x:v>0</x:v>
      </x:c>
      <x:c r="U318" s="38" t="n">
        <x:v>68</x:v>
      </x:c>
      <x:c r="V318" s="38" t="n">
        <x:v>0</x:v>
      </x:c>
      <x:c r="W318" s="38" t="n">
        <x:v>0</x:v>
      </x:c>
      <x:c r="X318" s="44" t="n">
        <x:v>0</x:v>
      </x:c>
      <x:c r="Y318" s="38" t="n">
        <x:v>300</x:v>
      </x:c>
      <x:c r="Z318" s="38" t="n">
        <x:v>7</x:v>
      </x:c>
      <x:c r="AA318" s="38" t="n">
        <x:v>25</x:v>
      </x:c>
      <x:c r="AB318" s="38" t="n">
        <x:v>9</x:v>
      </x:c>
      <x:c r="AC318" s="38" t="n">
        <x:v>10800</x:v>
      </x:c>
      <x:c r="AD318" s="38" t="n">
        <x:v>0</x:v>
      </x:c>
      <x:c r="AE318" s="38" t="n">
        <x:f>IF(B318=1,0,F318-Q317)</x:f>
        <x:v>0</x:v>
      </x:c>
    </x:row>
    <x:row r="319" ht="27" customHeight="1">
      <x:c r="A319" s="28" t="str">
        <x:v>Enthusiast F2P</x:v>
      </x:c>
      <x:c r="B319" s="38" t="n">
        <x:v>75</x:v>
      </x:c>
      <x:c r="C319" s="38" t="n">
        <x:v>40</x:v>
      </x:c>
      <x:c r="D319" s="38" t="n">
        <x:v>742640</x:v>
      </x:c>
      <x:c r="E319" s="38" t="n">
        <x:v>100</x:v>
      </x:c>
      <x:c r="F319" s="38" t="n">
        <x:v>272446</x:v>
      </x:c>
      <x:c r="G319" s="38" t="n">
        <x:v>161400</x:v>
      </x:c>
      <x:c r="H319" s="38" t="n">
        <x:v>32400</x:v>
      </x:c>
      <x:c r="I319" s="38" t="n">
        <x:v>4959</x:v>
      </x:c>
      <x:c r="J319" s="38" t="n">
        <x:v>0</x:v>
      </x:c>
      <x:c r="K319" s="38" t="n">
        <x:v>0</x:v>
      </x:c>
      <x:c r="L319" s="38" t="n">
        <x:v>0</x:v>
      </x:c>
      <x:c r="M319" s="38" t="n">
        <x:v>0</x:v>
      </x:c>
      <x:c r="N319" s="38" t="n">
        <x:v>0</x:v>
      </x:c>
      <x:c r="O319" s="38" t="n">
        <x:v>45150</x:v>
      </x:c>
      <x:c r="P319" s="38" t="n">
        <x:f>F319+G319-H319+I319+J319+K319+L319-M319-N319-O319</x:f>
        <x:v>361255</x:v>
      </x:c>
      <x:c r="Q319" s="38" t="n">
        <x:v>361255</x:v>
      </x:c>
      <x:c r="R319" s="38" t="n">
        <x:f>P319-Q319</x:f>
        <x:v>0</x:v>
      </x:c>
      <x:c r="S319" s="38" t="n">
        <x:v>129000</x:v>
      </x:c>
      <x:c r="T319" s="38" t="n">
        <x:v>0</x:v>
      </x:c>
      <x:c r="U319" s="38" t="n">
        <x:v>68</x:v>
      </x:c>
      <x:c r="V319" s="38" t="n">
        <x:v>0</x:v>
      </x:c>
      <x:c r="W319" s="38" t="n">
        <x:v>0</x:v>
      </x:c>
      <x:c r="X319" s="44" t="n">
        <x:v>0</x:v>
      </x:c>
      <x:c r="Y319" s="38" t="n">
        <x:v>300</x:v>
      </x:c>
      <x:c r="Z319" s="38" t="n">
        <x:v>7</x:v>
      </x:c>
      <x:c r="AA319" s="38" t="n">
        <x:v>25</x:v>
      </x:c>
      <x:c r="AB319" s="38" t="n">
        <x:v>9</x:v>
      </x:c>
      <x:c r="AC319" s="38" t="n">
        <x:v>10800</x:v>
      </x:c>
      <x:c r="AD319" s="38" t="n">
        <x:v>0</x:v>
      </x:c>
      <x:c r="AE319" s="38" t="n">
        <x:f>IF(B319=1,0,F319-Q318)</x:f>
        <x:v>0</x:v>
      </x:c>
    </x:row>
    <x:row r="320" ht="27" customHeight="1">
      <x:c r="A320" s="28" t="str">
        <x:v>Enthusiast F2P</x:v>
      </x:c>
      <x:c r="B320" s="38" t="n">
        <x:v>76</x:v>
      </x:c>
      <x:c r="C320" s="38" t="n">
        <x:v>40</x:v>
      </x:c>
      <x:c r="D320" s="38" t="n">
        <x:v>742640</x:v>
      </x:c>
      <x:c r="E320" s="38" t="n">
        <x:v>100</x:v>
      </x:c>
      <x:c r="F320" s="38" t="n">
        <x:v>361255</x:v>
      </x:c>
      <x:c r="G320" s="38" t="n">
        <x:v>161400</x:v>
      </x:c>
      <x:c r="H320" s="38" t="n">
        <x:v>32400</x:v>
      </x:c>
      <x:c r="I320" s="38" t="n">
        <x:v>4959</x:v>
      </x:c>
      <x:c r="J320" s="38" t="n">
        <x:v>0</x:v>
      </x:c>
      <x:c r="K320" s="38" t="n">
        <x:v>0</x:v>
      </x:c>
      <x:c r="L320" s="38" t="n">
        <x:v>0</x:v>
      </x:c>
      <x:c r="M320" s="38" t="n">
        <x:v>0</x:v>
      </x:c>
      <x:c r="N320" s="38" t="n">
        <x:v>3900</x:v>
      </x:c>
      <x:c r="O320" s="38" t="n">
        <x:v>45150</x:v>
      </x:c>
      <x:c r="P320" s="38" t="n">
        <x:f>F320+G320-H320+I320+J320+K320+L320-M320-N320-O320</x:f>
        <x:v>446164</x:v>
      </x:c>
      <x:c r="Q320" s="38" t="n">
        <x:v>446164</x:v>
      </x:c>
      <x:c r="R320" s="38" t="n">
        <x:f>P320-Q320</x:f>
        <x:v>0</x:v>
      </x:c>
      <x:c r="S320" s="38" t="n">
        <x:v>129000</x:v>
      </x:c>
      <x:c r="T320" s="38" t="n">
        <x:v>0</x:v>
      </x:c>
      <x:c r="U320" s="38" t="n">
        <x:v>68</x:v>
      </x:c>
      <x:c r="V320" s="38" t="n">
        <x:v>0</x:v>
      </x:c>
      <x:c r="W320" s="38" t="n">
        <x:v>0</x:v>
      </x:c>
      <x:c r="X320" s="44" t="n">
        <x:v>0</x:v>
      </x:c>
      <x:c r="Y320" s="38" t="n">
        <x:v>300</x:v>
      </x:c>
      <x:c r="Z320" s="38" t="n">
        <x:v>7</x:v>
      </x:c>
      <x:c r="AA320" s="38" t="n">
        <x:v>26</x:v>
      </x:c>
      <x:c r="AB320" s="38" t="n">
        <x:v>9</x:v>
      </x:c>
      <x:c r="AC320" s="38" t="n">
        <x:v>10800</x:v>
      </x:c>
      <x:c r="AD320" s="38" t="n">
        <x:v>0</x:v>
      </x:c>
      <x:c r="AE320" s="38" t="n">
        <x:f>IF(B320=1,0,F320-Q319)</x:f>
        <x:v>0</x:v>
      </x:c>
    </x:row>
    <x:row r="321" ht="27" customHeight="1">
      <x:c r="A321" s="28" t="str">
        <x:v>Enthusiast F2P</x:v>
      </x:c>
      <x:c r="B321" s="38" t="n">
        <x:v>77</x:v>
      </x:c>
      <x:c r="C321" s="38" t="n">
        <x:v>40</x:v>
      </x:c>
      <x:c r="D321" s="38" t="n">
        <x:v>742640</x:v>
      </x:c>
      <x:c r="E321" s="38" t="n">
        <x:v>100</x:v>
      </x:c>
      <x:c r="F321" s="38" t="n">
        <x:v>446164</x:v>
      </x:c>
      <x:c r="G321" s="38" t="n">
        <x:v>161400</x:v>
      </x:c>
      <x:c r="H321" s="38" t="n">
        <x:v>32400</x:v>
      </x:c>
      <x:c r="I321" s="38" t="n">
        <x:v>29754</x:v>
      </x:c>
      <x:c r="J321" s="38" t="n">
        <x:v>0</x:v>
      </x:c>
      <x:c r="K321" s="38" t="n">
        <x:v>0</x:v>
      </x:c>
      <x:c r="L321" s="38" t="n">
        <x:v>0</x:v>
      </x:c>
      <x:c r="M321" s="38" t="n">
        <x:v>0</x:v>
      </x:c>
      <x:c r="N321" s="38" t="n">
        <x:v>0</x:v>
      </x:c>
      <x:c r="O321" s="38" t="n">
        <x:v>45150</x:v>
      </x:c>
      <x:c r="P321" s="38" t="n">
        <x:f>F321+G321-H321+I321+J321+K321+L321-M321-N321-O321</x:f>
        <x:v>559768</x:v>
      </x:c>
      <x:c r="Q321" s="38" t="n">
        <x:v>559768</x:v>
      </x:c>
      <x:c r="R321" s="38" t="n">
        <x:f>P321-Q321</x:f>
        <x:v>0</x:v>
      </x:c>
      <x:c r="S321" s="38" t="n">
        <x:v>129000</x:v>
      </x:c>
      <x:c r="T321" s="38" t="n">
        <x:v>0</x:v>
      </x:c>
      <x:c r="U321" s="38" t="n">
        <x:v>70</x:v>
      </x:c>
      <x:c r="V321" s="38" t="n">
        <x:v>2</x:v>
      </x:c>
      <x:c r="W321" s="38" t="n">
        <x:v>0</x:v>
      </x:c>
      <x:c r="X321" s="44" t="n">
        <x:v>0</x:v>
      </x:c>
      <x:c r="Y321" s="38" t="n">
        <x:v>300</x:v>
      </x:c>
      <x:c r="Z321" s="38" t="n">
        <x:v>7</x:v>
      </x:c>
      <x:c r="AA321" s="38" t="n">
        <x:v>26</x:v>
      </x:c>
      <x:c r="AB321" s="38" t="n">
        <x:v>9</x:v>
      </x:c>
      <x:c r="AC321" s="38" t="n">
        <x:v>10800</x:v>
      </x:c>
      <x:c r="AD321" s="38" t="n">
        <x:v>0</x:v>
      </x:c>
      <x:c r="AE321" s="38" t="n">
        <x:f>IF(B321=1,0,F321-Q320)</x:f>
        <x:v>0</x:v>
      </x:c>
    </x:row>
    <x:row r="322" ht="27" customHeight="1">
      <x:c r="A322" s="28" t="str">
        <x:v>Enthusiast F2P</x:v>
      </x:c>
      <x:c r="B322" s="38" t="n">
        <x:v>78</x:v>
      </x:c>
      <x:c r="C322" s="38" t="n">
        <x:v>40</x:v>
      </x:c>
      <x:c r="D322" s="38" t="n">
        <x:v>742640</x:v>
      </x:c>
      <x:c r="E322" s="38" t="n">
        <x:v>100</x:v>
      </x:c>
      <x:c r="F322" s="38" t="n">
        <x:v>559768</x:v>
      </x:c>
      <x:c r="G322" s="38" t="n">
        <x:v>161400</x:v>
      </x:c>
      <x:c r="H322" s="38" t="n">
        <x:v>32400</x:v>
      </x:c>
      <x:c r="I322" s="38" t="n">
        <x:v>4959</x:v>
      </x:c>
      <x:c r="J322" s="38" t="n">
        <x:v>0</x:v>
      </x:c>
      <x:c r="K322" s="38" t="n">
        <x:v>0</x:v>
      </x:c>
      <x:c r="L322" s="38" t="n">
        <x:v>0</x:v>
      </x:c>
      <x:c r="M322" s="38" t="n">
        <x:v>0</x:v>
      </x:c>
      <x:c r="N322" s="38" t="n">
        <x:v>0</x:v>
      </x:c>
      <x:c r="O322" s="38" t="n">
        <x:v>45150</x:v>
      </x:c>
      <x:c r="P322" s="38" t="n">
        <x:f>F322+G322-H322+I322+J322+K322+L322-M322-N322-O322</x:f>
        <x:v>648577</x:v>
      </x:c>
      <x:c r="Q322" s="38" t="n">
        <x:v>648577</x:v>
      </x:c>
      <x:c r="R322" s="38" t="n">
        <x:f>P322-Q322</x:f>
        <x:v>0</x:v>
      </x:c>
      <x:c r="S322" s="38" t="n">
        <x:v>129000</x:v>
      </x:c>
      <x:c r="T322" s="38" t="n">
        <x:v>0</x:v>
      </x:c>
      <x:c r="U322" s="38" t="n">
        <x:v>74</x:v>
      </x:c>
      <x:c r="V322" s="38" t="n">
        <x:v>4</x:v>
      </x:c>
      <x:c r="W322" s="38" t="n">
        <x:v>0</x:v>
      </x:c>
      <x:c r="X322" s="44" t="n">
        <x:v>0</x:v>
      </x:c>
      <x:c r="Y322" s="38" t="n">
        <x:v>300</x:v>
      </x:c>
      <x:c r="Z322" s="38" t="n">
        <x:v>7</x:v>
      </x:c>
      <x:c r="AA322" s="38" t="n">
        <x:v>26</x:v>
      </x:c>
      <x:c r="AB322" s="38" t="n">
        <x:v>9</x:v>
      </x:c>
      <x:c r="AC322" s="38" t="n">
        <x:v>10800</x:v>
      </x:c>
      <x:c r="AD322" s="38" t="n">
        <x:v>0</x:v>
      </x:c>
      <x:c r="AE322" s="38" t="n">
        <x:f>IF(B322=1,0,F322-Q321)</x:f>
        <x:v>0</x:v>
      </x:c>
    </x:row>
    <x:row r="323" ht="27" customHeight="1">
      <x:c r="A323" s="28" t="str">
        <x:v>Enthusiast F2P</x:v>
      </x:c>
      <x:c r="B323" s="38" t="n">
        <x:v>79</x:v>
      </x:c>
      <x:c r="C323" s="38" t="n">
        <x:v>40</x:v>
      </x:c>
      <x:c r="D323" s="38" t="n">
        <x:v>742640</x:v>
      </x:c>
      <x:c r="E323" s="38" t="n">
        <x:v>100</x:v>
      </x:c>
      <x:c r="F323" s="38" t="n">
        <x:v>648577</x:v>
      </x:c>
      <x:c r="G323" s="38" t="n">
        <x:v>161400</x:v>
      </x:c>
      <x:c r="H323" s="38" t="n">
        <x:v>32400</x:v>
      </x:c>
      <x:c r="I323" s="38" t="n">
        <x:v>4959</x:v>
      </x:c>
      <x:c r="J323" s="38" t="n">
        <x:v>0</x:v>
      </x:c>
      <x:c r="K323" s="38" t="n">
        <x:v>0</x:v>
      </x:c>
      <x:c r="L323" s="38" t="n">
        <x:v>0</x:v>
      </x:c>
      <x:c r="M323" s="38" t="n">
        <x:v>0</x:v>
      </x:c>
      <x:c r="N323" s="38" t="n">
        <x:v>4005</x:v>
      </x:c>
      <x:c r="O323" s="38" t="n">
        <x:v>45150</x:v>
      </x:c>
      <x:c r="P323" s="38" t="n">
        <x:f>F323+G323-H323+I323+J323+K323+L323-M323-N323-O323</x:f>
        <x:v>733381</x:v>
      </x:c>
      <x:c r="Q323" s="38" t="n">
        <x:v>733381</x:v>
      </x:c>
      <x:c r="R323" s="38" t="n">
        <x:f>P323-Q323</x:f>
        <x:v>0</x:v>
      </x:c>
      <x:c r="S323" s="38" t="n">
        <x:v>129000</x:v>
      </x:c>
      <x:c r="T323" s="38" t="n">
        <x:v>0</x:v>
      </x:c>
      <x:c r="U323" s="38" t="n">
        <x:v>74</x:v>
      </x:c>
      <x:c r="V323" s="38" t="n">
        <x:v>0</x:v>
      </x:c>
      <x:c r="W323" s="38" t="n">
        <x:v>0</x:v>
      </x:c>
      <x:c r="X323" s="44" t="n">
        <x:v>0</x:v>
      </x:c>
      <x:c r="Y323" s="38" t="n">
        <x:v>300</x:v>
      </x:c>
      <x:c r="Z323" s="38" t="n">
        <x:v>7</x:v>
      </x:c>
      <x:c r="AA323" s="38" t="n">
        <x:v>27</x:v>
      </x:c>
      <x:c r="AB323" s="38" t="n">
        <x:v>9</x:v>
      </x:c>
      <x:c r="AC323" s="38" t="n">
        <x:v>10800</x:v>
      </x:c>
      <x:c r="AD323" s="38" t="n">
        <x:v>0</x:v>
      </x:c>
      <x:c r="AE323" s="38" t="n">
        <x:f>IF(B323=1,0,F323-Q322)</x:f>
        <x:v>0</x:v>
      </x:c>
    </x:row>
    <x:row r="324" ht="27" customHeight="1">
      <x:c r="A324" s="28" t="str">
        <x:v>Enthusiast F2P</x:v>
      </x:c>
      <x:c r="B324" s="38" t="n">
        <x:v>80</x:v>
      </x:c>
      <x:c r="C324" s="38" t="n">
        <x:v>40</x:v>
      </x:c>
      <x:c r="D324" s="38" t="n">
        <x:v>742640</x:v>
      </x:c>
      <x:c r="E324" s="38" t="n">
        <x:v>100</x:v>
      </x:c>
      <x:c r="F324" s="38" t="n">
        <x:v>733381</x:v>
      </x:c>
      <x:c r="G324" s="38" t="n">
        <x:v>161400</x:v>
      </x:c>
      <x:c r="H324" s="38" t="n">
        <x:v>32400</x:v>
      </x:c>
      <x:c r="I324" s="38" t="n">
        <x:v>4959</x:v>
      </x:c>
      <x:c r="J324" s="38" t="n">
        <x:v>0</x:v>
      </x:c>
      <x:c r="K324" s="38" t="n">
        <x:v>0</x:v>
      </x:c>
      <x:c r="L324" s="38" t="n">
        <x:v>0</x:v>
      </x:c>
      <x:c r="M324" s="38" t="n">
        <x:v>0</x:v>
      </x:c>
      <x:c r="N324" s="38" t="n">
        <x:v>0</x:v>
      </x:c>
      <x:c r="O324" s="38" t="n">
        <x:v>39731</x:v>
      </x:c>
      <x:c r="P324" s="38" t="n">
        <x:f>F324+G324-H324+I324+J324+K324+L324-M324-N324-O324</x:f>
        <x:v>827609</x:v>
      </x:c>
      <x:c r="Q324" s="38" t="n">
        <x:v>827609</x:v>
      </x:c>
      <x:c r="R324" s="38" t="n">
        <x:f>P324-Q324</x:f>
        <x:v>0</x:v>
      </x:c>
      <x:c r="S324" s="38" t="n">
        <x:v>129000</x:v>
      </x:c>
      <x:c r="T324" s="38" t="n">
        <x:v>0</x:v>
      </x:c>
      <x:c r="U324" s="38" t="n">
        <x:v>74</x:v>
      </x:c>
      <x:c r="V324" s="38" t="n">
        <x:v>0</x:v>
      </x:c>
      <x:c r="W324" s="38" t="n">
        <x:v>0</x:v>
      </x:c>
      <x:c r="X324" s="44" t="n">
        <x:v>0</x:v>
      </x:c>
      <x:c r="Y324" s="38" t="n">
        <x:v>300</x:v>
      </x:c>
      <x:c r="Z324" s="38" t="n">
        <x:v>7</x:v>
      </x:c>
      <x:c r="AA324" s="38" t="n">
        <x:v>27</x:v>
      </x:c>
      <x:c r="AB324" s="38" t="n">
        <x:v>10</x:v>
      </x:c>
      <x:c r="AC324" s="38" t="n">
        <x:v>10800</x:v>
      </x:c>
      <x:c r="AD324" s="38" t="n">
        <x:v>0</x:v>
      </x:c>
      <x:c r="AE324" s="38" t="n">
        <x:f>IF(B324=1,0,F324-Q323)</x:f>
        <x:v>0</x:v>
      </x:c>
    </x:row>
    <x:row r="325" ht="27" customHeight="1">
      <x:c r="A325" s="28" t="str">
        <x:v>Enthusiast F2P</x:v>
      </x:c>
      <x:c r="B325" s="38" t="n">
        <x:v>81</x:v>
      </x:c>
      <x:c r="C325" s="38" t="n">
        <x:v>40</x:v>
      </x:c>
      <x:c r="D325" s="38" t="n">
        <x:v>742640</x:v>
      </x:c>
      <x:c r="E325" s="38" t="n">
        <x:v>100</x:v>
      </x:c>
      <x:c r="F325" s="38" t="n">
        <x:v>827609</x:v>
      </x:c>
      <x:c r="G325" s="38" t="n">
        <x:v>161400</x:v>
      </x:c>
      <x:c r="H325" s="38" t="n">
        <x:v>32400</x:v>
      </x:c>
      <x:c r="I325" s="38" t="n">
        <x:v>4959</x:v>
      </x:c>
      <x:c r="J325" s="38" t="n">
        <x:v>0</x:v>
      </x:c>
      <x:c r="K325" s="38" t="n">
        <x:v>0</x:v>
      </x:c>
      <x:c r="L325" s="38" t="n">
        <x:v>0</x:v>
      </x:c>
      <x:c r="M325" s="38" t="n">
        <x:v>0</x:v>
      </x:c>
      <x:c r="N325" s="38" t="n">
        <x:v>0</x:v>
      </x:c>
      <x:c r="O325" s="38" t="n">
        <x:v>0</x:v>
      </x:c>
      <x:c r="P325" s="38" t="n">
        <x:f>F325+G325-H325+I325+J325+K325+L325-M325-N325-O325</x:f>
        <x:v>961568</x:v>
      </x:c>
      <x:c r="Q325" s="38" t="n">
        <x:v>961568</x:v>
      </x:c>
      <x:c r="R325" s="38" t="n">
        <x:f>P325-Q325</x:f>
        <x:v>0</x:v>
      </x:c>
      <x:c r="S325" s="38" t="n">
        <x:v>129000</x:v>
      </x:c>
      <x:c r="T325" s="38" t="n">
        <x:v>0</x:v>
      </x:c>
      <x:c r="U325" s="38" t="n">
        <x:v>74</x:v>
      </x:c>
      <x:c r="V325" s="38" t="n">
        <x:v>0</x:v>
      </x:c>
      <x:c r="W325" s="38" t="n">
        <x:v>0</x:v>
      </x:c>
      <x:c r="X325" s="44" t="n">
        <x:v>0</x:v>
      </x:c>
      <x:c r="Y325" s="38" t="n">
        <x:v>300</x:v>
      </x:c>
      <x:c r="Z325" s="38" t="n">
        <x:v>7</x:v>
      </x:c>
      <x:c r="AA325" s="38" t="n">
        <x:v>27</x:v>
      </x:c>
      <x:c r="AB325" s="38" t="n">
        <x:v>10</x:v>
      </x:c>
      <x:c r="AC325" s="38" t="n">
        <x:v>10800</x:v>
      </x:c>
      <x:c r="AD325" s="38" t="n">
        <x:v>0</x:v>
      </x:c>
      <x:c r="AE325" s="38" t="n">
        <x:f>IF(B325=1,0,F325-Q324)</x:f>
        <x:v>0</x:v>
      </x:c>
    </x:row>
    <x:row r="326" ht="27" customHeight="1">
      <x:c r="A326" s="28" t="str">
        <x:v>Enthusiast F2P</x:v>
      </x:c>
      <x:c r="B326" s="38" t="n">
        <x:v>82</x:v>
      </x:c>
      <x:c r="C326" s="38" t="n">
        <x:v>40</x:v>
      </x:c>
      <x:c r="D326" s="38" t="n">
        <x:v>742640</x:v>
      </x:c>
      <x:c r="E326" s="38" t="n">
        <x:v>100</x:v>
      </x:c>
      <x:c r="F326" s="38" t="n">
        <x:v>961568</x:v>
      </x:c>
      <x:c r="G326" s="38" t="n">
        <x:v>161400</x:v>
      </x:c>
      <x:c r="H326" s="38" t="n">
        <x:v>32400</x:v>
      </x:c>
      <x:c r="I326" s="38" t="n">
        <x:v>4959</x:v>
      </x:c>
      <x:c r="J326" s="38" t="n">
        <x:v>0</x:v>
      </x:c>
      <x:c r="K326" s="38" t="n">
        <x:v>0</x:v>
      </x:c>
      <x:c r="L326" s="38" t="n">
        <x:v>0</x:v>
      </x:c>
      <x:c r="M326" s="38" t="n">
        <x:v>0</x:v>
      </x:c>
      <x:c r="N326" s="38" t="n">
        <x:v>4565</x:v>
      </x:c>
      <x:c r="O326" s="38" t="n">
        <x:v>0</x:v>
      </x:c>
      <x:c r="P326" s="38" t="n">
        <x:f>F326+G326-H326+I326+J326+K326+L326-M326-N326-O326</x:f>
        <x:v>1090962</x:v>
      </x:c>
      <x:c r="Q326" s="38" t="n">
        <x:v>1090962</x:v>
      </x:c>
      <x:c r="R326" s="38" t="n">
        <x:f>P326-Q326</x:f>
        <x:v>0</x:v>
      </x:c>
      <x:c r="S326" s="38" t="n">
        <x:v>129000</x:v>
      </x:c>
      <x:c r="T326" s="38" t="n">
        <x:v>0</x:v>
      </x:c>
      <x:c r="U326" s="38" t="n">
        <x:v>74</x:v>
      </x:c>
      <x:c r="V326" s="38" t="n">
        <x:v>0</x:v>
      </x:c>
      <x:c r="W326" s="38" t="n">
        <x:v>0</x:v>
      </x:c>
      <x:c r="X326" s="44" t="n">
        <x:v>0</x:v>
      </x:c>
      <x:c r="Y326" s="38" t="n">
        <x:v>300</x:v>
      </x:c>
      <x:c r="Z326" s="38" t="n">
        <x:v>7</x:v>
      </x:c>
      <x:c r="AA326" s="38" t="n">
        <x:v>28</x:v>
      </x:c>
      <x:c r="AB326" s="38" t="n">
        <x:v>10</x:v>
      </x:c>
      <x:c r="AC326" s="38" t="n">
        <x:v>10800</x:v>
      </x:c>
      <x:c r="AD326" s="38" t="n">
        <x:v>0</x:v>
      </x:c>
      <x:c r="AE326" s="38" t="n">
        <x:f>IF(B326=1,0,F326-Q325)</x:f>
        <x:v>0</x:v>
      </x:c>
    </x:row>
    <x:row r="327" ht="27" customHeight="1">
      <x:c r="A327" s="28" t="str">
        <x:v>Enthusiast F2P</x:v>
      </x:c>
      <x:c r="B327" s="38" t="n">
        <x:v>83</x:v>
      </x:c>
      <x:c r="C327" s="38" t="n">
        <x:v>40</x:v>
      </x:c>
      <x:c r="D327" s="38" t="n">
        <x:v>742640</x:v>
      </x:c>
      <x:c r="E327" s="38" t="n">
        <x:v>100</x:v>
      </x:c>
      <x:c r="F327" s="38" t="n">
        <x:v>1090962</x:v>
      </x:c>
      <x:c r="G327" s="38" t="n">
        <x:v>161400</x:v>
      </x:c>
      <x:c r="H327" s="38" t="n">
        <x:v>32400</x:v>
      </x:c>
      <x:c r="I327" s="38" t="n">
        <x:v>4959</x:v>
      </x:c>
      <x:c r="J327" s="38" t="n">
        <x:v>0</x:v>
      </x:c>
      <x:c r="K327" s="38" t="n">
        <x:v>0</x:v>
      </x:c>
      <x:c r="L327" s="38" t="n">
        <x:v>0</x:v>
      </x:c>
      <x:c r="M327" s="38" t="n">
        <x:v>0</x:v>
      </x:c>
      <x:c r="N327" s="38" t="n">
        <x:v>0</x:v>
      </x:c>
      <x:c r="O327" s="38" t="n">
        <x:v>0</x:v>
      </x:c>
      <x:c r="P327" s="38" t="n">
        <x:f>F327+G327-H327+I327+J327+K327+L327-M327-N327-O327</x:f>
        <x:v>1224921</x:v>
      </x:c>
      <x:c r="Q327" s="38" t="n">
        <x:v>1224921</x:v>
      </x:c>
      <x:c r="R327" s="38" t="n">
        <x:f>P327-Q327</x:f>
        <x:v>0</x:v>
      </x:c>
      <x:c r="S327" s="38" t="n">
        <x:v>129000</x:v>
      </x:c>
      <x:c r="T327" s="38" t="n">
        <x:v>0</x:v>
      </x:c>
      <x:c r="U327" s="38" t="n">
        <x:v>74</x:v>
      </x:c>
      <x:c r="V327" s="38" t="n">
        <x:v>0</x:v>
      </x:c>
      <x:c r="W327" s="38" t="n">
        <x:v>0</x:v>
      </x:c>
      <x:c r="X327" s="44" t="n">
        <x:v>0</x:v>
      </x:c>
      <x:c r="Y327" s="38" t="n">
        <x:v>300</x:v>
      </x:c>
      <x:c r="Z327" s="38" t="n">
        <x:v>7</x:v>
      </x:c>
      <x:c r="AA327" s="38" t="n">
        <x:v>28</x:v>
      </x:c>
      <x:c r="AB327" s="38" t="n">
        <x:v>10</x:v>
      </x:c>
      <x:c r="AC327" s="38" t="n">
        <x:v>10800</x:v>
      </x:c>
      <x:c r="AD327" s="38" t="n">
        <x:v>0</x:v>
      </x:c>
      <x:c r="AE327" s="38" t="n">
        <x:f>IF(B327=1,0,F327-Q326)</x:f>
        <x:v>0</x:v>
      </x:c>
    </x:row>
    <x:row r="328" ht="27" customHeight="1">
      <x:c r="A328" s="28" t="str">
        <x:v>Enthusiast F2P</x:v>
      </x:c>
      <x:c r="B328" s="38" t="n">
        <x:v>84</x:v>
      </x:c>
      <x:c r="C328" s="38" t="n">
        <x:v>40</x:v>
      </x:c>
      <x:c r="D328" s="38" t="n">
        <x:v>742640</x:v>
      </x:c>
      <x:c r="E328" s="38" t="n">
        <x:v>100</x:v>
      </x:c>
      <x:c r="F328" s="38" t="n">
        <x:v>1224921</x:v>
      </x:c>
      <x:c r="G328" s="38" t="n">
        <x:v>161400</x:v>
      </x:c>
      <x:c r="H328" s="38" t="n">
        <x:v>32400</x:v>
      </x:c>
      <x:c r="I328" s="38" t="n">
        <x:v>29754</x:v>
      </x:c>
      <x:c r="J328" s="38" t="n">
        <x:v>0</x:v>
      </x:c>
      <x:c r="K328" s="38" t="n">
        <x:v>0</x:v>
      </x:c>
      <x:c r="L328" s="38" t="n">
        <x:v>0</x:v>
      </x:c>
      <x:c r="M328" s="38" t="n">
        <x:v>0</x:v>
      </x:c>
      <x:c r="N328" s="38" t="n">
        <x:v>0</x:v>
      </x:c>
      <x:c r="O328" s="38" t="n">
        <x:v>0</x:v>
      </x:c>
      <x:c r="P328" s="38" t="n">
        <x:f>F328+G328-H328+I328+J328+K328+L328-M328-N328-O328</x:f>
        <x:v>1383675</x:v>
      </x:c>
      <x:c r="Q328" s="38" t="n">
        <x:v>1383675</x:v>
      </x:c>
      <x:c r="R328" s="38" t="n">
        <x:f>P328-Q328</x:f>
        <x:v>0</x:v>
      </x:c>
      <x:c r="S328" s="38" t="n">
        <x:v>129000</x:v>
      </x:c>
      <x:c r="T328" s="38" t="n">
        <x:v>0</x:v>
      </x:c>
      <x:c r="U328" s="38" t="n">
        <x:v>76</x:v>
      </x:c>
      <x:c r="V328" s="38" t="n">
        <x:v>2</x:v>
      </x:c>
      <x:c r="W328" s="38" t="n">
        <x:v>0</x:v>
      </x:c>
      <x:c r="X328" s="44" t="n">
        <x:v>0</x:v>
      </x:c>
      <x:c r="Y328" s="38" t="n">
        <x:v>300</x:v>
      </x:c>
      <x:c r="Z328" s="38" t="n">
        <x:v>7</x:v>
      </x:c>
      <x:c r="AA328" s="38" t="n">
        <x:v>28</x:v>
      </x:c>
      <x:c r="AB328" s="38" t="n">
        <x:v>10</x:v>
      </x:c>
      <x:c r="AC328" s="38" t="n">
        <x:v>10800</x:v>
      </x:c>
      <x:c r="AD328" s="38" t="n">
        <x:v>0</x:v>
      </x:c>
      <x:c r="AE328" s="38" t="n">
        <x:f>IF(B328=1,0,F328-Q327)</x:f>
        <x:v>0</x:v>
      </x:c>
    </x:row>
    <x:row r="329" ht="27" customHeight="1">
      <x:c r="A329" s="28" t="str">
        <x:v>Enthusiast F2P</x:v>
      </x:c>
      <x:c r="B329" s="38" t="n">
        <x:v>85</x:v>
      </x:c>
      <x:c r="C329" s="38" t="n">
        <x:v>40</x:v>
      </x:c>
      <x:c r="D329" s="38" t="n">
        <x:v>742640</x:v>
      </x:c>
      <x:c r="E329" s="38" t="n">
        <x:v>100</x:v>
      </x:c>
      <x:c r="F329" s="38" t="n">
        <x:v>1383675</x:v>
      </x:c>
      <x:c r="G329" s="38" t="n">
        <x:v>161400</x:v>
      </x:c>
      <x:c r="H329" s="38" t="n">
        <x:v>32400</x:v>
      </x:c>
      <x:c r="I329" s="38" t="n">
        <x:v>4959</x:v>
      </x:c>
      <x:c r="J329" s="38" t="n">
        <x:v>0</x:v>
      </x:c>
      <x:c r="K329" s="38" t="n">
        <x:v>0</x:v>
      </x:c>
      <x:c r="L329" s="38" t="n">
        <x:v>0</x:v>
      </x:c>
      <x:c r="M329" s="38" t="n">
        <x:v>0</x:v>
      </x:c>
      <x:c r="N329" s="38" t="n">
        <x:v>7940</x:v>
      </x:c>
      <x:c r="O329" s="38" t="n">
        <x:v>0</x:v>
      </x:c>
      <x:c r="P329" s="38" t="n">
        <x:f>F329+G329-H329+I329+J329+K329+L329-M329-N329-O329</x:f>
        <x:v>1509694</x:v>
      </x:c>
      <x:c r="Q329" s="38" t="n">
        <x:v>1509694</x:v>
      </x:c>
      <x:c r="R329" s="38" t="n">
        <x:f>P329-Q329</x:f>
        <x:v>0</x:v>
      </x:c>
      <x:c r="S329" s="38" t="n">
        <x:v>129000</x:v>
      </x:c>
      <x:c r="T329" s="38" t="n">
        <x:v>0</x:v>
      </x:c>
      <x:c r="U329" s="38" t="n">
        <x:v>76</x:v>
      </x:c>
      <x:c r="V329" s="38" t="n">
        <x:v>0</x:v>
      </x:c>
      <x:c r="W329" s="38" t="n">
        <x:v>0</x:v>
      </x:c>
      <x:c r="X329" s="44" t="n">
        <x:v>0</x:v>
      </x:c>
      <x:c r="Y329" s="38" t="n">
        <x:v>300</x:v>
      </x:c>
      <x:c r="Z329" s="38" t="n">
        <x:v>7</x:v>
      </x:c>
      <x:c r="AA329" s="38" t="n">
        <x:v>29</x:v>
      </x:c>
      <x:c r="AB329" s="38" t="n">
        <x:v>10</x:v>
      </x:c>
      <x:c r="AC329" s="38" t="n">
        <x:v>10800</x:v>
      </x:c>
      <x:c r="AD329" s="38" t="n">
        <x:v>0</x:v>
      </x:c>
      <x:c r="AE329" s="38" t="n">
        <x:f>IF(B329=1,0,F329-Q328)</x:f>
        <x:v>0</x:v>
      </x:c>
    </x:row>
    <x:row r="330" ht="27" customHeight="1">
      <x:c r="A330" s="28" t="str">
        <x:v>Enthusiast F2P</x:v>
      </x:c>
      <x:c r="B330" s="38" t="n">
        <x:v>86</x:v>
      </x:c>
      <x:c r="C330" s="38" t="n">
        <x:v>40</x:v>
      </x:c>
      <x:c r="D330" s="38" t="n">
        <x:v>742640</x:v>
      </x:c>
      <x:c r="E330" s="38" t="n">
        <x:v>100</x:v>
      </x:c>
      <x:c r="F330" s="38" t="n">
        <x:v>1509694</x:v>
      </x:c>
      <x:c r="G330" s="38" t="n">
        <x:v>161400</x:v>
      </x:c>
      <x:c r="H330" s="38" t="n">
        <x:v>32400</x:v>
      </x:c>
      <x:c r="I330" s="38" t="n">
        <x:v>4959</x:v>
      </x:c>
      <x:c r="J330" s="38" t="n">
        <x:v>0</x:v>
      </x:c>
      <x:c r="K330" s="38" t="n">
        <x:v>0</x:v>
      </x:c>
      <x:c r="L330" s="38" t="n">
        <x:v>0</x:v>
      </x:c>
      <x:c r="M330" s="38" t="n">
        <x:v>0</x:v>
      </x:c>
      <x:c r="N330" s="38" t="n">
        <x:v>0</x:v>
      </x:c>
      <x:c r="O330" s="38" t="n">
        <x:v>0</x:v>
      </x:c>
      <x:c r="P330" s="38" t="n">
        <x:f>F330+G330-H330+I330+J330+K330+L330-M330-N330-O330</x:f>
        <x:v>1643653</x:v>
      </x:c>
      <x:c r="Q330" s="38" t="n">
        <x:v>1643653</x:v>
      </x:c>
      <x:c r="R330" s="38" t="n">
        <x:f>P330-Q330</x:f>
        <x:v>0</x:v>
      </x:c>
      <x:c r="S330" s="38" t="n">
        <x:v>129000</x:v>
      </x:c>
      <x:c r="T330" s="38" t="n">
        <x:v>0</x:v>
      </x:c>
      <x:c r="U330" s="38" t="n">
        <x:v>76</x:v>
      </x:c>
      <x:c r="V330" s="38" t="n">
        <x:v>0</x:v>
      </x:c>
      <x:c r="W330" s="38" t="n">
        <x:v>0</x:v>
      </x:c>
      <x:c r="X330" s="44" t="n">
        <x:v>0</x:v>
      </x:c>
      <x:c r="Y330" s="38" t="n">
        <x:v>300</x:v>
      </x:c>
      <x:c r="Z330" s="38" t="n">
        <x:v>7</x:v>
      </x:c>
      <x:c r="AA330" s="38" t="n">
        <x:v>29</x:v>
      </x:c>
      <x:c r="AB330" s="38" t="n">
        <x:v>10</x:v>
      </x:c>
      <x:c r="AC330" s="38" t="n">
        <x:v>10800</x:v>
      </x:c>
      <x:c r="AD330" s="38" t="n">
        <x:v>0</x:v>
      </x:c>
      <x:c r="AE330" s="38" t="n">
        <x:f>IF(B330=1,0,F330-Q329)</x:f>
        <x:v>0</x:v>
      </x:c>
    </x:row>
    <x:row r="331" ht="27" customHeight="1">
      <x:c r="A331" s="28" t="str">
        <x:v>Enthusiast F2P</x:v>
      </x:c>
      <x:c r="B331" s="38" t="n">
        <x:v>87</x:v>
      </x:c>
      <x:c r="C331" s="38" t="n">
        <x:v>40</x:v>
      </x:c>
      <x:c r="D331" s="38" t="n">
        <x:v>742640</x:v>
      </x:c>
      <x:c r="E331" s="38" t="n">
        <x:v>100</x:v>
      </x:c>
      <x:c r="F331" s="38" t="n">
        <x:v>1643653</x:v>
      </x:c>
      <x:c r="G331" s="38" t="n">
        <x:v>161400</x:v>
      </x:c>
      <x:c r="H331" s="38" t="n">
        <x:v>32400</x:v>
      </x:c>
      <x:c r="I331" s="38" t="n">
        <x:v>4959</x:v>
      </x:c>
      <x:c r="J331" s="38" t="n">
        <x:v>0</x:v>
      </x:c>
      <x:c r="K331" s="38" t="n">
        <x:v>0</x:v>
      </x:c>
      <x:c r="L331" s="38" t="n">
        <x:v>0</x:v>
      </x:c>
      <x:c r="M331" s="38" t="n">
        <x:v>0</x:v>
      </x:c>
      <x:c r="N331" s="38" t="n">
        <x:v>0</x:v>
      </x:c>
      <x:c r="O331" s="38" t="n">
        <x:v>0</x:v>
      </x:c>
      <x:c r="P331" s="38" t="n">
        <x:f>F331+G331-H331+I331+J331+K331+L331-M331-N331-O331</x:f>
        <x:v>1777612</x:v>
      </x:c>
      <x:c r="Q331" s="38" t="n">
        <x:v>1777612</x:v>
      </x:c>
      <x:c r="R331" s="38" t="n">
        <x:f>P331-Q331</x:f>
        <x:v>0</x:v>
      </x:c>
      <x:c r="S331" s="38" t="n">
        <x:v>129000</x:v>
      </x:c>
      <x:c r="T331" s="38" t="n">
        <x:v>0</x:v>
      </x:c>
      <x:c r="U331" s="38" t="n">
        <x:v>76</x:v>
      </x:c>
      <x:c r="V331" s="38" t="n">
        <x:v>0</x:v>
      </x:c>
      <x:c r="W331" s="38" t="n">
        <x:v>0</x:v>
      </x:c>
      <x:c r="X331" s="44" t="n">
        <x:v>0</x:v>
      </x:c>
      <x:c r="Y331" s="38" t="n">
        <x:v>300</x:v>
      </x:c>
      <x:c r="Z331" s="38" t="n">
        <x:v>7</x:v>
      </x:c>
      <x:c r="AA331" s="38" t="n">
        <x:v>29</x:v>
      </x:c>
      <x:c r="AB331" s="38" t="n">
        <x:v>10</x:v>
      </x:c>
      <x:c r="AC331" s="38" t="n">
        <x:v>10800</x:v>
      </x:c>
      <x:c r="AD331" s="38" t="n">
        <x:v>0</x:v>
      </x:c>
      <x:c r="AE331" s="38" t="n">
        <x:f>IF(B331=1,0,F331-Q330)</x:f>
        <x:v>0</x:v>
      </x:c>
    </x:row>
    <x:row r="332" ht="27" customHeight="1">
      <x:c r="A332" s="28" t="str">
        <x:v>Enthusiast F2P</x:v>
      </x:c>
      <x:c r="B332" s="38" t="n">
        <x:v>88</x:v>
      </x:c>
      <x:c r="C332" s="38" t="n">
        <x:v>40</x:v>
      </x:c>
      <x:c r="D332" s="38" t="n">
        <x:v>742640</x:v>
      </x:c>
      <x:c r="E332" s="38" t="n">
        <x:v>100</x:v>
      </x:c>
      <x:c r="F332" s="38" t="n">
        <x:v>1777612</x:v>
      </x:c>
      <x:c r="G332" s="38" t="n">
        <x:v>161400</x:v>
      </x:c>
      <x:c r="H332" s="38" t="n">
        <x:v>32400</x:v>
      </x:c>
      <x:c r="I332" s="38" t="n">
        <x:v>4959</x:v>
      </x:c>
      <x:c r="J332" s="38" t="n">
        <x:v>0</x:v>
      </x:c>
      <x:c r="K332" s="38" t="n">
        <x:v>0</x:v>
      </x:c>
      <x:c r="L332" s="38" t="n">
        <x:v>0</x:v>
      </x:c>
      <x:c r="M332" s="38" t="n">
        <x:v>0</x:v>
      </x:c>
      <x:c r="N332" s="38" t="n">
        <x:v>4340</x:v>
      </x:c>
      <x:c r="O332" s="38" t="n">
        <x:v>0</x:v>
      </x:c>
      <x:c r="P332" s="38" t="n">
        <x:f>F332+G332-H332+I332+J332+K332+L332-M332-N332-O332</x:f>
        <x:v>1907231</x:v>
      </x:c>
      <x:c r="Q332" s="38" t="n">
        <x:v>1907231</x:v>
      </x:c>
      <x:c r="R332" s="38" t="n">
        <x:f>P332-Q332</x:f>
        <x:v>0</x:v>
      </x:c>
      <x:c r="S332" s="38" t="n">
        <x:v>129000</x:v>
      </x:c>
      <x:c r="T332" s="38" t="n">
        <x:v>0</x:v>
      </x:c>
      <x:c r="U332" s="38" t="n">
        <x:v>76</x:v>
      </x:c>
      <x:c r="V332" s="38" t="n">
        <x:v>0</x:v>
      </x:c>
      <x:c r="W332" s="38" t="n">
        <x:v>0</x:v>
      </x:c>
      <x:c r="X332" s="44" t="n">
        <x:v>0</x:v>
      </x:c>
      <x:c r="Y332" s="38" t="n">
        <x:v>300</x:v>
      </x:c>
      <x:c r="Z332" s="38" t="n">
        <x:v>7</x:v>
      </x:c>
      <x:c r="AA332" s="38" t="n">
        <x:v>30</x:v>
      </x:c>
      <x:c r="AB332" s="38" t="n">
        <x:v>10</x:v>
      </x:c>
      <x:c r="AC332" s="38" t="n">
        <x:v>10800</x:v>
      </x:c>
      <x:c r="AD332" s="38" t="n">
        <x:v>0</x:v>
      </x:c>
      <x:c r="AE332" s="38" t="n">
        <x:f>IF(B332=1,0,F332-Q331)</x:f>
        <x:v>0</x:v>
      </x:c>
    </x:row>
    <x:row r="333" ht="27" customHeight="1">
      <x:c r="A333" s="28" t="str">
        <x:v>Enthusiast F2P</x:v>
      </x:c>
      <x:c r="B333" s="38" t="n">
        <x:v>89</x:v>
      </x:c>
      <x:c r="C333" s="38" t="n">
        <x:v>40</x:v>
      </x:c>
      <x:c r="D333" s="38" t="n">
        <x:v>742640</x:v>
      </x:c>
      <x:c r="E333" s="38" t="n">
        <x:v>100</x:v>
      </x:c>
      <x:c r="F333" s="38" t="n">
        <x:v>1907231</x:v>
      </x:c>
      <x:c r="G333" s="38" t="n">
        <x:v>161400</x:v>
      </x:c>
      <x:c r="H333" s="38" t="n">
        <x:v>32400</x:v>
      </x:c>
      <x:c r="I333" s="38" t="n">
        <x:v>4959</x:v>
      </x:c>
      <x:c r="J333" s="38" t="n">
        <x:v>0</x:v>
      </x:c>
      <x:c r="K333" s="38" t="n">
        <x:v>0</x:v>
      </x:c>
      <x:c r="L333" s="38" t="n">
        <x:v>0</x:v>
      </x:c>
      <x:c r="M333" s="38" t="n">
        <x:v>0</x:v>
      </x:c>
      <x:c r="N333" s="38" t="n">
        <x:v>0</x:v>
      </x:c>
      <x:c r="O333" s="38" t="n">
        <x:v>0</x:v>
      </x:c>
      <x:c r="P333" s="38" t="n">
        <x:f>F333+G333-H333+I333+J333+K333+L333-M333-N333-O333</x:f>
        <x:v>2041190</x:v>
      </x:c>
      <x:c r="Q333" s="38" t="n">
        <x:v>2041190</x:v>
      </x:c>
      <x:c r="R333" s="38" t="n">
        <x:f>P333-Q333</x:f>
        <x:v>0</x:v>
      </x:c>
      <x:c r="S333" s="38" t="n">
        <x:v>129000</x:v>
      </x:c>
      <x:c r="T333" s="38" t="n">
        <x:v>0</x:v>
      </x:c>
      <x:c r="U333" s="38" t="n">
        <x:v>76</x:v>
      </x:c>
      <x:c r="V333" s="38" t="n">
        <x:v>0</x:v>
      </x:c>
      <x:c r="W333" s="38" t="n">
        <x:v>0</x:v>
      </x:c>
      <x:c r="X333" s="44" t="n">
        <x:v>0</x:v>
      </x:c>
      <x:c r="Y333" s="38" t="n">
        <x:v>300</x:v>
      </x:c>
      <x:c r="Z333" s="38" t="n">
        <x:v>7</x:v>
      </x:c>
      <x:c r="AA333" s="38" t="n">
        <x:v>30</x:v>
      </x:c>
      <x:c r="AB333" s="38" t="n">
        <x:v>10</x:v>
      </x:c>
      <x:c r="AC333" s="38" t="n">
        <x:v>10800</x:v>
      </x:c>
      <x:c r="AD333" s="38" t="n">
        <x:v>0</x:v>
      </x:c>
      <x:c r="AE333" s="38" t="n">
        <x:f>IF(B333=1,0,F333-Q332)</x:f>
        <x:v>0</x:v>
      </x:c>
    </x:row>
    <x:row r="334" ht="27" customHeight="1">
      <x:c r="A334" s="28" t="str">
        <x:v>Enthusiast F2P</x:v>
      </x:c>
      <x:c r="B334" s="38" t="n">
        <x:v>90</x:v>
      </x:c>
      <x:c r="C334" s="38" t="n">
        <x:v>40</x:v>
      </x:c>
      <x:c r="D334" s="38" t="n">
        <x:v>742640</x:v>
      </x:c>
      <x:c r="E334" s="38" t="n">
        <x:v>100</x:v>
      </x:c>
      <x:c r="F334" s="38" t="n">
        <x:v>2041190</x:v>
      </x:c>
      <x:c r="G334" s="38" t="n">
        <x:v>161400</x:v>
      </x:c>
      <x:c r="H334" s="38" t="n">
        <x:v>32400</x:v>
      </x:c>
      <x:c r="I334" s="38" t="n">
        <x:v>4959</x:v>
      </x:c>
      <x:c r="J334" s="38" t="n">
        <x:v>0</x:v>
      </x:c>
      <x:c r="K334" s="38" t="n">
        <x:v>0</x:v>
      </x:c>
      <x:c r="L334" s="38" t="n">
        <x:v>0</x:v>
      </x:c>
      <x:c r="M334" s="38" t="n">
        <x:v>0</x:v>
      </x:c>
      <x:c r="N334" s="38" t="n">
        <x:v>0</x:v>
      </x:c>
      <x:c r="O334" s="38" t="n">
        <x:v>0</x:v>
      </x:c>
      <x:c r="P334" s="38" t="n">
        <x:f>F334+G334-H334+I334+J334+K334+L334-M334-N334-O334</x:f>
        <x:v>2175149</x:v>
      </x:c>
      <x:c r="Q334" s="38" t="n">
        <x:v>2175149</x:v>
      </x:c>
      <x:c r="R334" s="38" t="n">
        <x:f>P334-Q334</x:f>
        <x:v>0</x:v>
      </x:c>
      <x:c r="S334" s="38" t="n">
        <x:v>129000</x:v>
      </x:c>
      <x:c r="T334" s="38" t="n">
        <x:v>0</x:v>
      </x:c>
      <x:c r="U334" s="38" t="n">
        <x:v>76</x:v>
      </x:c>
      <x:c r="V334" s="38" t="n">
        <x:v>0</x:v>
      </x:c>
      <x:c r="W334" s="38" t="n">
        <x:v>0</x:v>
      </x:c>
      <x:c r="X334" s="44" t="n">
        <x:v>0</x:v>
      </x:c>
      <x:c r="Y334" s="38" t="n">
        <x:v>300</x:v>
      </x:c>
      <x:c r="Z334" s="38" t="n">
        <x:v>7</x:v>
      </x:c>
      <x:c r="AA334" s="38" t="n">
        <x:v>30</x:v>
      </x:c>
      <x:c r="AB334" s="38" t="n">
        <x:v>10</x:v>
      </x:c>
      <x:c r="AC334" s="38" t="n">
        <x:v>10800</x:v>
      </x:c>
      <x:c r="AD334" s="38" t="n">
        <x:v>0</x:v>
      </x:c>
      <x:c r="AE334" s="38" t="n">
        <x:f>IF(B334=1,0,F334-Q333)</x:f>
        <x:v>0</x:v>
      </x:c>
    </x:row>
    <x:row r="335" ht="27" customHeight="1">
      <x:c r="A335" s="28" t="str">
        <x:v>Enthusiast F2P</x:v>
      </x:c>
      <x:c r="B335" s="38" t="n">
        <x:v>91</x:v>
      </x:c>
      <x:c r="C335" s="38" t="n">
        <x:v>40</x:v>
      </x:c>
      <x:c r="D335" s="38" t="n">
        <x:v>742640</x:v>
      </x:c>
      <x:c r="E335" s="38" t="n">
        <x:v>100</x:v>
      </x:c>
      <x:c r="F335" s="38" t="n">
        <x:v>2175149</x:v>
      </x:c>
      <x:c r="G335" s="38" t="n">
        <x:v>161400</x:v>
      </x:c>
      <x:c r="H335" s="38" t="n">
        <x:v>32400</x:v>
      </x:c>
      <x:c r="I335" s="38" t="n">
        <x:v>29754</x:v>
      </x:c>
      <x:c r="J335" s="38" t="n">
        <x:v>0</x:v>
      </x:c>
      <x:c r="K335" s="38" t="n">
        <x:v>0</x:v>
      </x:c>
      <x:c r="L335" s="38" t="n">
        <x:v>0</x:v>
      </x:c>
      <x:c r="M335" s="38" t="n">
        <x:v>0</x:v>
      </x:c>
      <x:c r="N335" s="38" t="n">
        <x:v>9170</x:v>
      </x:c>
      <x:c r="O335" s="38" t="n">
        <x:v>0</x:v>
      </x:c>
      <x:c r="P335" s="38" t="n">
        <x:f>F335+G335-H335+I335+J335+K335+L335-M335-N335-O335</x:f>
        <x:v>2324733</x:v>
      </x:c>
      <x:c r="Q335" s="38" t="n">
        <x:v>2324733</x:v>
      </x:c>
      <x:c r="R335" s="38" t="n">
        <x:f>P335-Q335</x:f>
        <x:v>0</x:v>
      </x:c>
      <x:c r="S335" s="38" t="n">
        <x:v>129000</x:v>
      </x:c>
      <x:c r="T335" s="38" t="n">
        <x:v>0</x:v>
      </x:c>
      <x:c r="U335" s="38" t="n">
        <x:v>78</x:v>
      </x:c>
      <x:c r="V335" s="38" t="n">
        <x:v>2</x:v>
      </x:c>
      <x:c r="W335" s="38" t="n">
        <x:v>0</x:v>
      </x:c>
      <x:c r="X335" s="44" t="n">
        <x:v>0</x:v>
      </x:c>
      <x:c r="Y335" s="38" t="n">
        <x:v>300</x:v>
      </x:c>
      <x:c r="Z335" s="38" t="n">
        <x:v>7</x:v>
      </x:c>
      <x:c r="AA335" s="38" t="n">
        <x:v>31</x:v>
      </x:c>
      <x:c r="AB335" s="38" t="n">
        <x:v>10</x:v>
      </x:c>
      <x:c r="AC335" s="38" t="n">
        <x:v>10800</x:v>
      </x:c>
      <x:c r="AD335" s="38" t="n">
        <x:v>0</x:v>
      </x:c>
      <x:c r="AE335" s="38" t="n">
        <x:f>IF(B335=1,0,F335-Q334)</x:f>
        <x:v>0</x:v>
      </x:c>
    </x:row>
    <x:row r="336" ht="27" customHeight="1">
      <x:c r="A336" s="28" t="str">
        <x:v>Enthusiast F2P</x:v>
      </x:c>
      <x:c r="B336" s="38" t="n">
        <x:v>92</x:v>
      </x:c>
      <x:c r="C336" s="38" t="n">
        <x:v>40</x:v>
      </x:c>
      <x:c r="D336" s="38" t="n">
        <x:v>742640</x:v>
      </x:c>
      <x:c r="E336" s="38" t="n">
        <x:v>100</x:v>
      </x:c>
      <x:c r="F336" s="38" t="n">
        <x:v>2324733</x:v>
      </x:c>
      <x:c r="G336" s="38" t="n">
        <x:v>161400</x:v>
      </x:c>
      <x:c r="H336" s="38" t="n">
        <x:v>32400</x:v>
      </x:c>
      <x:c r="I336" s="38" t="n">
        <x:v>4959</x:v>
      </x:c>
      <x:c r="J336" s="38" t="n">
        <x:v>0</x:v>
      </x:c>
      <x:c r="K336" s="38" t="n">
        <x:v>0</x:v>
      </x:c>
      <x:c r="L336" s="38" t="n">
        <x:v>0</x:v>
      </x:c>
      <x:c r="M336" s="38" t="n">
        <x:v>0</x:v>
      </x:c>
      <x:c r="N336" s="38" t="n">
        <x:v>0</x:v>
      </x:c>
      <x:c r="O336" s="38" t="n">
        <x:v>0</x:v>
      </x:c>
      <x:c r="P336" s="38" t="n">
        <x:f>F336+G336-H336+I336+J336+K336+L336-M336-N336-O336</x:f>
        <x:v>2458692</x:v>
      </x:c>
      <x:c r="Q336" s="38" t="n">
        <x:v>2458692</x:v>
      </x:c>
      <x:c r="R336" s="38" t="n">
        <x:f>P336-Q336</x:f>
        <x:v>0</x:v>
      </x:c>
      <x:c r="S336" s="38" t="n">
        <x:v>129000</x:v>
      </x:c>
      <x:c r="T336" s="38" t="n">
        <x:v>0</x:v>
      </x:c>
      <x:c r="U336" s="38" t="n">
        <x:v>78</x:v>
      </x:c>
      <x:c r="V336" s="38" t="n">
        <x:v>0</x:v>
      </x:c>
      <x:c r="W336" s="38" t="n">
        <x:v>0</x:v>
      </x:c>
      <x:c r="X336" s="44" t="n">
        <x:v>0</x:v>
      </x:c>
      <x:c r="Y336" s="38" t="n">
        <x:v>300</x:v>
      </x:c>
      <x:c r="Z336" s="38" t="n">
        <x:v>7</x:v>
      </x:c>
      <x:c r="AA336" s="38" t="n">
        <x:v>31</x:v>
      </x:c>
      <x:c r="AB336" s="38" t="n">
        <x:v>10</x:v>
      </x:c>
      <x:c r="AC336" s="38" t="n">
        <x:v>10800</x:v>
      </x:c>
      <x:c r="AD336" s="38" t="n">
        <x:v>0</x:v>
      </x:c>
      <x:c r="AE336" s="38" t="n">
        <x:f>IF(B336=1,0,F336-Q335)</x:f>
        <x:v>0</x:v>
      </x:c>
    </x:row>
    <x:row r="337" ht="27" customHeight="1">
      <x:c r="A337" s="28" t="str">
        <x:v>Enthusiast F2P</x:v>
      </x:c>
      <x:c r="B337" s="38" t="n">
        <x:v>93</x:v>
      </x:c>
      <x:c r="C337" s="38" t="n">
        <x:v>40</x:v>
      </x:c>
      <x:c r="D337" s="38" t="n">
        <x:v>742640</x:v>
      </x:c>
      <x:c r="E337" s="38" t="n">
        <x:v>100</x:v>
      </x:c>
      <x:c r="F337" s="38" t="n">
        <x:v>2458692</x:v>
      </x:c>
      <x:c r="G337" s="38" t="n">
        <x:v>161400</x:v>
      </x:c>
      <x:c r="H337" s="38" t="n">
        <x:v>32400</x:v>
      </x:c>
      <x:c r="I337" s="38" t="n">
        <x:v>4959</x:v>
      </x:c>
      <x:c r="J337" s="38" t="n">
        <x:v>0</x:v>
      </x:c>
      <x:c r="K337" s="38" t="n">
        <x:v>0</x:v>
      </x:c>
      <x:c r="L337" s="38" t="n">
        <x:v>0</x:v>
      </x:c>
      <x:c r="M337" s="38" t="n">
        <x:v>0</x:v>
      </x:c>
      <x:c r="N337" s="38" t="n">
        <x:v>0</x:v>
      </x:c>
      <x:c r="O337" s="38" t="n">
        <x:v>0</x:v>
      </x:c>
      <x:c r="P337" s="38" t="n">
        <x:f>F337+G337-H337+I337+J337+K337+L337-M337-N337-O337</x:f>
        <x:v>2592651</x:v>
      </x:c>
      <x:c r="Q337" s="38" t="n">
        <x:v>2592651</x:v>
      </x:c>
      <x:c r="R337" s="38" t="n">
        <x:f>P337-Q337</x:f>
        <x:v>0</x:v>
      </x:c>
      <x:c r="S337" s="38" t="n">
        <x:v>129000</x:v>
      </x:c>
      <x:c r="T337" s="38" t="n">
        <x:v>0</x:v>
      </x:c>
      <x:c r="U337" s="38" t="n">
        <x:v>78</x:v>
      </x:c>
      <x:c r="V337" s="38" t="n">
        <x:v>0</x:v>
      </x:c>
      <x:c r="W337" s="38" t="n">
        <x:v>0</x:v>
      </x:c>
      <x:c r="X337" s="44" t="n">
        <x:v>0</x:v>
      </x:c>
      <x:c r="Y337" s="38" t="n">
        <x:v>300</x:v>
      </x:c>
      <x:c r="Z337" s="38" t="n">
        <x:v>7</x:v>
      </x:c>
      <x:c r="AA337" s="38" t="n">
        <x:v>31</x:v>
      </x:c>
      <x:c r="AB337" s="38" t="n">
        <x:v>10</x:v>
      </x:c>
      <x:c r="AC337" s="38" t="n">
        <x:v>10800</x:v>
      </x:c>
      <x:c r="AD337" s="38" t="n">
        <x:v>0</x:v>
      </x:c>
      <x:c r="AE337" s="38" t="n">
        <x:f>IF(B337=1,0,F337-Q336)</x:f>
        <x:v>0</x:v>
      </x:c>
    </x:row>
    <x:row r="338" ht="27" customHeight="1">
      <x:c r="A338" s="28" t="str">
        <x:v>Enthusiast F2P</x:v>
      </x:c>
      <x:c r="B338" s="38" t="n">
        <x:v>94</x:v>
      </x:c>
      <x:c r="C338" s="38" t="n">
        <x:v>40</x:v>
      </x:c>
      <x:c r="D338" s="38" t="n">
        <x:v>742640</x:v>
      </x:c>
      <x:c r="E338" s="38" t="n">
        <x:v>100</x:v>
      </x:c>
      <x:c r="F338" s="38" t="n">
        <x:v>2592651</x:v>
      </x:c>
      <x:c r="G338" s="38" t="n">
        <x:v>161400</x:v>
      </x:c>
      <x:c r="H338" s="38" t="n">
        <x:v>32400</x:v>
      </x:c>
      <x:c r="I338" s="38" t="n">
        <x:v>4959</x:v>
      </x:c>
      <x:c r="J338" s="38" t="n">
        <x:v>0</x:v>
      </x:c>
      <x:c r="K338" s="38" t="n">
        <x:v>0</x:v>
      </x:c>
      <x:c r="L338" s="38" t="n">
        <x:v>0</x:v>
      </x:c>
      <x:c r="M338" s="38" t="n">
        <x:v>0</x:v>
      </x:c>
      <x:c r="N338" s="38" t="n">
        <x:v>5005</x:v>
      </x:c>
      <x:c r="O338" s="38" t="n">
        <x:v>0</x:v>
      </x:c>
      <x:c r="P338" s="38" t="n">
        <x:f>F338+G338-H338+I338+J338+K338+L338-M338-N338-O338</x:f>
        <x:v>2721605</x:v>
      </x:c>
      <x:c r="Q338" s="38" t="n">
        <x:v>2721605</x:v>
      </x:c>
      <x:c r="R338" s="38" t="n">
        <x:f>P338-Q338</x:f>
        <x:v>0</x:v>
      </x:c>
      <x:c r="S338" s="38" t="n">
        <x:v>129000</x:v>
      </x:c>
      <x:c r="T338" s="38" t="n">
        <x:v>0</x:v>
      </x:c>
      <x:c r="U338" s="38" t="n">
        <x:v>78</x:v>
      </x:c>
      <x:c r="V338" s="38" t="n">
        <x:v>0</x:v>
      </x:c>
      <x:c r="W338" s="38" t="n">
        <x:v>0</x:v>
      </x:c>
      <x:c r="X338" s="44" t="n">
        <x:v>0</x:v>
      </x:c>
      <x:c r="Y338" s="38" t="n">
        <x:v>300</x:v>
      </x:c>
      <x:c r="Z338" s="38" t="n">
        <x:v>7</x:v>
      </x:c>
      <x:c r="AA338" s="38" t="n">
        <x:v>32</x:v>
      </x:c>
      <x:c r="AB338" s="38" t="n">
        <x:v>10</x:v>
      </x:c>
      <x:c r="AC338" s="38" t="n">
        <x:v>10800</x:v>
      </x:c>
      <x:c r="AD338" s="38" t="n">
        <x:v>0</x:v>
      </x:c>
      <x:c r="AE338" s="38" t="n">
        <x:f>IF(B338=1,0,F338-Q337)</x:f>
        <x:v>0</x:v>
      </x:c>
    </x:row>
    <x:row r="339" ht="27" customHeight="1">
      <x:c r="A339" s="28" t="str">
        <x:v>Enthusiast F2P</x:v>
      </x:c>
      <x:c r="B339" s="38" t="n">
        <x:v>95</x:v>
      </x:c>
      <x:c r="C339" s="38" t="n">
        <x:v>40</x:v>
      </x:c>
      <x:c r="D339" s="38" t="n">
        <x:v>742640</x:v>
      </x:c>
      <x:c r="E339" s="38" t="n">
        <x:v>100</x:v>
      </x:c>
      <x:c r="F339" s="38" t="n">
        <x:v>2721605</x:v>
      </x:c>
      <x:c r="G339" s="38" t="n">
        <x:v>161400</x:v>
      </x:c>
      <x:c r="H339" s="38" t="n">
        <x:v>32400</x:v>
      </x:c>
      <x:c r="I339" s="38" t="n">
        <x:v>4959</x:v>
      </x:c>
      <x:c r="J339" s="38" t="n">
        <x:v>0</x:v>
      </x:c>
      <x:c r="K339" s="38" t="n">
        <x:v>0</x:v>
      </x:c>
      <x:c r="L339" s="38" t="n">
        <x:v>0</x:v>
      </x:c>
      <x:c r="M339" s="38" t="n">
        <x:v>0</x:v>
      </x:c>
      <x:c r="N339" s="38" t="n">
        <x:v>0</x:v>
      </x:c>
      <x:c r="O339" s="38" t="n">
        <x:v>0</x:v>
      </x:c>
      <x:c r="P339" s="38" t="n">
        <x:f>F339+G339-H339+I339+J339+K339+L339-M339-N339-O339</x:f>
        <x:v>2855564</x:v>
      </x:c>
      <x:c r="Q339" s="38" t="n">
        <x:v>2855564</x:v>
      </x:c>
      <x:c r="R339" s="38" t="n">
        <x:f>P339-Q339</x:f>
        <x:v>0</x:v>
      </x:c>
      <x:c r="S339" s="38" t="n">
        <x:v>129000</x:v>
      </x:c>
      <x:c r="T339" s="38" t="n">
        <x:v>0</x:v>
      </x:c>
      <x:c r="U339" s="38" t="n">
        <x:v>78</x:v>
      </x:c>
      <x:c r="V339" s="38" t="n">
        <x:v>0</x:v>
      </x:c>
      <x:c r="W339" s="38" t="n">
        <x:v>0</x:v>
      </x:c>
      <x:c r="X339" s="44" t="n">
        <x:v>0</x:v>
      </x:c>
      <x:c r="Y339" s="38" t="n">
        <x:v>300</x:v>
      </x:c>
      <x:c r="Z339" s="38" t="n">
        <x:v>7</x:v>
      </x:c>
      <x:c r="AA339" s="38" t="n">
        <x:v>32</x:v>
      </x:c>
      <x:c r="AB339" s="38" t="n">
        <x:v>10</x:v>
      </x:c>
      <x:c r="AC339" s="38" t="n">
        <x:v>10800</x:v>
      </x:c>
      <x:c r="AD339" s="38" t="n">
        <x:v>0</x:v>
      </x:c>
      <x:c r="AE339" s="38" t="n">
        <x:f>IF(B339=1,0,F339-Q338)</x:f>
        <x:v>0</x:v>
      </x:c>
    </x:row>
    <x:row r="340" ht="27" customHeight="1">
      <x:c r="A340" s="28" t="str">
        <x:v>Enthusiast F2P</x:v>
      </x:c>
      <x:c r="B340" s="38" t="n">
        <x:v>96</x:v>
      </x:c>
      <x:c r="C340" s="38" t="n">
        <x:v>40</x:v>
      </x:c>
      <x:c r="D340" s="38" t="n">
        <x:v>742640</x:v>
      </x:c>
      <x:c r="E340" s="38" t="n">
        <x:v>100</x:v>
      </x:c>
      <x:c r="F340" s="38" t="n">
        <x:v>2855564</x:v>
      </x:c>
      <x:c r="G340" s="38" t="n">
        <x:v>161400</x:v>
      </x:c>
      <x:c r="H340" s="38" t="n">
        <x:v>32400</x:v>
      </x:c>
      <x:c r="I340" s="38" t="n">
        <x:v>4959</x:v>
      </x:c>
      <x:c r="J340" s="38" t="n">
        <x:v>0</x:v>
      </x:c>
      <x:c r="K340" s="38" t="n">
        <x:v>0</x:v>
      </x:c>
      <x:c r="L340" s="38" t="n">
        <x:v>0</x:v>
      </x:c>
      <x:c r="M340" s="38" t="n">
        <x:v>0</x:v>
      </x:c>
      <x:c r="N340" s="38" t="n">
        <x:v>0</x:v>
      </x:c>
      <x:c r="O340" s="38" t="n">
        <x:v>0</x:v>
      </x:c>
      <x:c r="P340" s="38" t="n">
        <x:f>F340+G340-H340+I340+J340+K340+L340-M340-N340-O340</x:f>
        <x:v>2989523</x:v>
      </x:c>
      <x:c r="Q340" s="38" t="n">
        <x:v>2989523</x:v>
      </x:c>
      <x:c r="R340" s="38" t="n">
        <x:f>P340-Q340</x:f>
        <x:v>0</x:v>
      </x:c>
      <x:c r="S340" s="38" t="n">
        <x:v>129000</x:v>
      </x:c>
      <x:c r="T340" s="38" t="n">
        <x:v>0</x:v>
      </x:c>
      <x:c r="U340" s="38" t="n">
        <x:v>78</x:v>
      </x:c>
      <x:c r="V340" s="38" t="n">
        <x:v>0</x:v>
      </x:c>
      <x:c r="W340" s="38" t="n">
        <x:v>0</x:v>
      </x:c>
      <x:c r="X340" s="44" t="n">
        <x:v>0</x:v>
      </x:c>
      <x:c r="Y340" s="38" t="n">
        <x:v>300</x:v>
      </x:c>
      <x:c r="Z340" s="38" t="n">
        <x:v>7</x:v>
      </x:c>
      <x:c r="AA340" s="38" t="n">
        <x:v>32</x:v>
      </x:c>
      <x:c r="AB340" s="38" t="n">
        <x:v>10</x:v>
      </x:c>
      <x:c r="AC340" s="38" t="n">
        <x:v>10800</x:v>
      </x:c>
      <x:c r="AD340" s="38" t="n">
        <x:v>0</x:v>
      </x:c>
      <x:c r="AE340" s="38" t="n">
        <x:f>IF(B340=1,0,F340-Q339)</x:f>
        <x:v>0</x:v>
      </x:c>
    </x:row>
    <x:row r="341" ht="27" customHeight="1">
      <x:c r="A341" s="28" t="str">
        <x:v>Enthusiast F2P</x:v>
      </x:c>
      <x:c r="B341" s="38" t="n">
        <x:v>97</x:v>
      </x:c>
      <x:c r="C341" s="38" t="n">
        <x:v>40</x:v>
      </x:c>
      <x:c r="D341" s="38" t="n">
        <x:v>742640</x:v>
      </x:c>
      <x:c r="E341" s="38" t="n">
        <x:v>100</x:v>
      </x:c>
      <x:c r="F341" s="38" t="n">
        <x:v>2989523</x:v>
      </x:c>
      <x:c r="G341" s="38" t="n">
        <x:v>161400</x:v>
      </x:c>
      <x:c r="H341" s="38" t="n">
        <x:v>32400</x:v>
      </x:c>
      <x:c r="I341" s="38" t="n">
        <x:v>4959</x:v>
      </x:c>
      <x:c r="J341" s="38" t="n">
        <x:v>0</x:v>
      </x:c>
      <x:c r="K341" s="38" t="n">
        <x:v>0</x:v>
      </x:c>
      <x:c r="L341" s="38" t="n">
        <x:v>0</x:v>
      </x:c>
      <x:c r="M341" s="38" t="n">
        <x:v>0</x:v>
      </x:c>
      <x:c r="N341" s="38" t="n">
        <x:v>5120</x:v>
      </x:c>
      <x:c r="O341" s="38" t="n">
        <x:v>0</x:v>
      </x:c>
      <x:c r="P341" s="38" t="n">
        <x:f>F341+G341-H341+I341+J341+K341+L341-M341-N341-O341</x:f>
        <x:v>3118362</x:v>
      </x:c>
      <x:c r="Q341" s="38" t="n">
        <x:v>3118362</x:v>
      </x:c>
      <x:c r="R341" s="38" t="n">
        <x:f>P341-Q341</x:f>
        <x:v>0</x:v>
      </x:c>
      <x:c r="S341" s="38" t="n">
        <x:v>129000</x:v>
      </x:c>
      <x:c r="T341" s="38" t="n">
        <x:v>0</x:v>
      </x:c>
      <x:c r="U341" s="38" t="n">
        <x:v>78</x:v>
      </x:c>
      <x:c r="V341" s="38" t="n">
        <x:v>0</x:v>
      </x:c>
      <x:c r="W341" s="38" t="n">
        <x:v>0</x:v>
      </x:c>
      <x:c r="X341" s="44" t="n">
        <x:v>0</x:v>
      </x:c>
      <x:c r="Y341" s="38" t="n">
        <x:v>300</x:v>
      </x:c>
      <x:c r="Z341" s="38" t="n">
        <x:v>7</x:v>
      </x:c>
      <x:c r="AA341" s="38" t="n">
        <x:v>33</x:v>
      </x:c>
      <x:c r="AB341" s="38" t="n">
        <x:v>10</x:v>
      </x:c>
      <x:c r="AC341" s="38" t="n">
        <x:v>10800</x:v>
      </x:c>
      <x:c r="AD341" s="38" t="n">
        <x:v>0</x:v>
      </x:c>
      <x:c r="AE341" s="38" t="n">
        <x:f>IF(B341=1,0,F341-Q340)</x:f>
        <x:v>0</x:v>
      </x:c>
    </x:row>
    <x:row r="342" ht="27" customHeight="1">
      <x:c r="A342" s="28" t="str">
        <x:v>Enthusiast F2P</x:v>
      </x:c>
      <x:c r="B342" s="38" t="n">
        <x:v>98</x:v>
      </x:c>
      <x:c r="C342" s="38" t="n">
        <x:v>40</x:v>
      </x:c>
      <x:c r="D342" s="38" t="n">
        <x:v>742640</x:v>
      </x:c>
      <x:c r="E342" s="38" t="n">
        <x:v>100</x:v>
      </x:c>
      <x:c r="F342" s="38" t="n">
        <x:v>3118362</x:v>
      </x:c>
      <x:c r="G342" s="38" t="n">
        <x:v>161400</x:v>
      </x:c>
      <x:c r="H342" s="38" t="n">
        <x:v>32400</x:v>
      </x:c>
      <x:c r="I342" s="38" t="n">
        <x:v>29754</x:v>
      </x:c>
      <x:c r="J342" s="38" t="n">
        <x:v>0</x:v>
      </x:c>
      <x:c r="K342" s="38" t="n">
        <x:v>0</x:v>
      </x:c>
      <x:c r="L342" s="38" t="n">
        <x:v>0</x:v>
      </x:c>
      <x:c r="M342" s="38" t="n">
        <x:v>0</x:v>
      </x:c>
      <x:c r="N342" s="38" t="n">
        <x:v>0</x:v>
      </x:c>
      <x:c r="O342" s="38" t="n">
        <x:v>0</x:v>
      </x:c>
      <x:c r="P342" s="38" t="n">
        <x:f>F342+G342-H342+I342+J342+K342+L342-M342-N342-O342</x:f>
        <x:v>3277116</x:v>
      </x:c>
      <x:c r="Q342" s="38" t="n">
        <x:v>3277116</x:v>
      </x:c>
      <x:c r="R342" s="38" t="n">
        <x:f>P342-Q342</x:f>
        <x:v>0</x:v>
      </x:c>
      <x:c r="S342" s="38" t="n">
        <x:v>129000</x:v>
      </x:c>
      <x:c r="T342" s="38" t="n">
        <x:v>0</x:v>
      </x:c>
      <x:c r="U342" s="38" t="n">
        <x:v>80</x:v>
      </x:c>
      <x:c r="V342" s="38" t="n">
        <x:v>2</x:v>
      </x:c>
      <x:c r="W342" s="38" t="n">
        <x:v>0</x:v>
      </x:c>
      <x:c r="X342" s="44" t="n">
        <x:v>0</x:v>
      </x:c>
      <x:c r="Y342" s="38" t="n">
        <x:v>300</x:v>
      </x:c>
      <x:c r="Z342" s="38" t="n">
        <x:v>7</x:v>
      </x:c>
      <x:c r="AA342" s="38" t="n">
        <x:v>33</x:v>
      </x:c>
      <x:c r="AB342" s="38" t="n">
        <x:v>10</x:v>
      </x:c>
      <x:c r="AC342" s="38" t="n">
        <x:v>10800</x:v>
      </x:c>
      <x:c r="AD342" s="38" t="n">
        <x:v>0</x:v>
      </x:c>
      <x:c r="AE342" s="38" t="n">
        <x:f>IF(B342=1,0,F342-Q341)</x:f>
        <x:v>0</x:v>
      </x:c>
    </x:row>
    <x:row r="343" ht="27" customHeight="1">
      <x:c r="A343" s="28" t="str">
        <x:v>Enthusiast F2P</x:v>
      </x:c>
      <x:c r="B343" s="38" t="n">
        <x:v>99</x:v>
      </x:c>
      <x:c r="C343" s="38" t="n">
        <x:v>40</x:v>
      </x:c>
      <x:c r="D343" s="38" t="n">
        <x:v>742640</x:v>
      </x:c>
      <x:c r="E343" s="38" t="n">
        <x:v>100</x:v>
      </x:c>
      <x:c r="F343" s="38" t="n">
        <x:v>3277116</x:v>
      </x:c>
      <x:c r="G343" s="38" t="n">
        <x:v>161400</x:v>
      </x:c>
      <x:c r="H343" s="38" t="n">
        <x:v>32400</x:v>
      </x:c>
      <x:c r="I343" s="38" t="n">
        <x:v>4959</x:v>
      </x:c>
      <x:c r="J343" s="38" t="n">
        <x:v>0</x:v>
      </x:c>
      <x:c r="K343" s="38" t="n">
        <x:v>0</x:v>
      </x:c>
      <x:c r="L343" s="38" t="n">
        <x:v>0</x:v>
      </x:c>
      <x:c r="M343" s="38" t="n">
        <x:v>0</x:v>
      </x:c>
      <x:c r="N343" s="38" t="n">
        <x:v>0</x:v>
      </x:c>
      <x:c r="O343" s="38" t="n">
        <x:v>0</x:v>
      </x:c>
      <x:c r="P343" s="38" t="n">
        <x:f>F343+G343-H343+I343+J343+K343+L343-M343-N343-O343</x:f>
        <x:v>3411075</x:v>
      </x:c>
      <x:c r="Q343" s="38" t="n">
        <x:v>3411075</x:v>
      </x:c>
      <x:c r="R343" s="38" t="n">
        <x:f>P343-Q343</x:f>
        <x:v>0</x:v>
      </x:c>
      <x:c r="S343" s="38" t="n">
        <x:v>129000</x:v>
      </x:c>
      <x:c r="T343" s="38" t="n">
        <x:v>0</x:v>
      </x:c>
      <x:c r="U343" s="38" t="n">
        <x:v>80</x:v>
      </x:c>
      <x:c r="V343" s="38" t="n">
        <x:v>0</x:v>
      </x:c>
      <x:c r="W343" s="38" t="n">
        <x:v>0</x:v>
      </x:c>
      <x:c r="X343" s="44" t="n">
        <x:v>0</x:v>
      </x:c>
      <x:c r="Y343" s="38" t="n">
        <x:v>300</x:v>
      </x:c>
      <x:c r="Z343" s="38" t="n">
        <x:v>7</x:v>
      </x:c>
      <x:c r="AA343" s="38" t="n">
        <x:v>33</x:v>
      </x:c>
      <x:c r="AB343" s="38" t="n">
        <x:v>10</x:v>
      </x:c>
      <x:c r="AC343" s="38" t="n">
        <x:v>10800</x:v>
      </x:c>
      <x:c r="AD343" s="38" t="n">
        <x:v>0</x:v>
      </x:c>
      <x:c r="AE343" s="38" t="n">
        <x:f>IF(B343=1,0,F343-Q342)</x:f>
        <x:v>0</x:v>
      </x:c>
    </x:row>
    <x:row r="344" ht="27" customHeight="1">
      <x:c r="A344" s="28" t="str">
        <x:v>Enthusiast F2P</x:v>
      </x:c>
      <x:c r="B344" s="38" t="n">
        <x:v>100</x:v>
      </x:c>
      <x:c r="C344" s="38" t="n">
        <x:v>40</x:v>
      </x:c>
      <x:c r="D344" s="38" t="n">
        <x:v>742640</x:v>
      </x:c>
      <x:c r="E344" s="38" t="n">
        <x:v>100</x:v>
      </x:c>
      <x:c r="F344" s="38" t="n">
        <x:v>3411075</x:v>
      </x:c>
      <x:c r="G344" s="38" t="n">
        <x:v>161400</x:v>
      </x:c>
      <x:c r="H344" s="38" t="n">
        <x:v>32400</x:v>
      </x:c>
      <x:c r="I344" s="38" t="n">
        <x:v>4959</x:v>
      </x:c>
      <x:c r="J344" s="38" t="n">
        <x:v>0</x:v>
      </x:c>
      <x:c r="K344" s="38" t="n">
        <x:v>0</x:v>
      </x:c>
      <x:c r="L344" s="38" t="n">
        <x:v>0</x:v>
      </x:c>
      <x:c r="M344" s="38" t="n">
        <x:v>0</x:v>
      </x:c>
      <x:c r="N344" s="38" t="n">
        <x:v>9820</x:v>
      </x:c>
      <x:c r="O344" s="38" t="n">
        <x:v>0</x:v>
      </x:c>
      <x:c r="P344" s="38" t="n">
        <x:f>F344+G344-H344+I344+J344+K344+L344-M344-N344-O344</x:f>
        <x:v>3535214</x:v>
      </x:c>
      <x:c r="Q344" s="38" t="n">
        <x:v>3535214</x:v>
      </x:c>
      <x:c r="R344" s="38" t="n">
        <x:f>P344-Q344</x:f>
        <x:v>0</x:v>
      </x:c>
      <x:c r="S344" s="38" t="n">
        <x:v>129000</x:v>
      </x:c>
      <x:c r="T344" s="38" t="n">
        <x:v>0</x:v>
      </x:c>
      <x:c r="U344" s="38" t="n">
        <x:v>80</x:v>
      </x:c>
      <x:c r="V344" s="38" t="n">
        <x:v>0</x:v>
      </x:c>
      <x:c r="W344" s="38" t="n">
        <x:v>0</x:v>
      </x:c>
      <x:c r="X344" s="44" t="n">
        <x:v>0</x:v>
      </x:c>
      <x:c r="Y344" s="38" t="n">
        <x:v>300</x:v>
      </x:c>
      <x:c r="Z344" s="38" t="n">
        <x:v>7</x:v>
      </x:c>
      <x:c r="AA344" s="38" t="n">
        <x:v>34</x:v>
      </x:c>
      <x:c r="AB344" s="38" t="n">
        <x:v>10</x:v>
      </x:c>
      <x:c r="AC344" s="38" t="n">
        <x:v>10800</x:v>
      </x:c>
      <x:c r="AD344" s="38" t="n">
        <x:v>0</x:v>
      </x:c>
      <x:c r="AE344" s="38" t="n">
        <x:f>IF(B344=1,0,F344-Q343)</x:f>
        <x:v>0</x:v>
      </x:c>
    </x:row>
    <x:row r="345" ht="27" customHeight="1">
      <x:c r="A345" s="28" t="str">
        <x:v>Enthusiast F2P</x:v>
      </x:c>
      <x:c r="B345" s="38" t="n">
        <x:v>101</x:v>
      </x:c>
      <x:c r="C345" s="38" t="n">
        <x:v>40</x:v>
      </x:c>
      <x:c r="D345" s="38" t="n">
        <x:v>742640</x:v>
      </x:c>
      <x:c r="E345" s="38" t="n">
        <x:v>100</x:v>
      </x:c>
      <x:c r="F345" s="38" t="n">
        <x:v>3535214</x:v>
      </x:c>
      <x:c r="G345" s="38" t="n">
        <x:v>161400</x:v>
      </x:c>
      <x:c r="H345" s="38" t="n">
        <x:v>32400</x:v>
      </x:c>
      <x:c r="I345" s="38" t="n">
        <x:v>4959</x:v>
      </x:c>
      <x:c r="J345" s="38" t="n">
        <x:v>0</x:v>
      </x:c>
      <x:c r="K345" s="38" t="n">
        <x:v>0</x:v>
      </x:c>
      <x:c r="L345" s="38" t="n">
        <x:v>0</x:v>
      </x:c>
      <x:c r="M345" s="38" t="n">
        <x:v>0</x:v>
      </x:c>
      <x:c r="N345" s="38" t="n">
        <x:v>0</x:v>
      </x:c>
      <x:c r="O345" s="38" t="n">
        <x:v>0</x:v>
      </x:c>
      <x:c r="P345" s="38" t="n">
        <x:f>F345+G345-H345+I345+J345+K345+L345-M345-N345-O345</x:f>
        <x:v>3669173</x:v>
      </x:c>
      <x:c r="Q345" s="38" t="n">
        <x:v>3669173</x:v>
      </x:c>
      <x:c r="R345" s="38" t="n">
        <x:f>P345-Q345</x:f>
        <x:v>0</x:v>
      </x:c>
      <x:c r="S345" s="38" t="n">
        <x:v>129000</x:v>
      </x:c>
      <x:c r="T345" s="38" t="n">
        <x:v>0</x:v>
      </x:c>
      <x:c r="U345" s="38" t="n">
        <x:v>80</x:v>
      </x:c>
      <x:c r="V345" s="38" t="n">
        <x:v>0</x:v>
      </x:c>
      <x:c r="W345" s="38" t="n">
        <x:v>0</x:v>
      </x:c>
      <x:c r="X345" s="44" t="n">
        <x:v>0</x:v>
      </x:c>
      <x:c r="Y345" s="38" t="n">
        <x:v>300</x:v>
      </x:c>
      <x:c r="Z345" s="38" t="n">
        <x:v>7</x:v>
      </x:c>
      <x:c r="AA345" s="38" t="n">
        <x:v>34</x:v>
      </x:c>
      <x:c r="AB345" s="38" t="n">
        <x:v>10</x:v>
      </x:c>
      <x:c r="AC345" s="38" t="n">
        <x:v>10800</x:v>
      </x:c>
      <x:c r="AD345" s="38" t="n">
        <x:v>0</x:v>
      </x:c>
      <x:c r="AE345" s="38" t="n">
        <x:f>IF(B345=1,0,F345-Q344)</x:f>
        <x:v>0</x:v>
      </x:c>
    </x:row>
    <x:row r="346" ht="27" customHeight="1">
      <x:c r="A346" s="28" t="str">
        <x:v>Enthusiast F2P</x:v>
      </x:c>
      <x:c r="B346" s="38" t="n">
        <x:v>102</x:v>
      </x:c>
      <x:c r="C346" s="38" t="n">
        <x:v>40</x:v>
      </x:c>
      <x:c r="D346" s="38" t="n">
        <x:v>742640</x:v>
      </x:c>
      <x:c r="E346" s="38" t="n">
        <x:v>100</x:v>
      </x:c>
      <x:c r="F346" s="38" t="n">
        <x:v>3669173</x:v>
      </x:c>
      <x:c r="G346" s="38" t="n">
        <x:v>161400</x:v>
      </x:c>
      <x:c r="H346" s="38" t="n">
        <x:v>32400</x:v>
      </x:c>
      <x:c r="I346" s="38" t="n">
        <x:v>4959</x:v>
      </x:c>
      <x:c r="J346" s="38" t="n">
        <x:v>0</x:v>
      </x:c>
      <x:c r="K346" s="38" t="n">
        <x:v>0</x:v>
      </x:c>
      <x:c r="L346" s="38" t="n">
        <x:v>0</x:v>
      </x:c>
      <x:c r="M346" s="38" t="n">
        <x:v>0</x:v>
      </x:c>
      <x:c r="N346" s="38" t="n">
        <x:v>0</x:v>
      </x:c>
      <x:c r="O346" s="38" t="n">
        <x:v>0</x:v>
      </x:c>
      <x:c r="P346" s="38" t="n">
        <x:f>F346+G346-H346+I346+J346+K346+L346-M346-N346-O346</x:f>
        <x:v>3803132</x:v>
      </x:c>
      <x:c r="Q346" s="38" t="n">
        <x:v>3803132</x:v>
      </x:c>
      <x:c r="R346" s="38" t="n">
        <x:f>P346-Q346</x:f>
        <x:v>0</x:v>
      </x:c>
      <x:c r="S346" s="38" t="n">
        <x:v>129000</x:v>
      </x:c>
      <x:c r="T346" s="38" t="n">
        <x:v>0</x:v>
      </x:c>
      <x:c r="U346" s="38" t="n">
        <x:v>80</x:v>
      </x:c>
      <x:c r="V346" s="38" t="n">
        <x:v>0</x:v>
      </x:c>
      <x:c r="W346" s="38" t="n">
        <x:v>0</x:v>
      </x:c>
      <x:c r="X346" s="44" t="n">
        <x:v>0</x:v>
      </x:c>
      <x:c r="Y346" s="38" t="n">
        <x:v>300</x:v>
      </x:c>
      <x:c r="Z346" s="38" t="n">
        <x:v>7</x:v>
      </x:c>
      <x:c r="AA346" s="38" t="n">
        <x:v>34</x:v>
      </x:c>
      <x:c r="AB346" s="38" t="n">
        <x:v>10</x:v>
      </x:c>
      <x:c r="AC346" s="38" t="n">
        <x:v>10800</x:v>
      </x:c>
      <x:c r="AD346" s="38" t="n">
        <x:v>0</x:v>
      </x:c>
      <x:c r="AE346" s="38" t="n">
        <x:f>IF(B346=1,0,F346-Q345)</x:f>
        <x:v>0</x:v>
      </x:c>
    </x:row>
    <x:row r="347" ht="27" customHeight="1">
      <x:c r="A347" s="28" t="str">
        <x:v>Enthusiast F2P</x:v>
      </x:c>
      <x:c r="B347" s="38" t="n">
        <x:v>103</x:v>
      </x:c>
      <x:c r="C347" s="38" t="n">
        <x:v>40</x:v>
      </x:c>
      <x:c r="D347" s="38" t="n">
        <x:v>742640</x:v>
      </x:c>
      <x:c r="E347" s="38" t="n">
        <x:v>100</x:v>
      </x:c>
      <x:c r="F347" s="38" t="n">
        <x:v>3803132</x:v>
      </x:c>
      <x:c r="G347" s="38" t="n">
        <x:v>161400</x:v>
      </x:c>
      <x:c r="H347" s="38" t="n">
        <x:v>32400</x:v>
      </x:c>
      <x:c r="I347" s="38" t="n">
        <x:v>4959</x:v>
      </x:c>
      <x:c r="J347" s="38" t="n">
        <x:v>0</x:v>
      </x:c>
      <x:c r="K347" s="38" t="n">
        <x:v>0</x:v>
      </x:c>
      <x:c r="L347" s="38" t="n">
        <x:v>0</x:v>
      </x:c>
      <x:c r="M347" s="38" t="n">
        <x:v>0</x:v>
      </x:c>
      <x:c r="N347" s="38" t="n">
        <x:v>11865</x:v>
      </x:c>
      <x:c r="O347" s="38" t="n">
        <x:v>0</x:v>
      </x:c>
      <x:c r="P347" s="38" t="n">
        <x:f>F347+G347-H347+I347+J347+K347+L347-M347-N347-O347</x:f>
        <x:v>3925226</x:v>
      </x:c>
      <x:c r="Q347" s="38" t="n">
        <x:v>3925226</x:v>
      </x:c>
      <x:c r="R347" s="38" t="n">
        <x:f>P347-Q347</x:f>
        <x:v>0</x:v>
      </x:c>
      <x:c r="S347" s="38" t="n">
        <x:v>129000</x:v>
      </x:c>
      <x:c r="T347" s="38" t="n">
        <x:v>0</x:v>
      </x:c>
      <x:c r="U347" s="38" t="n">
        <x:v>80</x:v>
      </x:c>
      <x:c r="V347" s="38" t="n">
        <x:v>0</x:v>
      </x:c>
      <x:c r="W347" s="38" t="n">
        <x:v>0</x:v>
      </x:c>
      <x:c r="X347" s="44" t="n">
        <x:v>0</x:v>
      </x:c>
      <x:c r="Y347" s="38" t="n">
        <x:v>300</x:v>
      </x:c>
      <x:c r="Z347" s="38" t="n">
        <x:v>7</x:v>
      </x:c>
      <x:c r="AA347" s="38" t="n">
        <x:v>35</x:v>
      </x:c>
      <x:c r="AB347" s="38" t="n">
        <x:v>10</x:v>
      </x:c>
      <x:c r="AC347" s="38" t="n">
        <x:v>10800</x:v>
      </x:c>
      <x:c r="AD347" s="38" t="n">
        <x:v>0</x:v>
      </x:c>
      <x:c r="AE347" s="38" t="n">
        <x:f>IF(B347=1,0,F347-Q346)</x:f>
        <x:v>0</x:v>
      </x:c>
    </x:row>
    <x:row r="348" ht="27" customHeight="1">
      <x:c r="A348" s="28" t="str">
        <x:v>Enthusiast F2P</x:v>
      </x:c>
      <x:c r="B348" s="38" t="n">
        <x:v>104</x:v>
      </x:c>
      <x:c r="C348" s="38" t="n">
        <x:v>40</x:v>
      </x:c>
      <x:c r="D348" s="38" t="n">
        <x:v>742640</x:v>
      </x:c>
      <x:c r="E348" s="38" t="n">
        <x:v>100</x:v>
      </x:c>
      <x:c r="F348" s="38" t="n">
        <x:v>3925226</x:v>
      </x:c>
      <x:c r="G348" s="38" t="n">
        <x:v>161400</x:v>
      </x:c>
      <x:c r="H348" s="38" t="n">
        <x:v>32400</x:v>
      </x:c>
      <x:c r="I348" s="38" t="n">
        <x:v>4959</x:v>
      </x:c>
      <x:c r="J348" s="38" t="n">
        <x:v>0</x:v>
      </x:c>
      <x:c r="K348" s="38" t="n">
        <x:v>0</x:v>
      </x:c>
      <x:c r="L348" s="38" t="n">
        <x:v>0</x:v>
      </x:c>
      <x:c r="M348" s="38" t="n">
        <x:v>0</x:v>
      </x:c>
      <x:c r="N348" s="38" t="n">
        <x:v>0</x:v>
      </x:c>
      <x:c r="O348" s="38" t="n">
        <x:v>0</x:v>
      </x:c>
      <x:c r="P348" s="38" t="n">
        <x:f>F348+G348-H348+I348+J348+K348+L348-M348-N348-O348</x:f>
        <x:v>4059185</x:v>
      </x:c>
      <x:c r="Q348" s="38" t="n">
        <x:v>4059185</x:v>
      </x:c>
      <x:c r="R348" s="38" t="n">
        <x:f>P348-Q348</x:f>
        <x:v>0</x:v>
      </x:c>
      <x:c r="S348" s="38" t="n">
        <x:v>129000</x:v>
      </x:c>
      <x:c r="T348" s="38" t="n">
        <x:v>0</x:v>
      </x:c>
      <x:c r="U348" s="38" t="n">
        <x:v>80</x:v>
      </x:c>
      <x:c r="V348" s="38" t="n">
        <x:v>0</x:v>
      </x:c>
      <x:c r="W348" s="38" t="n">
        <x:v>0</x:v>
      </x:c>
      <x:c r="X348" s="44" t="n">
        <x:v>0</x:v>
      </x:c>
      <x:c r="Y348" s="38" t="n">
        <x:v>300</x:v>
      </x:c>
      <x:c r="Z348" s="38" t="n">
        <x:v>7</x:v>
      </x:c>
      <x:c r="AA348" s="38" t="n">
        <x:v>35</x:v>
      </x:c>
      <x:c r="AB348" s="38" t="n">
        <x:v>10</x:v>
      </x:c>
      <x:c r="AC348" s="38" t="n">
        <x:v>10800</x:v>
      </x:c>
      <x:c r="AD348" s="38" t="n">
        <x:v>0</x:v>
      </x:c>
      <x:c r="AE348" s="38" t="n">
        <x:f>IF(B348=1,0,F348-Q347)</x:f>
        <x:v>0</x:v>
      </x:c>
    </x:row>
    <x:row r="349" ht="27" customHeight="1">
      <x:c r="A349" s="28" t="str">
        <x:v>Enthusiast F2P</x:v>
      </x:c>
      <x:c r="B349" s="38" t="n">
        <x:v>105</x:v>
      </x:c>
      <x:c r="C349" s="38" t="n">
        <x:v>40</x:v>
      </x:c>
      <x:c r="D349" s="38" t="n">
        <x:v>742640</x:v>
      </x:c>
      <x:c r="E349" s="38" t="n">
        <x:v>100</x:v>
      </x:c>
      <x:c r="F349" s="38" t="n">
        <x:v>4059185</x:v>
      </x:c>
      <x:c r="G349" s="38" t="n">
        <x:v>161400</x:v>
      </x:c>
      <x:c r="H349" s="38" t="n">
        <x:v>32400</x:v>
      </x:c>
      <x:c r="I349" s="38" t="n">
        <x:v>29754</x:v>
      </x:c>
      <x:c r="J349" s="38" t="n">
        <x:v>0</x:v>
      </x:c>
      <x:c r="K349" s="38" t="n">
        <x:v>0</x:v>
      </x:c>
      <x:c r="L349" s="38" t="n">
        <x:v>0</x:v>
      </x:c>
      <x:c r="M349" s="38" t="n">
        <x:v>0</x:v>
      </x:c>
      <x:c r="N349" s="38" t="n">
        <x:v>0</x:v>
      </x:c>
      <x:c r="O349" s="38" t="n">
        <x:v>0</x:v>
      </x:c>
      <x:c r="P349" s="38" t="n">
        <x:f>F349+G349-H349+I349+J349+K349+L349-M349-N349-O349</x:f>
        <x:v>4217939</x:v>
      </x:c>
      <x:c r="Q349" s="38" t="n">
        <x:v>4217939</x:v>
      </x:c>
      <x:c r="R349" s="38" t="n">
        <x:f>P349-Q349</x:f>
        <x:v>0</x:v>
      </x:c>
      <x:c r="S349" s="38" t="n">
        <x:v>129000</x:v>
      </x:c>
      <x:c r="T349" s="38" t="n">
        <x:v>0</x:v>
      </x:c>
      <x:c r="U349" s="38" t="n">
        <x:v>82</x:v>
      </x:c>
      <x:c r="V349" s="38" t="n">
        <x:v>2</x:v>
      </x:c>
      <x:c r="W349" s="38" t="n">
        <x:v>0</x:v>
      </x:c>
      <x:c r="X349" s="44" t="n">
        <x:v>0</x:v>
      </x:c>
      <x:c r="Y349" s="38" t="n">
        <x:v>300</x:v>
      </x:c>
      <x:c r="Z349" s="38" t="n">
        <x:v>7</x:v>
      </x:c>
      <x:c r="AA349" s="38" t="n">
        <x:v>35</x:v>
      </x:c>
      <x:c r="AB349" s="38" t="n">
        <x:v>10</x:v>
      </x:c>
      <x:c r="AC349" s="38" t="n">
        <x:v>10800</x:v>
      </x:c>
      <x:c r="AD349" s="38" t="n">
        <x:v>0</x:v>
      </x:c>
      <x:c r="AE349" s="38" t="n">
        <x:f>IF(B349=1,0,F349-Q348)</x:f>
        <x:v>0</x:v>
      </x:c>
    </x:row>
    <x:row r="350" ht="27" customHeight="1">
      <x:c r="A350" s="28" t="str">
        <x:v>Enthusiast F2P</x:v>
      </x:c>
      <x:c r="B350" s="38" t="n">
        <x:v>106</x:v>
      </x:c>
      <x:c r="C350" s="38" t="n">
        <x:v>40</x:v>
      </x:c>
      <x:c r="D350" s="38" t="n">
        <x:v>742640</x:v>
      </x:c>
      <x:c r="E350" s="38" t="n">
        <x:v>100</x:v>
      </x:c>
      <x:c r="F350" s="38" t="n">
        <x:v>4217939</x:v>
      </x:c>
      <x:c r="G350" s="38" t="n">
        <x:v>161400</x:v>
      </x:c>
      <x:c r="H350" s="38" t="n">
        <x:v>32400</x:v>
      </x:c>
      <x:c r="I350" s="38" t="n">
        <x:v>4959</x:v>
      </x:c>
      <x:c r="J350" s="38" t="n">
        <x:v>0</x:v>
      </x:c>
      <x:c r="K350" s="38" t="n">
        <x:v>0</x:v>
      </x:c>
      <x:c r="L350" s="38" t="n">
        <x:v>0</x:v>
      </x:c>
      <x:c r="M350" s="38" t="n">
        <x:v>0</x:v>
      </x:c>
      <x:c r="N350" s="38" t="n">
        <x:v>12120</x:v>
      </x:c>
      <x:c r="O350" s="38" t="n">
        <x:v>0</x:v>
      </x:c>
      <x:c r="P350" s="38" t="n">
        <x:f>F350+G350-H350+I350+J350+K350+L350-M350-N350-O350</x:f>
        <x:v>4339778</x:v>
      </x:c>
      <x:c r="Q350" s="38" t="n">
        <x:v>4339778</x:v>
      </x:c>
      <x:c r="R350" s="38" t="n">
        <x:f>P350-Q350</x:f>
        <x:v>0</x:v>
      </x:c>
      <x:c r="S350" s="38" t="n">
        <x:v>129000</x:v>
      </x:c>
      <x:c r="T350" s="38" t="n">
        <x:v>0</x:v>
      </x:c>
      <x:c r="U350" s="38" t="n">
        <x:v>86</x:v>
      </x:c>
      <x:c r="V350" s="38" t="n">
        <x:v>4</x:v>
      </x:c>
      <x:c r="W350" s="38" t="n">
        <x:v>0</x:v>
      </x:c>
      <x:c r="X350" s="44" t="n">
        <x:v>0</x:v>
      </x:c>
      <x:c r="Y350" s="38" t="n">
        <x:v>300</x:v>
      </x:c>
      <x:c r="Z350" s="38" t="n">
        <x:v>7</x:v>
      </x:c>
      <x:c r="AA350" s="38" t="n">
        <x:v>36</x:v>
      </x:c>
      <x:c r="AB350" s="38" t="n">
        <x:v>10</x:v>
      </x:c>
      <x:c r="AC350" s="38" t="n">
        <x:v>10800</x:v>
      </x:c>
      <x:c r="AD350" s="38" t="n">
        <x:v>0</x:v>
      </x:c>
      <x:c r="AE350" s="38" t="n">
        <x:f>IF(B350=1,0,F350-Q349)</x:f>
        <x:v>0</x:v>
      </x:c>
    </x:row>
    <x:row r="351" ht="27" customHeight="1">
      <x:c r="A351" s="28" t="str">
        <x:v>Enthusiast F2P</x:v>
      </x:c>
      <x:c r="B351" s="38" t="n">
        <x:v>107</x:v>
      </x:c>
      <x:c r="C351" s="38" t="n">
        <x:v>40</x:v>
      </x:c>
      <x:c r="D351" s="38" t="n">
        <x:v>742640</x:v>
      </x:c>
      <x:c r="E351" s="38" t="n">
        <x:v>100</x:v>
      </x:c>
      <x:c r="F351" s="38" t="n">
        <x:v>4339778</x:v>
      </x:c>
      <x:c r="G351" s="38" t="n">
        <x:v>161400</x:v>
      </x:c>
      <x:c r="H351" s="38" t="n">
        <x:v>32400</x:v>
      </x:c>
      <x:c r="I351" s="38" t="n">
        <x:v>4959</x:v>
      </x:c>
      <x:c r="J351" s="38" t="n">
        <x:v>0</x:v>
      </x:c>
      <x:c r="K351" s="38" t="n">
        <x:v>0</x:v>
      </x:c>
      <x:c r="L351" s="38" t="n">
        <x:v>0</x:v>
      </x:c>
      <x:c r="M351" s="38" t="n">
        <x:v>0</x:v>
      </x:c>
      <x:c r="N351" s="38" t="n">
        <x:v>0</x:v>
      </x:c>
      <x:c r="O351" s="38" t="n">
        <x:v>0</x:v>
      </x:c>
      <x:c r="P351" s="38" t="n">
        <x:f>F351+G351-H351+I351+J351+K351+L351-M351-N351-O351</x:f>
        <x:v>4473737</x:v>
      </x:c>
      <x:c r="Q351" s="38" t="n">
        <x:v>4473737</x:v>
      </x:c>
      <x:c r="R351" s="38" t="n">
        <x:f>P351-Q351</x:f>
        <x:v>0</x:v>
      </x:c>
      <x:c r="S351" s="38" t="n">
        <x:v>129000</x:v>
      </x:c>
      <x:c r="T351" s="38" t="n">
        <x:v>0</x:v>
      </x:c>
      <x:c r="U351" s="38" t="n">
        <x:v>86</x:v>
      </x:c>
      <x:c r="V351" s="38" t="n">
        <x:v>0</x:v>
      </x:c>
      <x:c r="W351" s="38" t="n">
        <x:v>0</x:v>
      </x:c>
      <x:c r="X351" s="44" t="n">
        <x:v>0</x:v>
      </x:c>
      <x:c r="Y351" s="38" t="n">
        <x:v>300</x:v>
      </x:c>
      <x:c r="Z351" s="38" t="n">
        <x:v>7</x:v>
      </x:c>
      <x:c r="AA351" s="38" t="n">
        <x:v>36</x:v>
      </x:c>
      <x:c r="AB351" s="38" t="n">
        <x:v>10</x:v>
      </x:c>
      <x:c r="AC351" s="38" t="n">
        <x:v>10800</x:v>
      </x:c>
      <x:c r="AD351" s="38" t="n">
        <x:v>0</x:v>
      </x:c>
      <x:c r="AE351" s="38" t="n">
        <x:f>IF(B351=1,0,F351-Q350)</x:f>
        <x:v>0</x:v>
      </x:c>
    </x:row>
    <x:row r="352" ht="27" customHeight="1">
      <x:c r="A352" s="28" t="str">
        <x:v>Enthusiast F2P</x:v>
      </x:c>
      <x:c r="B352" s="38" t="n">
        <x:v>108</x:v>
      </x:c>
      <x:c r="C352" s="38" t="n">
        <x:v>40</x:v>
      </x:c>
      <x:c r="D352" s="38" t="n">
        <x:v>742640</x:v>
      </x:c>
      <x:c r="E352" s="38" t="n">
        <x:v>100</x:v>
      </x:c>
      <x:c r="F352" s="38" t="n">
        <x:v>4473737</x:v>
      </x:c>
      <x:c r="G352" s="38" t="n">
        <x:v>161400</x:v>
      </x:c>
      <x:c r="H352" s="38" t="n">
        <x:v>32400</x:v>
      </x:c>
      <x:c r="I352" s="38" t="n">
        <x:v>4959</x:v>
      </x:c>
      <x:c r="J352" s="38" t="n">
        <x:v>0</x:v>
      </x:c>
      <x:c r="K352" s="38" t="n">
        <x:v>0</x:v>
      </x:c>
      <x:c r="L352" s="38" t="n">
        <x:v>0</x:v>
      </x:c>
      <x:c r="M352" s="38" t="n">
        <x:v>0</x:v>
      </x:c>
      <x:c r="N352" s="38" t="n">
        <x:v>0</x:v>
      </x:c>
      <x:c r="O352" s="38" t="n">
        <x:v>0</x:v>
      </x:c>
      <x:c r="P352" s="38" t="n">
        <x:f>F352+G352-H352+I352+J352+K352+L352-M352-N352-O352</x:f>
        <x:v>4607696</x:v>
      </x:c>
      <x:c r="Q352" s="38" t="n">
        <x:v>4607696</x:v>
      </x:c>
      <x:c r="R352" s="38" t="n">
        <x:f>P352-Q352</x:f>
        <x:v>0</x:v>
      </x:c>
      <x:c r="S352" s="38" t="n">
        <x:v>129000</x:v>
      </x:c>
      <x:c r="T352" s="38" t="n">
        <x:v>0</x:v>
      </x:c>
      <x:c r="U352" s="38" t="n">
        <x:v>86</x:v>
      </x:c>
      <x:c r="V352" s="38" t="n">
        <x:v>0</x:v>
      </x:c>
      <x:c r="W352" s="38" t="n">
        <x:v>0</x:v>
      </x:c>
      <x:c r="X352" s="44" t="n">
        <x:v>0</x:v>
      </x:c>
      <x:c r="Y352" s="38" t="n">
        <x:v>300</x:v>
      </x:c>
      <x:c r="Z352" s="38" t="n">
        <x:v>7</x:v>
      </x:c>
      <x:c r="AA352" s="38" t="n">
        <x:v>36</x:v>
      </x:c>
      <x:c r="AB352" s="38" t="n">
        <x:v>10</x:v>
      </x:c>
      <x:c r="AC352" s="38" t="n">
        <x:v>10800</x:v>
      </x:c>
      <x:c r="AD352" s="38" t="n">
        <x:v>0</x:v>
      </x:c>
      <x:c r="AE352" s="38" t="n">
        <x:f>IF(B352=1,0,F352-Q351)</x:f>
        <x:v>0</x:v>
      </x:c>
    </x:row>
    <x:row r="353" ht="27" customHeight="1">
      <x:c r="A353" s="28" t="str">
        <x:v>Enthusiast F2P</x:v>
      </x:c>
      <x:c r="B353" s="38" t="n">
        <x:v>109</x:v>
      </x:c>
      <x:c r="C353" s="38" t="n">
        <x:v>40</x:v>
      </x:c>
      <x:c r="D353" s="38" t="n">
        <x:v>742640</x:v>
      </x:c>
      <x:c r="E353" s="38" t="n">
        <x:v>100</x:v>
      </x:c>
      <x:c r="F353" s="38" t="n">
        <x:v>4607696</x:v>
      </x:c>
      <x:c r="G353" s="38" t="n">
        <x:v>161400</x:v>
      </x:c>
      <x:c r="H353" s="38" t="n">
        <x:v>32400</x:v>
      </x:c>
      <x:c r="I353" s="38" t="n">
        <x:v>4959</x:v>
      </x:c>
      <x:c r="J353" s="38" t="n">
        <x:v>0</x:v>
      </x:c>
      <x:c r="K353" s="38" t="n">
        <x:v>0</x:v>
      </x:c>
      <x:c r="L353" s="38" t="n">
        <x:v>0</x:v>
      </x:c>
      <x:c r="M353" s="38" t="n">
        <x:v>0</x:v>
      </x:c>
      <x:c r="N353" s="38" t="n">
        <x:v>12375</x:v>
      </x:c>
      <x:c r="O353" s="38" t="n">
        <x:v>0</x:v>
      </x:c>
      <x:c r="P353" s="38" t="n">
        <x:f>F353+G353-H353+I353+J353+K353+L353-M353-N353-O353</x:f>
        <x:v>4729280</x:v>
      </x:c>
      <x:c r="Q353" s="38" t="n">
        <x:v>4729280</x:v>
      </x:c>
      <x:c r="R353" s="38" t="n">
        <x:f>P353-Q353</x:f>
        <x:v>0</x:v>
      </x:c>
      <x:c r="S353" s="38" t="n">
        <x:v>129000</x:v>
      </x:c>
      <x:c r="T353" s="38" t="n">
        <x:v>0</x:v>
      </x:c>
      <x:c r="U353" s="38" t="n">
        <x:v>86</x:v>
      </x:c>
      <x:c r="V353" s="38" t="n">
        <x:v>0</x:v>
      </x:c>
      <x:c r="W353" s="38" t="n">
        <x:v>0</x:v>
      </x:c>
      <x:c r="X353" s="44" t="n">
        <x:v>0</x:v>
      </x:c>
      <x:c r="Y353" s="38" t="n">
        <x:v>300</x:v>
      </x:c>
      <x:c r="Z353" s="38" t="n">
        <x:v>7</x:v>
      </x:c>
      <x:c r="AA353" s="38" t="n">
        <x:v>37</x:v>
      </x:c>
      <x:c r="AB353" s="38" t="n">
        <x:v>10</x:v>
      </x:c>
      <x:c r="AC353" s="38" t="n">
        <x:v>10800</x:v>
      </x:c>
      <x:c r="AD353" s="38" t="n">
        <x:v>0</x:v>
      </x:c>
      <x:c r="AE353" s="38" t="n">
        <x:f>IF(B353=1,0,F353-Q352)</x:f>
        <x:v>0</x:v>
      </x:c>
    </x:row>
    <x:row r="354" ht="27" customHeight="1">
      <x:c r="A354" s="28" t="str">
        <x:v>Enthusiast F2P</x:v>
      </x:c>
      <x:c r="B354" s="38" t="n">
        <x:v>110</x:v>
      </x:c>
      <x:c r="C354" s="38" t="n">
        <x:v>40</x:v>
      </x:c>
      <x:c r="D354" s="38" t="n">
        <x:v>742640</x:v>
      </x:c>
      <x:c r="E354" s="38" t="n">
        <x:v>100</x:v>
      </x:c>
      <x:c r="F354" s="38" t="n">
        <x:v>4729280</x:v>
      </x:c>
      <x:c r="G354" s="38" t="n">
        <x:v>161400</x:v>
      </x:c>
      <x:c r="H354" s="38" t="n">
        <x:v>32400</x:v>
      </x:c>
      <x:c r="I354" s="38" t="n">
        <x:v>4959</x:v>
      </x:c>
      <x:c r="J354" s="38" t="n">
        <x:v>0</x:v>
      </x:c>
      <x:c r="K354" s="38" t="n">
        <x:v>0</x:v>
      </x:c>
      <x:c r="L354" s="38" t="n">
        <x:v>0</x:v>
      </x:c>
      <x:c r="M354" s="38" t="n">
        <x:v>0</x:v>
      </x:c>
      <x:c r="N354" s="38" t="n">
        <x:v>0</x:v>
      </x:c>
      <x:c r="O354" s="38" t="n">
        <x:v>0</x:v>
      </x:c>
      <x:c r="P354" s="38" t="n">
        <x:f>F354+G354-H354+I354+J354+K354+L354-M354-N354-O354</x:f>
        <x:v>4863239</x:v>
      </x:c>
      <x:c r="Q354" s="38" t="n">
        <x:v>4863239</x:v>
      </x:c>
      <x:c r="R354" s="38" t="n">
        <x:f>P354-Q354</x:f>
        <x:v>0</x:v>
      </x:c>
      <x:c r="S354" s="38" t="n">
        <x:v>129000</x:v>
      </x:c>
      <x:c r="T354" s="38" t="n">
        <x:v>0</x:v>
      </x:c>
      <x:c r="U354" s="38" t="n">
        <x:v>86</x:v>
      </x:c>
      <x:c r="V354" s="38" t="n">
        <x:v>0</x:v>
      </x:c>
      <x:c r="W354" s="38" t="n">
        <x:v>0</x:v>
      </x:c>
      <x:c r="X354" s="44" t="n">
        <x:v>0</x:v>
      </x:c>
      <x:c r="Y354" s="38" t="n">
        <x:v>300</x:v>
      </x:c>
      <x:c r="Z354" s="38" t="n">
        <x:v>7</x:v>
      </x:c>
      <x:c r="AA354" s="38" t="n">
        <x:v>37</x:v>
      </x:c>
      <x:c r="AB354" s="38" t="n">
        <x:v>10</x:v>
      </x:c>
      <x:c r="AC354" s="38" t="n">
        <x:v>10800</x:v>
      </x:c>
      <x:c r="AD354" s="38" t="n">
        <x:v>0</x:v>
      </x:c>
      <x:c r="AE354" s="38" t="n">
        <x:f>IF(B354=1,0,F354-Q353)</x:f>
        <x:v>0</x:v>
      </x:c>
    </x:row>
    <x:row r="355" ht="27" customHeight="1">
      <x:c r="A355" s="28" t="str">
        <x:v>Enthusiast F2P</x:v>
      </x:c>
      <x:c r="B355" s="38" t="n">
        <x:v>111</x:v>
      </x:c>
      <x:c r="C355" s="38" t="n">
        <x:v>40</x:v>
      </x:c>
      <x:c r="D355" s="38" t="n">
        <x:v>742640</x:v>
      </x:c>
      <x:c r="E355" s="38" t="n">
        <x:v>100</x:v>
      </x:c>
      <x:c r="F355" s="38" t="n">
        <x:v>4863239</x:v>
      </x:c>
      <x:c r="G355" s="38" t="n">
        <x:v>161400</x:v>
      </x:c>
      <x:c r="H355" s="38" t="n">
        <x:v>32400</x:v>
      </x:c>
      <x:c r="I355" s="38" t="n">
        <x:v>4959</x:v>
      </x:c>
      <x:c r="J355" s="38" t="n">
        <x:v>0</x:v>
      </x:c>
      <x:c r="K355" s="38" t="n">
        <x:v>0</x:v>
      </x:c>
      <x:c r="L355" s="38" t="n">
        <x:v>0</x:v>
      </x:c>
      <x:c r="M355" s="38" t="n">
        <x:v>0</x:v>
      </x:c>
      <x:c r="N355" s="38" t="n">
        <x:v>0</x:v>
      </x:c>
      <x:c r="O355" s="38" t="n">
        <x:v>0</x:v>
      </x:c>
      <x:c r="P355" s="38" t="n">
        <x:f>F355+G355-H355+I355+J355+K355+L355-M355-N355-O355</x:f>
        <x:v>4997198</x:v>
      </x:c>
      <x:c r="Q355" s="38" t="n">
        <x:v>4997198</x:v>
      </x:c>
      <x:c r="R355" s="38" t="n">
        <x:f>P355-Q355</x:f>
        <x:v>0</x:v>
      </x:c>
      <x:c r="S355" s="38" t="n">
        <x:v>129000</x:v>
      </x:c>
      <x:c r="T355" s="38" t="n">
        <x:v>0</x:v>
      </x:c>
      <x:c r="U355" s="38" t="n">
        <x:v>86</x:v>
      </x:c>
      <x:c r="V355" s="38" t="n">
        <x:v>0</x:v>
      </x:c>
      <x:c r="W355" s="38" t="n">
        <x:v>0</x:v>
      </x:c>
      <x:c r="X355" s="44" t="n">
        <x:v>0</x:v>
      </x:c>
      <x:c r="Y355" s="38" t="n">
        <x:v>300</x:v>
      </x:c>
      <x:c r="Z355" s="38" t="n">
        <x:v>7</x:v>
      </x:c>
      <x:c r="AA355" s="38" t="n">
        <x:v>37</x:v>
      </x:c>
      <x:c r="AB355" s="38" t="n">
        <x:v>10</x:v>
      </x:c>
      <x:c r="AC355" s="38" t="n">
        <x:v>10800</x:v>
      </x:c>
      <x:c r="AD355" s="38" t="n">
        <x:v>0</x:v>
      </x:c>
      <x:c r="AE355" s="38" t="n">
        <x:f>IF(B355=1,0,F355-Q354)</x:f>
        <x:v>0</x:v>
      </x:c>
    </x:row>
    <x:row r="356" ht="27" customHeight="1">
      <x:c r="A356" s="28" t="str">
        <x:v>Enthusiast F2P</x:v>
      </x:c>
      <x:c r="B356" s="38" t="n">
        <x:v>112</x:v>
      </x:c>
      <x:c r="C356" s="38" t="n">
        <x:v>40</x:v>
      </x:c>
      <x:c r="D356" s="38" t="n">
        <x:v>742640</x:v>
      </x:c>
      <x:c r="E356" s="38" t="n">
        <x:v>100</x:v>
      </x:c>
      <x:c r="F356" s="38" t="n">
        <x:v>4997198</x:v>
      </x:c>
      <x:c r="G356" s="38" t="n">
        <x:v>161400</x:v>
      </x:c>
      <x:c r="H356" s="38" t="n">
        <x:v>32400</x:v>
      </x:c>
      <x:c r="I356" s="38" t="n">
        <x:v>29754</x:v>
      </x:c>
      <x:c r="J356" s="38" t="n">
        <x:v>0</x:v>
      </x:c>
      <x:c r="K356" s="38" t="n">
        <x:v>0</x:v>
      </x:c>
      <x:c r="L356" s="38" t="n">
        <x:v>0</x:v>
      </x:c>
      <x:c r="M356" s="38" t="n">
        <x:v>0</x:v>
      </x:c>
      <x:c r="N356" s="38" t="n">
        <x:v>13605</x:v>
      </x:c>
      <x:c r="O356" s="38" t="n">
        <x:v>0</x:v>
      </x:c>
      <x:c r="P356" s="38" t="n">
        <x:f>F356+G356-H356+I356+J356+K356+L356-M356-N356-O356</x:f>
        <x:v>5142347</x:v>
      </x:c>
      <x:c r="Q356" s="38" t="n">
        <x:v>5142347</x:v>
      </x:c>
      <x:c r="R356" s="38" t="n">
        <x:f>P356-Q356</x:f>
        <x:v>0</x:v>
      </x:c>
      <x:c r="S356" s="38" t="n">
        <x:v>129000</x:v>
      </x:c>
      <x:c r="T356" s="38" t="n">
        <x:v>0</x:v>
      </x:c>
      <x:c r="U356" s="38" t="n">
        <x:v>88</x:v>
      </x:c>
      <x:c r="V356" s="38" t="n">
        <x:v>2</x:v>
      </x:c>
      <x:c r="W356" s="38" t="n">
        <x:v>0</x:v>
      </x:c>
      <x:c r="X356" s="44" t="n">
        <x:v>0</x:v>
      </x:c>
      <x:c r="Y356" s="38" t="n">
        <x:v>300</x:v>
      </x:c>
      <x:c r="Z356" s="38" t="n">
        <x:v>7</x:v>
      </x:c>
      <x:c r="AA356" s="38" t="n">
        <x:v>38</x:v>
      </x:c>
      <x:c r="AB356" s="38" t="n">
        <x:v>10</x:v>
      </x:c>
      <x:c r="AC356" s="38" t="n">
        <x:v>10800</x:v>
      </x:c>
      <x:c r="AD356" s="38" t="n">
        <x:v>0</x:v>
      </x:c>
      <x:c r="AE356" s="38" t="n">
        <x:f>IF(B356=1,0,F356-Q355)</x:f>
        <x:v>0</x:v>
      </x:c>
    </x:row>
    <x:row r="357" ht="27" customHeight="1">
      <x:c r="A357" s="28" t="str">
        <x:v>Enthusiast F2P</x:v>
      </x:c>
      <x:c r="B357" s="38" t="n">
        <x:v>113</x:v>
      </x:c>
      <x:c r="C357" s="38" t="n">
        <x:v>40</x:v>
      </x:c>
      <x:c r="D357" s="38" t="n">
        <x:v>742640</x:v>
      </x:c>
      <x:c r="E357" s="38" t="n">
        <x:v>100</x:v>
      </x:c>
      <x:c r="F357" s="38" t="n">
        <x:v>5142347</x:v>
      </x:c>
      <x:c r="G357" s="38" t="n">
        <x:v>161400</x:v>
      </x:c>
      <x:c r="H357" s="38" t="n">
        <x:v>32400</x:v>
      </x:c>
      <x:c r="I357" s="38" t="n">
        <x:v>4959</x:v>
      </x:c>
      <x:c r="J357" s="38" t="n">
        <x:v>0</x:v>
      </x:c>
      <x:c r="K357" s="38" t="n">
        <x:v>0</x:v>
      </x:c>
      <x:c r="L357" s="38" t="n">
        <x:v>0</x:v>
      </x:c>
      <x:c r="M357" s="38" t="n">
        <x:v>0</x:v>
      </x:c>
      <x:c r="N357" s="38" t="n">
        <x:v>0</x:v>
      </x:c>
      <x:c r="O357" s="38" t="n">
        <x:v>0</x:v>
      </x:c>
      <x:c r="P357" s="38" t="n">
        <x:f>F357+G357-H357+I357+J357+K357+L357-M357-N357-O357</x:f>
        <x:v>5276306</x:v>
      </x:c>
      <x:c r="Q357" s="38" t="n">
        <x:v>5276306</x:v>
      </x:c>
      <x:c r="R357" s="38" t="n">
        <x:f>P357-Q357</x:f>
        <x:v>0</x:v>
      </x:c>
      <x:c r="S357" s="38" t="n">
        <x:v>129000</x:v>
      </x:c>
      <x:c r="T357" s="38" t="n">
        <x:v>0</x:v>
      </x:c>
      <x:c r="U357" s="38" t="n">
        <x:v>88</x:v>
      </x:c>
      <x:c r="V357" s="38" t="n">
        <x:v>0</x:v>
      </x:c>
      <x:c r="W357" s="38" t="n">
        <x:v>0</x:v>
      </x:c>
      <x:c r="X357" s="44" t="n">
        <x:v>0</x:v>
      </x:c>
      <x:c r="Y357" s="38" t="n">
        <x:v>300</x:v>
      </x:c>
      <x:c r="Z357" s="38" t="n">
        <x:v>7</x:v>
      </x:c>
      <x:c r="AA357" s="38" t="n">
        <x:v>38</x:v>
      </x:c>
      <x:c r="AB357" s="38" t="n">
        <x:v>10</x:v>
      </x:c>
      <x:c r="AC357" s="38" t="n">
        <x:v>10800</x:v>
      </x:c>
      <x:c r="AD357" s="38" t="n">
        <x:v>0</x:v>
      </x:c>
      <x:c r="AE357" s="38" t="n">
        <x:f>IF(B357=1,0,F357-Q356)</x:f>
        <x:v>0</x:v>
      </x:c>
    </x:row>
    <x:row r="358" ht="27" customHeight="1">
      <x:c r="A358" s="28" t="str">
        <x:v>Enthusiast F2P</x:v>
      </x:c>
      <x:c r="B358" s="38" t="n">
        <x:v>114</x:v>
      </x:c>
      <x:c r="C358" s="38" t="n">
        <x:v>40</x:v>
      </x:c>
      <x:c r="D358" s="38" t="n">
        <x:v>742640</x:v>
      </x:c>
      <x:c r="E358" s="38" t="n">
        <x:v>100</x:v>
      </x:c>
      <x:c r="F358" s="38" t="n">
        <x:v>5276306</x:v>
      </x:c>
      <x:c r="G358" s="38" t="n">
        <x:v>161400</x:v>
      </x:c>
      <x:c r="H358" s="38" t="n">
        <x:v>32400</x:v>
      </x:c>
      <x:c r="I358" s="38" t="n">
        <x:v>4959</x:v>
      </x:c>
      <x:c r="J358" s="38" t="n">
        <x:v>0</x:v>
      </x:c>
      <x:c r="K358" s="38" t="n">
        <x:v>0</x:v>
      </x:c>
      <x:c r="L358" s="38" t="n">
        <x:v>0</x:v>
      </x:c>
      <x:c r="M358" s="38" t="n">
        <x:v>0</x:v>
      </x:c>
      <x:c r="N358" s="38" t="n">
        <x:v>0</x:v>
      </x:c>
      <x:c r="O358" s="38" t="n">
        <x:v>0</x:v>
      </x:c>
      <x:c r="P358" s="38" t="n">
        <x:f>F358+G358-H358+I358+J358+K358+L358-M358-N358-O358</x:f>
        <x:v>5410265</x:v>
      </x:c>
      <x:c r="Q358" s="38" t="n">
        <x:v>5410265</x:v>
      </x:c>
      <x:c r="R358" s="38" t="n">
        <x:f>P358-Q358</x:f>
        <x:v>0</x:v>
      </x:c>
      <x:c r="S358" s="38" t="n">
        <x:v>129000</x:v>
      </x:c>
      <x:c r="T358" s="38" t="n">
        <x:v>0</x:v>
      </x:c>
      <x:c r="U358" s="38" t="n">
        <x:v>88</x:v>
      </x:c>
      <x:c r="V358" s="38" t="n">
        <x:v>0</x:v>
      </x:c>
      <x:c r="W358" s="38" t="n">
        <x:v>0</x:v>
      </x:c>
      <x:c r="X358" s="44" t="n">
        <x:v>0</x:v>
      </x:c>
      <x:c r="Y358" s="38" t="n">
        <x:v>300</x:v>
      </x:c>
      <x:c r="Z358" s="38" t="n">
        <x:v>7</x:v>
      </x:c>
      <x:c r="AA358" s="38" t="n">
        <x:v>38</x:v>
      </x:c>
      <x:c r="AB358" s="38" t="n">
        <x:v>10</x:v>
      </x:c>
      <x:c r="AC358" s="38" t="n">
        <x:v>10800</x:v>
      </x:c>
      <x:c r="AD358" s="38" t="n">
        <x:v>0</x:v>
      </x:c>
      <x:c r="AE358" s="38" t="n">
        <x:f>IF(B358=1,0,F358-Q357)</x:f>
        <x:v>0</x:v>
      </x:c>
    </x:row>
    <x:row r="359" ht="27" customHeight="1">
      <x:c r="A359" s="28" t="str">
        <x:v>Enthusiast F2P</x:v>
      </x:c>
      <x:c r="B359" s="38" t="n">
        <x:v>115</x:v>
      </x:c>
      <x:c r="C359" s="38" t="n">
        <x:v>40</x:v>
      </x:c>
      <x:c r="D359" s="38" t="n">
        <x:v>742640</x:v>
      </x:c>
      <x:c r="E359" s="38" t="n">
        <x:v>100</x:v>
      </x:c>
      <x:c r="F359" s="38" t="n">
        <x:v>5410265</x:v>
      </x:c>
      <x:c r="G359" s="38" t="n">
        <x:v>161400</x:v>
      </x:c>
      <x:c r="H359" s="38" t="n">
        <x:v>32400</x:v>
      </x:c>
      <x:c r="I359" s="38" t="n">
        <x:v>4959</x:v>
      </x:c>
      <x:c r="J359" s="38" t="n">
        <x:v>0</x:v>
      </x:c>
      <x:c r="K359" s="38" t="n">
        <x:v>0</x:v>
      </x:c>
      <x:c r="L359" s="38" t="n">
        <x:v>0</x:v>
      </x:c>
      <x:c r="M359" s="38" t="n">
        <x:v>0</x:v>
      </x:c>
      <x:c r="N359" s="38" t="n">
        <x:v>13880</x:v>
      </x:c>
      <x:c r="O359" s="38" t="n">
        <x:v>0</x:v>
      </x:c>
      <x:c r="P359" s="38" t="n">
        <x:f>F359+G359-H359+I359+J359+K359+L359-M359-N359-O359</x:f>
        <x:v>5530344</x:v>
      </x:c>
      <x:c r="Q359" s="38" t="n">
        <x:v>5530344</x:v>
      </x:c>
      <x:c r="R359" s="38" t="n">
        <x:f>P359-Q359</x:f>
        <x:v>0</x:v>
      </x:c>
      <x:c r="S359" s="38" t="n">
        <x:v>129000</x:v>
      </x:c>
      <x:c r="T359" s="38" t="n">
        <x:v>0</x:v>
      </x:c>
      <x:c r="U359" s="38" t="n">
        <x:v>88</x:v>
      </x:c>
      <x:c r="V359" s="38" t="n">
        <x:v>0</x:v>
      </x:c>
      <x:c r="W359" s="38" t="n">
        <x:v>0</x:v>
      </x:c>
      <x:c r="X359" s="44" t="n">
        <x:v>0</x:v>
      </x:c>
      <x:c r="Y359" s="38" t="n">
        <x:v>300</x:v>
      </x:c>
      <x:c r="Z359" s="38" t="n">
        <x:v>7</x:v>
      </x:c>
      <x:c r="AA359" s="38" t="n">
        <x:v>39</x:v>
      </x:c>
      <x:c r="AB359" s="38" t="n">
        <x:v>10</x:v>
      </x:c>
      <x:c r="AC359" s="38" t="n">
        <x:v>10800</x:v>
      </x:c>
      <x:c r="AD359" s="38" t="n">
        <x:v>0</x:v>
      </x:c>
      <x:c r="AE359" s="38" t="n">
        <x:f>IF(B359=1,0,F359-Q358)</x:f>
        <x:v>0</x:v>
      </x:c>
    </x:row>
    <x:row r="360" ht="27" customHeight="1">
      <x:c r="A360" s="28" t="str">
        <x:v>Enthusiast F2P</x:v>
      </x:c>
      <x:c r="B360" s="38" t="n">
        <x:v>116</x:v>
      </x:c>
      <x:c r="C360" s="38" t="n">
        <x:v>40</x:v>
      </x:c>
      <x:c r="D360" s="38" t="n">
        <x:v>742640</x:v>
      </x:c>
      <x:c r="E360" s="38" t="n">
        <x:v>100</x:v>
      </x:c>
      <x:c r="F360" s="38" t="n">
        <x:v>5530344</x:v>
      </x:c>
      <x:c r="G360" s="38" t="n">
        <x:v>161400</x:v>
      </x:c>
      <x:c r="H360" s="38" t="n">
        <x:v>32400</x:v>
      </x:c>
      <x:c r="I360" s="38" t="n">
        <x:v>4959</x:v>
      </x:c>
      <x:c r="J360" s="38" t="n">
        <x:v>0</x:v>
      </x:c>
      <x:c r="K360" s="38" t="n">
        <x:v>0</x:v>
      </x:c>
      <x:c r="L360" s="38" t="n">
        <x:v>0</x:v>
      </x:c>
      <x:c r="M360" s="38" t="n">
        <x:v>0</x:v>
      </x:c>
      <x:c r="N360" s="38" t="n">
        <x:v>0</x:v>
      </x:c>
      <x:c r="O360" s="38" t="n">
        <x:v>0</x:v>
      </x:c>
      <x:c r="P360" s="38" t="n">
        <x:f>F360+G360-H360+I360+J360+K360+L360-M360-N360-O360</x:f>
        <x:v>5664303</x:v>
      </x:c>
      <x:c r="Q360" s="38" t="n">
        <x:v>5664303</x:v>
      </x:c>
      <x:c r="R360" s="38" t="n">
        <x:f>P360-Q360</x:f>
        <x:v>0</x:v>
      </x:c>
      <x:c r="S360" s="38" t="n">
        <x:v>129000</x:v>
      </x:c>
      <x:c r="T360" s="38" t="n">
        <x:v>0</x:v>
      </x:c>
      <x:c r="U360" s="38" t="n">
        <x:v>88</x:v>
      </x:c>
      <x:c r="V360" s="38" t="n">
        <x:v>0</x:v>
      </x:c>
      <x:c r="W360" s="38" t="n">
        <x:v>0</x:v>
      </x:c>
      <x:c r="X360" s="44" t="n">
        <x:v>0</x:v>
      </x:c>
      <x:c r="Y360" s="38" t="n">
        <x:v>300</x:v>
      </x:c>
      <x:c r="Z360" s="38" t="n">
        <x:v>7</x:v>
      </x:c>
      <x:c r="AA360" s="38" t="n">
        <x:v>39</x:v>
      </x:c>
      <x:c r="AB360" s="38" t="n">
        <x:v>10</x:v>
      </x:c>
      <x:c r="AC360" s="38" t="n">
        <x:v>10800</x:v>
      </x:c>
      <x:c r="AD360" s="38" t="n">
        <x:v>0</x:v>
      </x:c>
      <x:c r="AE360" s="38" t="n">
        <x:f>IF(B360=1,0,F360-Q359)</x:f>
        <x:v>0</x:v>
      </x:c>
    </x:row>
    <x:row r="361" ht="27" customHeight="1">
      <x:c r="A361" s="28" t="str">
        <x:v>Enthusiast F2P</x:v>
      </x:c>
      <x:c r="B361" s="38" t="n">
        <x:v>117</x:v>
      </x:c>
      <x:c r="C361" s="38" t="n">
        <x:v>40</x:v>
      </x:c>
      <x:c r="D361" s="38" t="n">
        <x:v>742640</x:v>
      </x:c>
      <x:c r="E361" s="38" t="n">
        <x:v>100</x:v>
      </x:c>
      <x:c r="F361" s="38" t="n">
        <x:v>5664303</x:v>
      </x:c>
      <x:c r="G361" s="38" t="n">
        <x:v>161400</x:v>
      </x:c>
      <x:c r="H361" s="38" t="n">
        <x:v>32400</x:v>
      </x:c>
      <x:c r="I361" s="38" t="n">
        <x:v>4959</x:v>
      </x:c>
      <x:c r="J361" s="38" t="n">
        <x:v>0</x:v>
      </x:c>
      <x:c r="K361" s="38" t="n">
        <x:v>0</x:v>
      </x:c>
      <x:c r="L361" s="38" t="n">
        <x:v>0</x:v>
      </x:c>
      <x:c r="M361" s="38" t="n">
        <x:v>0</x:v>
      </x:c>
      <x:c r="N361" s="38" t="n">
        <x:v>0</x:v>
      </x:c>
      <x:c r="O361" s="38" t="n">
        <x:v>0</x:v>
      </x:c>
      <x:c r="P361" s="38" t="n">
        <x:f>F361+G361-H361+I361+J361+K361+L361-M361-N361-O361</x:f>
        <x:v>5798262</x:v>
      </x:c>
      <x:c r="Q361" s="38" t="n">
        <x:v>5798262</x:v>
      </x:c>
      <x:c r="R361" s="38" t="n">
        <x:f>P361-Q361</x:f>
        <x:v>0</x:v>
      </x:c>
      <x:c r="S361" s="38" t="n">
        <x:v>129000</x:v>
      </x:c>
      <x:c r="T361" s="38" t="n">
        <x:v>0</x:v>
      </x:c>
      <x:c r="U361" s="38" t="n">
        <x:v>88</x:v>
      </x:c>
      <x:c r="V361" s="38" t="n">
        <x:v>0</x:v>
      </x:c>
      <x:c r="W361" s="38" t="n">
        <x:v>0</x:v>
      </x:c>
      <x:c r="X361" s="44" t="n">
        <x:v>0</x:v>
      </x:c>
      <x:c r="Y361" s="38" t="n">
        <x:v>300</x:v>
      </x:c>
      <x:c r="Z361" s="38" t="n">
        <x:v>7</x:v>
      </x:c>
      <x:c r="AA361" s="38" t="n">
        <x:v>39</x:v>
      </x:c>
      <x:c r="AB361" s="38" t="n">
        <x:v>10</x:v>
      </x:c>
      <x:c r="AC361" s="38" t="n">
        <x:v>10800</x:v>
      </x:c>
      <x:c r="AD361" s="38" t="n">
        <x:v>0</x:v>
      </x:c>
      <x:c r="AE361" s="38" t="n">
        <x:f>IF(B361=1,0,F361-Q360)</x:f>
        <x:v>0</x:v>
      </x:c>
    </x:row>
    <x:row r="362" ht="27" customHeight="1">
      <x:c r="A362" s="28" t="str">
        <x:v>Enthusiast F2P</x:v>
      </x:c>
      <x:c r="B362" s="38" t="n">
        <x:v>118</x:v>
      </x:c>
      <x:c r="C362" s="38" t="n">
        <x:v>40</x:v>
      </x:c>
      <x:c r="D362" s="38" t="n">
        <x:v>742640</x:v>
      </x:c>
      <x:c r="E362" s="38" t="n">
        <x:v>100</x:v>
      </x:c>
      <x:c r="F362" s="38" t="n">
        <x:v>5798262</x:v>
      </x:c>
      <x:c r="G362" s="38" t="n">
        <x:v>161400</x:v>
      </x:c>
      <x:c r="H362" s="38" t="n">
        <x:v>32400</x:v>
      </x:c>
      <x:c r="I362" s="38" t="n">
        <x:v>4959</x:v>
      </x:c>
      <x:c r="J362" s="38" t="n">
        <x:v>0</x:v>
      </x:c>
      <x:c r="K362" s="38" t="n">
        <x:v>0</x:v>
      </x:c>
      <x:c r="L362" s="38" t="n">
        <x:v>0</x:v>
      </x:c>
      <x:c r="M362" s="38" t="n">
        <x:v>0</x:v>
      </x:c>
      <x:c r="N362" s="38" t="n">
        <x:v>15170</x:v>
      </x:c>
      <x:c r="O362" s="38" t="n">
        <x:v>0</x:v>
      </x:c>
      <x:c r="P362" s="38" t="n">
        <x:f>F362+G362-H362+I362+J362+K362+L362-M362-N362-O362</x:f>
        <x:v>5917051</x:v>
      </x:c>
      <x:c r="Q362" s="38" t="n">
        <x:v>5917051</x:v>
      </x:c>
      <x:c r="R362" s="38" t="n">
        <x:f>P362-Q362</x:f>
        <x:v>0</x:v>
      </x:c>
      <x:c r="S362" s="38" t="n">
        <x:v>129000</x:v>
      </x:c>
      <x:c r="T362" s="38" t="n">
        <x:v>0</x:v>
      </x:c>
      <x:c r="U362" s="38" t="n">
        <x:v>88</x:v>
      </x:c>
      <x:c r="V362" s="38" t="n">
        <x:v>0</x:v>
      </x:c>
      <x:c r="W362" s="38" t="n">
        <x:v>0</x:v>
      </x:c>
      <x:c r="X362" s="44" t="n">
        <x:v>0</x:v>
      </x:c>
      <x:c r="Y362" s="38" t="n">
        <x:v>300</x:v>
      </x:c>
      <x:c r="Z362" s="38" t="n">
        <x:v>7</x:v>
      </x:c>
      <x:c r="AA362" s="38" t="n">
        <x:v>40</x:v>
      </x:c>
      <x:c r="AB362" s="38" t="n">
        <x:v>10</x:v>
      </x:c>
      <x:c r="AC362" s="38" t="n">
        <x:v>10800</x:v>
      </x:c>
      <x:c r="AD362" s="38" t="n">
        <x:v>0</x:v>
      </x:c>
      <x:c r="AE362" s="38" t="n">
        <x:f>IF(B362=1,0,F362-Q361)</x:f>
        <x:v>0</x:v>
      </x:c>
    </x:row>
    <x:row r="363" ht="27" customHeight="1">
      <x:c r="A363" s="28" t="str">
        <x:v>Enthusiast F2P</x:v>
      </x:c>
      <x:c r="B363" s="38" t="n">
        <x:v>119</x:v>
      </x:c>
      <x:c r="C363" s="38" t="n">
        <x:v>40</x:v>
      </x:c>
      <x:c r="D363" s="38" t="n">
        <x:v>742640</x:v>
      </x:c>
      <x:c r="E363" s="38" t="n">
        <x:v>100</x:v>
      </x:c>
      <x:c r="F363" s="38" t="n">
        <x:v>5917051</x:v>
      </x:c>
      <x:c r="G363" s="38" t="n">
        <x:v>161400</x:v>
      </x:c>
      <x:c r="H363" s="38" t="n">
        <x:v>32400</x:v>
      </x:c>
      <x:c r="I363" s="38" t="n">
        <x:v>29754</x:v>
      </x:c>
      <x:c r="J363" s="38" t="n">
        <x:v>0</x:v>
      </x:c>
      <x:c r="K363" s="38" t="n">
        <x:v>0</x:v>
      </x:c>
      <x:c r="L363" s="38" t="n">
        <x:v>0</x:v>
      </x:c>
      <x:c r="M363" s="38" t="n">
        <x:v>0</x:v>
      </x:c>
      <x:c r="N363" s="38" t="n">
        <x:v>0</x:v>
      </x:c>
      <x:c r="O363" s="38" t="n">
        <x:v>0</x:v>
      </x:c>
      <x:c r="P363" s="38" t="n">
        <x:f>F363+G363-H363+I363+J363+K363+L363-M363-N363-O363</x:f>
        <x:v>6075805</x:v>
      </x:c>
      <x:c r="Q363" s="38" t="n">
        <x:v>6075805</x:v>
      </x:c>
      <x:c r="R363" s="38" t="n">
        <x:f>P363-Q363</x:f>
        <x:v>0</x:v>
      </x:c>
      <x:c r="S363" s="38" t="n">
        <x:v>129000</x:v>
      </x:c>
      <x:c r="T363" s="38" t="n">
        <x:v>0</x:v>
      </x:c>
      <x:c r="U363" s="38" t="n">
        <x:v>90</x:v>
      </x:c>
      <x:c r="V363" s="38" t="n">
        <x:v>2</x:v>
      </x:c>
      <x:c r="W363" s="38" t="n">
        <x:v>0</x:v>
      </x:c>
      <x:c r="X363" s="44" t="n">
        <x:v>0</x:v>
      </x:c>
      <x:c r="Y363" s="38" t="n">
        <x:v>300</x:v>
      </x:c>
      <x:c r="Z363" s="38" t="n">
        <x:v>7</x:v>
      </x:c>
      <x:c r="AA363" s="38" t="n">
        <x:v>40</x:v>
      </x:c>
      <x:c r="AB363" s="38" t="n">
        <x:v>10</x:v>
      </x:c>
      <x:c r="AC363" s="38" t="n">
        <x:v>10800</x:v>
      </x:c>
      <x:c r="AD363" s="38" t="n">
        <x:v>0</x:v>
      </x:c>
      <x:c r="AE363" s="38" t="n">
        <x:f>IF(B363=1,0,F363-Q362)</x:f>
        <x:v>0</x:v>
      </x:c>
    </x:row>
    <x:row r="364" ht="27" customHeight="1">
      <x:c r="A364" s="28" t="str">
        <x:v>Enthusiast F2P</x:v>
      </x:c>
      <x:c r="B364" s="38" t="n">
        <x:v>120</x:v>
      </x:c>
      <x:c r="C364" s="38" t="n">
        <x:v>40</x:v>
      </x:c>
      <x:c r="D364" s="38" t="n">
        <x:v>742640</x:v>
      </x:c>
      <x:c r="E364" s="38" t="n">
        <x:v>100</x:v>
      </x:c>
      <x:c r="F364" s="38" t="n">
        <x:v>6075805</x:v>
      </x:c>
      <x:c r="G364" s="38" t="n">
        <x:v>161400</x:v>
      </x:c>
      <x:c r="H364" s="38" t="n">
        <x:v>32400</x:v>
      </x:c>
      <x:c r="I364" s="38" t="n">
        <x:v>4959</x:v>
      </x:c>
      <x:c r="J364" s="38" t="n">
        <x:v>0</x:v>
      </x:c>
      <x:c r="K364" s="38" t="n">
        <x:v>0</x:v>
      </x:c>
      <x:c r="L364" s="38" t="n">
        <x:v>0</x:v>
      </x:c>
      <x:c r="M364" s="38" t="n">
        <x:v>0</x:v>
      </x:c>
      <x:c r="N364" s="38" t="n">
        <x:v>0</x:v>
      </x:c>
      <x:c r="O364" s="38" t="n">
        <x:v>0</x:v>
      </x:c>
      <x:c r="P364" s="38" t="n">
        <x:f>F364+G364-H364+I364+J364+K364+L364-M364-N364-O364</x:f>
        <x:v>6209764</x:v>
      </x:c>
      <x:c r="Q364" s="38" t="n">
        <x:v>6209764</x:v>
      </x:c>
      <x:c r="R364" s="38" t="n">
        <x:f>P364-Q364</x:f>
        <x:v>0</x:v>
      </x:c>
      <x:c r="S364" s="38" t="n">
        <x:v>129000</x:v>
      </x:c>
      <x:c r="T364" s="38" t="n">
        <x:v>0</x:v>
      </x:c>
      <x:c r="U364" s="38" t="n">
        <x:v>90</x:v>
      </x:c>
      <x:c r="V364" s="38" t="n">
        <x:v>0</x:v>
      </x:c>
      <x:c r="W364" s="38" t="n">
        <x:v>0</x:v>
      </x:c>
      <x:c r="X364" s="44" t="n">
        <x:v>0</x:v>
      </x:c>
      <x:c r="Y364" s="38" t="n">
        <x:v>300</x:v>
      </x:c>
      <x:c r="Z364" s="38" t="n">
        <x:v>7</x:v>
      </x:c>
      <x:c r="AA364" s="38" t="n">
        <x:v>40</x:v>
      </x:c>
      <x:c r="AB364" s="38" t="n">
        <x:v>10</x:v>
      </x:c>
      <x:c r="AC364" s="38" t="n">
        <x:v>10800</x:v>
      </x:c>
      <x:c r="AD364" s="38" t="n">
        <x:v>0</x:v>
      </x:c>
      <x:c r="AE364" s="38" t="n">
        <x:f>IF(B364=1,0,F364-Q363)</x:f>
        <x:v>0</x:v>
      </x:c>
    </x:row>
    <x:row r="365" ht="27" customHeight="1">
      <x:c r="A365" s="28" t="str">
        <x:v>Decorator F2P</x:v>
      </x:c>
      <x:c r="B365" s="38" t="n">
        <x:v>1</x:v>
      </x:c>
      <x:c r="C365" s="38" t="n">
        <x:v>3</x:v>
      </x:c>
      <x:c r="D365" s="38" t="n">
        <x:v>370</x:v>
      </x:c>
      <x:c r="E365" s="38" t="n">
        <x:v>15</x:v>
      </x:c>
      <x:c r="F365" s="38" t="n">
        <x:v>731</x:v>
      </x:c>
      <x:c r="G365" s="38" t="n">
        <x:v>1155</x:v>
      </x:c>
      <x:c r="H365" s="38" t="n">
        <x:v>759</x:v>
      </x:c>
      <x:c r="I365" s="38" t="n">
        <x:v>0</x:v>
      </x:c>
      <x:c r="J365" s="38" t="n">
        <x:v>75</x:v>
      </x:c>
      <x:c r="K365" s="38" t="n">
        <x:v>0</x:v>
      </x:c>
      <x:c r="L365" s="38" t="n">
        <x:v>0</x:v>
      </x:c>
      <x:c r="M365" s="38" t="n">
        <x:v>300</x:v>
      </x:c>
      <x:c r="N365" s="38" t="n">
        <x:v>0</x:v>
      </x:c>
      <x:c r="O365" s="38" t="n">
        <x:v>0</x:v>
      </x:c>
      <x:c r="P365" s="38" t="n">
        <x:f>F365+G365-H365+I365+J365+K365+L365-M365-N365-O365</x:f>
        <x:v>902</x:v>
      </x:c>
      <x:c r="Q365" s="38" t="n">
        <x:v>902</x:v>
      </x:c>
      <x:c r="R365" s="38" t="n">
        <x:f>P365-Q365</x:f>
        <x:v>0</x:v>
      </x:c>
      <x:c r="S365" s="38" t="n">
        <x:v>933</x:v>
      </x:c>
      <x:c r="T365" s="38" t="n">
        <x:v>290</x:v>
      </x:c>
      <x:c r="U365" s="38" t="n">
        <x:v>1</x:v>
      </x:c>
      <x:c r="V365" s="38" t="n">
        <x:v>0</x:v>
      </x:c>
      <x:c r="W365" s="38" t="n">
        <x:v>0</x:v>
      </x:c>
      <x:c r="X365" s="44" t="n">
        <x:v>0</x:v>
      </x:c>
      <x:c r="Y365" s="38" t="n">
        <x:v>9</x:v>
      </x:c>
      <x:c r="Z365" s="38" t="n">
        <x:v>3</x:v>
      </x:c>
      <x:c r="AA365" s="38" t="n">
        <x:v>1</x:v>
      </x:c>
      <x:c r="AB365" s="38" t="n">
        <x:v>0</x:v>
      </x:c>
      <x:c r="AC365" s="38" t="n">
        <x:v>537</x:v>
      </x:c>
      <x:c r="AD365" s="38" t="n">
        <x:v>0</x:v>
      </x:c>
      <x:c r="AE365" s="38" t="n">
        <x:f>IF(B365=1,0,F365-Q364)</x:f>
        <x:v>0</x:v>
      </x:c>
    </x:row>
    <x:row r="366" ht="27" customHeight="1">
      <x:c r="A366" s="28" t="str">
        <x:v>Decorator F2P</x:v>
      </x:c>
      <x:c r="B366" s="38" t="n">
        <x:v>2</x:v>
      </x:c>
      <x:c r="C366" s="38" t="n">
        <x:v>5</x:v>
      </x:c>
      <x:c r="D366" s="38" t="n">
        <x:v>1828</x:v>
      </x:c>
      <x:c r="E366" s="38" t="n">
        <x:v>15</x:v>
      </x:c>
      <x:c r="F366" s="38" t="n">
        <x:v>902</x:v>
      </x:c>
      <x:c r="G366" s="38" t="n">
        <x:v>5505</x:v>
      </x:c>
      <x:c r="H366" s="38" t="n">
        <x:v>1323</x:v>
      </x:c>
      <x:c r="I366" s="38" t="n">
        <x:v>294</x:v>
      </x:c>
      <x:c r="J366" s="38" t="n">
        <x:v>155</x:v>
      </x:c>
      <x:c r="K366" s="38" t="n">
        <x:v>0</x:v>
      </x:c>
      <x:c r="L366" s="38" t="n">
        <x:v>0</x:v>
      </x:c>
      <x:c r="M366" s="38" t="n">
        <x:v>0</x:v>
      </x:c>
      <x:c r="N366" s="38" t="n">
        <x:v>0</x:v>
      </x:c>
      <x:c r="O366" s="38" t="n">
        <x:v>0</x:v>
      </x:c>
      <x:c r="P366" s="38" t="n">
        <x:f>F366+G366-H366+I366+J366+K366+L366-M366-N366-O366</x:f>
        <x:v>5533</x:v>
      </x:c>
      <x:c r="Q366" s="38" t="n">
        <x:v>5533</x:v>
      </x:c>
      <x:c r="R366" s="38" t="n">
        <x:f>P366-Q366</x:f>
        <x:v>0</x:v>
      </x:c>
      <x:c r="S366" s="38" t="n">
        <x:v>4459</x:v>
      </x:c>
      <x:c r="T366" s="38" t="n">
        <x:v>1458</x:v>
      </x:c>
      <x:c r="U366" s="38" t="n">
        <x:v>5</x:v>
      </x:c>
      <x:c r="V366" s="38" t="n">
        <x:v>4</x:v>
      </x:c>
      <x:c r="W366" s="38" t="n">
        <x:v>0</x:v>
      </x:c>
      <x:c r="X366" s="44" t="n">
        <x:v>0</x:v>
      </x:c>
      <x:c r="Y366" s="38" t="n">
        <x:v>28</x:v>
      </x:c>
      <x:c r="Z366" s="38" t="n">
        <x:v>6</x:v>
      </x:c>
      <x:c r="AA366" s="38" t="n">
        <x:v>1</x:v>
      </x:c>
      <x:c r="AB366" s="38" t="n">
        <x:v>0</x:v>
      </x:c>
      <x:c r="AC366" s="38" t="n">
        <x:v>814</x:v>
      </x:c>
      <x:c r="AD366" s="38" t="n">
        <x:v>0</x:v>
      </x:c>
      <x:c r="AE366" s="38" t="n">
        <x:f>IF(B366=1,0,F366-Q365)</x:f>
        <x:v>0</x:v>
      </x:c>
    </x:row>
    <x:row r="367" ht="27" customHeight="1">
      <x:c r="A367" s="28" t="str">
        <x:v>Decorator F2P</x:v>
      </x:c>
      <x:c r="B367" s="38" t="n">
        <x:v>3</x:v>
      </x:c>
      <x:c r="C367" s="38" t="n">
        <x:v>7</x:v>
      </x:c>
      <x:c r="D367" s="38" t="n">
        <x:v>3301</x:v>
      </x:c>
      <x:c r="E367" s="38" t="n">
        <x:v>25</x:v>
      </x:c>
      <x:c r="F367" s="38" t="n">
        <x:v>5533</x:v>
      </x:c>
      <x:c r="G367" s="38" t="n">
        <x:v>6493</x:v>
      </x:c>
      <x:c r="H367" s="38" t="n">
        <x:v>1752</x:v>
      </x:c>
      <x:c r="I367" s="38" t="n">
        <x:v>319</x:v>
      </x:c>
      <x:c r="J367" s="38" t="n">
        <x:v>230</x:v>
      </x:c>
      <x:c r="K367" s="38" t="n">
        <x:v>0</x:v>
      </x:c>
      <x:c r="L367" s="38" t="n">
        <x:v>0</x:v>
      </x:c>
      <x:c r="M367" s="38" t="n">
        <x:v>6500</x:v>
      </x:c>
      <x:c r="N367" s="38" t="n">
        <x:v>70</x:v>
      </x:c>
      <x:c r="O367" s="38" t="n">
        <x:v>0</x:v>
      </x:c>
      <x:c r="P367" s="38" t="n">
        <x:f>F367+G367-H367+I367+J367+K367+L367-M367-N367-O367</x:f>
        <x:v>4253</x:v>
      </x:c>
      <x:c r="Q367" s="38" t="n">
        <x:v>4253</x:v>
      </x:c>
      <x:c r="R367" s="38" t="n">
        <x:f>P367-Q367</x:f>
        <x:v>0</x:v>
      </x:c>
      <x:c r="S367" s="38" t="n">
        <x:v>5186</x:v>
      </x:c>
      <x:c r="T367" s="38" t="n">
        <x:v>1473</x:v>
      </x:c>
      <x:c r="U367" s="38" t="n">
        <x:v>6</x:v>
      </x:c>
      <x:c r="V367" s="38" t="n">
        <x:v>1</x:v>
      </x:c>
      <x:c r="W367" s="38" t="n">
        <x:v>0</x:v>
      </x:c>
      <x:c r="X367" s="44" t="n">
        <x:v>0</x:v>
      </x:c>
      <x:c r="Y367" s="38" t="n">
        <x:v>28</x:v>
      </x:c>
      <x:c r="Z367" s="38" t="n">
        <x:v>8</x:v>
      </x:c>
      <x:c r="AA367" s="38" t="n">
        <x:v>2</x:v>
      </x:c>
      <x:c r="AB367" s="38" t="n">
        <x:v>0</x:v>
      </x:c>
      <x:c r="AC367" s="38" t="n">
        <x:v>1259</x:v>
      </x:c>
      <x:c r="AD367" s="38" t="n">
        <x:v>0</x:v>
      </x:c>
      <x:c r="AE367" s="38" t="n">
        <x:f>IF(B367=1,0,F367-Q366)</x:f>
        <x:v>0</x:v>
      </x:c>
    </x:row>
    <x:row r="368" ht="27" customHeight="1">
      <x:c r="A368" s="28" t="str">
        <x:v>Decorator F2P</x:v>
      </x:c>
      <x:c r="B368" s="38" t="n">
        <x:v>4</x:v>
      </x:c>
      <x:c r="C368" s="38" t="n">
        <x:v>8</x:v>
      </x:c>
      <x:c r="D368" s="38" t="n">
        <x:v>6124</x:v>
      </x:c>
      <x:c r="E368" s="38" t="n">
        <x:v>25</x:v>
      </x:c>
      <x:c r="F368" s="38" t="n">
        <x:v>4253</x:v>
      </x:c>
      <x:c r="G368" s="38" t="n">
        <x:v>11822</x:v>
      </x:c>
      <x:c r="H368" s="38" t="n">
        <x:v>2448</x:v>
      </x:c>
      <x:c r="I368" s="38" t="n">
        <x:v>572</x:v>
      </x:c>
      <x:c r="J368" s="38" t="n">
        <x:v>150</x:v>
      </x:c>
      <x:c r="K368" s="38" t="n">
        <x:v>0</x:v>
      </x:c>
      <x:c r="L368" s="38" t="n">
        <x:v>0</x:v>
      </x:c>
      <x:c r="M368" s="38" t="n">
        <x:v>0</x:v>
      </x:c>
      <x:c r="N368" s="38" t="n">
        <x:v>70</x:v>
      </x:c>
      <x:c r="O368" s="38" t="n">
        <x:v>0</x:v>
      </x:c>
      <x:c r="P368" s="38" t="n">
        <x:f>F368+G368-H368+I368+J368+K368+L368-M368-N368-O368</x:f>
        <x:v>14279</x:v>
      </x:c>
      <x:c r="Q368" s="38" t="n">
        <x:v>14279</x:v>
      </x:c>
      <x:c r="R368" s="38" t="n">
        <x:f>P368-Q368</x:f>
        <x:v>0</x:v>
      </x:c>
      <x:c r="S368" s="38" t="n">
        <x:v>9438</x:v>
      </x:c>
      <x:c r="T368" s="38" t="n">
        <x:v>2823</x:v>
      </x:c>
      <x:c r="U368" s="38" t="n">
        <x:v>9</x:v>
      </x:c>
      <x:c r="V368" s="38" t="n">
        <x:v>3</x:v>
      </x:c>
      <x:c r="W368" s="38" t="n">
        <x:v>0</x:v>
      </x:c>
      <x:c r="X368" s="44" t="n">
        <x:v>0</x:v>
      </x:c>
      <x:c r="Y368" s="38" t="n">
        <x:v>50</x:v>
      </x:c>
      <x:c r="Z368" s="38" t="n">
        <x:v>9</x:v>
      </x:c>
      <x:c r="AA368" s="38" t="n">
        <x:v>3</x:v>
      </x:c>
      <x:c r="AB368" s="38" t="n">
        <x:v>0</x:v>
      </x:c>
      <x:c r="AC368" s="38" t="n">
        <x:v>1323</x:v>
      </x:c>
      <x:c r="AD368" s="38" t="n">
        <x:v>0</x:v>
      </x:c>
      <x:c r="AE368" s="38" t="n">
        <x:f>IF(B368=1,0,F368-Q367)</x:f>
        <x:v>0</x:v>
      </x:c>
    </x:row>
    <x:row r="369" ht="27" customHeight="1">
      <x:c r="A369" s="28" t="str">
        <x:v>Decorator F2P</x:v>
      </x:c>
      <x:c r="B369" s="38" t="n">
        <x:v>5</x:v>
      </x:c>
      <x:c r="C369" s="38" t="n">
        <x:v>9</x:v>
      </x:c>
      <x:c r="D369" s="38" t="n">
        <x:v>8627</x:v>
      </x:c>
      <x:c r="E369" s="38" t="n">
        <x:v>30</x:v>
      </x:c>
      <x:c r="F369" s="38" t="n">
        <x:v>14279</x:v>
      </x:c>
      <x:c r="G369" s="38" t="n">
        <x:v>12782</x:v>
      </x:c>
      <x:c r="H369" s="38" t="n">
        <x:v>2774</x:v>
      </x:c>
      <x:c r="I369" s="38" t="n">
        <x:v>592</x:v>
      </x:c>
      <x:c r="J369" s="38" t="n">
        <x:v>185</x:v>
      </x:c>
      <x:c r="K369" s="38" t="n">
        <x:v>0</x:v>
      </x:c>
      <x:c r="L369" s="38" t="n">
        <x:v>0</x:v>
      </x:c>
      <x:c r="M369" s="38" t="n">
        <x:v>15000</x:v>
      </x:c>
      <x:c r="N369" s="38" t="n">
        <x:v>70</x:v>
      </x:c>
      <x:c r="O369" s="38" t="n">
        <x:v>0</x:v>
      </x:c>
      <x:c r="P369" s="38" t="n">
        <x:f>F369+G369-H369+I369+J369+K369+L369-M369-N369-O369</x:f>
        <x:v>9994</x:v>
      </x:c>
      <x:c r="Q369" s="38" t="n">
        <x:v>9994</x:v>
      </x:c>
      <x:c r="R369" s="38" t="n">
        <x:f>P369-Q369</x:f>
        <x:v>0</x:v>
      </x:c>
      <x:c r="S369" s="38" t="n">
        <x:v>10235</x:v>
      </x:c>
      <x:c r="T369" s="38" t="n">
        <x:v>2503</x:v>
      </x:c>
      <x:c r="U369" s="38" t="n">
        <x:v>11</x:v>
      </x:c>
      <x:c r="V369" s="38" t="n">
        <x:v>2</x:v>
      </x:c>
      <x:c r="W369" s="38" t="n">
        <x:v>0</x:v>
      </x:c>
      <x:c r="X369" s="44" t="n">
        <x:v>0</x:v>
      </x:c>
      <x:c r="Y369" s="38" t="n">
        <x:v>49</x:v>
      </x:c>
      <x:c r="Z369" s="38" t="n">
        <x:v>10</x:v>
      </x:c>
      <x:c r="AA369" s="38" t="n">
        <x:v>4</x:v>
      </x:c>
      <x:c r="AB369" s="38" t="n">
        <x:v>0</x:v>
      </x:c>
      <x:c r="AC369" s="38" t="n">
        <x:v>1550</x:v>
      </x:c>
      <x:c r="AD369" s="38" t="n">
        <x:v>0</x:v>
      </x:c>
      <x:c r="AE369" s="38" t="n">
        <x:f>IF(B369=1,0,F369-Q368)</x:f>
        <x:v>0</x:v>
      </x:c>
    </x:row>
    <x:row r="370" ht="27" customHeight="1">
      <x:c r="A370" s="28" t="str">
        <x:v>Decorator F2P</x:v>
      </x:c>
      <x:c r="B370" s="38" t="n">
        <x:v>6</x:v>
      </x:c>
      <x:c r="C370" s="38" t="n">
        <x:v>10</x:v>
      </x:c>
      <x:c r="D370" s="38" t="n">
        <x:v>11604</x:v>
      </x:c>
      <x:c r="E370" s="38" t="n">
        <x:v>30</x:v>
      </x:c>
      <x:c r="F370" s="38" t="n">
        <x:v>9994</x:v>
      </x:c>
      <x:c r="G370" s="38" t="n">
        <x:v>15701</x:v>
      </x:c>
      <x:c r="H370" s="38" t="n">
        <x:v>3398</x:v>
      </x:c>
      <x:c r="I370" s="38" t="n">
        <x:v>734</x:v>
      </x:c>
      <x:c r="J370" s="38" t="n">
        <x:v>190</x:v>
      </x:c>
      <x:c r="K370" s="38" t="n">
        <x:v>0</x:v>
      </x:c>
      <x:c r="L370" s="38" t="n">
        <x:v>0</x:v>
      </x:c>
      <x:c r="M370" s="38" t="n">
        <x:v>0</x:v>
      </x:c>
      <x:c r="N370" s="38" t="n">
        <x:v>110</x:v>
      </x:c>
      <x:c r="O370" s="38" t="n">
        <x:v>0</x:v>
      </x:c>
      <x:c r="P370" s="38" t="n">
        <x:f>F370+G370-H370+I370+J370+K370+L370-M370-N370-O370</x:f>
        <x:v>23111</x:v>
      </x:c>
      <x:c r="Q370" s="38" t="n">
        <x:v>23111</x:v>
      </x:c>
      <x:c r="R370" s="38" t="n">
        <x:f>P370-Q370</x:f>
        <x:v>0</x:v>
      </x:c>
      <x:c r="S370" s="38" t="n">
        <x:v>12561</x:v>
      </x:c>
      <x:c r="T370" s="38" t="n">
        <x:v>2977</x:v>
      </x:c>
      <x:c r="U370" s="38" t="n">
        <x:v>14</x:v>
      </x:c>
      <x:c r="V370" s="38" t="n">
        <x:v>3</x:v>
      </x:c>
      <x:c r="W370" s="38" t="n">
        <x:v>0</x:v>
      </x:c>
      <x:c r="X370" s="44" t="n">
        <x:v>0</x:v>
      </x:c>
      <x:c r="Y370" s="38" t="n">
        <x:v>60</x:v>
      </x:c>
      <x:c r="Z370" s="38" t="n">
        <x:v>11</x:v>
      </x:c>
      <x:c r="AA370" s="38" t="n">
        <x:v>5</x:v>
      </x:c>
      <x:c r="AB370" s="38" t="n">
        <x:v>0</x:v>
      </x:c>
      <x:c r="AC370" s="38" t="n">
        <x:v>1808</x:v>
      </x:c>
      <x:c r="AD370" s="38" t="n">
        <x:v>0</x:v>
      </x:c>
      <x:c r="AE370" s="38" t="n">
        <x:f>IF(B370=1,0,F370-Q369)</x:f>
        <x:v>0</x:v>
      </x:c>
    </x:row>
    <x:row r="371" ht="27" customHeight="1">
      <x:c r="A371" s="28" t="str">
        <x:v>Decorator F2P</x:v>
      </x:c>
      <x:c r="B371" s="38" t="n">
        <x:v>7</x:v>
      </x:c>
      <x:c r="C371" s="38" t="n">
        <x:v>10</x:v>
      </x:c>
      <x:c r="D371" s="38" t="n">
        <x:v>15277</x:v>
      </x:c>
      <x:c r="E371" s="38" t="n">
        <x:v>30</x:v>
      </x:c>
      <x:c r="F371" s="38" t="n">
        <x:v>23111</x:v>
      </x:c>
      <x:c r="G371" s="38" t="n">
        <x:v>15892</x:v>
      </x:c>
      <x:c r="H371" s="38" t="n">
        <x:v>3190</x:v>
      </x:c>
      <x:c r="I371" s="38" t="n">
        <x:v>2352</x:v>
      </x:c>
      <x:c r="J371" s="38" t="n">
        <x:v>0</x:v>
      </x:c>
      <x:c r="K371" s="38" t="n">
        <x:v>0</x:v>
      </x:c>
      <x:c r="L371" s="38" t="n">
        <x:v>0</x:v>
      </x:c>
      <x:c r="M371" s="38" t="n">
        <x:v>0</x:v>
      </x:c>
      <x:c r="N371" s="38" t="n">
        <x:v>110</x:v>
      </x:c>
      <x:c r="O371" s="38" t="n">
        <x:v>0</x:v>
      </x:c>
      <x:c r="P371" s="38" t="n">
        <x:f>F371+G371-H371+I371+J371+K371+L371-M371-N371-O371</x:f>
        <x:v>38055</x:v>
      </x:c>
      <x:c r="Q371" s="38" t="n">
        <x:v>38055</x:v>
      </x:c>
      <x:c r="R371" s="38" t="n">
        <x:f>P371-Q371</x:f>
        <x:v>0</x:v>
      </x:c>
      <x:c r="S371" s="38" t="n">
        <x:v>12702</x:v>
      </x:c>
      <x:c r="T371" s="38" t="n">
        <x:v>3673</x:v>
      </x:c>
      <x:c r="U371" s="38" t="n">
        <x:v>16</x:v>
      </x:c>
      <x:c r="V371" s="38" t="n">
        <x:v>2</x:v>
      </x:c>
      <x:c r="W371" s="38" t="n">
        <x:v>0</x:v>
      </x:c>
      <x:c r="X371" s="44" t="n">
        <x:v>0</x:v>
      </x:c>
      <x:c r="Y371" s="38" t="n">
        <x:v>58</x:v>
      </x:c>
      <x:c r="Z371" s="38" t="n">
        <x:v>11</x:v>
      </x:c>
      <x:c r="AA371" s="38" t="n">
        <x:v>6</x:v>
      </x:c>
      <x:c r="AB371" s="38" t="n">
        <x:v>0</x:v>
      </x:c>
      <x:c r="AC371" s="38" t="n">
        <x:v>1808</x:v>
      </x:c>
      <x:c r="AD371" s="38" t="n">
        <x:v>0</x:v>
      </x:c>
      <x:c r="AE371" s="38" t="n">
        <x:f>IF(B371=1,0,F371-Q370)</x:f>
        <x:v>0</x:v>
      </x:c>
    </x:row>
    <x:row r="372" ht="27" customHeight="1">
      <x:c r="A372" s="28" t="str">
        <x:v>Decorator F2P</x:v>
      </x:c>
      <x:c r="B372" s="38" t="n">
        <x:v>8</x:v>
      </x:c>
      <x:c r="C372" s="38" t="n">
        <x:v>11</x:v>
      </x:c>
      <x:c r="D372" s="38" t="n">
        <x:v>18410</x:v>
      </x:c>
      <x:c r="E372" s="38" t="n">
        <x:v>30</x:v>
      </x:c>
      <x:c r="F372" s="38" t="n">
        <x:v>38055</x:v>
      </x:c>
      <x:c r="G372" s="38" t="n">
        <x:v>17191</x:v>
      </x:c>
      <x:c r="H372" s="38" t="n">
        <x:v>3357</x:v>
      </x:c>
      <x:c r="I372" s="38" t="n">
        <x:v>759</x:v>
      </x:c>
      <x:c r="J372" s="38" t="n">
        <x:v>195</x:v>
      </x:c>
      <x:c r="K372" s="38" t="n">
        <x:v>0</x:v>
      </x:c>
      <x:c r="L372" s="38" t="n">
        <x:v>0</x:v>
      </x:c>
      <x:c r="M372" s="38" t="n">
        <x:v>0</x:v>
      </x:c>
      <x:c r="N372" s="38" t="n">
        <x:v>305</x:v>
      </x:c>
      <x:c r="O372" s="38" t="n">
        <x:v>1325</x:v>
      </x:c>
      <x:c r="P372" s="38" t="n">
        <x:f>F372+G372-H372+I372+J372+K372+L372-M372-N372-O372</x:f>
        <x:v>51213</x:v>
      </x:c>
      <x:c r="Q372" s="38" t="n">
        <x:v>51213</x:v>
      </x:c>
      <x:c r="R372" s="38" t="n">
        <x:f>P372-Q372</x:f>
        <x:v>0</x:v>
      </x:c>
      <x:c r="S372" s="38" t="n">
        <x:v>13736</x:v>
      </x:c>
      <x:c r="T372" s="38" t="n">
        <x:v>3133</x:v>
      </x:c>
      <x:c r="U372" s="38" t="n">
        <x:v>16</x:v>
      </x:c>
      <x:c r="V372" s="38" t="n">
        <x:v>0</x:v>
      </x:c>
      <x:c r="W372" s="38" t="n">
        <x:v>0</x:v>
      </x:c>
      <x:c r="X372" s="44" t="n">
        <x:v>0</x:v>
      </x:c>
      <x:c r="Y372" s="38" t="n">
        <x:v>59</x:v>
      </x:c>
      <x:c r="Z372" s="38" t="n">
        <x:v>13</x:v>
      </x:c>
      <x:c r="AA372" s="38" t="n">
        <x:v>7</x:v>
      </x:c>
      <x:c r="AB372" s="38" t="n">
        <x:v>1</x:v>
      </x:c>
      <x:c r="AC372" s="38" t="n">
        <x:v>1710</x:v>
      </x:c>
      <x:c r="AD372" s="38" t="n">
        <x:v>0</x:v>
      </x:c>
      <x:c r="AE372" s="38" t="n">
        <x:f>IF(B372=1,0,F372-Q371)</x:f>
        <x:v>0</x:v>
      </x:c>
    </x:row>
    <x:row r="373" ht="27" customHeight="1">
      <x:c r="A373" s="28" t="str">
        <x:v>Decorator F2P</x:v>
      </x:c>
      <x:c r="B373" s="38" t="n">
        <x:v>9</x:v>
      </x:c>
      <x:c r="C373" s="38" t="n">
        <x:v>12</x:v>
      </x:c>
      <x:c r="D373" s="38" t="n">
        <x:v>21671</x:v>
      </x:c>
      <x:c r="E373" s="38" t="n">
        <x:v>35</x:v>
      </x:c>
      <x:c r="F373" s="38" t="n">
        <x:v>51213</x:v>
      </x:c>
      <x:c r="G373" s="38" t="n">
        <x:v>18384</x:v>
      </x:c>
      <x:c r="H373" s="38" t="n">
        <x:v>4171</x:v>
      </x:c>
      <x:c r="I373" s="38" t="n">
        <x:v>783</x:v>
      </x:c>
      <x:c r="J373" s="38" t="n">
        <x:v>235</x:v>
      </x:c>
      <x:c r="K373" s="38" t="n">
        <x:v>0</x:v>
      </x:c>
      <x:c r="L373" s="38" t="n">
        <x:v>0</x:v>
      </x:c>
      <x:c r="M373" s="38" t="n">
        <x:v>40000</x:v>
      </x:c>
      <x:c r="N373" s="38" t="n">
        <x:v>305</x:v>
      </x:c>
      <x:c r="O373" s="38" t="n">
        <x:v>6325</x:v>
      </x:c>
      <x:c r="P373" s="38" t="n">
        <x:f>F373+G373-H373+I373+J373+K373+L373-M373-N373-O373</x:f>
        <x:v>19814</x:v>
      </x:c>
      <x:c r="Q373" s="38" t="n">
        <x:v>19814</x:v>
      </x:c>
      <x:c r="R373" s="38" t="n">
        <x:f>P373-Q373</x:f>
        <x:v>0</x:v>
      </x:c>
      <x:c r="S373" s="38" t="n">
        <x:v>14702</x:v>
      </x:c>
      <x:c r="T373" s="38" t="n">
        <x:v>3261</x:v>
      </x:c>
      <x:c r="U373" s="38" t="n">
        <x:v>17</x:v>
      </x:c>
      <x:c r="V373" s="38" t="n">
        <x:v>1</x:v>
      </x:c>
      <x:c r="W373" s="38" t="n">
        <x:v>0</x:v>
      </x:c>
      <x:c r="X373" s="44" t="n">
        <x:v>0</x:v>
      </x:c>
      <x:c r="Y373" s="38" t="n">
        <x:v>64</x:v>
      </x:c>
      <x:c r="Z373" s="38" t="n">
        <x:v>13</x:v>
      </x:c>
      <x:c r="AA373" s="38" t="n">
        <x:v>8</x:v>
      </x:c>
      <x:c r="AB373" s="38" t="n">
        <x:v>2</x:v>
      </x:c>
      <x:c r="AC373" s="38" t="n">
        <x:v>2199</x:v>
      </x:c>
      <x:c r="AD373" s="38" t="n">
        <x:v>0</x:v>
      </x:c>
      <x:c r="AE373" s="38" t="n">
        <x:f>IF(B373=1,0,F373-Q372)</x:f>
        <x:v>0</x:v>
      </x:c>
    </x:row>
    <x:row r="374" ht="27" customHeight="1">
      <x:c r="A374" s="28" t="str">
        <x:v>Decorator F2P</x:v>
      </x:c>
      <x:c r="B374" s="38" t="n">
        <x:v>10</x:v>
      </x:c>
      <x:c r="C374" s="38" t="n">
        <x:v>12</x:v>
      </x:c>
      <x:c r="D374" s="38" t="n">
        <x:v>25172</x:v>
      </x:c>
      <x:c r="E374" s="38" t="n">
        <x:v>35</x:v>
      </x:c>
      <x:c r="F374" s="38" t="n">
        <x:v>19814</x:v>
      </x:c>
      <x:c r="G374" s="38" t="n">
        <x:v>19788</x:v>
      </x:c>
      <x:c r="H374" s="38" t="n">
        <x:v>3944</x:v>
      </x:c>
      <x:c r="I374" s="38" t="n">
        <x:v>942</x:v>
      </x:c>
      <x:c r="J374" s="38" t="n">
        <x:v>0</x:v>
      </x:c>
      <x:c r="K374" s="38" t="n">
        <x:v>0</x:v>
      </x:c>
      <x:c r="L374" s="38" t="n">
        <x:v>0</x:v>
      </x:c>
      <x:c r="M374" s="38" t="n">
        <x:v>0</x:v>
      </x:c>
      <x:c r="N374" s="38" t="n">
        <x:v>320</x:v>
      </x:c>
      <x:c r="O374" s="38" t="n">
        <x:v>0</x:v>
      </x:c>
      <x:c r="P374" s="38" t="n">
        <x:f>F374+G374-H374+I374+J374+K374+L374-M374-N374-O374</x:f>
        <x:v>36280</x:v>
      </x:c>
      <x:c r="Q374" s="38" t="n">
        <x:v>36280</x:v>
      </x:c>
      <x:c r="R374" s="38" t="n">
        <x:f>P374-Q374</x:f>
        <x:v>0</x:v>
      </x:c>
      <x:c r="S374" s="38" t="n">
        <x:v>15844</x:v>
      </x:c>
      <x:c r="T374" s="38" t="n">
        <x:v>3501</x:v>
      </x:c>
      <x:c r="U374" s="38" t="n">
        <x:v>17</x:v>
      </x:c>
      <x:c r="V374" s="38" t="n">
        <x:v>0</x:v>
      </x:c>
      <x:c r="W374" s="38" t="n">
        <x:v>0</x:v>
      </x:c>
      <x:c r="X374" s="44" t="n">
        <x:v>0</x:v>
      </x:c>
      <x:c r="Y374" s="38" t="n">
        <x:v>68</x:v>
      </x:c>
      <x:c r="Z374" s="38" t="n">
        <x:v>13</x:v>
      </x:c>
      <x:c r="AA374" s="38" t="n">
        <x:v>9</x:v>
      </x:c>
      <x:c r="AB374" s="38" t="n">
        <x:v>2</x:v>
      </x:c>
      <x:c r="AC374" s="38" t="n">
        <x:v>2199</x:v>
      </x:c>
      <x:c r="AD374" s="38" t="n">
        <x:v>0</x:v>
      </x:c>
      <x:c r="AE374" s="38" t="n">
        <x:f>IF(B374=1,0,F374-Q373)</x:f>
        <x:v>0</x:v>
      </x:c>
    </x:row>
    <x:row r="375" ht="27" customHeight="1">
      <x:c r="A375" s="28" t="str">
        <x:v>Decorator F2P</x:v>
      </x:c>
      <x:c r="B375" s="38" t="n">
        <x:v>11</x:v>
      </x:c>
      <x:c r="C375" s="38" t="n">
        <x:v>13</x:v>
      </x:c>
      <x:c r="D375" s="38" t="n">
        <x:v>28887</x:v>
      </x:c>
      <x:c r="E375" s="38" t="n">
        <x:v>35</x:v>
      </x:c>
      <x:c r="F375" s="38" t="n">
        <x:v>36280</x:v>
      </x:c>
      <x:c r="G375" s="38" t="n">
        <x:v>21229</x:v>
      </x:c>
      <x:c r="H375" s="38" t="n">
        <x:v>4196</x:v>
      </x:c>
      <x:c r="I375" s="38" t="n">
        <x:v>942</x:v>
      </x:c>
      <x:c r="J375" s="38" t="n">
        <x:v>245</x:v>
      </x:c>
      <x:c r="K375" s="38" t="n">
        <x:v>0</x:v>
      </x:c>
      <x:c r="L375" s="38" t="n">
        <x:v>0</x:v>
      </x:c>
      <x:c r="M375" s="38" t="n">
        <x:v>0</x:v>
      </x:c>
      <x:c r="N375" s="38" t="n">
        <x:v>320</x:v>
      </x:c>
      <x:c r="O375" s="38" t="n">
        <x:v>0</x:v>
      </x:c>
      <x:c r="P375" s="38" t="n">
        <x:f>F375+G375-H375+I375+J375+K375+L375-M375-N375-O375</x:f>
        <x:v>54180</x:v>
      </x:c>
      <x:c r="Q375" s="38" t="n">
        <x:v>54180</x:v>
      </x:c>
      <x:c r="R375" s="38" t="n">
        <x:f>P375-Q375</x:f>
        <x:v>0</x:v>
      </x:c>
      <x:c r="S375" s="38" t="n">
        <x:v>16990</x:v>
      </x:c>
      <x:c r="T375" s="38" t="n">
        <x:v>3715</x:v>
      </x:c>
      <x:c r="U375" s="38" t="n">
        <x:v>17</x:v>
      </x:c>
      <x:c r="V375" s="38" t="n">
        <x:v>0</x:v>
      </x:c>
      <x:c r="W375" s="38" t="n">
        <x:v>0</x:v>
      </x:c>
      <x:c r="X375" s="44" t="n">
        <x:v>0</x:v>
      </x:c>
      <x:c r="Y375" s="38" t="n">
        <x:v>69</x:v>
      </x:c>
      <x:c r="Z375" s="38" t="n">
        <x:v>14</x:v>
      </x:c>
      <x:c r="AA375" s="38" t="n">
        <x:v>10</x:v>
      </x:c>
      <x:c r="AB375" s="38" t="n">
        <x:v>2</x:v>
      </x:c>
      <x:c r="AC375" s="38" t="n">
        <x:v>2156</x:v>
      </x:c>
      <x:c r="AD375" s="38" t="n">
        <x:v>0</x:v>
      </x:c>
      <x:c r="AE375" s="38" t="n">
        <x:f>IF(B375=1,0,F375-Q374)</x:f>
        <x:v>0</x:v>
      </x:c>
    </x:row>
    <x:row r="376" ht="27" customHeight="1">
      <x:c r="A376" s="28" t="str">
        <x:v>Decorator F2P</x:v>
      </x:c>
      <x:c r="B376" s="38" t="n">
        <x:v>12</x:v>
      </x:c>
      <x:c r="C376" s="38" t="n">
        <x:v>14</x:v>
      </x:c>
      <x:c r="D376" s="38" t="n">
        <x:v>32596</x:v>
      </x:c>
      <x:c r="E376" s="38" t="n">
        <x:v>35</x:v>
      </x:c>
      <x:c r="F376" s="38" t="n">
        <x:v>54180</x:v>
      </x:c>
      <x:c r="G376" s="38" t="n">
        <x:v>21278</x:v>
      </x:c>
      <x:c r="H376" s="38" t="n">
        <x:v>4222</x:v>
      </x:c>
      <x:c r="I376" s="38" t="n">
        <x:v>970</x:v>
      </x:c>
      <x:c r="J376" s="38" t="n">
        <x:v>250</x:v>
      </x:c>
      <x:c r="K376" s="38" t="n">
        <x:v>0</x:v>
      </x:c>
      <x:c r="L376" s="38" t="n">
        <x:v>0</x:v>
      </x:c>
      <x:c r="M376" s="38" t="n">
        <x:v>0</x:v>
      </x:c>
      <x:c r="N376" s="38" t="n">
        <x:v>330</x:v>
      </x:c>
      <x:c r="O376" s="38" t="n">
        <x:v>0</x:v>
      </x:c>
      <x:c r="P376" s="38" t="n">
        <x:f>F376+G376-H376+I376+J376+K376+L376-M376-N376-O376</x:f>
        <x:v>72126</x:v>
      </x:c>
      <x:c r="Q376" s="38" t="n">
        <x:v>72126</x:v>
      </x:c>
      <x:c r="R376" s="38" t="n">
        <x:f>P376-Q376</x:f>
        <x:v>0</x:v>
      </x:c>
      <x:c r="S376" s="38" t="n">
        <x:v>17022</x:v>
      </x:c>
      <x:c r="T376" s="38" t="n">
        <x:v>3709</x:v>
      </x:c>
      <x:c r="U376" s="38" t="n">
        <x:v>20</x:v>
      </x:c>
      <x:c r="V376" s="38" t="n">
        <x:v>3</x:v>
      </x:c>
      <x:c r="W376" s="38" t="n">
        <x:v>0</x:v>
      </x:c>
      <x:c r="X376" s="44" t="n">
        <x:v>0</x:v>
      </x:c>
      <x:c r="Y376" s="38" t="n">
        <x:v>70</x:v>
      </x:c>
      <x:c r="Z376" s="38" t="n">
        <x:v>15</x:v>
      </x:c>
      <x:c r="AA376" s="38" t="n">
        <x:v>11</x:v>
      </x:c>
      <x:c r="AB376" s="38" t="n">
        <x:v>2</x:v>
      </x:c>
      <x:c r="AC376" s="38" t="n">
        <x:v>2122</x:v>
      </x:c>
      <x:c r="AD376" s="38" t="n">
        <x:v>0</x:v>
      </x:c>
      <x:c r="AE376" s="38" t="n">
        <x:f>IF(B376=1,0,F376-Q375)</x:f>
        <x:v>0</x:v>
      </x:c>
    </x:row>
    <x:row r="377" ht="27" customHeight="1">
      <x:c r="A377" s="28" t="str">
        <x:v>Decorator F2P</x:v>
      </x:c>
      <x:c r="B377" s="38" t="n">
        <x:v>13</x:v>
      </x:c>
      <x:c r="C377" s="38" t="n">
        <x:v>14</x:v>
      </x:c>
      <x:c r="D377" s="38" t="n">
        <x:v>36232</x:v>
      </x:c>
      <x:c r="E377" s="38" t="n">
        <x:v>35</x:v>
      </x:c>
      <x:c r="F377" s="38" t="n">
        <x:v>72126</x:v>
      </x:c>
      <x:c r="G377" s="38" t="n">
        <x:v>21391</x:v>
      </x:c>
      <x:c r="H377" s="38" t="n">
        <x:v>4340</x:v>
      </x:c>
      <x:c r="I377" s="38" t="n">
        <x:v>999</x:v>
      </x:c>
      <x:c r="J377" s="38" t="n">
        <x:v>0</x:v>
      </x:c>
      <x:c r="K377" s="38" t="n">
        <x:v>0</x:v>
      </x:c>
      <x:c r="L377" s="38" t="n">
        <x:v>0</x:v>
      </x:c>
      <x:c r="M377" s="38" t="n">
        <x:v>0</x:v>
      </x:c>
      <x:c r="N377" s="38" t="n">
        <x:v>330</x:v>
      </x:c>
      <x:c r="O377" s="38" t="n">
        <x:v>0</x:v>
      </x:c>
      <x:c r="P377" s="38" t="n">
        <x:f>F377+G377-H377+I377+J377+K377+L377-M377-N377-O377</x:f>
        <x:v>89846</x:v>
      </x:c>
      <x:c r="Q377" s="38" t="n">
        <x:v>89846</x:v>
      </x:c>
      <x:c r="R377" s="38" t="n">
        <x:f>P377-Q377</x:f>
        <x:v>0</x:v>
      </x:c>
      <x:c r="S377" s="38" t="n">
        <x:v>17099</x:v>
      </x:c>
      <x:c r="T377" s="38" t="n">
        <x:v>3636</x:v>
      </x:c>
      <x:c r="U377" s="38" t="n">
        <x:v>20</x:v>
      </x:c>
      <x:c r="V377" s="38" t="n">
        <x:v>0</x:v>
      </x:c>
      <x:c r="W377" s="38" t="n">
        <x:v>0</x:v>
      </x:c>
      <x:c r="X377" s="44" t="n">
        <x:v>0</x:v>
      </x:c>
      <x:c r="Y377" s="38" t="n">
        <x:v>70</x:v>
      </x:c>
      <x:c r="Z377" s="38" t="n">
        <x:v>16</x:v>
      </x:c>
      <x:c r="AA377" s="38" t="n">
        <x:v>12</x:v>
      </x:c>
      <x:c r="AB377" s="38" t="n">
        <x:v>2</x:v>
      </x:c>
      <x:c r="AC377" s="38" t="n">
        <x:v>2170</x:v>
      </x:c>
      <x:c r="AD377" s="38" t="n">
        <x:v>0</x:v>
      </x:c>
      <x:c r="AE377" s="38" t="n">
        <x:f>IF(B377=1,0,F377-Q376)</x:f>
        <x:v>0</x:v>
      </x:c>
    </x:row>
    <x:row r="378" ht="27" customHeight="1">
      <x:c r="A378" s="28" t="str">
        <x:v>Decorator F2P</x:v>
      </x:c>
      <x:c r="B378" s="38" t="n">
        <x:v>14</x:v>
      </x:c>
      <x:c r="C378" s="38" t="n">
        <x:v>15</x:v>
      </x:c>
      <x:c r="D378" s="38" t="n">
        <x:v>41332</x:v>
      </x:c>
      <x:c r="E378" s="38" t="n">
        <x:v>35</x:v>
      </x:c>
      <x:c r="F378" s="38" t="n">
        <x:v>89846</x:v>
      </x:c>
      <x:c r="G378" s="38" t="n">
        <x:v>23065</x:v>
      </x:c>
      <x:c r="H378" s="38" t="n">
        <x:v>4900</x:v>
      </x:c>
      <x:c r="I378" s="38" t="n">
        <x:v>4793</x:v>
      </x:c>
      <x:c r="J378" s="38" t="n">
        <x:v>255</x:v>
      </x:c>
      <x:c r="K378" s="38" t="n">
        <x:v>0</x:v>
      </x:c>
      <x:c r="L378" s="38" t="n">
        <x:v>0</x:v>
      </x:c>
      <x:c r="M378" s="38" t="n">
        <x:v>0</x:v>
      </x:c>
      <x:c r="N378" s="38" t="n">
        <x:v>570</x:v>
      </x:c>
      <x:c r="O378" s="38" t="n">
        <x:v>17115</x:v>
      </x:c>
      <x:c r="P378" s="38" t="n">
        <x:f>F378+G378-H378+I378+J378+K378+L378-M378-N378-O378</x:f>
        <x:v>95374</x:v>
      </x:c>
      <x:c r="Q378" s="38" t="n">
        <x:v>95374</x:v>
      </x:c>
      <x:c r="R378" s="38" t="n">
        <x:f>P378-Q378</x:f>
        <x:v>0</x:v>
      </x:c>
      <x:c r="S378" s="38" t="n">
        <x:v>18445</x:v>
      </x:c>
      <x:c r="T378" s="38" t="n">
        <x:v>5100</x:v>
      </x:c>
      <x:c r="U378" s="38" t="n">
        <x:v>25</x:v>
      </x:c>
      <x:c r="V378" s="38" t="n">
        <x:v>5</x:v>
      </x:c>
      <x:c r="W378" s="38" t="n">
        <x:v>0</x:v>
      </x:c>
      <x:c r="X378" s="44" t="n">
        <x:v>0</x:v>
      </x:c>
      <x:c r="Y378" s="38" t="n">
        <x:v>70</x:v>
      </x:c>
      <x:c r="Z378" s="38" t="n">
        <x:v>17</x:v>
      </x:c>
      <x:c r="AA378" s="38" t="n">
        <x:v>13</x:v>
      </x:c>
      <x:c r="AB378" s="38" t="n">
        <x:v>3</x:v>
      </x:c>
      <x:c r="AC378" s="38" t="n">
        <x:v>2450</x:v>
      </x:c>
      <x:c r="AD378" s="38" t="n">
        <x:v>0</x:v>
      </x:c>
      <x:c r="AE378" s="38" t="n">
        <x:f>IF(B378=1,0,F378-Q377)</x:f>
        <x:v>0</x:v>
      </x:c>
    </x:row>
    <x:row r="379" ht="27" customHeight="1">
      <x:c r="A379" s="28" t="str">
        <x:v>Decorator F2P</x:v>
      </x:c>
      <x:c r="B379" s="38" t="n">
        <x:v>15</x:v>
      </x:c>
      <x:c r="C379" s="38" t="n">
        <x:v>15</x:v>
      </x:c>
      <x:c r="D379" s="38" t="n">
        <x:v>44725</x:v>
      </x:c>
      <x:c r="E379" s="38" t="n">
        <x:v>35</x:v>
      </x:c>
      <x:c r="F379" s="38" t="n">
        <x:v>95374</x:v>
      </x:c>
      <x:c r="G379" s="38" t="n">
        <x:v>24500</x:v>
      </x:c>
      <x:c r="H379" s="38" t="n">
        <x:v>4900</x:v>
      </x:c>
      <x:c r="I379" s="38" t="n">
        <x:v>1027</x:v>
      </x:c>
      <x:c r="J379" s="38" t="n">
        <x:v>0</x:v>
      </x:c>
      <x:c r="K379" s="38" t="n">
        <x:v>0</x:v>
      </x:c>
      <x:c r="L379" s="38" t="n">
        <x:v>0</x:v>
      </x:c>
      <x:c r="M379" s="38" t="n">
        <x:v>0</x:v>
      </x:c>
      <x:c r="N379" s="38" t="n">
        <x:v>570</x:v>
      </x:c>
      <x:c r="O379" s="38" t="n">
        <x:v>0</x:v>
      </x:c>
      <x:c r="P379" s="38" t="n">
        <x:f>F379+G379-H379+I379+J379+K379+L379-M379-N379-O379</x:f>
        <x:v>115431</x:v>
      </x:c>
      <x:c r="Q379" s="38" t="n">
        <x:v>115431</x:v>
      </x:c>
      <x:c r="R379" s="38" t="n">
        <x:f>P379-Q379</x:f>
        <x:v>0</x:v>
      </x:c>
      <x:c r="S379" s="38" t="n">
        <x:v>19600</x:v>
      </x:c>
      <x:c r="T379" s="38" t="n">
        <x:v>3393</x:v>
      </x:c>
      <x:c r="U379" s="38" t="n">
        <x:v>25</x:v>
      </x:c>
      <x:c r="V379" s="38" t="n">
        <x:v>0</x:v>
      </x:c>
      <x:c r="W379" s="38" t="n">
        <x:v>0</x:v>
      </x:c>
      <x:c r="X379" s="44" t="n">
        <x:v>0</x:v>
      </x:c>
      <x:c r="Y379" s="38" t="n">
        <x:v>70</x:v>
      </x:c>
      <x:c r="Z379" s="38" t="n">
        <x:v>17</x:v>
      </x:c>
      <x:c r="AA379" s="38" t="n">
        <x:v>14</x:v>
      </x:c>
      <x:c r="AB379" s="38" t="n">
        <x:v>3</x:v>
      </x:c>
      <x:c r="AC379" s="38" t="n">
        <x:v>2450</x:v>
      </x:c>
      <x:c r="AD379" s="38" t="n">
        <x:v>0</x:v>
      </x:c>
      <x:c r="AE379" s="38" t="n">
        <x:f>IF(B379=1,0,F379-Q378)</x:f>
        <x:v>0</x:v>
      </x:c>
    </x:row>
    <x:row r="380" ht="27" customHeight="1">
      <x:c r="A380" s="28" t="str">
        <x:v>Decorator F2P</x:v>
      </x:c>
      <x:c r="B380" s="38" t="n">
        <x:v>16</x:v>
      </x:c>
      <x:c r="C380" s="38" t="n">
        <x:v>16</x:v>
      </x:c>
      <x:c r="D380" s="38" t="n">
        <x:v>48725</x:v>
      </x:c>
      <x:c r="E380" s="38" t="n">
        <x:v>45</x:v>
      </x:c>
      <x:c r="F380" s="38" t="n">
        <x:v>115431</x:v>
      </x:c>
      <x:c r="G380" s="38" t="n">
        <x:v>26594</x:v>
      </x:c>
      <x:c r="H380" s="38" t="n">
        <x:v>5846</x:v>
      </x:c>
      <x:c r="I380" s="38" t="n">
        <x:v>1027</x:v>
      </x:c>
      <x:c r="J380" s="38" t="n">
        <x:v>340</x:v>
      </x:c>
      <x:c r="K380" s="38" t="n">
        <x:v>0</x:v>
      </x:c>
      <x:c r="L380" s="38" t="n">
        <x:v>0</x:v>
      </x:c>
      <x:c r="M380" s="38" t="n">
        <x:v>120000</x:v>
      </x:c>
      <x:c r="N380" s="38" t="n">
        <x:v>905</x:v>
      </x:c>
      <x:c r="O380" s="38" t="n">
        <x:v>0</x:v>
      </x:c>
      <x:c r="P380" s="38" t="n">
        <x:f>F380+G380-H380+I380+J380+K380+L380-M380-N380-O380</x:f>
        <x:v>16641</x:v>
      </x:c>
      <x:c r="Q380" s="38" t="n">
        <x:v>16641</x:v>
      </x:c>
      <x:c r="R380" s="38" t="n">
        <x:f>P380-Q380</x:f>
        <x:v>0</x:v>
      </x:c>
      <x:c r="S380" s="38" t="n">
        <x:v>21284</x:v>
      </x:c>
      <x:c r="T380" s="38" t="n">
        <x:v>4000</x:v>
      </x:c>
      <x:c r="U380" s="38" t="n">
        <x:v>26</x:v>
      </x:c>
      <x:c r="V380" s="38" t="n">
        <x:v>1</x:v>
      </x:c>
      <x:c r="W380" s="38" t="n">
        <x:v>0</x:v>
      </x:c>
      <x:c r="X380" s="44" t="n">
        <x:v>0</x:v>
      </x:c>
      <x:c r="Y380" s="38" t="n">
        <x:v>79</x:v>
      </x:c>
      <x:c r="Z380" s="38" t="n">
        <x:v>17</x:v>
      </x:c>
      <x:c r="AA380" s="38" t="n">
        <x:v>15</x:v>
      </x:c>
      <x:c r="AB380" s="38" t="n">
        <x:v>3</x:v>
      </x:c>
      <x:c r="AC380" s="38" t="n">
        <x:v>2986</x:v>
      </x:c>
      <x:c r="AD380" s="38" t="n">
        <x:v>0</x:v>
      </x:c>
      <x:c r="AE380" s="38" t="n">
        <x:f>IF(B380=1,0,F380-Q379)</x:f>
        <x:v>0</x:v>
      </x:c>
    </x:row>
    <x:row r="381" ht="27" customHeight="1">
      <x:c r="A381" s="28" t="str">
        <x:v>Decorator F2P</x:v>
      </x:c>
      <x:c r="B381" s="38" t="n">
        <x:v>17</x:v>
      </x:c>
      <x:c r="C381" s="38" t="n">
        <x:v>16</x:v>
      </x:c>
      <x:c r="D381" s="38" t="n">
        <x:v>53586</x:v>
      </x:c>
      <x:c r="E381" s="38" t="n">
        <x:v>45</x:v>
      </x:c>
      <x:c r="F381" s="38" t="n">
        <x:v>16641</x:v>
      </x:c>
      <x:c r="G381" s="38" t="n">
        <x:v>29642</x:v>
      </x:c>
      <x:c r="H381" s="38" t="n">
        <x:v>5850</x:v>
      </x:c>
      <x:c r="I381" s="38" t="n">
        <x:v>1357</x:v>
      </x:c>
      <x:c r="J381" s="38" t="n">
        <x:v>0</x:v>
      </x:c>
      <x:c r="K381" s="38" t="n">
        <x:v>0</x:v>
      </x:c>
      <x:c r="L381" s="38" t="n">
        <x:v>0</x:v>
      </x:c>
      <x:c r="M381" s="38" t="n">
        <x:v>0</x:v>
      </x:c>
      <x:c r="N381" s="38" t="n">
        <x:v>1700</x:v>
      </x:c>
      <x:c r="O381" s="38" t="n">
        <x:v>0</x:v>
      </x:c>
      <x:c r="P381" s="38" t="n">
        <x:f>F381+G381-H381+I381+J381+K381+L381-M381-N381-O381</x:f>
        <x:v>40090</x:v>
      </x:c>
      <x:c r="Q381" s="38" t="n">
        <x:v>40090</x:v>
      </x:c>
      <x:c r="R381" s="38" t="n">
        <x:f>P381-Q381</x:f>
        <x:v>0</x:v>
      </x:c>
      <x:c r="S381" s="38" t="n">
        <x:v>23731</x:v>
      </x:c>
      <x:c r="T381" s="38" t="n">
        <x:v>4861</x:v>
      </x:c>
      <x:c r="U381" s="38" t="n">
        <x:v>26</x:v>
      </x:c>
      <x:c r="V381" s="38" t="n">
        <x:v>0</x:v>
      </x:c>
      <x:c r="W381" s="38" t="n">
        <x:v>0</x:v>
      </x:c>
      <x:c r="X381" s="44" t="n">
        <x:v>0</x:v>
      </x:c>
      <x:c r="Y381" s="38" t="n">
        <x:v>90</x:v>
      </x:c>
      <x:c r="Z381" s="38" t="n">
        <x:v>18</x:v>
      </x:c>
      <x:c r="AA381" s="38" t="n">
        <x:v>16</x:v>
      </x:c>
      <x:c r="AB381" s="38" t="n">
        <x:v>3</x:v>
      </x:c>
      <x:c r="AC381" s="38" t="n">
        <x:v>2925</x:v>
      </x:c>
      <x:c r="AD381" s="38" t="n">
        <x:v>0</x:v>
      </x:c>
      <x:c r="AE381" s="38" t="n">
        <x:f>IF(B381=1,0,F381-Q380)</x:f>
        <x:v>0</x:v>
      </x:c>
    </x:row>
    <x:row r="382" ht="27" customHeight="1">
      <x:c r="A382" s="28" t="str">
        <x:v>Decorator F2P</x:v>
      </x:c>
      <x:c r="B382" s="38" t="n">
        <x:v>18</x:v>
      </x:c>
      <x:c r="C382" s="38" t="n">
        <x:v>17</x:v>
      </x:c>
      <x:c r="D382" s="38" t="n">
        <x:v>58403</x:v>
      </x:c>
      <x:c r="E382" s="38" t="n">
        <x:v>45</x:v>
      </x:c>
      <x:c r="F382" s="38" t="n">
        <x:v>40090</x:v>
      </x:c>
      <x:c r="G382" s="38" t="n">
        <x:v>29340</x:v>
      </x:c>
      <x:c r="H382" s="38" t="n">
        <x:v>6134</x:v>
      </x:c>
      <x:c r="I382" s="38" t="n">
        <x:v>1357</x:v>
      </x:c>
      <x:c r="J382" s="38" t="n">
        <x:v>350</x:v>
      </x:c>
      <x:c r="K382" s="38" t="n">
        <x:v>0</x:v>
      </x:c>
      <x:c r="L382" s="38" t="n">
        <x:v>0</x:v>
      </x:c>
      <x:c r="M382" s="38" t="n">
        <x:v>0</x:v>
      </x:c>
      <x:c r="N382" s="38" t="n">
        <x:v>1125</x:v>
      </x:c>
      <x:c r="O382" s="38" t="n">
        <x:v>0</x:v>
      </x:c>
      <x:c r="P382" s="38" t="n">
        <x:f>F382+G382-H382+I382+J382+K382+L382-M382-N382-O382</x:f>
        <x:v>63878</x:v>
      </x:c>
      <x:c r="Q382" s="38" t="n">
        <x:v>63878</x:v>
      </x:c>
      <x:c r="R382" s="38" t="n">
        <x:f>P382-Q382</x:f>
        <x:v>0</x:v>
      </x:c>
      <x:c r="S382" s="38" t="n">
        <x:v>23490</x:v>
      </x:c>
      <x:c r="T382" s="38" t="n">
        <x:v>4817</x:v>
      </x:c>
      <x:c r="U382" s="38" t="n">
        <x:v>26</x:v>
      </x:c>
      <x:c r="V382" s="38" t="n">
        <x:v>0</x:v>
      </x:c>
      <x:c r="W382" s="38" t="n">
        <x:v>0</x:v>
      </x:c>
      <x:c r="X382" s="44" t="n">
        <x:v>0</x:v>
      </x:c>
      <x:c r="Y382" s="38" t="n">
        <x:v>90</x:v>
      </x:c>
      <x:c r="Z382" s="38" t="n">
        <x:v>18</x:v>
      </x:c>
      <x:c r="AA382" s="38" t="n">
        <x:v>17</x:v>
      </x:c>
      <x:c r="AB382" s="38" t="n">
        <x:v>3</x:v>
      </x:c>
      <x:c r="AC382" s="38" t="n">
        <x:v>3209</x:v>
      </x:c>
      <x:c r="AD382" s="38" t="n">
        <x:v>0</x:v>
      </x:c>
      <x:c r="AE382" s="38" t="n">
        <x:f>IF(B382=1,0,F382-Q381)</x:f>
        <x:v>0</x:v>
      </x:c>
    </x:row>
    <x:row r="383" ht="27" customHeight="1">
      <x:c r="A383" s="28" t="str">
        <x:v>Decorator F2P</x:v>
      </x:c>
      <x:c r="B383" s="38" t="n">
        <x:v>19</x:v>
      </x:c>
      <x:c r="C383" s="38" t="n">
        <x:v>17</x:v>
      </x:c>
      <x:c r="D383" s="38" t="n">
        <x:v>63128</x:v>
      </x:c>
      <x:c r="E383" s="38" t="n">
        <x:v>45</x:v>
      </x:c>
      <x:c r="F383" s="38" t="n">
        <x:v>63878</x:v>
      </x:c>
      <x:c r="G383" s="38" t="n">
        <x:v>29480</x:v>
      </x:c>
      <x:c r="H383" s="38" t="n">
        <x:v>5896</x:v>
      </x:c>
      <x:c r="I383" s="38" t="n">
        <x:v>1393</x:v>
      </x:c>
      <x:c r="J383" s="38" t="n">
        <x:v>0</x:v>
      </x:c>
      <x:c r="K383" s="38" t="n">
        <x:v>0</x:v>
      </x:c>
      <x:c r="L383" s="38" t="n">
        <x:v>0</x:v>
      </x:c>
      <x:c r="M383" s="38" t="n">
        <x:v>0</x:v>
      </x:c>
      <x:c r="N383" s="38" t="n">
        <x:v>2110</x:v>
      </x:c>
      <x:c r="O383" s="38" t="n">
        <x:v>0</x:v>
      </x:c>
      <x:c r="P383" s="38" t="n">
        <x:f>F383+G383-H383+I383+J383+K383+L383-M383-N383-O383</x:f>
        <x:v>86745</x:v>
      </x:c>
      <x:c r="Q383" s="38" t="n">
        <x:v>86745</x:v>
      </x:c>
      <x:c r="R383" s="38" t="n">
        <x:f>P383-Q383</x:f>
        <x:v>0</x:v>
      </x:c>
      <x:c r="S383" s="38" t="n">
        <x:v>23584</x:v>
      </x:c>
      <x:c r="T383" s="38" t="n">
        <x:v>4725</x:v>
      </x:c>
      <x:c r="U383" s="38" t="n">
        <x:v>26</x:v>
      </x:c>
      <x:c r="V383" s="38" t="n">
        <x:v>0</x:v>
      </x:c>
      <x:c r="W383" s="38" t="n">
        <x:v>0</x:v>
      </x:c>
      <x:c r="X383" s="44" t="n">
        <x:v>0</x:v>
      </x:c>
      <x:c r="Y383" s="38" t="n">
        <x:v>88</x:v>
      </x:c>
      <x:c r="Z383" s="38" t="n">
        <x:v>18</x:v>
      </x:c>
      <x:c r="AA383" s="38" t="n">
        <x:v>18</x:v>
      </x:c>
      <x:c r="AB383" s="38" t="n">
        <x:v>3</x:v>
      </x:c>
      <x:c r="AC383" s="38" t="n">
        <x:v>3209</x:v>
      </x:c>
      <x:c r="AD383" s="38" t="n">
        <x:v>0</x:v>
      </x:c>
      <x:c r="AE383" s="38" t="n">
        <x:f>IF(B383=1,0,F383-Q382)</x:f>
        <x:v>0</x:v>
      </x:c>
    </x:row>
    <x:row r="384" ht="27" customHeight="1">
      <x:c r="A384" s="28" t="str">
        <x:v>Decorator F2P</x:v>
      </x:c>
      <x:c r="B384" s="38" t="n">
        <x:v>20</x:v>
      </x:c>
      <x:c r="C384" s="38" t="n">
        <x:v>17</x:v>
      </x:c>
      <x:c r="D384" s="38" t="n">
        <x:v>68041</x:v>
      </x:c>
      <x:c r="E384" s="38" t="n">
        <x:v>45</x:v>
      </x:c>
      <x:c r="F384" s="38" t="n">
        <x:v>86745</x:v>
      </x:c>
      <x:c r="G384" s="38" t="n">
        <x:v>30785</x:v>
      </x:c>
      <x:c r="H384" s="38" t="n">
        <x:v>5963</x:v>
      </x:c>
      <x:c r="I384" s="38" t="n">
        <x:v>1393</x:v>
      </x:c>
      <x:c r="J384" s="38" t="n">
        <x:v>0</x:v>
      </x:c>
      <x:c r="K384" s="38" t="n">
        <x:v>0</x:v>
      </x:c>
      <x:c r="L384" s="38" t="n">
        <x:v>0</x:v>
      </x:c>
      <x:c r="M384" s="38" t="n">
        <x:v>0</x:v>
      </x:c>
      <x:c r="N384" s="38" t="n">
        <x:v>2180</x:v>
      </x:c>
      <x:c r="O384" s="38" t="n">
        <x:v>0</x:v>
      </x:c>
      <x:c r="P384" s="38" t="n">
        <x:f>F384+G384-H384+I384+J384+K384+L384-M384-N384-O384</x:f>
        <x:v>110780</x:v>
      </x:c>
      <x:c r="Q384" s="38" t="n">
        <x:v>110780</x:v>
      </x:c>
      <x:c r="R384" s="38" t="n">
        <x:f>P384-Q384</x:f>
        <x:v>0</x:v>
      </x:c>
      <x:c r="S384" s="38" t="n">
        <x:v>24628</x:v>
      </x:c>
      <x:c r="T384" s="38" t="n">
        <x:v>4913</x:v>
      </x:c>
      <x:c r="U384" s="38" t="n">
        <x:v>26</x:v>
      </x:c>
      <x:c r="V384" s="38" t="n">
        <x:v>0</x:v>
      </x:c>
      <x:c r="W384" s="38" t="n">
        <x:v>0</x:v>
      </x:c>
      <x:c r="X384" s="44" t="n">
        <x:v>0</x:v>
      </x:c>
      <x:c r="Y384" s="38" t="n">
        <x:v>89</x:v>
      </x:c>
      <x:c r="Z384" s="38" t="n">
        <x:v>19</x:v>
      </x:c>
      <x:c r="AA384" s="38" t="n">
        <x:v>19</x:v>
      </x:c>
      <x:c r="AB384" s="38" t="n">
        <x:v>3</x:v>
      </x:c>
      <x:c r="AC384" s="38" t="n">
        <x:v>3015</x:v>
      </x:c>
      <x:c r="AD384" s="38" t="n">
        <x:v>0</x:v>
      </x:c>
      <x:c r="AE384" s="38" t="n">
        <x:f>IF(B384=1,0,F384-Q383)</x:f>
        <x:v>0</x:v>
      </x:c>
    </x:row>
    <x:row r="385" ht="27" customHeight="1">
      <x:c r="A385" s="28" t="str">
        <x:v>Decorator F2P</x:v>
      </x:c>
      <x:c r="B385" s="38" t="n">
        <x:v>21</x:v>
      </x:c>
      <x:c r="C385" s="38" t="n">
        <x:v>18</x:v>
      </x:c>
      <x:c r="D385" s="38" t="n">
        <x:v>75020</x:v>
      </x:c>
      <x:c r="E385" s="38" t="n">
        <x:v>50</x:v>
      </x:c>
      <x:c r="F385" s="38" t="n">
        <x:v>110780</x:v>
      </x:c>
      <x:c r="G385" s="38" t="n">
        <x:v>31948</x:v>
      </x:c>
      <x:c r="H385" s="38" t="n">
        <x:v>6836</x:v>
      </x:c>
      <x:c r="I385" s="38" t="n">
        <x:v>6528</x:v>
      </x:c>
      <x:c r="J385" s="38" t="n">
        <x:v>395</x:v>
      </x:c>
      <x:c r="K385" s="38" t="n">
        <x:v>0</x:v>
      </x:c>
      <x:c r="L385" s="38" t="n">
        <x:v>0</x:v>
      </x:c>
      <x:c r="M385" s="38" t="n">
        <x:v>105000</x:v>
      </x:c>
      <x:c r="N385" s="38" t="n">
        <x:v>2180</x:v>
      </x:c>
      <x:c r="O385" s="38" t="n">
        <x:v>0</x:v>
      </x:c>
      <x:c r="P385" s="38" t="n">
        <x:f>F385+G385-H385+I385+J385+K385+L385-M385-N385-O385</x:f>
        <x:v>35635</x:v>
      </x:c>
      <x:c r="Q385" s="38" t="n">
        <x:v>35635</x:v>
      </x:c>
      <x:c r="R385" s="38" t="n">
        <x:f>P385-Q385</x:f>
        <x:v>0</x:v>
      </x:c>
      <x:c r="S385" s="38" t="n">
        <x:v>25547</x:v>
      </x:c>
      <x:c r="T385" s="38" t="n">
        <x:v>6979</x:v>
      </x:c>
      <x:c r="U385" s="38" t="n">
        <x:v>31</x:v>
      </x:c>
      <x:c r="V385" s="38" t="n">
        <x:v>5</x:v>
      </x:c>
      <x:c r="W385" s="38" t="n">
        <x:v>0</x:v>
      </x:c>
      <x:c r="X385" s="44" t="n">
        <x:v>0</x:v>
      </x:c>
      <x:c r="Y385" s="38" t="n">
        <x:v>95</x:v>
      </x:c>
      <x:c r="Z385" s="38" t="n">
        <x:v>20</x:v>
      </x:c>
      <x:c r="AA385" s="38" t="n">
        <x:v>20</x:v>
      </x:c>
      <x:c r="AB385" s="38" t="n">
        <x:v>3</x:v>
      </x:c>
      <x:c r="AC385" s="38" t="n">
        <x:v>3450</x:v>
      </x:c>
      <x:c r="AD385" s="38" t="n">
        <x:v>0</x:v>
      </x:c>
      <x:c r="AE385" s="38" t="n">
        <x:f>IF(B385=1,0,F385-Q384)</x:f>
        <x:v>0</x:v>
      </x:c>
    </x:row>
    <x:row r="386" ht="27" customHeight="1">
      <x:c r="A386" s="28" t="str">
        <x:v>Decorator F2P</x:v>
      </x:c>
      <x:c r="B386" s="38" t="n">
        <x:v>22</x:v>
      </x:c>
      <x:c r="C386" s="38" t="n">
        <x:v>18</x:v>
      </x:c>
      <x:c r="D386" s="38" t="n">
        <x:v>80482</x:v>
      </x:c>
      <x:c r="E386" s="38" t="n">
        <x:v>50</x:v>
      </x:c>
      <x:c r="F386" s="38" t="n">
        <x:v>35635</x:v>
      </x:c>
      <x:c r="G386" s="38" t="n">
        <x:v>34400</x:v>
      </x:c>
      <x:c r="H386" s="38" t="n">
        <x:v>6900</x:v>
      </x:c>
      <x:c r="I386" s="38" t="n">
        <x:v>1589</x:v>
      </x:c>
      <x:c r="J386" s="38" t="n">
        <x:v>0</x:v>
      </x:c>
      <x:c r="K386" s="38" t="n">
        <x:v>0</x:v>
      </x:c>
      <x:c r="L386" s="38" t="n">
        <x:v>0</x:v>
      </x:c>
      <x:c r="M386" s="38" t="n">
        <x:v>0</x:v>
      </x:c>
      <x:c r="N386" s="38" t="n">
        <x:v>1200</x:v>
      </x:c>
      <x:c r="O386" s="38" t="n">
        <x:v>0</x:v>
      </x:c>
      <x:c r="P386" s="38" t="n">
        <x:f>F386+G386-H386+I386+J386+K386+L386-M386-N386-O386</x:f>
        <x:v>63524</x:v>
      </x:c>
      <x:c r="Q386" s="38" t="n">
        <x:v>63524</x:v>
      </x:c>
      <x:c r="R386" s="38" t="n">
        <x:f>P386-Q386</x:f>
        <x:v>0</x:v>
      </x:c>
      <x:c r="S386" s="38" t="n">
        <x:v>27500</x:v>
      </x:c>
      <x:c r="T386" s="38" t="n">
        <x:v>5462</x:v>
      </x:c>
      <x:c r="U386" s="38" t="n">
        <x:v>35</x:v>
      </x:c>
      <x:c r="V386" s="38" t="n">
        <x:v>4</x:v>
      </x:c>
      <x:c r="W386" s="38" t="n">
        <x:v>0</x:v>
      </x:c>
      <x:c r="X386" s="44" t="n">
        <x:v>0</x:v>
      </x:c>
      <x:c r="Y386" s="38" t="n">
        <x:v>100</x:v>
      </x:c>
      <x:c r="Z386" s="38" t="n">
        <x:v>20</x:v>
      </x:c>
      <x:c r="AA386" s="38" t="n">
        <x:v>21</x:v>
      </x:c>
      <x:c r="AB386" s="38" t="n">
        <x:v>3</x:v>
      </x:c>
      <x:c r="AC386" s="38" t="n">
        <x:v>3450</x:v>
      </x:c>
      <x:c r="AD386" s="38" t="n">
        <x:v>0</x:v>
      </x:c>
      <x:c r="AE386" s="38" t="n">
        <x:f>IF(B386=1,0,F386-Q385)</x:f>
        <x:v>0</x:v>
      </x:c>
    </x:row>
    <x:row r="387" ht="27" customHeight="1">
      <x:c r="A387" s="28" t="str">
        <x:v>Decorator F2P</x:v>
      </x:c>
      <x:c r="B387" s="38" t="n">
        <x:v>23</x:v>
      </x:c>
      <x:c r="C387" s="38" t="n">
        <x:v>19</x:v>
      </x:c>
      <x:c r="D387" s="38" t="n">
        <x:v>85944</x:v>
      </x:c>
      <x:c r="E387" s="38" t="n">
        <x:v>50</x:v>
      </x:c>
      <x:c r="F387" s="38" t="n">
        <x:v>63524</x:v>
      </x:c>
      <x:c r="G387" s="38" t="n">
        <x:v>34850</x:v>
      </x:c>
      <x:c r="H387" s="38" t="n">
        <x:v>7100</x:v>
      </x:c>
      <x:c r="I387" s="38" t="n">
        <x:v>1589</x:v>
      </x:c>
      <x:c r="J387" s="38" t="n">
        <x:v>405</x:v>
      </x:c>
      <x:c r="K387" s="38" t="n">
        <x:v>0</x:v>
      </x:c>
      <x:c r="L387" s="38" t="n">
        <x:v>0</x:v>
      </x:c>
      <x:c r="M387" s="38" t="n">
        <x:v>0</x:v>
      </x:c>
      <x:c r="N387" s="38" t="n">
        <x:v>2710</x:v>
      </x:c>
      <x:c r="O387" s="38" t="n">
        <x:v>0</x:v>
      </x:c>
      <x:c r="P387" s="38" t="n">
        <x:f>F387+G387-H387+I387+J387+K387+L387-M387-N387-O387</x:f>
        <x:v>90558</x:v>
      </x:c>
      <x:c r="Q387" s="38" t="n">
        <x:v>90558</x:v>
      </x:c>
      <x:c r="R387" s="38" t="n">
        <x:f>P387-Q387</x:f>
        <x:v>0</x:v>
      </x:c>
      <x:c r="S387" s="38" t="n">
        <x:v>27850</x:v>
      </x:c>
      <x:c r="T387" s="38" t="n">
        <x:v>5462</x:v>
      </x:c>
      <x:c r="U387" s="38" t="n">
        <x:v>35</x:v>
      </x:c>
      <x:c r="V387" s="38" t="n">
        <x:v>0</x:v>
      </x:c>
      <x:c r="W387" s="38" t="n">
        <x:v>0</x:v>
      </x:c>
      <x:c r="X387" s="44" t="n">
        <x:v>0</x:v>
      </x:c>
      <x:c r="Y387" s="38" t="n">
        <x:v>100</x:v>
      </x:c>
      <x:c r="Z387" s="38" t="n">
        <x:v>21</x:v>
      </x:c>
      <x:c r="AA387" s="38" t="n">
        <x:v>22</x:v>
      </x:c>
      <x:c r="AB387" s="38" t="n">
        <x:v>3</x:v>
      </x:c>
      <x:c r="AC387" s="38" t="n">
        <x:v>3550</x:v>
      </x:c>
      <x:c r="AD387" s="38" t="n">
        <x:v>0</x:v>
      </x:c>
      <x:c r="AE387" s="38" t="n">
        <x:f>IF(B387=1,0,F387-Q386)</x:f>
        <x:v>0</x:v>
      </x:c>
    </x:row>
    <x:row r="388" ht="27" customHeight="1">
      <x:c r="A388" s="28" t="str">
        <x:v>Decorator F2P</x:v>
      </x:c>
      <x:c r="B388" s="38" t="n">
        <x:v>24</x:v>
      </x:c>
      <x:c r="C388" s="38" t="n">
        <x:v>19</x:v>
      </x:c>
      <x:c r="D388" s="38" t="n">
        <x:v>91410</x:v>
      </x:c>
      <x:c r="E388" s="38" t="n">
        <x:v>50</x:v>
      </x:c>
      <x:c r="F388" s="38" t="n">
        <x:v>90558</x:v>
      </x:c>
      <x:c r="G388" s="38" t="n">
        <x:v>35300</x:v>
      </x:c>
      <x:c r="H388" s="38" t="n">
        <x:v>7100</x:v>
      </x:c>
      <x:c r="I388" s="38" t="n">
        <x:v>1629</x:v>
      </x:c>
      <x:c r="J388" s="38" t="n">
        <x:v>0</x:v>
      </x:c>
      <x:c r="K388" s="38" t="n">
        <x:v>0</x:v>
      </x:c>
      <x:c r="L388" s="38" t="n">
        <x:v>0</x:v>
      </x:c>
      <x:c r="M388" s="38" t="n">
        <x:v>0</x:v>
      </x:c>
      <x:c r="N388" s="38" t="n">
        <x:v>1490</x:v>
      </x:c>
      <x:c r="O388" s="38" t="n">
        <x:v>0</x:v>
      </x:c>
      <x:c r="P388" s="38" t="n">
        <x:f>F388+G388-H388+I388+J388+K388+L388-M388-N388-O388</x:f>
        <x:v>118897</x:v>
      </x:c>
      <x:c r="Q388" s="38" t="n">
        <x:v>118897</x:v>
      </x:c>
      <x:c r="R388" s="38" t="n">
        <x:f>P388-Q388</x:f>
        <x:v>0</x:v>
      </x:c>
      <x:c r="S388" s="38" t="n">
        <x:v>28200</x:v>
      </x:c>
      <x:c r="T388" s="38" t="n">
        <x:v>5466</x:v>
      </x:c>
      <x:c r="U388" s="38" t="n">
        <x:v>35</x:v>
      </x:c>
      <x:c r="V388" s="38" t="n">
        <x:v>0</x:v>
      </x:c>
      <x:c r="W388" s="38" t="n">
        <x:v>0</x:v>
      </x:c>
      <x:c r="X388" s="44" t="n">
        <x:v>0</x:v>
      </x:c>
      <x:c r="Y388" s="38" t="n">
        <x:v>100</x:v>
      </x:c>
      <x:c r="Z388" s="38" t="n">
        <x:v>21</x:v>
      </x:c>
      <x:c r="AA388" s="38" t="n">
        <x:v>23</x:v>
      </x:c>
      <x:c r="AB388" s="38" t="n">
        <x:v>3</x:v>
      </x:c>
      <x:c r="AC388" s="38" t="n">
        <x:v>3550</x:v>
      </x:c>
      <x:c r="AD388" s="38" t="n">
        <x:v>0</x:v>
      </x:c>
      <x:c r="AE388" s="38" t="n">
        <x:f>IF(B388=1,0,F388-Q387)</x:f>
        <x:v>0</x:v>
      </x:c>
    </x:row>
    <x:row r="389" ht="27" customHeight="1">
      <x:c r="A389" s="28" t="str">
        <x:v>Decorator F2P</x:v>
      </x:c>
      <x:c r="B389" s="38" t="n">
        <x:v>25</x:v>
      </x:c>
      <x:c r="C389" s="38" t="n">
        <x:v>19</x:v>
      </x:c>
      <x:c r="D389" s="38" t="n">
        <x:v>96876</x:v>
      </x:c>
      <x:c r="E389" s="38" t="n">
        <x:v>50</x:v>
      </x:c>
      <x:c r="F389" s="38" t="n">
        <x:v>118897</x:v>
      </x:c>
      <x:c r="G389" s="38" t="n">
        <x:v>35300</x:v>
      </x:c>
      <x:c r="H389" s="38" t="n">
        <x:v>7100</x:v>
      </x:c>
      <x:c r="I389" s="38" t="n">
        <x:v>1629</x:v>
      </x:c>
      <x:c r="J389" s="38" t="n">
        <x:v>0</x:v>
      </x:c>
      <x:c r="K389" s="38" t="n">
        <x:v>0</x:v>
      </x:c>
      <x:c r="L389" s="38" t="n">
        <x:v>0</x:v>
      </x:c>
      <x:c r="M389" s="38" t="n">
        <x:v>0</x:v>
      </x:c>
      <x:c r="N389" s="38" t="n">
        <x:v>2870</x:v>
      </x:c>
      <x:c r="O389" s="38" t="n">
        <x:v>0</x:v>
      </x:c>
      <x:c r="P389" s="38" t="n">
        <x:f>F389+G389-H389+I389+J389+K389+L389-M389-N389-O389</x:f>
        <x:v>145856</x:v>
      </x:c>
      <x:c r="Q389" s="38" t="n">
        <x:v>145856</x:v>
      </x:c>
      <x:c r="R389" s="38" t="n">
        <x:f>P389-Q389</x:f>
        <x:v>0</x:v>
      </x:c>
      <x:c r="S389" s="38" t="n">
        <x:v>28200</x:v>
      </x:c>
      <x:c r="T389" s="38" t="n">
        <x:v>5466</x:v>
      </x:c>
      <x:c r="U389" s="38" t="n">
        <x:v>35</x:v>
      </x:c>
      <x:c r="V389" s="38" t="n">
        <x:v>0</x:v>
      </x:c>
      <x:c r="W389" s="38" t="n">
        <x:v>0</x:v>
      </x:c>
      <x:c r="X389" s="44" t="n">
        <x:v>0</x:v>
      </x:c>
      <x:c r="Y389" s="38" t="n">
        <x:v>100</x:v>
      </x:c>
      <x:c r="Z389" s="38" t="n">
        <x:v>21</x:v>
      </x:c>
      <x:c r="AA389" s="38" t="n">
        <x:v>24</x:v>
      </x:c>
      <x:c r="AB389" s="38" t="n">
        <x:v>3</x:v>
      </x:c>
      <x:c r="AC389" s="38" t="n">
        <x:v>3550</x:v>
      </x:c>
      <x:c r="AD389" s="38" t="n">
        <x:v>0</x:v>
      </x:c>
      <x:c r="AE389" s="38" t="n">
        <x:f>IF(B389=1,0,F389-Q388)</x:f>
        <x:v>0</x:v>
      </x:c>
    </x:row>
    <x:row r="390" ht="27" customHeight="1">
      <x:c r="A390" s="28" t="str">
        <x:v>Decorator F2P</x:v>
      </x:c>
      <x:c r="B390" s="38" t="n">
        <x:v>26</x:v>
      </x:c>
      <x:c r="C390" s="38" t="n">
        <x:v>20</x:v>
      </x:c>
      <x:c r="D390" s="38" t="n">
        <x:v>102342</x:v>
      </x:c>
      <x:c r="E390" s="38" t="n">
        <x:v>50</x:v>
      </x:c>
      <x:c r="F390" s="38" t="n">
        <x:v>145856</x:v>
      </x:c>
      <x:c r="G390" s="38" t="n">
        <x:v>35339</x:v>
      </x:c>
      <x:c r="H390" s="38" t="n">
        <x:v>7195</x:v>
      </x:c>
      <x:c r="I390" s="38" t="n">
        <x:v>1629</x:v>
      </x:c>
      <x:c r="J390" s="38" t="n">
        <x:v>415</x:v>
      </x:c>
      <x:c r="K390" s="38" t="n">
        <x:v>0</x:v>
      </x:c>
      <x:c r="L390" s="38" t="n">
        <x:v>0</x:v>
      </x:c>
      <x:c r="M390" s="38" t="n">
        <x:v>0</x:v>
      </x:c>
      <x:c r="N390" s="38" t="n">
        <x:v>1575</x:v>
      </x:c>
      <x:c r="O390" s="38" t="n">
        <x:v>41740</x:v>
      </x:c>
      <x:c r="P390" s="38" t="n">
        <x:f>F390+G390-H390+I390+J390+K390+L390-M390-N390-O390</x:f>
        <x:v>132729</x:v>
      </x:c>
      <x:c r="Q390" s="38" t="n">
        <x:v>132729</x:v>
      </x:c>
      <x:c r="R390" s="38" t="n">
        <x:f>P390-Q390</x:f>
        <x:v>0</x:v>
      </x:c>
      <x:c r="S390" s="38" t="n">
        <x:v>28261</x:v>
      </x:c>
      <x:c r="T390" s="38" t="n">
        <x:v>5466</x:v>
      </x:c>
      <x:c r="U390" s="38" t="n">
        <x:v>38</x:v>
      </x:c>
      <x:c r="V390" s="38" t="n">
        <x:v>3</x:v>
      </x:c>
      <x:c r="W390" s="38" t="n">
        <x:v>0</x:v>
      </x:c>
      <x:c r="X390" s="44" t="n">
        <x:v>0</x:v>
      </x:c>
      <x:c r="Y390" s="38" t="n">
        <x:v>99</x:v>
      </x:c>
      <x:c r="Z390" s="38" t="n">
        <x:v>21</x:v>
      </x:c>
      <x:c r="AA390" s="38" t="n">
        <x:v>25</x:v>
      </x:c>
      <x:c r="AB390" s="38" t="n">
        <x:v>4</x:v>
      </x:c>
      <x:c r="AC390" s="38" t="n">
        <x:v>3667</x:v>
      </x:c>
      <x:c r="AD390" s="38" t="n">
        <x:v>0</x:v>
      </x:c>
      <x:c r="AE390" s="38" t="n">
        <x:f>IF(B390=1,0,F390-Q389)</x:f>
        <x:v>0</x:v>
      </x:c>
    </x:row>
    <x:row r="391" ht="27" customHeight="1">
      <x:c r="A391" s="28" t="str">
        <x:v>Decorator F2P</x:v>
      </x:c>
      <x:c r="B391" s="38" t="n">
        <x:v>27</x:v>
      </x:c>
      <x:c r="C391" s="38" t="n">
        <x:v>20</x:v>
      </x:c>
      <x:c r="D391" s="38" t="n">
        <x:v>107958</x:v>
      </x:c>
      <x:c r="E391" s="38" t="n">
        <x:v>50</x:v>
      </x:c>
      <x:c r="F391" s="38" t="n">
        <x:v>132729</x:v>
      </x:c>
      <x:c r="G391" s="38" t="n">
        <x:v>36435</x:v>
      </x:c>
      <x:c r="H391" s="38" t="n">
        <x:v>7200</x:v>
      </x:c>
      <x:c r="I391" s="38" t="n">
        <x:v>1670</x:v>
      </x:c>
      <x:c r="J391" s="38" t="n">
        <x:v>0</x:v>
      </x:c>
      <x:c r="K391" s="38" t="n">
        <x:v>0</x:v>
      </x:c>
      <x:c r="L391" s="38" t="n">
        <x:v>0</x:v>
      </x:c>
      <x:c r="M391" s="38" t="n">
        <x:v>0</x:v>
      </x:c>
      <x:c r="N391" s="38" t="n">
        <x:v>3900</x:v>
      </x:c>
      <x:c r="O391" s="38" t="n">
        <x:v>0</x:v>
      </x:c>
      <x:c r="P391" s="38" t="n">
        <x:f>F391+G391-H391+I391+J391+K391+L391-M391-N391-O391</x:f>
        <x:v>159734</x:v>
      </x:c>
      <x:c r="Q391" s="38" t="n">
        <x:v>159734</x:v>
      </x:c>
      <x:c r="R391" s="38" t="n">
        <x:f>P391-Q391</x:f>
        <x:v>0</x:v>
      </x:c>
      <x:c r="S391" s="38" t="n">
        <x:v>29168</x:v>
      </x:c>
      <x:c r="T391" s="38" t="n">
        <x:v>5616</x:v>
      </x:c>
      <x:c r="U391" s="38" t="n">
        <x:v>38</x:v>
      </x:c>
      <x:c r="V391" s="38" t="n">
        <x:v>0</x:v>
      </x:c>
      <x:c r="W391" s="38" t="n">
        <x:v>0</x:v>
      </x:c>
      <x:c r="X391" s="44" t="n">
        <x:v>0</x:v>
      </x:c>
      <x:c r="Y391" s="38" t="n">
        <x:v>100</x:v>
      </x:c>
      <x:c r="Z391" s="38" t="n">
        <x:v>22</x:v>
      </x:c>
      <x:c r="AA391" s="38" t="n">
        <x:v>26</x:v>
      </x:c>
      <x:c r="AB391" s="38" t="n">
        <x:v>4</x:v>
      </x:c>
      <x:c r="AC391" s="38" t="n">
        <x:v>3600</x:v>
      </x:c>
      <x:c r="AD391" s="38" t="n">
        <x:v>0</x:v>
      </x:c>
      <x:c r="AE391" s="38" t="n">
        <x:f>IF(B391=1,0,F391-Q390)</x:f>
        <x:v>0</x:v>
      </x:c>
    </x:row>
    <x:row r="392" ht="27" customHeight="1">
      <x:c r="A392" s="28" t="str">
        <x:v>Decorator F2P</x:v>
      </x:c>
      <x:c r="B392" s="38" t="n">
        <x:v>28</x:v>
      </x:c>
      <x:c r="C392" s="38" t="n">
        <x:v>21</x:v>
      </x:c>
      <x:c r="D392" s="38" t="n">
        <x:v>116337</x:v>
      </x:c>
      <x:c r="E392" s="38" t="n">
        <x:v>50</x:v>
      </x:c>
      <x:c r="F392" s="38" t="n">
        <x:v>159734</x:v>
      </x:c>
      <x:c r="G392" s="38" t="n">
        <x:v>36550</x:v>
      </x:c>
      <x:c r="H392" s="38" t="n">
        <x:v>7400</x:v>
      </x:c>
      <x:c r="I392" s="38" t="n">
        <x:v>9613</x:v>
      </x:c>
      <x:c r="J392" s="38" t="n">
        <x:v>470</x:v>
      </x:c>
      <x:c r="K392" s="38" t="n">
        <x:v>0</x:v>
      </x:c>
      <x:c r="L392" s="38" t="n">
        <x:v>0</x:v>
      </x:c>
      <x:c r="M392" s="38" t="n">
        <x:v>0</x:v>
      </x:c>
      <x:c r="N392" s="38" t="n">
        <x:v>4005</x:v>
      </x:c>
      <x:c r="O392" s="38" t="n">
        <x:v>0</x:v>
      </x:c>
      <x:c r="P392" s="38" t="n">
        <x:f>F392+G392-H392+I392+J392+K392+L392-M392-N392-O392</x:f>
        <x:v>194962</x:v>
      </x:c>
      <x:c r="Q392" s="38" t="n">
        <x:v>194962</x:v>
      </x:c>
      <x:c r="R392" s="38" t="n">
        <x:f>P392-Q392</x:f>
        <x:v>0</x:v>
      </x:c>
      <x:c r="S392" s="38" t="n">
        <x:v>29250</x:v>
      </x:c>
      <x:c r="T392" s="38" t="n">
        <x:v>8379</x:v>
      </x:c>
      <x:c r="U392" s="38" t="n">
        <x:v>40</x:v>
      </x:c>
      <x:c r="V392" s="38" t="n">
        <x:v>2</x:v>
      </x:c>
      <x:c r="W392" s="38" t="n">
        <x:v>0</x:v>
      </x:c>
      <x:c r="X392" s="44" t="n">
        <x:v>0</x:v>
      </x:c>
      <x:c r="Y392" s="38" t="n">
        <x:v>100</x:v>
      </x:c>
      <x:c r="Z392" s="38" t="n">
        <x:v>22</x:v>
      </x:c>
      <x:c r="AA392" s="38" t="n">
        <x:v>27</x:v>
      </x:c>
      <x:c r="AB392" s="38" t="n">
        <x:v>4</x:v>
      </x:c>
      <x:c r="AC392" s="38" t="n">
        <x:v>3700</x:v>
      </x:c>
      <x:c r="AD392" s="38" t="n">
        <x:v>0</x:v>
      </x:c>
      <x:c r="AE392" s="38" t="n">
        <x:f>IF(B392=1,0,F392-Q391)</x:f>
        <x:v>0</x:v>
      </x:c>
    </x:row>
    <x:row r="393" ht="27" customHeight="1">
      <x:c r="A393" s="28" t="str">
        <x:v>Decorator F2P</x:v>
      </x:c>
      <x:c r="B393" s="38" t="n">
        <x:v>29</x:v>
      </x:c>
      <x:c r="C393" s="38" t="n">
        <x:v>21</x:v>
      </x:c>
      <x:c r="D393" s="38" t="n">
        <x:v>122221</x:v>
      </x:c>
      <x:c r="E393" s="38" t="n">
        <x:v>55</x:v>
      </x:c>
      <x:c r="F393" s="38" t="n">
        <x:v>194962</x:v>
      </x:c>
      <x:c r="G393" s="38" t="n">
        <x:v>38850</x:v>
      </x:c>
      <x:c r="H393" s="38" t="n">
        <x:v>8140</x:v>
      </x:c>
      <x:c r="I393" s="38" t="n">
        <x:v>1881</x:v>
      </x:c>
      <x:c r="J393" s="38" t="n">
        <x:v>0</x:v>
      </x:c>
      <x:c r="K393" s="38" t="n">
        <x:v>0</x:v>
      </x:c>
      <x:c r="L393" s="38" t="n">
        <x:v>0</x:v>
      </x:c>
      <x:c r="M393" s="38" t="n">
        <x:v>200000</x:v>
      </x:c>
      <x:c r="N393" s="38" t="n">
        <x:v>4565</x:v>
      </x:c>
      <x:c r="O393" s="38" t="n">
        <x:v>0</x:v>
      </x:c>
      <x:c r="P393" s="38" t="n">
        <x:f>F393+G393-H393+I393+J393+K393+L393-M393-N393-O393</x:f>
        <x:v>22988</x:v>
      </x:c>
      <x:c r="Q393" s="38" t="n">
        <x:v>22988</x:v>
      </x:c>
      <x:c r="R393" s="38" t="n">
        <x:f>P393-Q393</x:f>
        <x:v>0</x:v>
      </x:c>
      <x:c r="S393" s="38" t="n">
        <x:v>31080</x:v>
      </x:c>
      <x:c r="T393" s="38" t="n">
        <x:v>5884</x:v>
      </x:c>
      <x:c r="U393" s="38" t="n">
        <x:v>40</x:v>
      </x:c>
      <x:c r="V393" s="38" t="n">
        <x:v>0</x:v>
      </x:c>
      <x:c r="W393" s="38" t="n">
        <x:v>0</x:v>
      </x:c>
      <x:c r="X393" s="44" t="n">
        <x:v>0</x:v>
      </x:c>
      <x:c r="Y393" s="38" t="n">
        <x:v>105</x:v>
      </x:c>
      <x:c r="Z393" s="38" t="n">
        <x:v>22</x:v>
      </x:c>
      <x:c r="AA393" s="38" t="n">
        <x:v>28</x:v>
      </x:c>
      <x:c r="AB393" s="38" t="n">
        <x:v>4</x:v>
      </x:c>
      <x:c r="AC393" s="38" t="n">
        <x:v>4070</x:v>
      </x:c>
      <x:c r="AD393" s="38" t="n">
        <x:v>0</x:v>
      </x:c>
      <x:c r="AE393" s="38" t="n">
        <x:f>IF(B393=1,0,F393-Q392)</x:f>
        <x:v>0</x:v>
      </x:c>
    </x:row>
    <x:row r="394" ht="27" customHeight="1">
      <x:c r="A394" s="28" t="str">
        <x:v>Decorator F2P</x:v>
      </x:c>
      <x:c r="B394" s="38" t="n">
        <x:v>30</x:v>
      </x:c>
      <x:c r="C394" s="38" t="n">
        <x:v>22</x:v>
      </x:c>
      <x:c r="D394" s="38" t="n">
        <x:v>128305</x:v>
      </x:c>
      <x:c r="E394" s="38" t="n">
        <x:v>55</x:v>
      </x:c>
      <x:c r="F394" s="38" t="n">
        <x:v>22988</x:v>
      </x:c>
      <x:c r="G394" s="38" t="n">
        <x:v>40816</x:v>
      </x:c>
      <x:c r="H394" s="38" t="n">
        <x:v>8369</x:v>
      </x:c>
      <x:c r="I394" s="38" t="n">
        <x:v>1881</x:v>
      </x:c>
      <x:c r="J394" s="38" t="n">
        <x:v>480</x:v>
      </x:c>
      <x:c r="K394" s="38" t="n">
        <x:v>0</x:v>
      </x:c>
      <x:c r="L394" s="38" t="n">
        <x:v>0</x:v>
      </x:c>
      <x:c r="M394" s="38" t="n">
        <x:v>0</x:v>
      </x:c>
      <x:c r="N394" s="38" t="n">
        <x:v>7940</x:v>
      </x:c>
      <x:c r="O394" s="38" t="n">
        <x:v>0</x:v>
      </x:c>
      <x:c r="P394" s="38" t="n">
        <x:f>F394+G394-H394+I394+J394+K394+L394-M394-N394-O394</x:f>
        <x:v>49856</x:v>
      </x:c>
      <x:c r="Q394" s="38" t="n">
        <x:v>49856</x:v>
      </x:c>
      <x:c r="R394" s="38" t="n">
        <x:f>P394-Q394</x:f>
        <x:v>0</x:v>
      </x:c>
      <x:c r="S394" s="38" t="n">
        <x:v>32642</x:v>
      </x:c>
      <x:c r="T394" s="38" t="n">
        <x:v>6084</x:v>
      </x:c>
      <x:c r="U394" s="38" t="n">
        <x:v>41</x:v>
      </x:c>
      <x:c r="V394" s="38" t="n">
        <x:v>1</x:v>
      </x:c>
      <x:c r="W394" s="38" t="n">
        <x:v>0</x:v>
      </x:c>
      <x:c r="X394" s="44" t="n">
        <x:v>0</x:v>
      </x:c>
      <x:c r="Y394" s="38" t="n">
        <x:v>109</x:v>
      </x:c>
      <x:c r="Z394" s="38" t="n">
        <x:v>22</x:v>
      </x:c>
      <x:c r="AA394" s="38" t="n">
        <x:v>29</x:v>
      </x:c>
      <x:c r="AB394" s="38" t="n">
        <x:v>4</x:v>
      </x:c>
      <x:c r="AC394" s="38" t="n">
        <x:v>4265</x:v>
      </x:c>
      <x:c r="AD394" s="38" t="n">
        <x:v>0</x:v>
      </x:c>
      <x:c r="AE394" s="38" t="n">
        <x:f>IF(B394=1,0,F394-Q393)</x:f>
        <x:v>0</x:v>
      </x:c>
    </x:row>
    <x:row r="395" ht="27" customHeight="1">
      <x:c r="A395" s="28" t="str">
        <x:v>Decorator F2P</x:v>
      </x:c>
      <x:c r="B395" s="38" t="n">
        <x:v>31</x:v>
      </x:c>
      <x:c r="C395" s="38" t="n">
        <x:v>22</x:v>
      </x:c>
      <x:c r="D395" s="38" t="n">
        <x:v>134481</x:v>
      </x:c>
      <x:c r="E395" s="38" t="n">
        <x:v>55</x:v>
      </x:c>
      <x:c r="F395" s="38" t="n">
        <x:v>49856</x:v>
      </x:c>
      <x:c r="G395" s="38" t="n">
        <x:v>42114</x:v>
      </x:c>
      <x:c r="H395" s="38" t="n">
        <x:v>8360</x:v>
      </x:c>
      <x:c r="I395" s="38" t="n">
        <x:v>1926</x:v>
      </x:c>
      <x:c r="J395" s="38" t="n">
        <x:v>0</x:v>
      </x:c>
      <x:c r="K395" s="38" t="n">
        <x:v>0</x:v>
      </x:c>
      <x:c r="L395" s="38" t="n">
        <x:v>0</x:v>
      </x:c>
      <x:c r="M395" s="38" t="n">
        <x:v>0</x:v>
      </x:c>
      <x:c r="N395" s="38" t="n">
        <x:v>4340</x:v>
      </x:c>
      <x:c r="O395" s="38" t="n">
        <x:v>0</x:v>
      </x:c>
      <x:c r="P395" s="38" t="n">
        <x:f>F395+G395-H395+I395+J395+K395+L395-M395-N395-O395</x:f>
        <x:v>81196</x:v>
      </x:c>
      <x:c r="Q395" s="38" t="n">
        <x:v>81196</x:v>
      </x:c>
      <x:c r="R395" s="38" t="n">
        <x:f>P395-Q395</x:f>
        <x:v>0</x:v>
      </x:c>
      <x:c r="S395" s="38" t="n">
        <x:v>33669</x:v>
      </x:c>
      <x:c r="T395" s="38" t="n">
        <x:v>6176</x:v>
      </x:c>
      <x:c r="U395" s="38" t="n">
        <x:v>41</x:v>
      </x:c>
      <x:c r="V395" s="38" t="n">
        <x:v>0</x:v>
      </x:c>
      <x:c r="W395" s="38" t="n">
        <x:v>0</x:v>
      </x:c>
      <x:c r="X395" s="44" t="n">
        <x:v>0</x:v>
      </x:c>
      <x:c r="Y395" s="38" t="n">
        <x:v>110</x:v>
      </x:c>
      <x:c r="Z395" s="38" t="n">
        <x:v>23</x:v>
      </x:c>
      <x:c r="AA395" s="38" t="n">
        <x:v>30</x:v>
      </x:c>
      <x:c r="AB395" s="38" t="n">
        <x:v>4</x:v>
      </x:c>
      <x:c r="AC395" s="38" t="n">
        <x:v>4180</x:v>
      </x:c>
      <x:c r="AD395" s="38" t="n">
        <x:v>0</x:v>
      </x:c>
      <x:c r="AE395" s="38" t="n">
        <x:f>IF(B395=1,0,F395-Q394)</x:f>
        <x:v>0</x:v>
      </x:c>
    </x:row>
    <x:row r="396" ht="27" customHeight="1">
      <x:c r="A396" s="28" t="str">
        <x:v>Decorator F2P</x:v>
      </x:c>
      <x:c r="B396" s="38" t="n">
        <x:v>32</x:v>
      </x:c>
      <x:c r="C396" s="38" t="n">
        <x:v>23</x:v>
      </x:c>
      <x:c r="D396" s="38" t="n">
        <x:v>140620</x:v>
      </x:c>
      <x:c r="E396" s="38" t="n">
        <x:v>55</x:v>
      </x:c>
      <x:c r="F396" s="38" t="n">
        <x:v>81196</x:v>
      </x:c>
      <x:c r="G396" s="38" t="n">
        <x:v>41690</x:v>
      </x:c>
      <x:c r="H396" s="38" t="n">
        <x:v>8541</x:v>
      </x:c>
      <x:c r="I396" s="38" t="n">
        <x:v>1926</x:v>
      </x:c>
      <x:c r="J396" s="38" t="n">
        <x:v>495</x:v>
      </x:c>
      <x:c r="K396" s="38" t="n">
        <x:v>0</x:v>
      </x:c>
      <x:c r="L396" s="38" t="n">
        <x:v>0</x:v>
      </x:c>
      <x:c r="M396" s="38" t="n">
        <x:v>0</x:v>
      </x:c>
      <x:c r="N396" s="38" t="n">
        <x:v>9170</x:v>
      </x:c>
      <x:c r="O396" s="38" t="n">
        <x:v>0</x:v>
      </x:c>
      <x:c r="P396" s="38" t="n">
        <x:f>F396+G396-H396+I396+J396+K396+L396-M396-N396-O396</x:f>
        <x:v>107596</x:v>
      </x:c>
      <x:c r="Q396" s="38" t="n">
        <x:v>107596</x:v>
      </x:c>
      <x:c r="R396" s="38" t="n">
        <x:f>P396-Q396</x:f>
        <x:v>0</x:v>
      </x:c>
      <x:c r="S396" s="38" t="n">
        <x:v>33330</x:v>
      </x:c>
      <x:c r="T396" s="38" t="n">
        <x:v>6139</x:v>
      </x:c>
      <x:c r="U396" s="38" t="n">
        <x:v>41</x:v>
      </x:c>
      <x:c r="V396" s="38" t="n">
        <x:v>0</x:v>
      </x:c>
      <x:c r="W396" s="38" t="n">
        <x:v>0</x:v>
      </x:c>
      <x:c r="X396" s="44" t="n">
        <x:v>0</x:v>
      </x:c>
      <x:c r="Y396" s="38" t="n">
        <x:v>110</x:v>
      </x:c>
      <x:c r="Z396" s="38" t="n">
        <x:v>23</x:v>
      </x:c>
      <x:c r="AA396" s="38" t="n">
        <x:v>31</x:v>
      </x:c>
      <x:c r="AB396" s="38" t="n">
        <x:v>4</x:v>
      </x:c>
      <x:c r="AC396" s="38" t="n">
        <x:v>4361</x:v>
      </x:c>
      <x:c r="AD396" s="38" t="n">
        <x:v>0</x:v>
      </x:c>
      <x:c r="AE396" s="38" t="n">
        <x:f>IF(B396=1,0,F396-Q395)</x:f>
        <x:v>0</x:v>
      </x:c>
    </x:row>
    <x:row r="397" ht="27" customHeight="1">
      <x:c r="A397" s="28" t="str">
        <x:v>Decorator F2P</x:v>
      </x:c>
      <x:c r="B397" s="38" t="n">
        <x:v>33</x:v>
      </x:c>
      <x:c r="C397" s="38" t="n">
        <x:v>23</x:v>
      </x:c>
      <x:c r="D397" s="38" t="n">
        <x:v>146870</x:v>
      </x:c>
      <x:c r="E397" s="38" t="n">
        <x:v>55</x:v>
      </x:c>
      <x:c r="F397" s="38" t="n">
        <x:v>107596</x:v>
      </x:c>
      <x:c r="G397" s="38" t="n">
        <x:v>42650</x:v>
      </x:c>
      <x:c r="H397" s="38" t="n">
        <x:v>8502</x:v>
      </x:c>
      <x:c r="I397" s="38" t="n">
        <x:v>1970</x:v>
      </x:c>
      <x:c r="J397" s="38" t="n">
        <x:v>0</x:v>
      </x:c>
      <x:c r="K397" s="38" t="n">
        <x:v>0</x:v>
      </x:c>
      <x:c r="L397" s="38" t="n">
        <x:v>0</x:v>
      </x:c>
      <x:c r="M397" s="38" t="n">
        <x:v>0</x:v>
      </x:c>
      <x:c r="N397" s="38" t="n">
        <x:v>5005</x:v>
      </x:c>
      <x:c r="O397" s="38" t="n">
        <x:v>0</x:v>
      </x:c>
      <x:c r="P397" s="38" t="n">
        <x:f>F397+G397-H397+I397+J397+K397+L397-M397-N397-O397</x:f>
        <x:v>138709</x:v>
      </x:c>
      <x:c r="Q397" s="38" t="n">
        <x:v>138709</x:v>
      </x:c>
      <x:c r="R397" s="38" t="n">
        <x:f>P397-Q397</x:f>
        <x:v>0</x:v>
      </x:c>
      <x:c r="S397" s="38" t="n">
        <x:v>34077</x:v>
      </x:c>
      <x:c r="T397" s="38" t="n">
        <x:v>6250</x:v>
      </x:c>
      <x:c r="U397" s="38" t="n">
        <x:v>41</x:v>
      </x:c>
      <x:c r="V397" s="38" t="n">
        <x:v>0</x:v>
      </x:c>
      <x:c r="W397" s="38" t="n">
        <x:v>0</x:v>
      </x:c>
      <x:c r="X397" s="44" t="n">
        <x:v>0</x:v>
      </x:c>
      <x:c r="Y397" s="38" t="n">
        <x:v>109</x:v>
      </x:c>
      <x:c r="Z397" s="38" t="n">
        <x:v>24</x:v>
      </x:c>
      <x:c r="AA397" s="38" t="n">
        <x:v>32</x:v>
      </x:c>
      <x:c r="AB397" s="38" t="n">
        <x:v>4</x:v>
      </x:c>
      <x:c r="AC397" s="38" t="n">
        <x:v>4290</x:v>
      </x:c>
      <x:c r="AD397" s="38" t="n">
        <x:v>0</x:v>
      </x:c>
      <x:c r="AE397" s="38" t="n">
        <x:f>IF(B397=1,0,F397-Q396)</x:f>
        <x:v>0</x:v>
      </x:c>
    </x:row>
    <x:row r="398" ht="27" customHeight="1">
      <x:c r="A398" s="28" t="str">
        <x:v>Decorator F2P</x:v>
      </x:c>
      <x:c r="B398" s="38" t="n">
        <x:v>34</x:v>
      </x:c>
      <x:c r="C398" s="38" t="n">
        <x:v>23</x:v>
      </x:c>
      <x:c r="D398" s="38" t="n">
        <x:v>153124</x:v>
      </x:c>
      <x:c r="E398" s="38" t="n">
        <x:v>55</x:v>
      </x:c>
      <x:c r="F398" s="38" t="n">
        <x:v>138709</x:v>
      </x:c>
      <x:c r="G398" s="38" t="n">
        <x:v>42680</x:v>
      </x:c>
      <x:c r="H398" s="38" t="n">
        <x:v>8580</x:v>
      </x:c>
      <x:c r="I398" s="38" t="n">
        <x:v>1970</x:v>
      </x:c>
      <x:c r="J398" s="38" t="n">
        <x:v>0</x:v>
      </x:c>
      <x:c r="K398" s="38" t="n">
        <x:v>0</x:v>
      </x:c>
      <x:c r="L398" s="38" t="n">
        <x:v>0</x:v>
      </x:c>
      <x:c r="M398" s="38" t="n">
        <x:v>0</x:v>
      </x:c>
      <x:c r="N398" s="38" t="n">
        <x:v>5120</x:v>
      </x:c>
      <x:c r="O398" s="38" t="n">
        <x:v>0</x:v>
      </x:c>
      <x:c r="P398" s="38" t="n">
        <x:f>F398+G398-H398+I398+J398+K398+L398-M398-N398-O398</x:f>
        <x:v>169659</x:v>
      </x:c>
      <x:c r="Q398" s="38" t="n">
        <x:v>169659</x:v>
      </x:c>
      <x:c r="R398" s="38" t="n">
        <x:f>P398-Q398</x:f>
        <x:v>0</x:v>
      </x:c>
      <x:c r="S398" s="38" t="n">
        <x:v>34100</x:v>
      </x:c>
      <x:c r="T398" s="38" t="n">
        <x:v>6254</x:v>
      </x:c>
      <x:c r="U398" s="38" t="n">
        <x:v>41</x:v>
      </x:c>
      <x:c r="V398" s="38" t="n">
        <x:v>0</x:v>
      </x:c>
      <x:c r="W398" s="38" t="n">
        <x:v>0</x:v>
      </x:c>
      <x:c r="X398" s="44" t="n">
        <x:v>0</x:v>
      </x:c>
      <x:c r="Y398" s="38" t="n">
        <x:v>110</x:v>
      </x:c>
      <x:c r="Z398" s="38" t="n">
        <x:v>24</x:v>
      </x:c>
      <x:c r="AA398" s="38" t="n">
        <x:v>33</x:v>
      </x:c>
      <x:c r="AB398" s="38" t="n">
        <x:v>4</x:v>
      </x:c>
      <x:c r="AC398" s="38" t="n">
        <x:v>4290</x:v>
      </x:c>
      <x:c r="AD398" s="38" t="n">
        <x:v>0</x:v>
      </x:c>
      <x:c r="AE398" s="38" t="n">
        <x:f>IF(B398=1,0,F398-Q397)</x:f>
        <x:v>0</x:v>
      </x:c>
    </x:row>
    <x:row r="399" ht="27" customHeight="1">
      <x:c r="A399" s="28" t="str">
        <x:v>Decorator F2P</x:v>
      </x:c>
      <x:c r="B399" s="38" t="n">
        <x:v>35</x:v>
      </x:c>
      <x:c r="C399" s="38" t="n">
        <x:v>24</x:v>
      </x:c>
      <x:c r="D399" s="38" t="n">
        <x:v>162495</x:v>
      </x:c>
      <x:c r="E399" s="38" t="n">
        <x:v>55</x:v>
      </x:c>
      <x:c r="F399" s="38" t="n">
        <x:v>169659</x:v>
      </x:c>
      <x:c r="G399" s="38" t="n">
        <x:v>42724</x:v>
      </x:c>
      <x:c r="H399" s="38" t="n">
        <x:v>8841</x:v>
      </x:c>
      <x:c r="I399" s="38" t="n">
        <x:v>11375</x:v>
      </x:c>
      <x:c r="J399" s="38" t="n">
        <x:v>505</x:v>
      </x:c>
      <x:c r="K399" s="38" t="n">
        <x:v>0</x:v>
      </x:c>
      <x:c r="L399" s="38" t="n">
        <x:v>0</x:v>
      </x:c>
      <x:c r="M399" s="38" t="n">
        <x:v>0</x:v>
      </x:c>
      <x:c r="N399" s="38" t="n">
        <x:v>9820</x:v>
      </x:c>
      <x:c r="O399" s="38" t="n">
        <x:v>0</x:v>
      </x:c>
      <x:c r="P399" s="38" t="n">
        <x:f>F399+G399-H399+I399+J399+K399+L399-M399-N399-O399</x:f>
        <x:v>205602</x:v>
      </x:c>
      <x:c r="Q399" s="38" t="n">
        <x:v>205602</x:v>
      </x:c>
      <x:c r="R399" s="38" t="n">
        <x:f>P399-Q399</x:f>
        <x:v>0</x:v>
      </x:c>
      <x:c r="S399" s="38" t="n">
        <x:v>34168</x:v>
      </x:c>
      <x:c r="T399" s="38" t="n">
        <x:v>9371</x:v>
      </x:c>
      <x:c r="U399" s="38" t="n">
        <x:v>44</x:v>
      </x:c>
      <x:c r="V399" s="38" t="n">
        <x:v>3</x:v>
      </x:c>
      <x:c r="W399" s="38" t="n">
        <x:v>0</x:v>
      </x:c>
      <x:c r="X399" s="44" t="n">
        <x:v>0</x:v>
      </x:c>
      <x:c r="Y399" s="38" t="n">
        <x:v>109</x:v>
      </x:c>
      <x:c r="Z399" s="38" t="n">
        <x:v>24</x:v>
      </x:c>
      <x:c r="AA399" s="38" t="n">
        <x:v>34</x:v>
      </x:c>
      <x:c r="AB399" s="38" t="n">
        <x:v>4</x:v>
      </x:c>
      <x:c r="AC399" s="38" t="n">
        <x:v>4575</x:v>
      </x:c>
      <x:c r="AD399" s="38" t="n">
        <x:v>0</x:v>
      </x:c>
      <x:c r="AE399" s="38" t="n">
        <x:f>IF(B399=1,0,F399-Q398)</x:f>
        <x:v>0</x:v>
      </x:c>
    </x:row>
    <x:row r="400" ht="27" customHeight="1">
      <x:c r="A400" s="28" t="str">
        <x:v>Decorator F2P</x:v>
      </x:c>
      <x:c r="B400" s="38" t="n">
        <x:v>36</x:v>
      </x:c>
      <x:c r="C400" s="38" t="n">
        <x:v>24</x:v>
      </x:c>
      <x:c r="D400" s="38" t="n">
        <x:v>168652</x:v>
      </x:c>
      <x:c r="E400" s="38" t="n">
        <x:v>55</x:v>
      </x:c>
      <x:c r="F400" s="38" t="n">
        <x:v>205602</x:v>
      </x:c>
      <x:c r="G400" s="38" t="n">
        <x:v>42768</x:v>
      </x:c>
      <x:c r="H400" s="38" t="n">
        <x:v>8532</x:v>
      </x:c>
      <x:c r="I400" s="38" t="n">
        <x:v>2015</x:v>
      </x:c>
      <x:c r="J400" s="38" t="n">
        <x:v>0</x:v>
      </x:c>
      <x:c r="K400" s="38" t="n">
        <x:v>0</x:v>
      </x:c>
      <x:c r="L400" s="38" t="n">
        <x:v>0</x:v>
      </x:c>
      <x:c r="M400" s="38" t="n">
        <x:v>0</x:v>
      </x:c>
      <x:c r="N400" s="38" t="n">
        <x:v>0</x:v>
      </x:c>
      <x:c r="O400" s="38" t="n">
        <x:v>0</x:v>
      </x:c>
      <x:c r="P400" s="38" t="n">
        <x:f>F400+G400-H400+I400+J400+K400+L400-M400-N400-O400</x:f>
        <x:v>241853</x:v>
      </x:c>
      <x:c r="Q400" s="38" t="n">
        <x:v>241853</x:v>
      </x:c>
      <x:c r="R400" s="38" t="n">
        <x:f>P400-Q400</x:f>
        <x:v>0</x:v>
      </x:c>
      <x:c r="S400" s="38" t="n">
        <x:v>34236</x:v>
      </x:c>
      <x:c r="T400" s="38" t="n">
        <x:v>6157</x:v>
      </x:c>
      <x:c r="U400" s="38" t="n">
        <x:v>44</x:v>
      </x:c>
      <x:c r="V400" s="38" t="n">
        <x:v>0</x:v>
      </x:c>
      <x:c r="W400" s="38" t="n">
        <x:v>0</x:v>
      </x:c>
      <x:c r="X400" s="44" t="n">
        <x:v>0</x:v>
      </x:c>
      <x:c r="Y400" s="38" t="n">
        <x:v>108</x:v>
      </x:c>
      <x:c r="Z400" s="38" t="n">
        <x:v>24</x:v>
      </x:c>
      <x:c r="AA400" s="38" t="n">
        <x:v>34</x:v>
      </x:c>
      <x:c r="AB400" s="38" t="n">
        <x:v>4</x:v>
      </x:c>
      <x:c r="AC400" s="38" t="n">
        <x:v>4575</x:v>
      </x:c>
      <x:c r="AD400" s="38" t="n">
        <x:v>0</x:v>
      </x:c>
      <x:c r="AE400" s="38" t="n">
        <x:f>IF(B400=1,0,F400-Q399)</x:f>
        <x:v>0</x:v>
      </x:c>
    </x:row>
    <x:row r="401" ht="27" customHeight="1">
      <x:c r="A401" s="28" t="str">
        <x:v>Decorator F2P</x:v>
      </x:c>
      <x:c r="B401" s="38" t="n">
        <x:v>37</x:v>
      </x:c>
      <x:c r="C401" s="38" t="n">
        <x:v>25</x:v>
      </x:c>
      <x:c r="D401" s="38" t="n">
        <x:v>175059</x:v>
      </x:c>
      <x:c r="E401" s="38" t="n">
        <x:v>55</x:v>
      </x:c>
      <x:c r="F401" s="38" t="n">
        <x:v>241853</x:v>
      </x:c>
      <x:c r="G401" s="38" t="n">
        <x:v>44709</x:v>
      </x:c>
      <x:c r="H401" s="38" t="n">
        <x:v>8739</x:v>
      </x:c>
      <x:c r="I401" s="38" t="n">
        <x:v>2015</x:v>
      </x:c>
      <x:c r="J401" s="38" t="n">
        <x:v>610</x:v>
      </x:c>
      <x:c r="K401" s="38" t="n">
        <x:v>0</x:v>
      </x:c>
      <x:c r="L401" s="38" t="n">
        <x:v>0</x:v>
      </x:c>
      <x:c r="M401" s="38" t="n">
        <x:v>0</x:v>
      </x:c>
      <x:c r="N401" s="38" t="n">
        <x:v>11865</x:v>
      </x:c>
      <x:c r="O401" s="38" t="n">
        <x:v>0</x:v>
      </x:c>
      <x:c r="P401" s="38" t="n">
        <x:f>F401+G401-H401+I401+J401+K401+L401-M401-N401-O401</x:f>
        <x:v>268583</x:v>
      </x:c>
      <x:c r="Q401" s="38" t="n">
        <x:v>268583</x:v>
      </x:c>
      <x:c r="R401" s="38" t="n">
        <x:f>P401-Q401</x:f>
        <x:v>0</x:v>
      </x:c>
      <x:c r="S401" s="38" t="n">
        <x:v>35789</x:v>
      </x:c>
      <x:c r="T401" s="38" t="n">
        <x:v>6407</x:v>
      </x:c>
      <x:c r="U401" s="38" t="n">
        <x:v>49</x:v>
      </x:c>
      <x:c r="V401" s="38" t="n">
        <x:v>5</x:v>
      </x:c>
      <x:c r="W401" s="38" t="n">
        <x:v>0</x:v>
      </x:c>
      <x:c r="X401" s="44" t="n">
        <x:v>0</x:v>
      </x:c>
      <x:c r="Y401" s="38" t="n">
        <x:v>110</x:v>
      </x:c>
      <x:c r="Z401" s="38" t="n">
        <x:v>25</x:v>
      </x:c>
      <x:c r="AA401" s="38" t="n">
        <x:v>35</x:v>
      </x:c>
      <x:c r="AB401" s="38" t="n">
        <x:v>4</x:v>
      </x:c>
      <x:c r="AC401" s="38" t="n">
        <x:v>4394</x:v>
      </x:c>
      <x:c r="AD401" s="38" t="n">
        <x:v>0</x:v>
      </x:c>
      <x:c r="AE401" s="38" t="n">
        <x:f>IF(B401=1,0,F401-Q400)</x:f>
        <x:v>0</x:v>
      </x:c>
    </x:row>
    <x:row r="402" ht="27" customHeight="1">
      <x:c r="A402" s="28" t="str">
        <x:v>Decorator F2P</x:v>
      </x:c>
      <x:c r="B402" s="38" t="n">
        <x:v>38</x:v>
      </x:c>
      <x:c r="C402" s="38" t="n">
        <x:v>25</x:v>
      </x:c>
      <x:c r="D402" s="38" t="n">
        <x:v>181514</x:v>
      </x:c>
      <x:c r="E402" s="38" t="n">
        <x:v>65</x:v>
      </x:c>
      <x:c r="F402" s="38" t="n">
        <x:v>268583</x:v>
      </x:c>
      <x:c r="G402" s="38" t="n">
        <x:v>44246</x:v>
      </x:c>
      <x:c r="H402" s="38" t="n">
        <x:v>9720</x:v>
      </x:c>
      <x:c r="I402" s="38" t="n">
        <x:v>2434</x:v>
      </x:c>
      <x:c r="J402" s="38" t="n">
        <x:v>0</x:v>
      </x:c>
      <x:c r="K402" s="38" t="n">
        <x:v>0</x:v>
      </x:c>
      <x:c r="L402" s="38" t="n">
        <x:v>0</x:v>
      </x:c>
      <x:c r="M402" s="38" t="n">
        <x:v>300000</x:v>
      </x:c>
      <x:c r="N402" s="38" t="n">
        <x:v>0</x:v>
      </x:c>
      <x:c r="O402" s="38" t="n">
        <x:v>0</x:v>
      </x:c>
      <x:c r="P402" s="38" t="n">
        <x:f>F402+G402-H402+I402+J402+K402+L402-M402-N402-O402</x:f>
        <x:v>5543</x:v>
      </x:c>
      <x:c r="Q402" s="38" t="n">
        <x:v>5543</x:v>
      </x:c>
      <x:c r="R402" s="38" t="n">
        <x:f>P402-Q402</x:f>
        <x:v>0</x:v>
      </x:c>
      <x:c r="S402" s="38" t="n">
        <x:v>35397</x:v>
      </x:c>
      <x:c r="T402" s="38" t="n">
        <x:v>6455</x:v>
      </x:c>
      <x:c r="U402" s="38" t="n">
        <x:v>49</x:v>
      </x:c>
      <x:c r="V402" s="38" t="n">
        <x:v>0</x:v>
      </x:c>
      <x:c r="W402" s="38" t="n">
        <x:v>0</x:v>
      </x:c>
      <x:c r="X402" s="44" t="n">
        <x:v>0</x:v>
      </x:c>
      <x:c r="Y402" s="38" t="n">
        <x:v>110</x:v>
      </x:c>
      <x:c r="Z402" s="38" t="n">
        <x:v>26</x:v>
      </x:c>
      <x:c r="AA402" s="38" t="n">
        <x:v>35</x:v>
      </x:c>
      <x:c r="AB402" s="38" t="n">
        <x:v>4</x:v>
      </x:c>
      <x:c r="AC402" s="38" t="n">
        <x:v>5265</x:v>
      </x:c>
      <x:c r="AD402" s="38" t="n">
        <x:v>0</x:v>
      </x:c>
      <x:c r="AE402" s="38" t="n">
        <x:f>IF(B402=1,0,F402-Q401)</x:f>
        <x:v>0</x:v>
      </x:c>
    </x:row>
    <x:row r="403" ht="27" customHeight="1">
      <x:c r="A403" s="28" t="str">
        <x:v>Decorator F2P</x:v>
      </x:c>
      <x:c r="B403" s="38" t="n">
        <x:v>39</x:v>
      </x:c>
      <x:c r="C403" s="38" t="n">
        <x:v>25</x:v>
      </x:c>
      <x:c r="D403" s="38" t="n">
        <x:v>189048</x:v>
      </x:c>
      <x:c r="E403" s="38" t="n">
        <x:v>65</x:v>
      </x:c>
      <x:c r="F403" s="38" t="n">
        <x:v>5543</x:v>
      </x:c>
      <x:c r="G403" s="38" t="n">
        <x:v>52650</x:v>
      </x:c>
      <x:c r="H403" s="38" t="n">
        <x:v>10530</x:v>
      </x:c>
      <x:c r="I403" s="38" t="n">
        <x:v>2434</x:v>
      </x:c>
      <x:c r="J403" s="38" t="n">
        <x:v>0</x:v>
      </x:c>
      <x:c r="K403" s="38" t="n">
        <x:v>0</x:v>
      </x:c>
      <x:c r="L403" s="38" t="n">
        <x:v>0</x:v>
      </x:c>
      <x:c r="M403" s="38" t="n">
        <x:v>0</x:v>
      </x:c>
      <x:c r="N403" s="38" t="n">
        <x:v>0</x:v>
      </x:c>
      <x:c r="O403" s="38" t="n">
        <x:v>4271</x:v>
      </x:c>
      <x:c r="P403" s="38" t="n">
        <x:f>F403+G403-H403+I403+J403+K403+L403-M403-N403-O403</x:f>
        <x:v>45826</x:v>
      </x:c>
      <x:c r="Q403" s="38" t="n">
        <x:v>45826</x:v>
      </x:c>
      <x:c r="R403" s="38" t="n">
        <x:f>P403-Q403</x:f>
        <x:v>0</x:v>
      </x:c>
      <x:c r="S403" s="38" t="n">
        <x:v>42120</x:v>
      </x:c>
      <x:c r="T403" s="38" t="n">
        <x:v>7534</x:v>
      </x:c>
      <x:c r="U403" s="38" t="n">
        <x:v>49</x:v>
      </x:c>
      <x:c r="V403" s="38" t="n">
        <x:v>0</x:v>
      </x:c>
      <x:c r="W403" s="38" t="n">
        <x:v>0</x:v>
      </x:c>
      <x:c r="X403" s="44" t="n">
        <x:v>0</x:v>
      </x:c>
      <x:c r="Y403" s="38" t="n">
        <x:v>130</x:v>
      </x:c>
      <x:c r="Z403" s="38" t="n">
        <x:v>26</x:v>
      </x:c>
      <x:c r="AA403" s="38" t="n">
        <x:v>35</x:v>
      </x:c>
      <x:c r="AB403" s="38" t="n">
        <x:v>4</x:v>
      </x:c>
      <x:c r="AC403" s="38" t="n">
        <x:v>5265</x:v>
      </x:c>
      <x:c r="AD403" s="38" t="n">
        <x:v>0</x:v>
      </x:c>
      <x:c r="AE403" s="38" t="n">
        <x:f>IF(B403=1,0,F403-Q402)</x:f>
        <x:v>0</x:v>
      </x:c>
    </x:row>
    <x:row r="404" ht="27" customHeight="1">
      <x:c r="A404" s="28" t="str">
        <x:v>Decorator F2P</x:v>
      </x:c>
      <x:c r="B404" s="38" t="n">
        <x:v>40</x:v>
      </x:c>
      <x:c r="C404" s="38" t="n">
        <x:v>25</x:v>
      </x:c>
      <x:c r="D404" s="38" t="n">
        <x:v>196582</x:v>
      </x:c>
      <x:c r="E404" s="38" t="n">
        <x:v>65</x:v>
      </x:c>
      <x:c r="F404" s="38" t="n">
        <x:v>45826</x:v>
      </x:c>
      <x:c r="G404" s="38" t="n">
        <x:v>52650</x:v>
      </x:c>
      <x:c r="H404" s="38" t="n">
        <x:v>10530</x:v>
      </x:c>
      <x:c r="I404" s="38" t="n">
        <x:v>2434</x:v>
      </x:c>
      <x:c r="J404" s="38" t="n">
        <x:v>0</x:v>
      </x:c>
      <x:c r="K404" s="38" t="n">
        <x:v>0</x:v>
      </x:c>
      <x:c r="L404" s="38" t="n">
        <x:v>0</x:v>
      </x:c>
      <x:c r="M404" s="38" t="n">
        <x:v>0</x:v>
      </x:c>
      <x:c r="N404" s="38" t="n">
        <x:v>0</x:v>
      </x:c>
      <x:c r="O404" s="38" t="n">
        <x:v>44554</x:v>
      </x:c>
      <x:c r="P404" s="38" t="n">
        <x:f>F404+G404-H404+I404+J404+K404+L404-M404-N404-O404</x:f>
        <x:v>45826</x:v>
      </x:c>
      <x:c r="Q404" s="38" t="n">
        <x:v>45826</x:v>
      </x:c>
      <x:c r="R404" s="38" t="n">
        <x:f>P404-Q404</x:f>
        <x:v>0</x:v>
      </x:c>
      <x:c r="S404" s="38" t="n">
        <x:v>42120</x:v>
      </x:c>
      <x:c r="T404" s="38" t="n">
        <x:v>7534</x:v>
      </x:c>
      <x:c r="U404" s="38" t="n">
        <x:v>49</x:v>
      </x:c>
      <x:c r="V404" s="38" t="n">
        <x:v>0</x:v>
      </x:c>
      <x:c r="W404" s="38" t="n">
        <x:v>0</x:v>
      </x:c>
      <x:c r="X404" s="44" t="n">
        <x:v>0</x:v>
      </x:c>
      <x:c r="Y404" s="38" t="n">
        <x:v>130</x:v>
      </x:c>
      <x:c r="Z404" s="38" t="n">
        <x:v>26</x:v>
      </x:c>
      <x:c r="AA404" s="38" t="n">
        <x:v>35</x:v>
      </x:c>
      <x:c r="AB404" s="38" t="n">
        <x:v>4</x:v>
      </x:c>
      <x:c r="AC404" s="38" t="n">
        <x:v>5265</x:v>
      </x:c>
      <x:c r="AD404" s="38" t="n">
        <x:v>0</x:v>
      </x:c>
      <x:c r="AE404" s="38" t="n">
        <x:f>IF(B404=1,0,F404-Q403)</x:f>
        <x:v>0</x:v>
      </x:c>
    </x:row>
    <x:row r="405" ht="27" customHeight="1">
      <x:c r="A405" s="28" t="str">
        <x:v>Decorator F2P</x:v>
      </x:c>
      <x:c r="B405" s="38" t="n">
        <x:v>41</x:v>
      </x:c>
      <x:c r="C405" s="38" t="n">
        <x:v>26</x:v>
      </x:c>
      <x:c r="D405" s="38" t="n">
        <x:v>204076</x:v>
      </x:c>
      <x:c r="E405" s="38" t="n">
        <x:v>65</x:v>
      </x:c>
      <x:c r="F405" s="38" t="n">
        <x:v>45826</x:v>
      </x:c>
      <x:c r="G405" s="38" t="n">
        <x:v>52999</x:v>
      </x:c>
      <x:c r="H405" s="38" t="n">
        <x:v>10730</x:v>
      </x:c>
      <x:c r="I405" s="38" t="n">
        <x:v>2434</x:v>
      </x:c>
      <x:c r="J405" s="38" t="n">
        <x:v>620</x:v>
      </x:c>
      <x:c r="K405" s="38" t="n">
        <x:v>0</x:v>
      </x:c>
      <x:c r="L405" s="38" t="n">
        <x:v>0</x:v>
      </x:c>
      <x:c r="M405" s="38" t="n">
        <x:v>0</x:v>
      </x:c>
      <x:c r="N405" s="38" t="n">
        <x:v>12120</x:v>
      </x:c>
      <x:c r="O405" s="38" t="n">
        <x:v>32196</x:v>
      </x:c>
      <x:c r="P405" s="38" t="n">
        <x:f>F405+G405-H405+I405+J405+K405+L405-M405-N405-O405</x:f>
        <x:v>46833</x:v>
      </x:c>
      <x:c r="Q405" s="38" t="n">
        <x:v>46833</x:v>
      </x:c>
      <x:c r="R405" s="38" t="n">
        <x:f>P405-Q405</x:f>
        <x:v>0</x:v>
      </x:c>
      <x:c r="S405" s="38" t="n">
        <x:v>42399</x:v>
      </x:c>
      <x:c r="T405" s="38" t="n">
        <x:v>7494</x:v>
      </x:c>
      <x:c r="U405" s="38" t="n">
        <x:v>50</x:v>
      </x:c>
      <x:c r="V405" s="38" t="n">
        <x:v>1</x:v>
      </x:c>
      <x:c r="W405" s="38" t="n">
        <x:v>0</x:v>
      </x:c>
      <x:c r="X405" s="44" t="n">
        <x:v>0</x:v>
      </x:c>
      <x:c r="Y405" s="38" t="n">
        <x:v>130</x:v>
      </x:c>
      <x:c r="Z405" s="38" t="n">
        <x:v>27</x:v>
      </x:c>
      <x:c r="AA405" s="38" t="n">
        <x:v>36</x:v>
      </x:c>
      <x:c r="AB405" s="38" t="n">
        <x:v>4</x:v>
      </x:c>
      <x:c r="AC405" s="38" t="n">
        <x:v>5395</x:v>
      </x:c>
      <x:c r="AD405" s="38" t="n">
        <x:v>0</x:v>
      </x:c>
      <x:c r="AE405" s="38" t="n">
        <x:f>IF(B405=1,0,F405-Q404)</x:f>
        <x:v>0</x:v>
      </x:c>
    </x:row>
    <x:row r="406" ht="27" customHeight="1">
      <x:c r="A406" s="28" t="str">
        <x:v>Decorator F2P</x:v>
      </x:c>
      <x:c r="B406" s="38" t="n">
        <x:v>42</x:v>
      </x:c>
      <x:c r="C406" s="38" t="n">
        <x:v>26</x:v>
      </x:c>
      <x:c r="D406" s="38" t="n">
        <x:v>214863</x:v>
      </x:c>
      <x:c r="E406" s="38" t="n">
        <x:v>65</x:v>
      </x:c>
      <x:c r="F406" s="38" t="n">
        <x:v>46833</x:v>
      </x:c>
      <x:c r="G406" s="38" t="n">
        <x:v>53950</x:v>
      </x:c>
      <x:c r="H406" s="38" t="n">
        <x:v>10790</x:v>
      </x:c>
      <x:c r="I406" s="38" t="n">
        <x:v>12559</x:v>
      </x:c>
      <x:c r="J406" s="38" t="n">
        <x:v>0</x:v>
      </x:c>
      <x:c r="K406" s="38" t="n">
        <x:v>0</x:v>
      </x:c>
      <x:c r="L406" s="38" t="n">
        <x:v>0</x:v>
      </x:c>
      <x:c r="M406" s="38" t="n">
        <x:v>0</x:v>
      </x:c>
      <x:c r="N406" s="38" t="n">
        <x:v>0</x:v>
      </x:c>
      <x:c r="O406" s="38" t="n">
        <x:v>99</x:v>
      </x:c>
      <x:c r="P406" s="38" t="n">
        <x:f>F406+G406-H406+I406+J406+K406+L406-M406-N406-O406</x:f>
        <x:v>102453</x:v>
      </x:c>
      <x:c r="Q406" s="38" t="n">
        <x:v>102453</x:v>
      </x:c>
      <x:c r="R406" s="38" t="n">
        <x:f>P406-Q406</x:f>
        <x:v>0</x:v>
      </x:c>
      <x:c r="S406" s="38" t="n">
        <x:v>43160</x:v>
      </x:c>
      <x:c r="T406" s="38" t="n">
        <x:v>10787</x:v>
      </x:c>
      <x:c r="U406" s="38" t="n">
        <x:v>52</x:v>
      </x:c>
      <x:c r="V406" s="38" t="n">
        <x:v>2</x:v>
      </x:c>
      <x:c r="W406" s="38" t="n">
        <x:v>0</x:v>
      </x:c>
      <x:c r="X406" s="44" t="n">
        <x:v>0</x:v>
      </x:c>
      <x:c r="Y406" s="38" t="n">
        <x:v>130</x:v>
      </x:c>
      <x:c r="Z406" s="38" t="n">
        <x:v>27</x:v>
      </x:c>
      <x:c r="AA406" s="38" t="n">
        <x:v>36</x:v>
      </x:c>
      <x:c r="AB406" s="38" t="n">
        <x:v>5</x:v>
      </x:c>
      <x:c r="AC406" s="38" t="n">
        <x:v>5395</x:v>
      </x:c>
      <x:c r="AD406" s="38" t="n">
        <x:v>0</x:v>
      </x:c>
      <x:c r="AE406" s="38" t="n">
        <x:f>IF(B406=1,0,F406-Q405)</x:f>
        <x:v>0</x:v>
      </x:c>
    </x:row>
    <x:row r="407" ht="27" customHeight="1">
      <x:c r="A407" s="28" t="str">
        <x:v>Decorator F2P</x:v>
      </x:c>
      <x:c r="B407" s="38" t="n">
        <x:v>43</x:v>
      </x:c>
      <x:c r="C407" s="38" t="n">
        <x:v>27</x:v>
      </x:c>
      <x:c r="D407" s="38" t="n">
        <x:v>222403</x:v>
      </x:c>
      <x:c r="E407" s="38" t="n">
        <x:v>65</x:v>
      </x:c>
      <x:c r="F407" s="38" t="n">
        <x:v>102453</x:v>
      </x:c>
      <x:c r="G407" s="38" t="n">
        <x:v>53950</x:v>
      </x:c>
      <x:c r="H407" s="38" t="n">
        <x:v>10344</x:v>
      </x:c>
      <x:c r="I407" s="38" t="n">
        <x:v>2486</x:v>
      </x:c>
      <x:c r="J407" s="38" t="n">
        <x:v>635</x:v>
      </x:c>
      <x:c r="K407" s="38" t="n">
        <x:v>0</x:v>
      </x:c>
      <x:c r="L407" s="38" t="n">
        <x:v>0</x:v>
      </x:c>
      <x:c r="M407" s="38" t="n">
        <x:v>0</x:v>
      </x:c>
      <x:c r="N407" s="38" t="n">
        <x:v>12375</x:v>
      </x:c>
      <x:c r="O407" s="38" t="n">
        <x:v>0</x:v>
      </x:c>
      <x:c r="P407" s="38" t="n">
        <x:f>F407+G407-H407+I407+J407+K407+L407-M407-N407-O407</x:f>
        <x:v>136805</x:v>
      </x:c>
      <x:c r="Q407" s="38" t="n">
        <x:v>136805</x:v>
      </x:c>
      <x:c r="R407" s="38" t="n">
        <x:f>P407-Q407</x:f>
        <x:v>0</x:v>
      </x:c>
      <x:c r="S407" s="38" t="n">
        <x:v>43160</x:v>
      </x:c>
      <x:c r="T407" s="38" t="n">
        <x:v>7540</x:v>
      </x:c>
      <x:c r="U407" s="38" t="n">
        <x:v>52</x:v>
      </x:c>
      <x:c r="V407" s="38" t="n">
        <x:v>0</x:v>
      </x:c>
      <x:c r="W407" s="38" t="n">
        <x:v>0</x:v>
      </x:c>
      <x:c r="X407" s="44" t="n">
        <x:v>0</x:v>
      </x:c>
      <x:c r="Y407" s="38" t="n">
        <x:v>130</x:v>
      </x:c>
      <x:c r="Z407" s="38" t="n">
        <x:v>27</x:v>
      </x:c>
      <x:c r="AA407" s="38" t="n">
        <x:v>37</x:v>
      </x:c>
      <x:c r="AB407" s="38" t="n">
        <x:v>5</x:v>
      </x:c>
      <x:c r="AC407" s="38" t="n">
        <x:v>4949</x:v>
      </x:c>
      <x:c r="AD407" s="38" t="n">
        <x:v>0</x:v>
      </x:c>
      <x:c r="AE407" s="38" t="n">
        <x:f>IF(B407=1,0,F407-Q406)</x:f>
        <x:v>0</x:v>
      </x:c>
    </x:row>
    <x:row r="408" ht="27" customHeight="1">
      <x:c r="A408" s="28" t="str">
        <x:v>Decorator F2P</x:v>
      </x:c>
      <x:c r="B408" s="38" t="n">
        <x:v>44</x:v>
      </x:c>
      <x:c r="C408" s="38" t="n">
        <x:v>27</x:v>
      </x:c>
      <x:c r="D408" s="38" t="n">
        <x:v>230723</x:v>
      </x:c>
      <x:c r="E408" s="38" t="n">
        <x:v>65</x:v>
      </x:c>
      <x:c r="F408" s="38" t="n">
        <x:v>136805</x:v>
      </x:c>
      <x:c r="G408" s="38" t="n">
        <x:v>49573</x:v>
      </x:c>
      <x:c r="H408" s="38" t="n">
        <x:v>9880</x:v>
      </x:c>
      <x:c r="I408" s="38" t="n">
        <x:v>2539</x:v>
      </x:c>
      <x:c r="J408" s="38" t="n">
        <x:v>0</x:v>
      </x:c>
      <x:c r="K408" s="38" t="n">
        <x:v>0</x:v>
      </x:c>
      <x:c r="L408" s="38" t="n">
        <x:v>0</x:v>
      </x:c>
      <x:c r="M408" s="38" t="n">
        <x:v>0</x:v>
      </x:c>
      <x:c r="N408" s="38" t="n">
        <x:v>0</x:v>
      </x:c>
      <x:c r="O408" s="38" t="n">
        <x:v>0</x:v>
      </x:c>
      <x:c r="P408" s="38" t="n">
        <x:f>F408+G408-H408+I408+J408+K408+L408-M408-N408-O408</x:f>
        <x:v>179037</x:v>
      </x:c>
      <x:c r="Q408" s="38" t="n">
        <x:v>179037</x:v>
      </x:c>
      <x:c r="R408" s="38" t="n">
        <x:f>P408-Q408</x:f>
        <x:v>0</x:v>
      </x:c>
      <x:c r="S408" s="38" t="n">
        <x:v>39684</x:v>
      </x:c>
      <x:c r="T408" s="38" t="n">
        <x:v>8320</x:v>
      </x:c>
      <x:c r="U408" s="38" t="n">
        <x:v>52</x:v>
      </x:c>
      <x:c r="V408" s="38" t="n">
        <x:v>0</x:v>
      </x:c>
      <x:c r="W408" s="38" t="n">
        <x:v>0</x:v>
      </x:c>
      <x:c r="X408" s="44" t="n">
        <x:v>0</x:v>
      </x:c>
      <x:c r="Y408" s="38" t="n">
        <x:v>130</x:v>
      </x:c>
      <x:c r="Z408" s="38" t="n">
        <x:v>28</x:v>
      </x:c>
      <x:c r="AA408" s="38" t="n">
        <x:v>37</x:v>
      </x:c>
      <x:c r="AB408" s="38" t="n">
        <x:v>5</x:v>
      </x:c>
      <x:c r="AC408" s="38" t="n">
        <x:v>4940</x:v>
      </x:c>
      <x:c r="AD408" s="38" t="n">
        <x:v>0</x:v>
      </x:c>
      <x:c r="AE408" s="38" t="n">
        <x:f>IF(B408=1,0,F408-Q407)</x:f>
        <x:v>0</x:v>
      </x:c>
    </x:row>
    <x:row r="409" ht="27" customHeight="1">
      <x:c r="A409" s="28" t="str">
        <x:v>Decorator F2P</x:v>
      </x:c>
      <x:c r="B409" s="38" t="n">
        <x:v>45</x:v>
      </x:c>
      <x:c r="C409" s="38" t="n">
        <x:v>27</x:v>
      </x:c>
      <x:c r="D409" s="38" t="n">
        <x:v>239049</x:v>
      </x:c>
      <x:c r="E409" s="38" t="n">
        <x:v>65</x:v>
      </x:c>
      <x:c r="F409" s="38" t="n">
        <x:v>179037</x:v>
      </x:c>
      <x:c r="G409" s="38" t="n">
        <x:v>49530</x:v>
      </x:c>
      <x:c r="H409" s="38" t="n">
        <x:v>9880</x:v>
      </x:c>
      <x:c r="I409" s="38" t="n">
        <x:v>2539</x:v>
      </x:c>
      <x:c r="J409" s="38" t="n">
        <x:v>0</x:v>
      </x:c>
      <x:c r="K409" s="38" t="n">
        <x:v>0</x:v>
      </x:c>
      <x:c r="L409" s="38" t="n">
        <x:v>0</x:v>
      </x:c>
      <x:c r="M409" s="38" t="n">
        <x:v>0</x:v>
      </x:c>
      <x:c r="N409" s="38" t="n">
        <x:v>0</x:v>
      </x:c>
      <x:c r="O409" s="38" t="n">
        <x:v>0</x:v>
      </x:c>
      <x:c r="P409" s="38" t="n">
        <x:f>F409+G409-H409+I409+J409+K409+L409-M409-N409-O409</x:f>
        <x:v>221226</x:v>
      </x:c>
      <x:c r="Q409" s="38" t="n">
        <x:v>221226</x:v>
      </x:c>
      <x:c r="R409" s="38" t="n">
        <x:f>P409-Q409</x:f>
        <x:v>0</x:v>
      </x:c>
      <x:c r="S409" s="38" t="n">
        <x:v>39650</x:v>
      </x:c>
      <x:c r="T409" s="38" t="n">
        <x:v>8326</x:v>
      </x:c>
      <x:c r="U409" s="38" t="n">
        <x:v>52</x:v>
      </x:c>
      <x:c r="V409" s="38" t="n">
        <x:v>0</x:v>
      </x:c>
      <x:c r="W409" s="38" t="n">
        <x:v>0</x:v>
      </x:c>
      <x:c r="X409" s="44" t="n">
        <x:v>0</x:v>
      </x:c>
      <x:c r="Y409" s="38" t="n">
        <x:v>130</x:v>
      </x:c>
      <x:c r="Z409" s="38" t="n">
        <x:v>28</x:v>
      </x:c>
      <x:c r="AA409" s="38" t="n">
        <x:v>37</x:v>
      </x:c>
      <x:c r="AB409" s="38" t="n">
        <x:v>5</x:v>
      </x:c>
      <x:c r="AC409" s="38" t="n">
        <x:v>4940</x:v>
      </x:c>
      <x:c r="AD409" s="38" t="n">
        <x:v>0</x:v>
      </x:c>
      <x:c r="AE409" s="38" t="n">
        <x:f>IF(B409=1,0,F409-Q408)</x:f>
        <x:v>0</x:v>
      </x:c>
    </x:row>
    <x:row r="410" ht="27" customHeight="1">
      <x:c r="A410" s="28" t="str">
        <x:v>Decorator F2P</x:v>
      </x:c>
      <x:c r="B410" s="38" t="n">
        <x:v>46</x:v>
      </x:c>
      <x:c r="C410" s="38" t="n">
        <x:v>27</x:v>
      </x:c>
      <x:c r="D410" s="38" t="n">
        <x:v>247375</x:v>
      </x:c>
      <x:c r="E410" s="38" t="n">
        <x:v>65</x:v>
      </x:c>
      <x:c r="F410" s="38" t="n">
        <x:v>221226</x:v>
      </x:c>
      <x:c r="G410" s="38" t="n">
        <x:v>49530</x:v>
      </x:c>
      <x:c r="H410" s="38" t="n">
        <x:v>9880</x:v>
      </x:c>
      <x:c r="I410" s="38" t="n">
        <x:v>2539</x:v>
      </x:c>
      <x:c r="J410" s="38" t="n">
        <x:v>0</x:v>
      </x:c>
      <x:c r="K410" s="38" t="n">
        <x:v>0</x:v>
      </x:c>
      <x:c r="L410" s="38" t="n">
        <x:v>0</x:v>
      </x:c>
      <x:c r="M410" s="38" t="n">
        <x:v>0</x:v>
      </x:c>
      <x:c r="N410" s="38" t="n">
        <x:v>0</x:v>
      </x:c>
      <x:c r="O410" s="38" t="n">
        <x:v>0</x:v>
      </x:c>
      <x:c r="P410" s="38" t="n">
        <x:f>F410+G410-H410+I410+J410+K410+L410-M410-N410-O410</x:f>
        <x:v>263415</x:v>
      </x:c>
      <x:c r="Q410" s="38" t="n">
        <x:v>263415</x:v>
      </x:c>
      <x:c r="R410" s="38" t="n">
        <x:f>P410-Q410</x:f>
        <x:v>0</x:v>
      </x:c>
      <x:c r="S410" s="38" t="n">
        <x:v>39650</x:v>
      </x:c>
      <x:c r="T410" s="38" t="n">
        <x:v>8326</x:v>
      </x:c>
      <x:c r="U410" s="38" t="n">
        <x:v>52</x:v>
      </x:c>
      <x:c r="V410" s="38" t="n">
        <x:v>0</x:v>
      </x:c>
      <x:c r="W410" s="38" t="n">
        <x:v>0</x:v>
      </x:c>
      <x:c r="X410" s="44" t="n">
        <x:v>0</x:v>
      </x:c>
      <x:c r="Y410" s="38" t="n">
        <x:v>130</x:v>
      </x:c>
      <x:c r="Z410" s="38" t="n">
        <x:v>28</x:v>
      </x:c>
      <x:c r="AA410" s="38" t="n">
        <x:v>37</x:v>
      </x:c>
      <x:c r="AB410" s="38" t="n">
        <x:v>5</x:v>
      </x:c>
      <x:c r="AC410" s="38" t="n">
        <x:v>4940</x:v>
      </x:c>
      <x:c r="AD410" s="38" t="n">
        <x:v>0</x:v>
      </x:c>
      <x:c r="AE410" s="38" t="n">
        <x:f>IF(B410=1,0,F410-Q409)</x:f>
        <x:v>0</x:v>
      </x:c>
    </x:row>
    <x:row r="411" ht="27" customHeight="1">
      <x:c r="A411" s="28" t="str">
        <x:v>Decorator F2P</x:v>
      </x:c>
      <x:c r="B411" s="38" t="n">
        <x:v>47</x:v>
      </x:c>
      <x:c r="C411" s="38" t="n">
        <x:v>28</x:v>
      </x:c>
      <x:c r="D411" s="38" t="n">
        <x:v>255376</x:v>
      </x:c>
      <x:c r="E411" s="38" t="n">
        <x:v>65</x:v>
      </x:c>
      <x:c r="F411" s="38" t="n">
        <x:v>263415</x:v>
      </x:c>
      <x:c r="G411" s="38" t="n">
        <x:v>52910</x:v>
      </x:c>
      <x:c r="H411" s="38" t="n">
        <x:v>11310</x:v>
      </x:c>
      <x:c r="I411" s="38" t="n">
        <x:v>2539</x:v>
      </x:c>
      <x:c r="J411" s="38" t="n">
        <x:v>700</x:v>
      </x:c>
      <x:c r="K411" s="38" t="n">
        <x:v>0</x:v>
      </x:c>
      <x:c r="L411" s="38" t="n">
        <x:v>0</x:v>
      </x:c>
      <x:c r="M411" s="38" t="n">
        <x:v>0</x:v>
      </x:c>
      <x:c r="N411" s="38" t="n">
        <x:v>13605</x:v>
      </x:c>
      <x:c r="O411" s="38" t="n">
        <x:v>0</x:v>
      </x:c>
      <x:c r="P411" s="38" t="n">
        <x:f>F411+G411-H411+I411+J411+K411+L411-M411-N411-O411</x:f>
        <x:v>294649</x:v>
      </x:c>
      <x:c r="Q411" s="38" t="n">
        <x:v>294649</x:v>
      </x:c>
      <x:c r="R411" s="38" t="n">
        <x:f>P411-Q411</x:f>
        <x:v>0</x:v>
      </x:c>
      <x:c r="S411" s="38" t="n">
        <x:v>42315</x:v>
      </x:c>
      <x:c r="T411" s="38" t="n">
        <x:v>8001</x:v>
      </x:c>
      <x:c r="U411" s="38" t="n">
        <x:v>53</x:v>
      </x:c>
      <x:c r="V411" s="38" t="n">
        <x:v>1</x:v>
      </x:c>
      <x:c r="W411" s="38" t="n">
        <x:v>0</x:v>
      </x:c>
      <x:c r="X411" s="44" t="n">
        <x:v>0</x:v>
      </x:c>
      <x:c r="Y411" s="38" t="n">
        <x:v>130</x:v>
      </x:c>
      <x:c r="Z411" s="38" t="n">
        <x:v>29</x:v>
      </x:c>
      <x:c r="AA411" s="38" t="n">
        <x:v>38</x:v>
      </x:c>
      <x:c r="AB411" s="38" t="n">
        <x:v>5</x:v>
      </x:c>
      <x:c r="AC411" s="38" t="n">
        <x:v>5655</x:v>
      </x:c>
      <x:c r="AD411" s="38" t="n">
        <x:v>0</x:v>
      </x:c>
      <x:c r="AE411" s="38" t="n">
        <x:f>IF(B411=1,0,F411-Q410)</x:f>
        <x:v>0</x:v>
      </x:c>
    </x:row>
    <x:row r="412" ht="27" customHeight="1">
      <x:c r="A412" s="28" t="str">
        <x:v>Decorator F2P</x:v>
      </x:c>
      <x:c r="B412" s="38" t="n">
        <x:v>48</x:v>
      </x:c>
      <x:c r="C412" s="38" t="n">
        <x:v>28</x:v>
      </x:c>
      <x:c r="D412" s="38" t="n">
        <x:v>263119</x:v>
      </x:c>
      <x:c r="E412" s="38" t="n">
        <x:v>65</x:v>
      </x:c>
      <x:c r="F412" s="38" t="n">
        <x:v>294649</x:v>
      </x:c>
      <x:c r="G412" s="38" t="n">
        <x:v>56290</x:v>
      </x:c>
      <x:c r="H412" s="38" t="n">
        <x:v>11310</x:v>
      </x:c>
      <x:c r="I412" s="38" t="n">
        <x:v>2791</x:v>
      </x:c>
      <x:c r="J412" s="38" t="n">
        <x:v>0</x:v>
      </x:c>
      <x:c r="K412" s="38" t="n">
        <x:v>0</x:v>
      </x:c>
      <x:c r="L412" s="38" t="n">
        <x:v>0</x:v>
      </x:c>
      <x:c r="M412" s="38" t="n">
        <x:v>0</x:v>
      </x:c>
      <x:c r="N412" s="38" t="n">
        <x:v>0</x:v>
      </x:c>
      <x:c r="O412" s="38" t="n">
        <x:v>0</x:v>
      </x:c>
      <x:c r="P412" s="38" t="n">
        <x:f>F412+G412-H412+I412+J412+K412+L412-M412-N412-O412</x:f>
        <x:v>342420</x:v>
      </x:c>
      <x:c r="Q412" s="38" t="n">
        <x:v>342420</x:v>
      </x:c>
      <x:c r="R412" s="38" t="n">
        <x:f>P412-Q412</x:f>
        <x:v>0</x:v>
      </x:c>
      <x:c r="S412" s="38" t="n">
        <x:v>44980</x:v>
      </x:c>
      <x:c r="T412" s="38" t="n">
        <x:v>7743</x:v>
      </x:c>
      <x:c r="U412" s="38" t="n">
        <x:v>53</x:v>
      </x:c>
      <x:c r="V412" s="38" t="n">
        <x:v>0</x:v>
      </x:c>
      <x:c r="W412" s="38" t="n">
        <x:v>0</x:v>
      </x:c>
      <x:c r="X412" s="44" t="n">
        <x:v>0</x:v>
      </x:c>
      <x:c r="Y412" s="38" t="n">
        <x:v>130</x:v>
      </x:c>
      <x:c r="Z412" s="38" t="n">
        <x:v>29</x:v>
      </x:c>
      <x:c r="AA412" s="38" t="n">
        <x:v>38</x:v>
      </x:c>
      <x:c r="AB412" s="38" t="n">
        <x:v>5</x:v>
      </x:c>
      <x:c r="AC412" s="38" t="n">
        <x:v>5655</x:v>
      </x:c>
      <x:c r="AD412" s="38" t="n">
        <x:v>0</x:v>
      </x:c>
      <x:c r="AE412" s="38" t="n">
        <x:f>IF(B412=1,0,F412-Q411)</x:f>
        <x:v>0</x:v>
      </x:c>
    </x:row>
    <x:row r="413" ht="27" customHeight="1">
      <x:c r="A413" s="28" t="str">
        <x:v>Decorator F2P</x:v>
      </x:c>
      <x:c r="B413" s="38" t="n">
        <x:v>49</x:v>
      </x:c>
      <x:c r="C413" s="38" t="n">
        <x:v>28</x:v>
      </x:c>
      <x:c r="D413" s="38" t="n">
        <x:v>275027</x:v>
      </x:c>
      <x:c r="E413" s="38" t="n">
        <x:v>70</x:v>
      </x:c>
      <x:c r="F413" s="38" t="n">
        <x:v>342420</x:v>
      </x:c>
      <x:c r="G413" s="38" t="n">
        <x:v>58455</x:v>
      </x:c>
      <x:c r="H413" s="38" t="n">
        <x:v>12180</x:v>
      </x:c>
      <x:c r="I413" s="38" t="n">
        <x:v>15222</x:v>
      </x:c>
      <x:c r="J413" s="38" t="n">
        <x:v>0</x:v>
      </x:c>
      <x:c r="K413" s="38" t="n">
        <x:v>0</x:v>
      </x:c>
      <x:c r="L413" s="38" t="n">
        <x:v>0</x:v>
      </x:c>
      <x:c r="M413" s="38" t="n">
        <x:v>350000</x:v>
      </x:c>
      <x:c r="N413" s="38" t="n">
        <x:v>0</x:v>
      </x:c>
      <x:c r="O413" s="38" t="n">
        <x:v>0</x:v>
      </x:c>
      <x:c r="P413" s="38" t="n">
        <x:f>F413+G413-H413+I413+J413+K413+L413-M413-N413-O413</x:f>
        <x:v>53917</x:v>
      </x:c>
      <x:c r="Q413" s="38" t="n">
        <x:v>53917</x:v>
      </x:c>
      <x:c r="R413" s="38" t="n">
        <x:f>P413-Q413</x:f>
        <x:v>0</x:v>
      </x:c>
      <x:c r="S413" s="38" t="n">
        <x:v>46710</x:v>
      </x:c>
      <x:c r="T413" s="38" t="n">
        <x:v>11908</x:v>
      </x:c>
      <x:c r="U413" s="38" t="n">
        <x:v>55</x:v>
      </x:c>
      <x:c r="V413" s="38" t="n">
        <x:v>2</x:v>
      </x:c>
      <x:c r="W413" s="38" t="n">
        <x:v>0</x:v>
      </x:c>
      <x:c r="X413" s="44" t="n">
        <x:v>0</x:v>
      </x:c>
      <x:c r="Y413" s="38" t="n">
        <x:v>135</x:v>
      </x:c>
      <x:c r="Z413" s="38" t="n">
        <x:v>29</x:v>
      </x:c>
      <x:c r="AA413" s="38" t="n">
        <x:v>38</x:v>
      </x:c>
      <x:c r="AB413" s="38" t="n">
        <x:v>5</x:v>
      </x:c>
      <x:c r="AC413" s="38" t="n">
        <x:v>6090</x:v>
      </x:c>
      <x:c r="AD413" s="38" t="n">
        <x:v>0</x:v>
      </x:c>
      <x:c r="AE413" s="38" t="n">
        <x:f>IF(B413=1,0,F413-Q412)</x:f>
        <x:v>0</x:v>
      </x:c>
    </x:row>
    <x:row r="414" ht="27" customHeight="1">
      <x:c r="A414" s="28" t="str">
        <x:v>Decorator F2P</x:v>
      </x:c>
      <x:c r="B414" s="38" t="n">
        <x:v>50</x:v>
      </x:c>
      <x:c r="C414" s="38" t="n">
        <x:v>29</x:v>
      </x:c>
      <x:c r="D414" s="38" t="n">
        <x:v>283300</x:v>
      </x:c>
      <x:c r="E414" s="38" t="n">
        <x:v>70</x:v>
      </x:c>
      <x:c r="F414" s="38" t="n">
        <x:v>53917</x:v>
      </x:c>
      <x:c r="G414" s="38" t="n">
        <x:v>60620</x:v>
      </x:c>
      <x:c r="H414" s="38" t="n">
        <x:v>12349</x:v>
      </x:c>
      <x:c r="I414" s="38" t="n">
        <x:v>2791</x:v>
      </x:c>
      <x:c r="J414" s="38" t="n">
        <x:v>710</x:v>
      </x:c>
      <x:c r="K414" s="38" t="n">
        <x:v>0</x:v>
      </x:c>
      <x:c r="L414" s="38" t="n">
        <x:v>0</x:v>
      </x:c>
      <x:c r="M414" s="38" t="n">
        <x:v>0</x:v>
      </x:c>
      <x:c r="N414" s="38" t="n">
        <x:v>13880</x:v>
      </x:c>
      <x:c r="O414" s="38" t="n">
        <x:v>0</x:v>
      </x:c>
      <x:c r="P414" s="38" t="n">
        <x:f>F414+G414-H414+I414+J414+K414+L414-M414-N414-O414</x:f>
        <x:v>91809</x:v>
      </x:c>
      <x:c r="Q414" s="38" t="n">
        <x:v>91809</x:v>
      </x:c>
      <x:c r="R414" s="38" t="n">
        <x:f>P414-Q414</x:f>
        <x:v>0</x:v>
      </x:c>
      <x:c r="S414" s="38" t="n">
        <x:v>48440</x:v>
      </x:c>
      <x:c r="T414" s="38" t="n">
        <x:v>8273</x:v>
      </x:c>
      <x:c r="U414" s="38" t="n">
        <x:v>59</x:v>
      </x:c>
      <x:c r="V414" s="38" t="n">
        <x:v>4</x:v>
      </x:c>
      <x:c r="W414" s="38" t="n">
        <x:v>0</x:v>
      </x:c>
      <x:c r="X414" s="44" t="n">
        <x:v>0</x:v>
      </x:c>
      <x:c r="Y414" s="38" t="n">
        <x:v>140</x:v>
      </x:c>
      <x:c r="Z414" s="38" t="n">
        <x:v>29</x:v>
      </x:c>
      <x:c r="AA414" s="38" t="n">
        <x:v>39</x:v>
      </x:c>
      <x:c r="AB414" s="38" t="n">
        <x:v>5</x:v>
      </x:c>
      <x:c r="AC414" s="38" t="n">
        <x:v>6259</x:v>
      </x:c>
      <x:c r="AD414" s="38" t="n">
        <x:v>0</x:v>
      </x:c>
      <x:c r="AE414" s="38" t="n">
        <x:f>IF(B414=1,0,F414-Q413)</x:f>
        <x:v>0</x:v>
      </x:c>
    </x:row>
    <x:row r="415" ht="27" customHeight="1">
      <x:c r="A415" s="28" t="str">
        <x:v>Decorator F2P</x:v>
      </x:c>
      <x:c r="B415" s="38" t="n">
        <x:v>51</x:v>
      </x:c>
      <x:c r="C415" s="38" t="n">
        <x:v>29</x:v>
      </x:c>
      <x:c r="D415" s="38" t="n">
        <x:v>291566</x:v>
      </x:c>
      <x:c r="E415" s="38" t="n">
        <x:v>70</x:v>
      </x:c>
      <x:c r="F415" s="38" t="n">
        <x:v>91809</x:v>
      </x:c>
      <x:c r="G415" s="38" t="n">
        <x:v>61791</x:v>
      </x:c>
      <x:c r="H415" s="38" t="n">
        <x:v>12232</x:v>
      </x:c>
      <x:c r="I415" s="38" t="n">
        <x:v>2848</x:v>
      </x:c>
      <x:c r="J415" s="38" t="n">
        <x:v>0</x:v>
      </x:c>
      <x:c r="K415" s="38" t="n">
        <x:v>0</x:v>
      </x:c>
      <x:c r="L415" s="38" t="n">
        <x:v>0</x:v>
      </x:c>
      <x:c r="M415" s="38" t="n">
        <x:v>0</x:v>
      </x:c>
      <x:c r="N415" s="38" t="n">
        <x:v>0</x:v>
      </x:c>
      <x:c r="O415" s="38" t="n">
        <x:v>0</x:v>
      </x:c>
      <x:c r="P415" s="38" t="n">
        <x:f>F415+G415-H415+I415+J415+K415+L415-M415-N415-O415</x:f>
        <x:v>144216</x:v>
      </x:c>
      <x:c r="Q415" s="38" t="n">
        <x:v>144216</x:v>
      </x:c>
      <x:c r="R415" s="38" t="n">
        <x:f>P415-Q415</x:f>
        <x:v>0</x:v>
      </x:c>
      <x:c r="S415" s="38" t="n">
        <x:v>49460</x:v>
      </x:c>
      <x:c r="T415" s="38" t="n">
        <x:v>8266</x:v>
      </x:c>
      <x:c r="U415" s="38" t="n">
        <x:v>61</x:v>
      </x:c>
      <x:c r="V415" s="38" t="n">
        <x:v>2</x:v>
      </x:c>
      <x:c r="W415" s="38" t="n">
        <x:v>0</x:v>
      </x:c>
      <x:c r="X415" s="44" t="n">
        <x:v>0</x:v>
      </x:c>
      <x:c r="Y415" s="38" t="n">
        <x:v>139</x:v>
      </x:c>
      <x:c r="Z415" s="38" t="n">
        <x:v>30</x:v>
      </x:c>
      <x:c r="AA415" s="38" t="n">
        <x:v>39</x:v>
      </x:c>
      <x:c r="AB415" s="38" t="n">
        <x:v>5</x:v>
      </x:c>
      <x:c r="AC415" s="38" t="n">
        <x:v>6160</x:v>
      </x:c>
      <x:c r="AD415" s="38" t="n">
        <x:v>0</x:v>
      </x:c>
      <x:c r="AE415" s="38" t="n">
        <x:f>IF(B415=1,0,F415-Q414)</x:f>
        <x:v>0</x:v>
      </x:c>
    </x:row>
    <x:row r="416" ht="27" customHeight="1">
      <x:c r="A416" s="28" t="str">
        <x:v>Decorator F2P</x:v>
      </x:c>
      <x:c r="B416" s="38" t="n">
        <x:v>52</x:v>
      </x:c>
      <x:c r="C416" s="38" t="n">
        <x:v>29</x:v>
      </x:c>
      <x:c r="D416" s="38" t="n">
        <x:v>299846</x:v>
      </x:c>
      <x:c r="E416" s="38" t="n">
        <x:v>70</x:v>
      </x:c>
      <x:c r="F416" s="38" t="n">
        <x:v>144216</x:v>
      </x:c>
      <x:c r="G416" s="38" t="n">
        <x:v>61740</x:v>
      </x:c>
      <x:c r="H416" s="38" t="n">
        <x:v>12320</x:v>
      </x:c>
      <x:c r="I416" s="38" t="n">
        <x:v>2848</x:v>
      </x:c>
      <x:c r="J416" s="38" t="n">
        <x:v>0</x:v>
      </x:c>
      <x:c r="K416" s="38" t="n">
        <x:v>0</x:v>
      </x:c>
      <x:c r="L416" s="38" t="n">
        <x:v>0</x:v>
      </x:c>
      <x:c r="M416" s="38" t="n">
        <x:v>0</x:v>
      </x:c>
      <x:c r="N416" s="38" t="n">
        <x:v>0</x:v>
      </x:c>
      <x:c r="O416" s="38" t="n">
        <x:v>0</x:v>
      </x:c>
      <x:c r="P416" s="38" t="n">
        <x:f>F416+G416-H416+I416+J416+K416+L416-M416-N416-O416</x:f>
        <x:v>196484</x:v>
      </x:c>
      <x:c r="Q416" s="38" t="n">
        <x:v>196484</x:v>
      </x:c>
      <x:c r="R416" s="38" t="n">
        <x:f>P416-Q416</x:f>
        <x:v>0</x:v>
      </x:c>
      <x:c r="S416" s="38" t="n">
        <x:v>49420</x:v>
      </x:c>
      <x:c r="T416" s="38" t="n">
        <x:v>8280</x:v>
      </x:c>
      <x:c r="U416" s="38" t="n">
        <x:v>61</x:v>
      </x:c>
      <x:c r="V416" s="38" t="n">
        <x:v>0</x:v>
      </x:c>
      <x:c r="W416" s="38" t="n">
        <x:v>0</x:v>
      </x:c>
      <x:c r="X416" s="44" t="n">
        <x:v>0</x:v>
      </x:c>
      <x:c r="Y416" s="38" t="n">
        <x:v>140</x:v>
      </x:c>
      <x:c r="Z416" s="38" t="n">
        <x:v>30</x:v>
      </x:c>
      <x:c r="AA416" s="38" t="n">
        <x:v>39</x:v>
      </x:c>
      <x:c r="AB416" s="38" t="n">
        <x:v>5</x:v>
      </x:c>
      <x:c r="AC416" s="38" t="n">
        <x:v>6160</x:v>
      </x:c>
      <x:c r="AD416" s="38" t="n">
        <x:v>0</x:v>
      </x:c>
      <x:c r="AE416" s="38" t="n">
        <x:f>IF(B416=1,0,F416-Q415)</x:f>
        <x:v>0</x:v>
      </x:c>
    </x:row>
    <x:row r="417" ht="27" customHeight="1">
      <x:c r="A417" s="28" t="str">
        <x:v>Decorator F2P</x:v>
      </x:c>
      <x:c r="B417" s="38" t="n">
        <x:v>53</x:v>
      </x:c>
      <x:c r="C417" s="38" t="n">
        <x:v>29</x:v>
      </x:c>
      <x:c r="D417" s="38" t="n">
        <x:v>308126</x:v>
      </x:c>
      <x:c r="E417" s="38" t="n">
        <x:v>70</x:v>
      </x:c>
      <x:c r="F417" s="38" t="n">
        <x:v>196484</x:v>
      </x:c>
      <x:c r="G417" s="38" t="n">
        <x:v>61740</x:v>
      </x:c>
      <x:c r="H417" s="38" t="n">
        <x:v>12320</x:v>
      </x:c>
      <x:c r="I417" s="38" t="n">
        <x:v>2848</x:v>
      </x:c>
      <x:c r="J417" s="38" t="n">
        <x:v>0</x:v>
      </x:c>
      <x:c r="K417" s="38" t="n">
        <x:v>0</x:v>
      </x:c>
      <x:c r="L417" s="38" t="n">
        <x:v>0</x:v>
      </x:c>
      <x:c r="M417" s="38" t="n">
        <x:v>0</x:v>
      </x:c>
      <x:c r="N417" s="38" t="n">
        <x:v>0</x:v>
      </x:c>
      <x:c r="O417" s="38" t="n">
        <x:v>0</x:v>
      </x:c>
      <x:c r="P417" s="38" t="n">
        <x:f>F417+G417-H417+I417+J417+K417+L417-M417-N417-O417</x:f>
        <x:v>248752</x:v>
      </x:c>
      <x:c r="Q417" s="38" t="n">
        <x:v>248752</x:v>
      </x:c>
      <x:c r="R417" s="38" t="n">
        <x:f>P417-Q417</x:f>
        <x:v>0</x:v>
      </x:c>
      <x:c r="S417" s="38" t="n">
        <x:v>49420</x:v>
      </x:c>
      <x:c r="T417" s="38" t="n">
        <x:v>8280</x:v>
      </x:c>
      <x:c r="U417" s="38" t="n">
        <x:v>61</x:v>
      </x:c>
      <x:c r="V417" s="38" t="n">
        <x:v>0</x:v>
      </x:c>
      <x:c r="W417" s="38" t="n">
        <x:v>0</x:v>
      </x:c>
      <x:c r="X417" s="44" t="n">
        <x:v>0</x:v>
      </x:c>
      <x:c r="Y417" s="38" t="n">
        <x:v>140</x:v>
      </x:c>
      <x:c r="Z417" s="38" t="n">
        <x:v>30</x:v>
      </x:c>
      <x:c r="AA417" s="38" t="n">
        <x:v>39</x:v>
      </x:c>
      <x:c r="AB417" s="38" t="n">
        <x:v>5</x:v>
      </x:c>
      <x:c r="AC417" s="38" t="n">
        <x:v>6160</x:v>
      </x:c>
      <x:c r="AD417" s="38" t="n">
        <x:v>0</x:v>
      </x:c>
      <x:c r="AE417" s="38" t="n">
        <x:f>IF(B417=1,0,F417-Q416)</x:f>
        <x:v>0</x:v>
      </x:c>
    </x:row>
    <x:row r="418" ht="27" customHeight="1">
      <x:c r="A418" s="28" t="str">
        <x:v>Decorator F2P</x:v>
      </x:c>
      <x:c r="B418" s="38" t="n">
        <x:v>54</x:v>
      </x:c>
      <x:c r="C418" s="38" t="n">
        <x:v>30</x:v>
      </x:c>
      <x:c r="D418" s="38" t="n">
        <x:v>316406</x:v>
      </x:c>
      <x:c r="E418" s="38" t="n">
        <x:v>70</x:v>
      </x:c>
      <x:c r="F418" s="38" t="n">
        <x:v>248752</x:v>
      </x:c>
      <x:c r="G418" s="38" t="n">
        <x:v>61740</x:v>
      </x:c>
      <x:c r="H418" s="38" t="n">
        <x:v>12685</x:v>
      </x:c>
      <x:c r="I418" s="38" t="n">
        <x:v>2848</x:v>
      </x:c>
      <x:c r="J418" s="38" t="n">
        <x:v>780</x:v>
      </x:c>
      <x:c r="K418" s="38" t="n">
        <x:v>0</x:v>
      </x:c>
      <x:c r="L418" s="38" t="n">
        <x:v>0</x:v>
      </x:c>
      <x:c r="M418" s="38" t="n">
        <x:v>0</x:v>
      </x:c>
      <x:c r="N418" s="38" t="n">
        <x:v>15170</x:v>
      </x:c>
      <x:c r="O418" s="38" t="n">
        <x:v>0</x:v>
      </x:c>
      <x:c r="P418" s="38" t="n">
        <x:f>F418+G418-H418+I418+J418+K418+L418-M418-N418-O418</x:f>
        <x:v>286265</x:v>
      </x:c>
      <x:c r="Q418" s="38" t="n">
        <x:v>286265</x:v>
      </x:c>
      <x:c r="R418" s="38" t="n">
        <x:f>P418-Q418</x:f>
        <x:v>0</x:v>
      </x:c>
      <x:c r="S418" s="38" t="n">
        <x:v>49420</x:v>
      </x:c>
      <x:c r="T418" s="38" t="n">
        <x:v>8280</x:v>
      </x:c>
      <x:c r="U418" s="38" t="n">
        <x:v>64</x:v>
      </x:c>
      <x:c r="V418" s="38" t="n">
        <x:v>3</x:v>
      </x:c>
      <x:c r="W418" s="38" t="n">
        <x:v>0</x:v>
      </x:c>
      <x:c r="X418" s="44" t="n">
        <x:v>0</x:v>
      </x:c>
      <x:c r="Y418" s="38" t="n">
        <x:v>140</x:v>
      </x:c>
      <x:c r="Z418" s="38" t="n">
        <x:v>30</x:v>
      </x:c>
      <x:c r="AA418" s="38" t="n">
        <x:v>40</x:v>
      </x:c>
      <x:c r="AB418" s="38" t="n">
        <x:v>5</x:v>
      </x:c>
      <x:c r="AC418" s="38" t="n">
        <x:v>6525</x:v>
      </x:c>
      <x:c r="AD418" s="38" t="n">
        <x:v>0</x:v>
      </x:c>
      <x:c r="AE418" s="38" t="n">
        <x:f>IF(B418=1,0,F418-Q417)</x:f>
        <x:v>0</x:v>
      </x:c>
    </x:row>
    <x:row r="419" ht="27" customHeight="1">
      <x:c r="A419" s="28" t="str">
        <x:v>Decorator F2P</x:v>
      </x:c>
      <x:c r="B419" s="38" t="n">
        <x:v>55</x:v>
      </x:c>
      <x:c r="C419" s="38" t="n">
        <x:v>30</x:v>
      </x:c>
      <x:c r="D419" s="38" t="n">
        <x:v>325057</x:v>
      </x:c>
      <x:c r="E419" s="38" t="n">
        <x:v>75</x:v>
      </x:c>
      <x:c r="F419" s="38" t="n">
        <x:v>286265</x:v>
      </x:c>
      <x:c r="G419" s="38" t="n">
        <x:v>64350</x:v>
      </x:c>
      <x:c r="H419" s="38" t="n">
        <x:v>13320</x:v>
      </x:c>
      <x:c r="I419" s="38" t="n">
        <x:v>3112</x:v>
      </x:c>
      <x:c r="J419" s="38" t="n">
        <x:v>0</x:v>
      </x:c>
      <x:c r="K419" s="38" t="n">
        <x:v>0</x:v>
      </x:c>
      <x:c r="L419" s="38" t="n">
        <x:v>0</x:v>
      </x:c>
      <x:c r="M419" s="38" t="n">
        <x:v>300000</x:v>
      </x:c>
      <x:c r="N419" s="38" t="n">
        <x:v>0</x:v>
      </x:c>
      <x:c r="O419" s="38" t="n">
        <x:v>0</x:v>
      </x:c>
      <x:c r="P419" s="38" t="n">
        <x:f>F419+G419-H419+I419+J419+K419+L419-M419-N419-O419</x:f>
        <x:v>40407</x:v>
      </x:c>
      <x:c r="Q419" s="38" t="n">
        <x:v>40407</x:v>
      </x:c>
      <x:c r="R419" s="38" t="n">
        <x:f>P419-Q419</x:f>
        <x:v>0</x:v>
      </x:c>
      <x:c r="S419" s="38" t="n">
        <x:v>51480</x:v>
      </x:c>
      <x:c r="T419" s="38" t="n">
        <x:v>8651</x:v>
      </x:c>
      <x:c r="U419" s="38" t="n">
        <x:v>64</x:v>
      </x:c>
      <x:c r="V419" s="38" t="n">
        <x:v>0</x:v>
      </x:c>
      <x:c r="W419" s="38" t="n">
        <x:v>0</x:v>
      </x:c>
      <x:c r="X419" s="44" t="n">
        <x:v>0</x:v>
      </x:c>
      <x:c r="Y419" s="38" t="n">
        <x:v>143</x:v>
      </x:c>
      <x:c r="Z419" s="38" t="n">
        <x:v>30</x:v>
      </x:c>
      <x:c r="AA419" s="38" t="n">
        <x:v>40</x:v>
      </x:c>
      <x:c r="AB419" s="38" t="n">
        <x:v>5</x:v>
      </x:c>
      <x:c r="AC419" s="38" t="n">
        <x:v>6975</x:v>
      </x:c>
      <x:c r="AD419" s="38" t="n">
        <x:v>0</x:v>
      </x:c>
      <x:c r="AE419" s="38" t="n">
        <x:f>IF(B419=1,0,F419-Q418)</x:f>
        <x:v>0</x:v>
      </x:c>
    </x:row>
    <x:row r="420" ht="27" customHeight="1">
      <x:c r="A420" s="28" t="str">
        <x:v>Decorator F2P</x:v>
      </x:c>
      <x:c r="B420" s="38" t="n">
        <x:v>56</x:v>
      </x:c>
      <x:c r="C420" s="38" t="n">
        <x:v>30</x:v>
      </x:c>
      <x:c r="D420" s="38" t="n">
        <x:v>338475</x:v>
      </x:c>
      <x:c r="E420" s="38" t="n">
        <x:v>75</x:v>
      </x:c>
      <x:c r="F420" s="38" t="n">
        <x:v>40407</x:v>
      </x:c>
      <x:c r="G420" s="38" t="n">
        <x:v>68175</x:v>
      </x:c>
      <x:c r="H420" s="38" t="n">
        <x:v>13410</x:v>
      </x:c>
      <x:c r="I420" s="38" t="n">
        <x:v>17067</x:v>
      </x:c>
      <x:c r="J420" s="38" t="n">
        <x:v>0</x:v>
      </x:c>
      <x:c r="K420" s="38" t="n">
        <x:v>0</x:v>
      </x:c>
      <x:c r="L420" s="38" t="n">
        <x:v>0</x:v>
      </x:c>
      <x:c r="M420" s="38" t="n">
        <x:v>0</x:v>
      </x:c>
      <x:c r="N420" s="38" t="n">
        <x:v>0</x:v>
      </x:c>
      <x:c r="O420" s="38" t="n">
        <x:v>53626</x:v>
      </x:c>
      <x:c r="P420" s="38" t="n">
        <x:f>F420+G420-H420+I420+J420+K420+L420-M420-N420-O420</x:f>
        <x:v>58613</x:v>
      </x:c>
      <x:c r="Q420" s="38" t="n">
        <x:v>58613</x:v>
      </x:c>
      <x:c r="R420" s="38" t="n">
        <x:f>P420-Q420</x:f>
        <x:v>0</x:v>
      </x:c>
      <x:c r="S420" s="38" t="n">
        <x:v>54540</x:v>
      </x:c>
      <x:c r="T420" s="38" t="n">
        <x:v>13418</x:v>
      </x:c>
      <x:c r="U420" s="38" t="n">
        <x:v>66</x:v>
      </x:c>
      <x:c r="V420" s="38" t="n">
        <x:v>2</x:v>
      </x:c>
      <x:c r="W420" s="38" t="n">
        <x:v>0</x:v>
      </x:c>
      <x:c r="X420" s="44" t="n">
        <x:v>0</x:v>
      </x:c>
      <x:c r="Y420" s="38" t="n">
        <x:v>149</x:v>
      </x:c>
      <x:c r="Z420" s="38" t="n">
        <x:v>31</x:v>
      </x:c>
      <x:c r="AA420" s="38" t="n">
        <x:v>40</x:v>
      </x:c>
      <x:c r="AB420" s="38" t="n">
        <x:v>5</x:v>
      </x:c>
      <x:c r="AC420" s="38" t="n">
        <x:v>6750</x:v>
      </x:c>
      <x:c r="AD420" s="38" t="n">
        <x:v>0</x:v>
      </x:c>
      <x:c r="AE420" s="38" t="n">
        <x:f>IF(B420=1,0,F420-Q419)</x:f>
        <x:v>0</x:v>
      </x:c>
    </x:row>
    <x:row r="421" ht="27" customHeight="1">
      <x:c r="A421" s="28" t="str">
        <x:v>Decorator F2P</x:v>
      </x:c>
      <x:c r="B421" s="38" t="n">
        <x:v>57</x:v>
      </x:c>
      <x:c r="C421" s="38" t="n">
        <x:v>31</x:v>
      </x:c>
      <x:c r="D421" s="38" t="n">
        <x:v>347504</x:v>
      </x:c>
      <x:c r="E421" s="38" t="n">
        <x:v>75</x:v>
      </x:c>
      <x:c r="F421" s="38" t="n">
        <x:v>58613</x:v>
      </x:c>
      <x:c r="G421" s="38" t="n">
        <x:v>68175</x:v>
      </x:c>
      <x:c r="H421" s="38" t="n">
        <x:v>13800</x:v>
      </x:c>
      <x:c r="I421" s="38" t="n">
        <x:v>3112</x:v>
      </x:c>
      <x:c r="J421" s="38" t="n">
        <x:v>795</x:v>
      </x:c>
      <x:c r="K421" s="38" t="n">
        <x:v>0</x:v>
      </x:c>
      <x:c r="L421" s="38" t="n">
        <x:v>0</x:v>
      </x:c>
      <x:c r="M421" s="38" t="n">
        <x:v>0</x:v>
      </x:c>
      <x:c r="N421" s="38" t="n">
        <x:v>15465</x:v>
      </x:c>
      <x:c r="O421" s="38" t="n">
        <x:v>41655</x:v>
      </x:c>
      <x:c r="P421" s="38" t="n">
        <x:f>F421+G421-H421+I421+J421+K421+L421-M421-N421-O421</x:f>
        <x:v>59775</x:v>
      </x:c>
      <x:c r="Q421" s="38" t="n">
        <x:v>59775</x:v>
      </x:c>
      <x:c r="R421" s="38" t="n">
        <x:f>P421-Q421</x:f>
        <x:v>0</x:v>
      </x:c>
      <x:c r="S421" s="38" t="n">
        <x:v>54525</x:v>
      </x:c>
      <x:c r="T421" s="38" t="n">
        <x:v>9029</x:v>
      </x:c>
      <x:c r="U421" s="38" t="n">
        <x:v>66</x:v>
      </x:c>
      <x:c r="V421" s="38" t="n">
        <x:v>0</x:v>
      </x:c>
      <x:c r="W421" s="38" t="n">
        <x:v>0</x:v>
      </x:c>
      <x:c r="X421" s="44" t="n">
        <x:v>0</x:v>
      </x:c>
      <x:c r="Y421" s="38" t="n">
        <x:v>150</x:v>
      </x:c>
      <x:c r="Z421" s="38" t="n">
        <x:v>31</x:v>
      </x:c>
      <x:c r="AA421" s="38" t="n">
        <x:v>41</x:v>
      </x:c>
      <x:c r="AB421" s="38" t="n">
        <x:v>5</x:v>
      </x:c>
      <x:c r="AC421" s="38" t="n">
        <x:v>6900</x:v>
      </x:c>
      <x:c r="AD421" s="38" t="n">
        <x:v>0</x:v>
      </x:c>
      <x:c r="AE421" s="38" t="n">
        <x:f>IF(B421=1,0,F421-Q420)</x:f>
        <x:v>0</x:v>
      </x:c>
    </x:row>
    <x:row r="422" ht="27" customHeight="1">
      <x:c r="A422" s="28" t="str">
        <x:v>Decorator F2P</x:v>
      </x:c>
      <x:c r="B422" s="38" t="n">
        <x:v>58</x:v>
      </x:c>
      <x:c r="C422" s="38" t="n">
        <x:v>31</x:v>
      </x:c>
      <x:c r="D422" s="38" t="n">
        <x:v>356540</x:v>
      </x:c>
      <x:c r="E422" s="38" t="n">
        <x:v>75</x:v>
      </x:c>
      <x:c r="F422" s="38" t="n">
        <x:v>59775</x:v>
      </x:c>
      <x:c r="G422" s="38" t="n">
        <x:v>68850</x:v>
      </x:c>
      <x:c r="H422" s="38" t="n">
        <x:v>13800</x:v>
      </x:c>
      <x:c r="I422" s="38" t="n">
        <x:v>3172</x:v>
      </x:c>
      <x:c r="J422" s="38" t="n">
        <x:v>0</x:v>
      </x:c>
      <x:c r="K422" s="38" t="n">
        <x:v>0</x:v>
      </x:c>
      <x:c r="L422" s="38" t="n">
        <x:v>0</x:v>
      </x:c>
      <x:c r="M422" s="38" t="n">
        <x:v>0</x:v>
      </x:c>
      <x:c r="N422" s="38" t="n">
        <x:v>0</x:v>
      </x:c>
      <x:c r="O422" s="38" t="n">
        <x:v>34374</x:v>
      </x:c>
      <x:c r="P422" s="38" t="n">
        <x:f>F422+G422-H422+I422+J422+K422+L422-M422-N422-O422</x:f>
        <x:v>83623</x:v>
      </x:c>
      <x:c r="Q422" s="38" t="n">
        <x:v>83623</x:v>
      </x:c>
      <x:c r="R422" s="38" t="n">
        <x:f>P422-Q422</x:f>
        <x:v>0</x:v>
      </x:c>
      <x:c r="S422" s="38" t="n">
        <x:v>55050</x:v>
      </x:c>
      <x:c r="T422" s="38" t="n">
        <x:v>9036</x:v>
      </x:c>
      <x:c r="U422" s="38" t="n">
        <x:v>66</x:v>
      </x:c>
      <x:c r="V422" s="38" t="n">
        <x:v>0</x:v>
      </x:c>
      <x:c r="W422" s="38" t="n">
        <x:v>0</x:v>
      </x:c>
      <x:c r="X422" s="44" t="n">
        <x:v>0</x:v>
      </x:c>
      <x:c r="Y422" s="38" t="n">
        <x:v>150</x:v>
      </x:c>
      <x:c r="Z422" s="38" t="n">
        <x:v>31</x:v>
      </x:c>
      <x:c r="AA422" s="38" t="n">
        <x:v>41</x:v>
      </x:c>
      <x:c r="AB422" s="38" t="n">
        <x:v>6</x:v>
      </x:c>
      <x:c r="AC422" s="38" t="n">
        <x:v>6900</x:v>
      </x:c>
      <x:c r="AD422" s="38" t="n">
        <x:v>0</x:v>
      </x:c>
      <x:c r="AE422" s="38" t="n">
        <x:f>IF(B422=1,0,F422-Q421)</x:f>
        <x:v>0</x:v>
      </x:c>
    </x:row>
    <x:row r="423" ht="27" customHeight="1">
      <x:c r="A423" s="28" t="str">
        <x:v>Decorator F2P</x:v>
      </x:c>
      <x:c r="B423" s="38" t="n">
        <x:v>59</x:v>
      </x:c>
      <x:c r="C423" s="38" t="n">
        <x:v>31</x:v>
      </x:c>
      <x:c r="D423" s="38" t="n">
        <x:v>365576</x:v>
      </x:c>
      <x:c r="E423" s="38" t="n">
        <x:v>75</x:v>
      </x:c>
      <x:c r="F423" s="38" t="n">
        <x:v>83623</x:v>
      </x:c>
      <x:c r="G423" s="38" t="n">
        <x:v>68850</x:v>
      </x:c>
      <x:c r="H423" s="38" t="n">
        <x:v>13800</x:v>
      </x:c>
      <x:c r="I423" s="38" t="n">
        <x:v>3172</x:v>
      </x:c>
      <x:c r="J423" s="38" t="n">
        <x:v>0</x:v>
      </x:c>
      <x:c r="K423" s="38" t="n">
        <x:v>0</x:v>
      </x:c>
      <x:c r="L423" s="38" t="n">
        <x:v>0</x:v>
      </x:c>
      <x:c r="M423" s="38" t="n">
        <x:v>0</x:v>
      </x:c>
      <x:c r="N423" s="38" t="n">
        <x:v>0</x:v>
      </x:c>
      <x:c r="O423" s="38" t="n">
        <x:v>0</x:v>
      </x:c>
      <x:c r="P423" s="38" t="n">
        <x:f>F423+G423-H423+I423+J423+K423+L423-M423-N423-O423</x:f>
        <x:v>141845</x:v>
      </x:c>
      <x:c r="Q423" s="38" t="n">
        <x:v>141845</x:v>
      </x:c>
      <x:c r="R423" s="38" t="n">
        <x:f>P423-Q423</x:f>
        <x:v>0</x:v>
      </x:c>
      <x:c r="S423" s="38" t="n">
        <x:v>55050</x:v>
      </x:c>
      <x:c r="T423" s="38" t="n">
        <x:v>9036</x:v>
      </x:c>
      <x:c r="U423" s="38" t="n">
        <x:v>66</x:v>
      </x:c>
      <x:c r="V423" s="38" t="n">
        <x:v>0</x:v>
      </x:c>
      <x:c r="W423" s="38" t="n">
        <x:v>0</x:v>
      </x:c>
      <x:c r="X423" s="44" t="n">
        <x:v>0</x:v>
      </x:c>
      <x:c r="Y423" s="38" t="n">
        <x:v>150</x:v>
      </x:c>
      <x:c r="Z423" s="38" t="n">
        <x:v>31</x:v>
      </x:c>
      <x:c r="AA423" s="38" t="n">
        <x:v>41</x:v>
      </x:c>
      <x:c r="AB423" s="38" t="n">
        <x:v>6</x:v>
      </x:c>
      <x:c r="AC423" s="38" t="n">
        <x:v>6900</x:v>
      </x:c>
      <x:c r="AD423" s="38" t="n">
        <x:v>0</x:v>
      </x:c>
      <x:c r="AE423" s="38" t="n">
        <x:f>IF(B423=1,0,F423-Q422)</x:f>
        <x:v>0</x:v>
      </x:c>
    </x:row>
    <x:row r="424" ht="27" customHeight="1">
      <x:c r="A424" s="28" t="str">
        <x:v>Decorator F2P</x:v>
      </x:c>
      <x:c r="B424" s="38" t="n">
        <x:v>60</x:v>
      </x:c>
      <x:c r="C424" s="38" t="n">
        <x:v>32</x:v>
      </x:c>
      <x:c r="D424" s="38" t="n">
        <x:v>374612</x:v>
      </x:c>
      <x:c r="E424" s="38" t="n">
        <x:v>75</x:v>
      </x:c>
      <x:c r="F424" s="38" t="n">
        <x:v>141845</x:v>
      </x:c>
      <x:c r="G424" s="38" t="n">
        <x:v>68850</x:v>
      </x:c>
      <x:c r="H424" s="38" t="n">
        <x:v>13861</x:v>
      </x:c>
      <x:c r="I424" s="38" t="n">
        <x:v>3172</x:v>
      </x:c>
      <x:c r="J424" s="38" t="n">
        <x:v>810</x:v>
      </x:c>
      <x:c r="K424" s="38" t="n">
        <x:v>0</x:v>
      </x:c>
      <x:c r="L424" s="38" t="n">
        <x:v>0</x:v>
      </x:c>
      <x:c r="M424" s="38" t="n">
        <x:v>0</x:v>
      </x:c>
      <x:c r="N424" s="38" t="n">
        <x:v>15760</x:v>
      </x:c>
      <x:c r="O424" s="38" t="n">
        <x:v>0</x:v>
      </x:c>
      <x:c r="P424" s="38" t="n">
        <x:f>F424+G424-H424+I424+J424+K424+L424-M424-N424-O424</x:f>
        <x:v>185056</x:v>
      </x:c>
      <x:c r="Q424" s="38" t="n">
        <x:v>185056</x:v>
      </x:c>
      <x:c r="R424" s="38" t="n">
        <x:f>P424-Q424</x:f>
        <x:v>0</x:v>
      </x:c>
      <x:c r="S424" s="38" t="n">
        <x:v>55050</x:v>
      </x:c>
      <x:c r="T424" s="38" t="n">
        <x:v>9036</x:v>
      </x:c>
      <x:c r="U424" s="38" t="n">
        <x:v>67</x:v>
      </x:c>
      <x:c r="V424" s="38" t="n">
        <x:v>1</x:v>
      </x:c>
      <x:c r="W424" s="38" t="n">
        <x:v>0</x:v>
      </x:c>
      <x:c r="X424" s="44" t="n">
        <x:v>0</x:v>
      </x:c>
      <x:c r="Y424" s="38" t="n">
        <x:v>150</x:v>
      </x:c>
      <x:c r="Z424" s="38" t="n">
        <x:v>31</x:v>
      </x:c>
      <x:c r="AA424" s="38" t="n">
        <x:v>42</x:v>
      </x:c>
      <x:c r="AB424" s="38" t="n">
        <x:v>6</x:v>
      </x:c>
      <x:c r="AC424" s="38" t="n">
        <x:v>6961</x:v>
      </x:c>
      <x:c r="AD424" s="38" t="n">
        <x:v>0</x:v>
      </x:c>
      <x:c r="AE424" s="38" t="n">
        <x:f>IF(B424=1,0,F424-Q423)</x:f>
        <x:v>0</x:v>
      </x:c>
    </x:row>
    <x:row r="425" ht="27" customHeight="1">
      <x:c r="A425" s="28" t="str">
        <x:v>Decorator F2P</x:v>
      </x:c>
      <x:c r="B425" s="38" t="n">
        <x:v>61</x:v>
      </x:c>
      <x:c r="C425" s="38" t="n">
        <x:v>32</x:v>
      </x:c>
      <x:c r="D425" s="38" t="n">
        <x:v>383603</x:v>
      </x:c>
      <x:c r="E425" s="38" t="n">
        <x:v>75</x:v>
      </x:c>
      <x:c r="F425" s="38" t="n">
        <x:v>185056</x:v>
      </x:c>
      <x:c r="G425" s="38" t="n">
        <x:v>69753</x:v>
      </x:c>
      <x:c r="H425" s="38" t="n">
        <x:v>14100</x:v>
      </x:c>
      <x:c r="I425" s="38" t="n">
        <x:v>3233</x:v>
      </x:c>
      <x:c r="J425" s="38" t="n">
        <x:v>0</x:v>
      </x:c>
      <x:c r="K425" s="38" t="n">
        <x:v>0</x:v>
      </x:c>
      <x:c r="L425" s="38" t="n">
        <x:v>0</x:v>
      </x:c>
      <x:c r="M425" s="38" t="n">
        <x:v>0</x:v>
      </x:c>
      <x:c r="N425" s="38" t="n">
        <x:v>0</x:v>
      </x:c>
      <x:c r="O425" s="38" t="n">
        <x:v>0</x:v>
      </x:c>
      <x:c r="P425" s="38" t="n">
        <x:f>F425+G425-H425+I425+J425+K425+L425-M425-N425-O425</x:f>
        <x:v>243942</x:v>
      </x:c>
      <x:c r="Q425" s="38" t="n">
        <x:v>243942</x:v>
      </x:c>
      <x:c r="R425" s="38" t="n">
        <x:f>P425-Q425</x:f>
        <x:v>0</x:v>
      </x:c>
      <x:c r="S425" s="38" t="n">
        <x:v>55742</x:v>
      </x:c>
      <x:c r="T425" s="38" t="n">
        <x:v>8991</x:v>
      </x:c>
      <x:c r="U425" s="38" t="n">
        <x:v>67</x:v>
      </x:c>
      <x:c r="V425" s="38" t="n">
        <x:v>0</x:v>
      </x:c>
      <x:c r="W425" s="38" t="n">
        <x:v>0</x:v>
      </x:c>
      <x:c r="X425" s="44" t="n">
        <x:v>0</x:v>
      </x:c>
      <x:c r="Y425" s="38" t="n">
        <x:v>150</x:v>
      </x:c>
      <x:c r="Z425" s="38" t="n">
        <x:v>32</x:v>
      </x:c>
      <x:c r="AA425" s="38" t="n">
        <x:v>42</x:v>
      </x:c>
      <x:c r="AB425" s="38" t="n">
        <x:v>6</x:v>
      </x:c>
      <x:c r="AC425" s="38" t="n">
        <x:v>7050</x:v>
      </x:c>
      <x:c r="AD425" s="38" t="n">
        <x:v>0</x:v>
      </x:c>
      <x:c r="AE425" s="38" t="n">
        <x:f>IF(B425=1,0,F425-Q424)</x:f>
        <x:v>0</x:v>
      </x:c>
    </x:row>
    <x:row r="426" ht="27" customHeight="1">
      <x:c r="A426" s="28" t="str">
        <x:v>Decorator F2P</x:v>
      </x:c>
      <x:c r="B426" s="38" t="n">
        <x:v>62</x:v>
      </x:c>
      <x:c r="C426" s="38" t="n">
        <x:v>32</x:v>
      </x:c>
      <x:c r="D426" s="38" t="n">
        <x:v>392646</x:v>
      </x:c>
      <x:c r="E426" s="38" t="n">
        <x:v>75</x:v>
      </x:c>
      <x:c r="F426" s="38" t="n">
        <x:v>243942</x:v>
      </x:c>
      <x:c r="G426" s="38" t="n">
        <x:v>70200</x:v>
      </x:c>
      <x:c r="H426" s="38" t="n">
        <x:v>14100</x:v>
      </x:c>
      <x:c r="I426" s="38" t="n">
        <x:v>3233</x:v>
      </x:c>
      <x:c r="J426" s="38" t="n">
        <x:v>0</x:v>
      </x:c>
      <x:c r="K426" s="38" t="n">
        <x:v>0</x:v>
      </x:c>
      <x:c r="L426" s="38" t="n">
        <x:v>0</x:v>
      </x:c>
      <x:c r="M426" s="38" t="n">
        <x:v>0</x:v>
      </x:c>
      <x:c r="N426" s="38" t="n">
        <x:v>0</x:v>
      </x:c>
      <x:c r="O426" s="38" t="n">
        <x:v>0</x:v>
      </x:c>
      <x:c r="P426" s="38" t="n">
        <x:f>F426+G426-H426+I426+J426+K426+L426-M426-N426-O426</x:f>
        <x:v>303275</x:v>
      </x:c>
      <x:c r="Q426" s="38" t="n">
        <x:v>303275</x:v>
      </x:c>
      <x:c r="R426" s="38" t="n">
        <x:f>P426-Q426</x:f>
        <x:v>0</x:v>
      </x:c>
      <x:c r="S426" s="38" t="n">
        <x:v>56100</x:v>
      </x:c>
      <x:c r="T426" s="38" t="n">
        <x:v>9043</x:v>
      </x:c>
      <x:c r="U426" s="38" t="n">
        <x:v>67</x:v>
      </x:c>
      <x:c r="V426" s="38" t="n">
        <x:v>0</x:v>
      </x:c>
      <x:c r="W426" s="38" t="n">
        <x:v>0</x:v>
      </x:c>
      <x:c r="X426" s="44" t="n">
        <x:v>0</x:v>
      </x:c>
      <x:c r="Y426" s="38" t="n">
        <x:v>150</x:v>
      </x:c>
      <x:c r="Z426" s="38" t="n">
        <x:v>32</x:v>
      </x:c>
      <x:c r="AA426" s="38" t="n">
        <x:v>42</x:v>
      </x:c>
      <x:c r="AB426" s="38" t="n">
        <x:v>6</x:v>
      </x:c>
      <x:c r="AC426" s="38" t="n">
        <x:v>7050</x:v>
      </x:c>
      <x:c r="AD426" s="38" t="n">
        <x:v>0</x:v>
      </x:c>
      <x:c r="AE426" s="38" t="n">
        <x:f>IF(B426=1,0,F426-Q425)</x:f>
        <x:v>0</x:v>
      </x:c>
    </x:row>
    <x:row r="427" ht="27" customHeight="1">
      <x:c r="A427" s="28" t="str">
        <x:v>Decorator F2P</x:v>
      </x:c>
      <x:c r="B427" s="38" t="n">
        <x:v>63</x:v>
      </x:c>
      <x:c r="C427" s="38" t="n">
        <x:v>33</x:v>
      </x:c>
      <x:c r="D427" s="38" t="n">
        <x:v>406333</x:v>
      </x:c>
      <x:c r="E427" s="38" t="n">
        <x:v>75</x:v>
      </x:c>
      <x:c r="F427" s="38" t="n">
        <x:v>303275</x:v>
      </x:c>
      <x:c r="G427" s="38" t="n">
        <x:v>70200</x:v>
      </x:c>
      <x:c r="H427" s="38" t="n">
        <x:v>14175</x:v>
      </x:c>
      <x:c r="I427" s="38" t="n">
        <x:v>18792</x:v>
      </x:c>
      <x:c r="J427" s="38" t="n">
        <x:v>825</x:v>
      </x:c>
      <x:c r="K427" s="38" t="n">
        <x:v>0</x:v>
      </x:c>
      <x:c r="L427" s="38" t="n">
        <x:v>0</x:v>
      </x:c>
      <x:c r="M427" s="38" t="n">
        <x:v>0</x:v>
      </x:c>
      <x:c r="N427" s="38" t="n">
        <x:v>16060</x:v>
      </x:c>
      <x:c r="O427" s="38" t="n">
        <x:v>0</x:v>
      </x:c>
      <x:c r="P427" s="38" t="n">
        <x:f>F427+G427-H427+I427+J427+K427+L427-M427-N427-O427</x:f>
        <x:v>362857</x:v>
      </x:c>
      <x:c r="Q427" s="38" t="n">
        <x:v>362857</x:v>
      </x:c>
      <x:c r="R427" s="38" t="n">
        <x:f>P427-Q427</x:f>
        <x:v>0</x:v>
      </x:c>
      <x:c r="S427" s="38" t="n">
        <x:v>56100</x:v>
      </x:c>
      <x:c r="T427" s="38" t="n">
        <x:v>13687</x:v>
      </x:c>
      <x:c r="U427" s="38" t="n">
        <x:v>69</x:v>
      </x:c>
      <x:c r="V427" s="38" t="n">
        <x:v>2</x:v>
      </x:c>
      <x:c r="W427" s="38" t="n">
        <x:v>0</x:v>
      </x:c>
      <x:c r="X427" s="44" t="n">
        <x:v>0</x:v>
      </x:c>
      <x:c r="Y427" s="38" t="n">
        <x:v>150</x:v>
      </x:c>
      <x:c r="Z427" s="38" t="n">
        <x:v>32</x:v>
      </x:c>
      <x:c r="AA427" s="38" t="n">
        <x:v>43</x:v>
      </x:c>
      <x:c r="AB427" s="38" t="n">
        <x:v>6</x:v>
      </x:c>
      <x:c r="AC427" s="38" t="n">
        <x:v>7125</x:v>
      </x:c>
      <x:c r="AD427" s="38" t="n">
        <x:v>0</x:v>
      </x:c>
      <x:c r="AE427" s="38" t="n">
        <x:f>IF(B427=1,0,F427-Q426)</x:f>
        <x:v>0</x:v>
      </x:c>
    </x:row>
    <x:row r="428" ht="27" customHeight="1">
      <x:c r="A428" s="28" t="str">
        <x:v>Decorator F2P</x:v>
      </x:c>
      <x:c r="B428" s="38" t="n">
        <x:v>64</x:v>
      </x:c>
      <x:c r="C428" s="38" t="n">
        <x:v>33</x:v>
      </x:c>
      <x:c r="D428" s="38" t="n">
        <x:v>415533</x:v>
      </x:c>
      <x:c r="E428" s="38" t="n">
        <x:v>75</x:v>
      </x:c>
      <x:c r="F428" s="38" t="n">
        <x:v>362857</x:v>
      </x:c>
      <x:c r="G428" s="38" t="n">
        <x:v>71400</x:v>
      </x:c>
      <x:c r="H428" s="38" t="n">
        <x:v>14250</x:v>
      </x:c>
      <x:c r="I428" s="38" t="n">
        <x:v>3294</x:v>
      </x:c>
      <x:c r="J428" s="38" t="n">
        <x:v>0</x:v>
      </x:c>
      <x:c r="K428" s="38" t="n">
        <x:v>0</x:v>
      </x:c>
      <x:c r="L428" s="38" t="n">
        <x:v>0</x:v>
      </x:c>
      <x:c r="M428" s="38" t="n">
        <x:v>0</x:v>
      </x:c>
      <x:c r="N428" s="38" t="n">
        <x:v>0</x:v>
      </x:c>
      <x:c r="O428" s="38" t="n">
        <x:v>0</x:v>
      </x:c>
      <x:c r="P428" s="38" t="n">
        <x:f>F428+G428-H428+I428+J428+K428+L428-M428-N428-O428</x:f>
        <x:v>423301</x:v>
      </x:c>
      <x:c r="Q428" s="38" t="n">
        <x:v>423301</x:v>
      </x:c>
      <x:c r="R428" s="38" t="n">
        <x:f>P428-Q428</x:f>
        <x:v>0</x:v>
      </x:c>
      <x:c r="S428" s="38" t="n">
        <x:v>57150</x:v>
      </x:c>
      <x:c r="T428" s="38" t="n">
        <x:v>9200</x:v>
      </x:c>
      <x:c r="U428" s="38" t="n">
        <x:v>69</x:v>
      </x:c>
      <x:c r="V428" s="38" t="n">
        <x:v>0</x:v>
      </x:c>
      <x:c r="W428" s="38" t="n">
        <x:v>0</x:v>
      </x:c>
      <x:c r="X428" s="44" t="n">
        <x:v>0</x:v>
      </x:c>
      <x:c r="Y428" s="38" t="n">
        <x:v>150</x:v>
      </x:c>
      <x:c r="Z428" s="38" t="n">
        <x:v>33</x:v>
      </x:c>
      <x:c r="AA428" s="38" t="n">
        <x:v>43</x:v>
      </x:c>
      <x:c r="AB428" s="38" t="n">
        <x:v>6</x:v>
      </x:c>
      <x:c r="AC428" s="38" t="n">
        <x:v>7125</x:v>
      </x:c>
      <x:c r="AD428" s="38" t="n">
        <x:v>0</x:v>
      </x:c>
      <x:c r="AE428" s="38" t="n">
        <x:f>IF(B428=1,0,F428-Q427)</x:f>
        <x:v>0</x:v>
      </x:c>
    </x:row>
    <x:row r="429" ht="27" customHeight="1">
      <x:c r="A429" s="28" t="str">
        <x:v>Decorator F2P</x:v>
      </x:c>
      <x:c r="B429" s="38" t="n">
        <x:v>65</x:v>
      </x:c>
      <x:c r="C429" s="38" t="n">
        <x:v>33</x:v>
      </x:c>
      <x:c r="D429" s="38" t="n">
        <x:v>424733</x:v>
      </x:c>
      <x:c r="E429" s="38" t="n">
        <x:v>75</x:v>
      </x:c>
      <x:c r="F429" s="38" t="n">
        <x:v>423301</x:v>
      </x:c>
      <x:c r="G429" s="38" t="n">
        <x:v>71400</x:v>
      </x:c>
      <x:c r="H429" s="38" t="n">
        <x:v>14250</x:v>
      </x:c>
      <x:c r="I429" s="38" t="n">
        <x:v>3294</x:v>
      </x:c>
      <x:c r="J429" s="38" t="n">
        <x:v>0</x:v>
      </x:c>
      <x:c r="K429" s="38" t="n">
        <x:v>0</x:v>
      </x:c>
      <x:c r="L429" s="38" t="n">
        <x:v>0</x:v>
      </x:c>
      <x:c r="M429" s="38" t="n">
        <x:v>0</x:v>
      </x:c>
      <x:c r="N429" s="38" t="n">
        <x:v>0</x:v>
      </x:c>
      <x:c r="O429" s="38" t="n">
        <x:v>0</x:v>
      </x:c>
      <x:c r="P429" s="38" t="n">
        <x:f>F429+G429-H429+I429+J429+K429+L429-M429-N429-O429</x:f>
        <x:v>483745</x:v>
      </x:c>
      <x:c r="Q429" s="38" t="n">
        <x:v>483745</x:v>
      </x:c>
      <x:c r="R429" s="38" t="n">
        <x:f>P429-Q429</x:f>
        <x:v>0</x:v>
      </x:c>
      <x:c r="S429" s="38" t="n">
        <x:v>57150</x:v>
      </x:c>
      <x:c r="T429" s="38" t="n">
        <x:v>9200</x:v>
      </x:c>
      <x:c r="U429" s="38" t="n">
        <x:v>69</x:v>
      </x:c>
      <x:c r="V429" s="38" t="n">
        <x:v>0</x:v>
      </x:c>
      <x:c r="W429" s="38" t="n">
        <x:v>0</x:v>
      </x:c>
      <x:c r="X429" s="44" t="n">
        <x:v>0</x:v>
      </x:c>
      <x:c r="Y429" s="38" t="n">
        <x:v>150</x:v>
      </x:c>
      <x:c r="Z429" s="38" t="n">
        <x:v>33</x:v>
      </x:c>
      <x:c r="AA429" s="38" t="n">
        <x:v>43</x:v>
      </x:c>
      <x:c r="AB429" s="38" t="n">
        <x:v>6</x:v>
      </x:c>
      <x:c r="AC429" s="38" t="n">
        <x:v>7125</x:v>
      </x:c>
      <x:c r="AD429" s="38" t="n">
        <x:v>0</x:v>
      </x:c>
      <x:c r="AE429" s="38" t="n">
        <x:f>IF(B429=1,0,F429-Q428)</x:f>
        <x:v>0</x:v>
      </x:c>
    </x:row>
    <x:row r="430" ht="27" customHeight="1">
      <x:c r="A430" s="28" t="str">
        <x:v>Decorator F2P</x:v>
      </x:c>
      <x:c r="B430" s="38" t="n">
        <x:v>66</x:v>
      </x:c>
      <x:c r="C430" s="38" t="n">
        <x:v>33</x:v>
      </x:c>
      <x:c r="D430" s="38" t="n">
        <x:v>433933</x:v>
      </x:c>
      <x:c r="E430" s="38" t="n">
        <x:v>75</x:v>
      </x:c>
      <x:c r="F430" s="38" t="n">
        <x:v>483745</x:v>
      </x:c>
      <x:c r="G430" s="38" t="n">
        <x:v>71400</x:v>
      </x:c>
      <x:c r="H430" s="38" t="n">
        <x:v>14250</x:v>
      </x:c>
      <x:c r="I430" s="38" t="n">
        <x:v>3294</x:v>
      </x:c>
      <x:c r="J430" s="38" t="n">
        <x:v>0</x:v>
      </x:c>
      <x:c r="K430" s="38" t="n">
        <x:v>0</x:v>
      </x:c>
      <x:c r="L430" s="38" t="n">
        <x:v>0</x:v>
      </x:c>
      <x:c r="M430" s="38" t="n">
        <x:v>0</x:v>
      </x:c>
      <x:c r="N430" s="38" t="n">
        <x:v>0</x:v>
      </x:c>
      <x:c r="O430" s="38" t="n">
        <x:v>0</x:v>
      </x:c>
      <x:c r="P430" s="38" t="n">
        <x:f>F430+G430-H430+I430+J430+K430+L430-M430-N430-O430</x:f>
        <x:v>544189</x:v>
      </x:c>
      <x:c r="Q430" s="38" t="n">
        <x:v>544189</x:v>
      </x:c>
      <x:c r="R430" s="38" t="n">
        <x:f>P430-Q430</x:f>
        <x:v>0</x:v>
      </x:c>
      <x:c r="S430" s="38" t="n">
        <x:v>57150</x:v>
      </x:c>
      <x:c r="T430" s="38" t="n">
        <x:v>9200</x:v>
      </x:c>
      <x:c r="U430" s="38" t="n">
        <x:v>69</x:v>
      </x:c>
      <x:c r="V430" s="38" t="n">
        <x:v>0</x:v>
      </x:c>
      <x:c r="W430" s="38" t="n">
        <x:v>0</x:v>
      </x:c>
      <x:c r="X430" s="44" t="n">
        <x:v>0</x:v>
      </x:c>
      <x:c r="Y430" s="38" t="n">
        <x:v>150</x:v>
      </x:c>
      <x:c r="Z430" s="38" t="n">
        <x:v>33</x:v>
      </x:c>
      <x:c r="AA430" s="38" t="n">
        <x:v>43</x:v>
      </x:c>
      <x:c r="AB430" s="38" t="n">
        <x:v>6</x:v>
      </x:c>
      <x:c r="AC430" s="38" t="n">
        <x:v>7125</x:v>
      </x:c>
      <x:c r="AD430" s="38" t="n">
        <x:v>0</x:v>
      </x:c>
      <x:c r="AE430" s="38" t="n">
        <x:f>IF(B430=1,0,F430-Q429)</x:f>
        <x:v>0</x:v>
      </x:c>
    </x:row>
    <x:row r="431" ht="27" customHeight="1">
      <x:c r="A431" s="28" t="str">
        <x:v>Decorator F2P</x:v>
      </x:c>
      <x:c r="B431" s="38" t="n">
        <x:v>67</x:v>
      </x:c>
      <x:c r="C431" s="38" t="n">
        <x:v>34</x:v>
      </x:c>
      <x:c r="D431" s="38" t="n">
        <x:v>443133</x:v>
      </x:c>
      <x:c r="E431" s="38" t="n">
        <x:v>85</x:v>
      </x:c>
      <x:c r="F431" s="38" t="n">
        <x:v>544189</x:v>
      </x:c>
      <x:c r="G431" s="38" t="n">
        <x:v>72075</x:v>
      </x:c>
      <x:c r="H431" s="38" t="n">
        <x:v>15520</x:v>
      </x:c>
      <x:c r="I431" s="38" t="n">
        <x:v>3294</x:v>
      </x:c>
      <x:c r="J431" s="38" t="n">
        <x:v>950</x:v>
      </x:c>
      <x:c r="K431" s="38" t="n">
        <x:v>0</x:v>
      </x:c>
      <x:c r="L431" s="38" t="n">
        <x:v>0</x:v>
      </x:c>
      <x:c r="M431" s="38" t="n">
        <x:v>600000</x:v>
      </x:c>
      <x:c r="N431" s="38" t="n">
        <x:v>0</x:v>
      </x:c>
      <x:c r="O431" s="38" t="n">
        <x:v>0</x:v>
      </x:c>
      <x:c r="P431" s="38" t="n">
        <x:f>F431+G431-H431+I431+J431+K431+L431-M431-N431-O431</x:f>
        <x:v>4988</x:v>
      </x:c>
      <x:c r="Q431" s="38" t="n">
        <x:v>4988</x:v>
      </x:c>
      <x:c r="R431" s="38" t="n">
        <x:f>P431-Q431</x:f>
        <x:v>0</x:v>
      </x:c>
      <x:c r="S431" s="38" t="n">
        <x:v>57675</x:v>
      </x:c>
      <x:c r="T431" s="38" t="n">
        <x:v>9200</x:v>
      </x:c>
      <x:c r="U431" s="38" t="n">
        <x:v>70</x:v>
      </x:c>
      <x:c r="V431" s="38" t="n">
        <x:v>1</x:v>
      </x:c>
      <x:c r="W431" s="38" t="n">
        <x:v>0</x:v>
      </x:c>
      <x:c r="X431" s="44" t="n">
        <x:v>0</x:v>
      </x:c>
      <x:c r="Y431" s="38" t="n">
        <x:v>150</x:v>
      </x:c>
      <x:c r="Z431" s="38" t="n">
        <x:v>34</x:v>
      </x:c>
      <x:c r="AA431" s="38" t="n">
        <x:v>43</x:v>
      </x:c>
      <x:c r="AB431" s="38" t="n">
        <x:v>6</x:v>
      </x:c>
      <x:c r="AC431" s="38" t="n">
        <x:v>8245</x:v>
      </x:c>
      <x:c r="AD431" s="38" t="n">
        <x:v>0</x:v>
      </x:c>
      <x:c r="AE431" s="38" t="n">
        <x:f>IF(B431=1,0,F431-Q430)</x:f>
        <x:v>0</x:v>
      </x:c>
    </x:row>
    <x:row r="432" ht="27" customHeight="1">
      <x:c r="A432" s="28" t="str">
        <x:v>Decorator F2P</x:v>
      </x:c>
      <x:c r="B432" s="38" t="n">
        <x:v>68</x:v>
      </x:c>
      <x:c r="C432" s="38" t="n">
        <x:v>34</x:v>
      </x:c>
      <x:c r="D432" s="38" t="n">
        <x:v>453568</x:v>
      </x:c>
      <x:c r="E432" s="38" t="n">
        <x:v>85</x:v>
      </x:c>
      <x:c r="F432" s="38" t="n">
        <x:v>4988</x:v>
      </x:c>
      <x:c r="G432" s="38" t="n">
        <x:v>82450</x:v>
      </x:c>
      <x:c r="H432" s="38" t="n">
        <x:v>16490</x:v>
      </x:c>
      <x:c r="I432" s="38" t="n">
        <x:v>3802</x:v>
      </x:c>
      <x:c r="J432" s="38" t="n">
        <x:v>0</x:v>
      </x:c>
      <x:c r="K432" s="38" t="n">
        <x:v>0</x:v>
      </x:c>
      <x:c r="L432" s="38" t="n">
        <x:v>0</x:v>
      </x:c>
      <x:c r="M432" s="38" t="n">
        <x:v>0</x:v>
      </x:c>
      <x:c r="N432" s="38" t="n">
        <x:v>9885</x:v>
      </x:c>
      <x:c r="O432" s="38" t="n">
        <x:v>0</x:v>
      </x:c>
      <x:c r="P432" s="38" t="n">
        <x:f>F432+G432-H432+I432+J432+K432+L432-M432-N432-O432</x:f>
        <x:v>64865</x:v>
      </x:c>
      <x:c r="Q432" s="38" t="n">
        <x:v>64865</x:v>
      </x:c>
      <x:c r="R432" s="38" t="n">
        <x:f>P432-Q432</x:f>
        <x:v>0</x:v>
      </x:c>
      <x:c r="S432" s="38" t="n">
        <x:v>65960</x:v>
      </x:c>
      <x:c r="T432" s="38" t="n">
        <x:v>10435</x:v>
      </x:c>
      <x:c r="U432" s="38" t="n">
        <x:v>70</x:v>
      </x:c>
      <x:c r="V432" s="38" t="n">
        <x:v>0</x:v>
      </x:c>
      <x:c r="W432" s="38" t="n">
        <x:v>0</x:v>
      </x:c>
      <x:c r="X432" s="44" t="n">
        <x:v>0</x:v>
      </x:c>
      <x:c r="Y432" s="38" t="n">
        <x:v>170</x:v>
      </x:c>
      <x:c r="Z432" s="38" t="n">
        <x:v>34</x:v>
      </x:c>
      <x:c r="AA432" s="38" t="n">
        <x:v>44</x:v>
      </x:c>
      <x:c r="AB432" s="38" t="n">
        <x:v>6</x:v>
      </x:c>
      <x:c r="AC432" s="38" t="n">
        <x:v>8245</x:v>
      </x:c>
      <x:c r="AD432" s="38" t="n">
        <x:v>0</x:v>
      </x:c>
      <x:c r="AE432" s="38" t="n">
        <x:f>IF(B432=1,0,F432-Q431)</x:f>
        <x:v>0</x:v>
      </x:c>
    </x:row>
    <x:row r="433" ht="27" customHeight="1">
      <x:c r="A433" s="28" t="str">
        <x:v>Decorator F2P</x:v>
      </x:c>
      <x:c r="B433" s="38" t="n">
        <x:v>69</x:v>
      </x:c>
      <x:c r="C433" s="38" t="n">
        <x:v>34</x:v>
      </x:c>
      <x:c r="D433" s="38" t="n">
        <x:v>464003</x:v>
      </x:c>
      <x:c r="E433" s="38" t="n">
        <x:v>85</x:v>
      </x:c>
      <x:c r="F433" s="38" t="n">
        <x:v>64865</x:v>
      </x:c>
      <x:c r="G433" s="38" t="n">
        <x:v>82450</x:v>
      </x:c>
      <x:c r="H433" s="38" t="n">
        <x:v>16490</x:v>
      </x:c>
      <x:c r="I433" s="38" t="n">
        <x:v>3802</x:v>
      </x:c>
      <x:c r="J433" s="38" t="n">
        <x:v>0</x:v>
      </x:c>
      <x:c r="K433" s="38" t="n">
        <x:v>0</x:v>
      </x:c>
      <x:c r="L433" s="38" t="n">
        <x:v>0</x:v>
      </x:c>
      <x:c r="M433" s="38" t="n">
        <x:v>0</x:v>
      </x:c>
      <x:c r="N433" s="38" t="n">
        <x:v>0</x:v>
      </x:c>
      <x:c r="O433" s="38" t="n">
        <x:v>63014</x:v>
      </x:c>
      <x:c r="P433" s="38" t="n">
        <x:f>F433+G433-H433+I433+J433+K433+L433-M433-N433-O433</x:f>
        <x:v>71613</x:v>
      </x:c>
      <x:c r="Q433" s="38" t="n">
        <x:v>71613</x:v>
      </x:c>
      <x:c r="R433" s="38" t="n">
        <x:f>P433-Q433</x:f>
        <x:v>0</x:v>
      </x:c>
      <x:c r="S433" s="38" t="n">
        <x:v>65960</x:v>
      </x:c>
      <x:c r="T433" s="38" t="n">
        <x:v>10435</x:v>
      </x:c>
      <x:c r="U433" s="38" t="n">
        <x:v>70</x:v>
      </x:c>
      <x:c r="V433" s="38" t="n">
        <x:v>0</x:v>
      </x:c>
      <x:c r="W433" s="38" t="n">
        <x:v>0</x:v>
      </x:c>
      <x:c r="X433" s="44" t="n">
        <x:v>0</x:v>
      </x:c>
      <x:c r="Y433" s="38" t="n">
        <x:v>170</x:v>
      </x:c>
      <x:c r="Z433" s="38" t="n">
        <x:v>34</x:v>
      </x:c>
      <x:c r="AA433" s="38" t="n">
        <x:v>44</x:v>
      </x:c>
      <x:c r="AB433" s="38" t="n">
        <x:v>6</x:v>
      </x:c>
      <x:c r="AC433" s="38" t="n">
        <x:v>8245</x:v>
      </x:c>
      <x:c r="AD433" s="38" t="n">
        <x:v>0</x:v>
      </x:c>
      <x:c r="AE433" s="38" t="n">
        <x:f>IF(B433=1,0,F433-Q432)</x:f>
        <x:v>0</x:v>
      </x:c>
    </x:row>
    <x:row r="434" ht="27" customHeight="1">
      <x:c r="A434" s="28" t="str">
        <x:v>Decorator F2P</x:v>
      </x:c>
      <x:c r="B434" s="38" t="n">
        <x:v>70</x:v>
      </x:c>
      <x:c r="C434" s="38" t="n">
        <x:v>35</x:v>
      </x:c>
      <x:c r="D434" s="38" t="n">
        <x:v>479190</x:v>
      </x:c>
      <x:c r="E434" s="38" t="n">
        <x:v>85</x:v>
      </x:c>
      <x:c r="F434" s="38" t="n">
        <x:v>71613</x:v>
      </x:c>
      <x:c r="G434" s="38" t="n">
        <x:v>82450</x:v>
      </x:c>
      <x:c r="H434" s="38" t="n">
        <x:v>16945</x:v>
      </x:c>
      <x:c r="I434" s="38" t="n">
        <x:v>20272</x:v>
      </x:c>
      <x:c r="J434" s="38" t="n">
        <x:v>970</x:v>
      </x:c>
      <x:c r="K434" s="38" t="n">
        <x:v>0</x:v>
      </x:c>
      <x:c r="L434" s="38" t="n">
        <x:v>0</x:v>
      </x:c>
      <x:c r="M434" s="38" t="n">
        <x:v>0</x:v>
      </x:c>
      <x:c r="N434" s="38" t="n">
        <x:v>21775</x:v>
      </x:c>
      <x:c r="O434" s="38" t="n">
        <x:v>63655</x:v>
      </x:c>
      <x:c r="P434" s="38" t="n">
        <x:f>F434+G434-H434+I434+J434+K434+L434-M434-N434-O434</x:f>
        <x:v>72930</x:v>
      </x:c>
      <x:c r="Q434" s="38" t="n">
        <x:v>72930</x:v>
      </x:c>
      <x:c r="R434" s="38" t="n">
        <x:f>P434-Q434</x:f>
        <x:v>0</x:v>
      </x:c>
      <x:c r="S434" s="38" t="n">
        <x:v>65960</x:v>
      </x:c>
      <x:c r="T434" s="38" t="n">
        <x:v>15187</x:v>
      </x:c>
      <x:c r="U434" s="38" t="n">
        <x:v>75</x:v>
      </x:c>
      <x:c r="V434" s="38" t="n">
        <x:v>5</x:v>
      </x:c>
      <x:c r="W434" s="38" t="n">
        <x:v>0</x:v>
      </x:c>
      <x:c r="X434" s="44" t="n">
        <x:v>0</x:v>
      </x:c>
      <x:c r="Y434" s="38" t="n">
        <x:v>170</x:v>
      </x:c>
      <x:c r="Z434" s="38" t="n">
        <x:v>34</x:v>
      </x:c>
      <x:c r="AA434" s="38" t="n">
        <x:v>45</x:v>
      </x:c>
      <x:c r="AB434" s="38" t="n">
        <x:v>6</x:v>
      </x:c>
      <x:c r="AC434" s="38" t="n">
        <x:v>8700</x:v>
      </x:c>
      <x:c r="AD434" s="38" t="n">
        <x:v>0</x:v>
      </x:c>
      <x:c r="AE434" s="38" t="n">
        <x:f>IF(B434=1,0,F434-Q433)</x:f>
        <x:v>0</x:v>
      </x:c>
    </x:row>
    <x:row r="435" ht="27" customHeight="1">
      <x:c r="A435" s="28" t="str">
        <x:v>Decorator F2P</x:v>
      </x:c>
      <x:c r="B435" s="38" t="n">
        <x:v>71</x:v>
      </x:c>
      <x:c r="C435" s="38" t="n">
        <x:v>35</x:v>
      </x:c>
      <x:c r="D435" s="38" t="n">
        <x:v>489691</x:v>
      </x:c>
      <x:c r="E435" s="38" t="n">
        <x:v>85</x:v>
      </x:c>
      <x:c r="F435" s="38" t="n">
        <x:v>72930</x:v>
      </x:c>
      <x:c r="G435" s="38" t="n">
        <x:v>82992</x:v>
      </x:c>
      <x:c r="H435" s="38" t="n">
        <x:v>16632</x:v>
      </x:c>
      <x:c r="I435" s="38" t="n">
        <x:v>3871</x:v>
      </x:c>
      <x:c r="J435" s="38" t="n">
        <x:v>0</x:v>
      </x:c>
      <x:c r="K435" s="38" t="n">
        <x:v>0</x:v>
      </x:c>
      <x:c r="L435" s="38" t="n">
        <x:v>0</x:v>
      </x:c>
      <x:c r="M435" s="38" t="n">
        <x:v>0</x:v>
      </x:c>
      <x:c r="N435" s="38" t="n">
        <x:v>0</x:v>
      </x:c>
      <x:c r="O435" s="38" t="n">
        <x:v>63431</x:v>
      </x:c>
      <x:c r="P435" s="38" t="n">
        <x:f>F435+G435-H435+I435+J435+K435+L435-M435-N435-O435</x:f>
        <x:v>79730</x:v>
      </x:c>
      <x:c r="Q435" s="38" t="n">
        <x:v>79730</x:v>
      </x:c>
      <x:c r="R435" s="38" t="n">
        <x:f>P435-Q435</x:f>
        <x:v>0</x:v>
      </x:c>
      <x:c r="S435" s="38" t="n">
        <x:v>66360</x:v>
      </x:c>
      <x:c r="T435" s="38" t="n">
        <x:v>10501</x:v>
      </x:c>
      <x:c r="U435" s="38" t="n">
        <x:v>75</x:v>
      </x:c>
      <x:c r="V435" s="38" t="n">
        <x:v>0</x:v>
      </x:c>
      <x:c r="W435" s="38" t="n">
        <x:v>0</x:v>
      </x:c>
      <x:c r="X435" s="44" t="n">
        <x:v>0</x:v>
      </x:c>
      <x:c r="Y435" s="38" t="n">
        <x:v>168</x:v>
      </x:c>
      <x:c r="Z435" s="38" t="n">
        <x:v>34</x:v>
      </x:c>
      <x:c r="AA435" s="38" t="n">
        <x:v>45</x:v>
      </x:c>
      <x:c r="AB435" s="38" t="n">
        <x:v>7</x:v>
      </x:c>
      <x:c r="AC435" s="38" t="n">
        <x:v>8700</x:v>
      </x:c>
      <x:c r="AD435" s="38" t="n">
        <x:v>0</x:v>
      </x:c>
      <x:c r="AE435" s="38" t="n">
        <x:f>IF(B435=1,0,F435-Q434)</x:f>
        <x:v>0</x:v>
      </x:c>
    </x:row>
    <x:row r="436" ht="27" customHeight="1">
      <x:c r="A436" s="28" t="str">
        <x:v>Decorator F2P</x:v>
      </x:c>
      <x:c r="B436" s="38" t="n">
        <x:v>72</x:v>
      </x:c>
      <x:c r="C436" s="38" t="n">
        <x:v>35</x:v>
      </x:c>
      <x:c r="D436" s="38" t="n">
        <x:v>500409</x:v>
      </x:c>
      <x:c r="E436" s="38" t="n">
        <x:v>85</x:v>
      </x:c>
      <x:c r="F436" s="38" t="n">
        <x:v>79730</x:v>
      </x:c>
      <x:c r="G436" s="38" t="n">
        <x:v>84912</x:v>
      </x:c>
      <x:c r="H436" s="38" t="n">
        <x:v>16731</x:v>
      </x:c>
      <x:c r="I436" s="38" t="n">
        <x:v>3871</x:v>
      </x:c>
      <x:c r="J436" s="38" t="n">
        <x:v>0</x:v>
      </x:c>
      <x:c r="K436" s="38" t="n">
        <x:v>0</x:v>
      </x:c>
      <x:c r="L436" s="38" t="n">
        <x:v>0</x:v>
      </x:c>
      <x:c r="M436" s="38" t="n">
        <x:v>0</x:v>
      </x:c>
      <x:c r="N436" s="38" t="n">
        <x:v>0</x:v>
      </x:c>
      <x:c r="O436" s="38" t="n">
        <x:v>0</x:v>
      </x:c>
      <x:c r="P436" s="38" t="n">
        <x:f>F436+G436-H436+I436+J436+K436+L436-M436-N436-O436</x:f>
        <x:v>151782</x:v>
      </x:c>
      <x:c r="Q436" s="38" t="n">
        <x:v>151782</x:v>
      </x:c>
      <x:c r="R436" s="38" t="n">
        <x:f>P436-Q436</x:f>
        <x:v>0</x:v>
      </x:c>
      <x:c r="S436" s="38" t="n">
        <x:v>67896</x:v>
      </x:c>
      <x:c r="T436" s="38" t="n">
        <x:v>10718</x:v>
      </x:c>
      <x:c r="U436" s="38" t="n">
        <x:v>77</x:v>
      </x:c>
      <x:c r="V436" s="38" t="n">
        <x:v>2</x:v>
      </x:c>
      <x:c r="W436" s="38" t="n">
        <x:v>0</x:v>
      </x:c>
      <x:c r="X436" s="44" t="n">
        <x:v>0</x:v>
      </x:c>
      <x:c r="Y436" s="38" t="n">
        <x:v>169</x:v>
      </x:c>
      <x:c r="Z436" s="38" t="n">
        <x:v>35</x:v>
      </x:c>
      <x:c r="AA436" s="38" t="n">
        <x:v>45</x:v>
      </x:c>
      <x:c r="AB436" s="38" t="n">
        <x:v>7</x:v>
      </x:c>
      <x:c r="AC436" s="38" t="n">
        <x:v>8415</x:v>
      </x:c>
      <x:c r="AD436" s="38" t="n">
        <x:v>0</x:v>
      </x:c>
      <x:c r="AE436" s="38" t="n">
        <x:f>IF(B436=1,0,F436-Q435)</x:f>
        <x:v>0</x:v>
      </x:c>
    </x:row>
    <x:row r="437" ht="27" customHeight="1">
      <x:c r="A437" s="28" t="str">
        <x:v>Decorator F2P</x:v>
      </x:c>
      <x:c r="B437" s="38" t="n">
        <x:v>73</x:v>
      </x:c>
      <x:c r="C437" s="38" t="n">
        <x:v>35</x:v>
      </x:c>
      <x:c r="D437" s="38" t="n">
        <x:v>511022</x:v>
      </x:c>
      <x:c r="E437" s="38" t="n">
        <x:v>85</x:v>
      </x:c>
      <x:c r="F437" s="38" t="n">
        <x:v>151782</x:v>
      </x:c>
      <x:c r="G437" s="38" t="n">
        <x:v>83980</x:v>
      </x:c>
      <x:c r="H437" s="38" t="n">
        <x:v>16830</x:v>
      </x:c>
      <x:c r="I437" s="38" t="n">
        <x:v>3871</x:v>
      </x:c>
      <x:c r="J437" s="38" t="n">
        <x:v>0</x:v>
      </x:c>
      <x:c r="K437" s="38" t="n">
        <x:v>0</x:v>
      </x:c>
      <x:c r="L437" s="38" t="n">
        <x:v>0</x:v>
      </x:c>
      <x:c r="M437" s="38" t="n">
        <x:v>0</x:v>
      </x:c>
      <x:c r="N437" s="38" t="n">
        <x:v>0</x:v>
      </x:c>
      <x:c r="O437" s="38" t="n">
        <x:v>0</x:v>
      </x:c>
      <x:c r="P437" s="38" t="n">
        <x:f>F437+G437-H437+I437+J437+K437+L437-M437-N437-O437</x:f>
        <x:v>222803</x:v>
      </x:c>
      <x:c r="Q437" s="38" t="n">
        <x:v>222803</x:v>
      </x:c>
      <x:c r="R437" s="38" t="n">
        <x:f>P437-Q437</x:f>
        <x:v>0</x:v>
      </x:c>
      <x:c r="S437" s="38" t="n">
        <x:v>67150</x:v>
      </x:c>
      <x:c r="T437" s="38" t="n">
        <x:v>10613</x:v>
      </x:c>
      <x:c r="U437" s="38" t="n">
        <x:v>77</x:v>
      </x:c>
      <x:c r="V437" s="38" t="n">
        <x:v>0</x:v>
      </x:c>
      <x:c r="W437" s="38" t="n">
        <x:v>0</x:v>
      </x:c>
      <x:c r="X437" s="44" t="n">
        <x:v>0</x:v>
      </x:c>
      <x:c r="Y437" s="38" t="n">
        <x:v>170</x:v>
      </x:c>
      <x:c r="Z437" s="38" t="n">
        <x:v>35</x:v>
      </x:c>
      <x:c r="AA437" s="38" t="n">
        <x:v>45</x:v>
      </x:c>
      <x:c r="AB437" s="38" t="n">
        <x:v>7</x:v>
      </x:c>
      <x:c r="AC437" s="38" t="n">
        <x:v>8415</x:v>
      </x:c>
      <x:c r="AD437" s="38" t="n">
        <x:v>0</x:v>
      </x:c>
      <x:c r="AE437" s="38" t="n">
        <x:f>IF(B437=1,0,F437-Q436)</x:f>
        <x:v>0</x:v>
      </x:c>
    </x:row>
    <x:row r="438" ht="27" customHeight="1">
      <x:c r="A438" s="28" t="str">
        <x:v>Decorator F2P</x:v>
      </x:c>
      <x:c r="B438" s="38" t="n">
        <x:v>74</x:v>
      </x:c>
      <x:c r="C438" s="38" t="n">
        <x:v>35</x:v>
      </x:c>
      <x:c r="D438" s="38" t="n">
        <x:v>521635</x:v>
      </x:c>
      <x:c r="E438" s="38" t="n">
        <x:v>85</x:v>
      </x:c>
      <x:c r="F438" s="38" t="n">
        <x:v>222803</x:v>
      </x:c>
      <x:c r="G438" s="38" t="n">
        <x:v>83980</x:v>
      </x:c>
      <x:c r="H438" s="38" t="n">
        <x:v>16830</x:v>
      </x:c>
      <x:c r="I438" s="38" t="n">
        <x:v>3871</x:v>
      </x:c>
      <x:c r="J438" s="38" t="n">
        <x:v>0</x:v>
      </x:c>
      <x:c r="K438" s="38" t="n">
        <x:v>0</x:v>
      </x:c>
      <x:c r="L438" s="38" t="n">
        <x:v>0</x:v>
      </x:c>
      <x:c r="M438" s="38" t="n">
        <x:v>0</x:v>
      </x:c>
      <x:c r="N438" s="38" t="n">
        <x:v>0</x:v>
      </x:c>
      <x:c r="O438" s="38" t="n">
        <x:v>0</x:v>
      </x:c>
      <x:c r="P438" s="38" t="n">
        <x:f>F438+G438-H438+I438+J438+K438+L438-M438-N438-O438</x:f>
        <x:v>293824</x:v>
      </x:c>
      <x:c r="Q438" s="38" t="n">
        <x:v>293824</x:v>
      </x:c>
      <x:c r="R438" s="38" t="n">
        <x:f>P438-Q438</x:f>
        <x:v>0</x:v>
      </x:c>
      <x:c r="S438" s="38" t="n">
        <x:v>67150</x:v>
      </x:c>
      <x:c r="T438" s="38" t="n">
        <x:v>10613</x:v>
      </x:c>
      <x:c r="U438" s="38" t="n">
        <x:v>77</x:v>
      </x:c>
      <x:c r="V438" s="38" t="n">
        <x:v>0</x:v>
      </x:c>
      <x:c r="W438" s="38" t="n">
        <x:v>0</x:v>
      </x:c>
      <x:c r="X438" s="44" t="n">
        <x:v>0</x:v>
      </x:c>
      <x:c r="Y438" s="38" t="n">
        <x:v>170</x:v>
      </x:c>
      <x:c r="Z438" s="38" t="n">
        <x:v>35</x:v>
      </x:c>
      <x:c r="AA438" s="38" t="n">
        <x:v>45</x:v>
      </x:c>
      <x:c r="AB438" s="38" t="n">
        <x:v>7</x:v>
      </x:c>
      <x:c r="AC438" s="38" t="n">
        <x:v>8415</x:v>
      </x:c>
      <x:c r="AD438" s="38" t="n">
        <x:v>0</x:v>
      </x:c>
      <x:c r="AE438" s="38" t="n">
        <x:f>IF(B438=1,0,F438-Q437)</x:f>
        <x:v>0</x:v>
      </x:c>
    </x:row>
    <x:row r="439" ht="27" customHeight="1">
      <x:c r="A439" s="28" t="str">
        <x:v>Decorator F2P</x:v>
      </x:c>
      <x:c r="B439" s="38" t="n">
        <x:v>75</x:v>
      </x:c>
      <x:c r="C439" s="38" t="n">
        <x:v>36</x:v>
      </x:c>
      <x:c r="D439" s="38" t="n">
        <x:v>531772</x:v>
      </x:c>
      <x:c r="E439" s="38" t="n">
        <x:v>85</x:v>
      </x:c>
      <x:c r="F439" s="38" t="n">
        <x:v>293824</x:v>
      </x:c>
      <x:c r="G439" s="38" t="n">
        <x:v>88442</x:v>
      </x:c>
      <x:c r="H439" s="38" t="n">
        <x:v>18841</x:v>
      </x:c>
      <x:c r="I439" s="38" t="n">
        <x:v>3871</x:v>
      </x:c>
      <x:c r="J439" s="38" t="n">
        <x:v>1045</x:v>
      </x:c>
      <x:c r="K439" s="38" t="n">
        <x:v>0</x:v>
      </x:c>
      <x:c r="L439" s="38" t="n">
        <x:v>0</x:v>
      </x:c>
      <x:c r="M439" s="38" t="n">
        <x:v>0</x:v>
      </x:c>
      <x:c r="N439" s="38" t="n">
        <x:v>23465</x:v>
      </x:c>
      <x:c r="O439" s="38" t="n">
        <x:v>0</x:v>
      </x:c>
      <x:c r="P439" s="38" t="n">
        <x:f>F439+G439-H439+I439+J439+K439+L439-M439-N439-O439</x:f>
        <x:v>344876</x:v>
      </x:c>
      <x:c r="Q439" s="38" t="n">
        <x:v>344876</x:v>
      </x:c>
      <x:c r="R439" s="38" t="n">
        <x:f>P439-Q439</x:f>
        <x:v>0</x:v>
      </x:c>
      <x:c r="S439" s="38" t="n">
        <x:v>70703</x:v>
      </x:c>
      <x:c r="T439" s="38" t="n">
        <x:v>10137</x:v>
      </x:c>
      <x:c r="U439" s="38" t="n">
        <x:v>78</x:v>
      </x:c>
      <x:c r="V439" s="38" t="n">
        <x:v>1</x:v>
      </x:c>
      <x:c r="W439" s="38" t="n">
        <x:v>0</x:v>
      </x:c>
      <x:c r="X439" s="44" t="n">
        <x:v>0</x:v>
      </x:c>
      <x:c r="Y439" s="38" t="n">
        <x:v>169</x:v>
      </x:c>
      <x:c r="Z439" s="38" t="n">
        <x:v>35</x:v>
      </x:c>
      <x:c r="AA439" s="38" t="n">
        <x:v>46</x:v>
      </x:c>
      <x:c r="AB439" s="38" t="n">
        <x:v>7</x:v>
      </x:c>
      <x:c r="AC439" s="38" t="n">
        <x:v>9517</x:v>
      </x:c>
      <x:c r="AD439" s="38" t="n">
        <x:v>0</x:v>
      </x:c>
      <x:c r="AE439" s="38" t="n">
        <x:f>IF(B439=1,0,F439-Q438)</x:f>
        <x:v>0</x:v>
      </x:c>
    </x:row>
    <x:row r="440" ht="27" customHeight="1">
      <x:c r="A440" s="28" t="str">
        <x:v>Decorator F2P</x:v>
      </x:c>
      <x:c r="B440" s="38" t="n">
        <x:v>76</x:v>
      </x:c>
      <x:c r="C440" s="38" t="n">
        <x:v>36</x:v>
      </x:c>
      <x:c r="D440" s="38" t="n">
        <x:v>541665</x:v>
      </x:c>
      <x:c r="E440" s="38" t="n">
        <x:v>85</x:v>
      </x:c>
      <x:c r="F440" s="38" t="n">
        <x:v>344876</x:v>
      </x:c>
      <x:c r="G440" s="38" t="n">
        <x:v>94423</x:v>
      </x:c>
      <x:c r="H440" s="38" t="n">
        <x:v>18870</x:v>
      </x:c>
      <x:c r="I440" s="38" t="n">
        <x:v>4172</x:v>
      </x:c>
      <x:c r="J440" s="38" t="n">
        <x:v>0</x:v>
      </x:c>
      <x:c r="K440" s="38" t="n">
        <x:v>0</x:v>
      </x:c>
      <x:c r="L440" s="38" t="n">
        <x:v>0</x:v>
      </x:c>
      <x:c r="M440" s="38" t="n">
        <x:v>0</x:v>
      </x:c>
      <x:c r="N440" s="38" t="n">
        <x:v>0</x:v>
      </x:c>
      <x:c r="O440" s="38" t="n">
        <x:v>0</x:v>
      </x:c>
      <x:c r="P440" s="38" t="n">
        <x:f>F440+G440-H440+I440+J440+K440+L440-M440-N440-O440</x:f>
        <x:v>424601</x:v>
      </x:c>
      <x:c r="Q440" s="38" t="n">
        <x:v>424601</x:v>
      </x:c>
      <x:c r="R440" s="38" t="n">
        <x:f>P440-Q440</x:f>
        <x:v>0</x:v>
      </x:c>
      <x:c r="S440" s="38" t="n">
        <x:v>75471</x:v>
      </x:c>
      <x:c r="T440" s="38" t="n">
        <x:v>9893</x:v>
      </x:c>
      <x:c r="U440" s="38" t="n">
        <x:v>78</x:v>
      </x:c>
      <x:c r="V440" s="38" t="n">
        <x:v>0</x:v>
      </x:c>
      <x:c r="W440" s="38" t="n">
        <x:v>0</x:v>
      </x:c>
      <x:c r="X440" s="44" t="n">
        <x:v>0</x:v>
      </x:c>
      <x:c r="Y440" s="38" t="n">
        <x:v>170</x:v>
      </x:c>
      <x:c r="Z440" s="38" t="n">
        <x:v>36</x:v>
      </x:c>
      <x:c r="AA440" s="38" t="n">
        <x:v>46</x:v>
      </x:c>
      <x:c r="AB440" s="38" t="n">
        <x:v>7</x:v>
      </x:c>
      <x:c r="AC440" s="38" t="n">
        <x:v>9435</x:v>
      </x:c>
      <x:c r="AD440" s="38" t="n">
        <x:v>0</x:v>
      </x:c>
      <x:c r="AE440" s="38" t="n">
        <x:f>IF(B440=1,0,F440-Q439)</x:f>
        <x:v>0</x:v>
      </x:c>
    </x:row>
    <x:row r="441" ht="27" customHeight="1">
      <x:c r="A441" s="28" t="str">
        <x:v>Decorator F2P</x:v>
      </x:c>
      <x:c r="B441" s="38" t="n">
        <x:v>77</x:v>
      </x:c>
      <x:c r="C441" s="38" t="n">
        <x:v>36</x:v>
      </x:c>
      <x:c r="D441" s="38" t="n">
        <x:v>557223</x:v>
      </x:c>
      <x:c r="E441" s="38" t="n">
        <x:v>90</x:v>
      </x:c>
      <x:c r="F441" s="38" t="n">
        <x:v>424601</x:v>
      </x:c>
      <x:c r="G441" s="38" t="n">
        <x:v>96775</x:v>
      </x:c>
      <x:c r="H441" s="38" t="n">
        <x:v>19980</x:v>
      </x:c>
      <x:c r="I441" s="38" t="n">
        <x:v>23527</x:v>
      </x:c>
      <x:c r="J441" s="38" t="n">
        <x:v>0</x:v>
      </x:c>
      <x:c r="K441" s="38" t="n">
        <x:v>0</x:v>
      </x:c>
      <x:c r="L441" s="38" t="n">
        <x:v>0</x:v>
      </x:c>
      <x:c r="M441" s="38" t="n">
        <x:v>425000</x:v>
      </x:c>
      <x:c r="N441" s="38" t="n">
        <x:v>0</x:v>
      </x:c>
      <x:c r="O441" s="38" t="n">
        <x:v>0</x:v>
      </x:c>
      <x:c r="P441" s="38" t="n">
        <x:f>F441+G441-H441+I441+J441+K441+L441-M441-N441-O441</x:f>
        <x:v>99923</x:v>
      </x:c>
      <x:c r="Q441" s="38" t="n">
        <x:v>99923</x:v>
      </x:c>
      <x:c r="R441" s="38" t="n">
        <x:f>P441-Q441</x:f>
        <x:v>0</x:v>
      </x:c>
      <x:c r="S441" s="38" t="n">
        <x:v>77350</x:v>
      </x:c>
      <x:c r="T441" s="38" t="n">
        <x:v>15558</x:v>
      </x:c>
      <x:c r="U441" s="38" t="n">
        <x:v>80</x:v>
      </x:c>
      <x:c r="V441" s="38" t="n">
        <x:v>2</x:v>
      </x:c>
      <x:c r="W441" s="38" t="n">
        <x:v>0</x:v>
      </x:c>
      <x:c r="X441" s="44" t="n">
        <x:v>0</x:v>
      </x:c>
      <x:c r="Y441" s="38" t="n">
        <x:v>175</x:v>
      </x:c>
      <x:c r="Z441" s="38" t="n">
        <x:v>36</x:v>
      </x:c>
      <x:c r="AA441" s="38" t="n">
        <x:v>46</x:v>
      </x:c>
      <x:c r="AB441" s="38" t="n">
        <x:v>7</x:v>
      </x:c>
      <x:c r="AC441" s="38" t="n">
        <x:v>9990</x:v>
      </x:c>
      <x:c r="AD441" s="38" t="n">
        <x:v>0</x:v>
      </x:c>
      <x:c r="AE441" s="38" t="n">
        <x:f>IF(B441=1,0,F441-Q440)</x:f>
        <x:v>0</x:v>
      </x:c>
    </x:row>
    <x:row r="442" ht="27" customHeight="1">
      <x:c r="A442" s="28" t="str">
        <x:v>Decorator F2P</x:v>
      </x:c>
      <x:c r="B442" s="38" t="n">
        <x:v>78</x:v>
      </x:c>
      <x:c r="C442" s="38" t="n">
        <x:v>36</x:v>
      </x:c>
      <x:c r="D442" s="38" t="n">
        <x:v>567569</x:v>
      </x:c>
      <x:c r="E442" s="38" t="n">
        <x:v>90</x:v>
      </x:c>
      <x:c r="F442" s="38" t="n">
        <x:v>99923</x:v>
      </x:c>
      <x:c r="G442" s="38" t="n">
        <x:v>99540</x:v>
      </x:c>
      <x:c r="H442" s="38" t="n">
        <x:v>19980</x:v>
      </x:c>
      <x:c r="I442" s="38" t="n">
        <x:v>4172</x:v>
      </x:c>
      <x:c r="J442" s="38" t="n">
        <x:v>0</x:v>
      </x:c>
      <x:c r="K442" s="38" t="n">
        <x:v>0</x:v>
      </x:c>
      <x:c r="L442" s="38" t="n">
        <x:v>0</x:v>
      </x:c>
      <x:c r="M442" s="38" t="n">
        <x:v>0</x:v>
      </x:c>
      <x:c r="N442" s="38" t="n">
        <x:v>0</x:v>
      </x:c>
      <x:c r="O442" s="38" t="n">
        <x:v>0</x:v>
      </x:c>
      <x:c r="P442" s="38" t="n">
        <x:f>F442+G442-H442+I442+J442+K442+L442-M442-N442-O442</x:f>
        <x:v>183655</x:v>
      </x:c>
      <x:c r="Q442" s="38" t="n">
        <x:v>183655</x:v>
      </x:c>
      <x:c r="R442" s="38" t="n">
        <x:f>P442-Q442</x:f>
        <x:v>0</x:v>
      </x:c>
      <x:c r="S442" s="38" t="n">
        <x:v>79560</x:v>
      </x:c>
      <x:c r="T442" s="38" t="n">
        <x:v>10346</x:v>
      </x:c>
      <x:c r="U442" s="38" t="n">
        <x:v>84</x:v>
      </x:c>
      <x:c r="V442" s="38" t="n">
        <x:v>4</x:v>
      </x:c>
      <x:c r="W442" s="38" t="n">
        <x:v>0</x:v>
      </x:c>
      <x:c r="X442" s="44" t="n">
        <x:v>0</x:v>
      </x:c>
      <x:c r="Y442" s="38" t="n">
        <x:v>180</x:v>
      </x:c>
      <x:c r="Z442" s="38" t="n">
        <x:v>36</x:v>
      </x:c>
      <x:c r="AA442" s="38" t="n">
        <x:v>46</x:v>
      </x:c>
      <x:c r="AB442" s="38" t="n">
        <x:v>7</x:v>
      </x:c>
      <x:c r="AC442" s="38" t="n">
        <x:v>9990</x:v>
      </x:c>
      <x:c r="AD442" s="38" t="n">
        <x:v>0</x:v>
      </x:c>
      <x:c r="AE442" s="38" t="n">
        <x:f>IF(B442=1,0,F442-Q441)</x:f>
        <x:v>0</x:v>
      </x:c>
    </x:row>
    <x:row r="443" ht="27" customHeight="1">
      <x:c r="A443" s="28" t="str">
        <x:v>Decorator F2P</x:v>
      </x:c>
      <x:c r="B443" s="38" t="n">
        <x:v>79</x:v>
      </x:c>
      <x:c r="C443" s="38" t="n">
        <x:v>37</x:v>
      </x:c>
      <x:c r="D443" s="38" t="n">
        <x:v>578398</x:v>
      </x:c>
      <x:c r="E443" s="38" t="n">
        <x:v>90</x:v>
      </x:c>
      <x:c r="F443" s="38" t="n">
        <x:v>183655</x:v>
      </x:c>
      <x:c r="G443" s="38" t="n">
        <x:v>95249</x:v>
      </x:c>
      <x:c r="H443" s="38" t="n">
        <x:v>18554</x:v>
      </x:c>
      <x:c r="I443" s="38" t="n">
        <x:v>4172</x:v>
      </x:c>
      <x:c r="J443" s="38" t="n">
        <x:v>1060</x:v>
      </x:c>
      <x:c r="K443" s="38" t="n">
        <x:v>0</x:v>
      </x:c>
      <x:c r="L443" s="38" t="n">
        <x:v>0</x:v>
      </x:c>
      <x:c r="M443" s="38" t="n">
        <x:v>0</x:v>
      </x:c>
      <x:c r="N443" s="38" t="n">
        <x:v>23875</x:v>
      </x:c>
      <x:c r="O443" s="38" t="n">
        <x:v>0</x:v>
      </x:c>
      <x:c r="P443" s="38" t="n">
        <x:f>F443+G443-H443+I443+J443+K443+L443-M443-N443-O443</x:f>
        <x:v>241707</x:v>
      </x:c>
      <x:c r="Q443" s="38" t="n">
        <x:v>241707</x:v>
      </x:c>
      <x:c r="R443" s="38" t="n">
        <x:f>P443-Q443</x:f>
        <x:v>0</x:v>
      </x:c>
      <x:c r="S443" s="38" t="n">
        <x:v>76181</x:v>
      </x:c>
      <x:c r="T443" s="38" t="n">
        <x:v>10829</x:v>
      </x:c>
      <x:c r="U443" s="38" t="n">
        <x:v>84</x:v>
      </x:c>
      <x:c r="V443" s="38" t="n">
        <x:v>0</x:v>
      </x:c>
      <x:c r="W443" s="38" t="n">
        <x:v>0</x:v>
      </x:c>
      <x:c r="X443" s="44" t="n">
        <x:v>0</x:v>
      </x:c>
      <x:c r="Y443" s="38" t="n">
        <x:v>179</x:v>
      </x:c>
      <x:c r="Z443" s="38" t="n">
        <x:v>36</x:v>
      </x:c>
      <x:c r="AA443" s="38" t="n">
        <x:v>47</x:v>
      </x:c>
      <x:c r="AB443" s="38" t="n">
        <x:v>7</x:v>
      </x:c>
      <x:c r="AC443" s="38" t="n">
        <x:v>9476</x:v>
      </x:c>
      <x:c r="AD443" s="38" t="n">
        <x:v>0</x:v>
      </x:c>
      <x:c r="AE443" s="38" t="n">
        <x:f>IF(B443=1,0,F443-Q442)</x:f>
        <x:v>0</x:v>
      </x:c>
    </x:row>
    <x:row r="444" ht="27" customHeight="1">
      <x:c r="A444" s="28" t="str">
        <x:v>Decorator F2P</x:v>
      </x:c>
      <x:c r="B444" s="38" t="n">
        <x:v>80</x:v>
      </x:c>
      <x:c r="C444" s="38" t="n">
        <x:v>37</x:v>
      </x:c>
      <x:c r="D444" s="38" t="n">
        <x:v>589719</x:v>
      </x:c>
      <x:c r="E444" s="38" t="n">
        <x:v>90</x:v>
      </x:c>
      <x:c r="F444" s="38" t="n">
        <x:v>241707</x:v>
      </x:c>
      <x:c r="G444" s="38" t="n">
        <x:v>90958</x:v>
      </x:c>
      <x:c r="H444" s="38" t="n">
        <x:v>18156</x:v>
      </x:c>
      <x:c r="I444" s="38" t="n">
        <x:v>4244</x:v>
      </x:c>
      <x:c r="J444" s="38" t="n">
        <x:v>0</x:v>
      </x:c>
      <x:c r="K444" s="38" t="n">
        <x:v>0</x:v>
      </x:c>
      <x:c r="L444" s="38" t="n">
        <x:v>0</x:v>
      </x:c>
      <x:c r="M444" s="38" t="n">
        <x:v>0</x:v>
      </x:c>
      <x:c r="N444" s="38" t="n">
        <x:v>0</x:v>
      </x:c>
      <x:c r="O444" s="38" t="n">
        <x:v>0</x:v>
      </x:c>
      <x:c r="P444" s="38" t="n">
        <x:f>F444+G444-H444+I444+J444+K444+L444-M444-N444-O444</x:f>
        <x:v>318753</x:v>
      </x:c>
      <x:c r="Q444" s="38" t="n">
        <x:v>318753</x:v>
      </x:c>
      <x:c r="R444" s="38" t="n">
        <x:f>P444-Q444</x:f>
        <x:v>0</x:v>
      </x:c>
      <x:c r="S444" s="38" t="n">
        <x:v>72802</x:v>
      </x:c>
      <x:c r="T444" s="38" t="n">
        <x:v>11321</x:v>
      </x:c>
      <x:c r="U444" s="38" t="n">
        <x:v>84</x:v>
      </x:c>
      <x:c r="V444" s="38" t="n">
        <x:v>0</x:v>
      </x:c>
      <x:c r="W444" s="38" t="n">
        <x:v>0</x:v>
      </x:c>
      <x:c r="X444" s="44" t="n">
        <x:v>0</x:v>
      </x:c>
      <x:c r="Y444" s="38" t="n">
        <x:v>178</x:v>
      </x:c>
      <x:c r="Z444" s="38" t="n">
        <x:v>36</x:v>
      </x:c>
      <x:c r="AA444" s="38" t="n">
        <x:v>47</x:v>
      </x:c>
      <x:c r="AB444" s="38" t="n">
        <x:v>7</x:v>
      </x:c>
      <x:c r="AC444" s="38" t="n">
        <x:v>9476</x:v>
      </x:c>
      <x:c r="AD444" s="38" t="n">
        <x:v>0</x:v>
      </x:c>
      <x:c r="AE444" s="38" t="n">
        <x:f>IF(B444=1,0,F444-Q443)</x:f>
        <x:v>0</x:v>
      </x:c>
    </x:row>
    <x:row r="445" ht="27" customHeight="1">
      <x:c r="A445" s="28" t="str">
        <x:v>Decorator F2P</x:v>
      </x:c>
      <x:c r="B445" s="38" t="n">
        <x:v>81</x:v>
      </x:c>
      <x:c r="C445" s="38" t="n">
        <x:v>37</x:v>
      </x:c>
      <x:c r="D445" s="38" t="n">
        <x:v>601317</x:v>
      </x:c>
      <x:c r="E445" s="38" t="n">
        <x:v>90</x:v>
      </x:c>
      <x:c r="F445" s="38" t="n">
        <x:v>318753</x:v>
      </x:c>
      <x:c r="G445" s="38" t="n">
        <x:v>93458</x:v>
      </x:c>
      <x:c r="H445" s="38" t="n">
        <x:v>18360</x:v>
      </x:c>
      <x:c r="I445" s="38" t="n">
        <x:v>4244</x:v>
      </x:c>
      <x:c r="J445" s="38" t="n">
        <x:v>0</x:v>
      </x:c>
      <x:c r="K445" s="38" t="n">
        <x:v>0</x:v>
      </x:c>
      <x:c r="L445" s="38" t="n">
        <x:v>0</x:v>
      </x:c>
      <x:c r="M445" s="38" t="n">
        <x:v>0</x:v>
      </x:c>
      <x:c r="N445" s="38" t="n">
        <x:v>0</x:v>
      </x:c>
      <x:c r="O445" s="38" t="n">
        <x:v>0</x:v>
      </x:c>
      <x:c r="P445" s="38" t="n">
        <x:f>F445+G445-H445+I445+J445+K445+L445-M445-N445-O445</x:f>
        <x:v>398095</x:v>
      </x:c>
      <x:c r="Q445" s="38" t="n">
        <x:v>398095</x:v>
      </x:c>
      <x:c r="R445" s="38" t="n">
        <x:f>P445-Q445</x:f>
        <x:v>0</x:v>
      </x:c>
      <x:c r="S445" s="38" t="n">
        <x:v>74802</x:v>
      </x:c>
      <x:c r="T445" s="38" t="n">
        <x:v>11598</x:v>
      </x:c>
      <x:c r="U445" s="38" t="n">
        <x:v>84</x:v>
      </x:c>
      <x:c r="V445" s="38" t="n">
        <x:v>0</x:v>
      </x:c>
      <x:c r="W445" s="38" t="n">
        <x:v>0</x:v>
      </x:c>
      <x:c r="X445" s="44" t="n">
        <x:v>0</x:v>
      </x:c>
      <x:c r="Y445" s="38" t="n">
        <x:v>180</x:v>
      </x:c>
      <x:c r="Z445" s="38" t="n">
        <x:v>37</x:v>
      </x:c>
      <x:c r="AA445" s="38" t="n">
        <x:v>47</x:v>
      </x:c>
      <x:c r="AB445" s="38" t="n">
        <x:v>7</x:v>
      </x:c>
      <x:c r="AC445" s="38" t="n">
        <x:v>9180</x:v>
      </x:c>
      <x:c r="AD445" s="38" t="n">
        <x:v>0</x:v>
      </x:c>
      <x:c r="AE445" s="38" t="n">
        <x:f>IF(B445=1,0,F445-Q444)</x:f>
        <x:v>0</x:v>
      </x:c>
    </x:row>
    <x:row r="446" ht="27" customHeight="1">
      <x:c r="A446" s="28" t="str">
        <x:v>Decorator F2P</x:v>
      </x:c>
      <x:c r="B446" s="38" t="n">
        <x:v>82</x:v>
      </x:c>
      <x:c r="C446" s="38" t="n">
        <x:v>37</x:v>
      </x:c>
      <x:c r="D446" s="38" t="n">
        <x:v>612752</x:v>
      </x:c>
      <x:c r="E446" s="38" t="n">
        <x:v>90</x:v>
      </x:c>
      <x:c r="F446" s="38" t="n">
        <x:v>398095</x:v>
      </x:c>
      <x:c r="G446" s="38" t="n">
        <x:v>91980</x:v>
      </x:c>
      <x:c r="H446" s="38" t="n">
        <x:v>18360</x:v>
      </x:c>
      <x:c r="I446" s="38" t="n">
        <x:v>4244</x:v>
      </x:c>
      <x:c r="J446" s="38" t="n">
        <x:v>0</x:v>
      </x:c>
      <x:c r="K446" s="38" t="n">
        <x:v>0</x:v>
      </x:c>
      <x:c r="L446" s="38" t="n">
        <x:v>0</x:v>
      </x:c>
      <x:c r="M446" s="38" t="n">
        <x:v>0</x:v>
      </x:c>
      <x:c r="N446" s="38" t="n">
        <x:v>0</x:v>
      </x:c>
      <x:c r="O446" s="38" t="n">
        <x:v>0</x:v>
      </x:c>
      <x:c r="P446" s="38" t="n">
        <x:f>F446+G446-H446+I446+J446+K446+L446-M446-N446-O446</x:f>
        <x:v>475959</x:v>
      </x:c>
      <x:c r="Q446" s="38" t="n">
        <x:v>475959</x:v>
      </x:c>
      <x:c r="R446" s="38" t="n">
        <x:f>P446-Q446</x:f>
        <x:v>0</x:v>
      </x:c>
      <x:c r="S446" s="38" t="n">
        <x:v>73620</x:v>
      </x:c>
      <x:c r="T446" s="38" t="n">
        <x:v>11435</x:v>
      </x:c>
      <x:c r="U446" s="38" t="n">
        <x:v>84</x:v>
      </x:c>
      <x:c r="V446" s="38" t="n">
        <x:v>0</x:v>
      </x:c>
      <x:c r="W446" s="38" t="n">
        <x:v>0</x:v>
      </x:c>
      <x:c r="X446" s="44" t="n">
        <x:v>0</x:v>
      </x:c>
      <x:c r="Y446" s="38" t="n">
        <x:v>180</x:v>
      </x:c>
      <x:c r="Z446" s="38" t="n">
        <x:v>37</x:v>
      </x:c>
      <x:c r="AA446" s="38" t="n">
        <x:v>47</x:v>
      </x:c>
      <x:c r="AB446" s="38" t="n">
        <x:v>7</x:v>
      </x:c>
      <x:c r="AC446" s="38" t="n">
        <x:v>9180</x:v>
      </x:c>
      <x:c r="AD446" s="38" t="n">
        <x:v>0</x:v>
      </x:c>
      <x:c r="AE446" s="38" t="n">
        <x:f>IF(B446=1,0,F446-Q445)</x:f>
        <x:v>0</x:v>
      </x:c>
    </x:row>
    <x:row r="447" ht="27" customHeight="1">
      <x:c r="A447" s="28" t="str">
        <x:v>Decorator F2P</x:v>
      </x:c>
      <x:c r="B447" s="38" t="n">
        <x:v>83</x:v>
      </x:c>
      <x:c r="C447" s="38" t="n">
        <x:v>37</x:v>
      </x:c>
      <x:c r="D447" s="38" t="n">
        <x:v>624187</x:v>
      </x:c>
      <x:c r="E447" s="38" t="n">
        <x:v>90</x:v>
      </x:c>
      <x:c r="F447" s="38" t="n">
        <x:v>475959</x:v>
      </x:c>
      <x:c r="G447" s="38" t="n">
        <x:v>91980</x:v>
      </x:c>
      <x:c r="H447" s="38" t="n">
        <x:v>18360</x:v>
      </x:c>
      <x:c r="I447" s="38" t="n">
        <x:v>4244</x:v>
      </x:c>
      <x:c r="J447" s="38" t="n">
        <x:v>0</x:v>
      </x:c>
      <x:c r="K447" s="38" t="n">
        <x:v>0</x:v>
      </x:c>
      <x:c r="L447" s="38" t="n">
        <x:v>0</x:v>
      </x:c>
      <x:c r="M447" s="38" t="n">
        <x:v>0</x:v>
      </x:c>
      <x:c r="N447" s="38" t="n">
        <x:v>0</x:v>
      </x:c>
      <x:c r="O447" s="38" t="n">
        <x:v>0</x:v>
      </x:c>
      <x:c r="P447" s="38" t="n">
        <x:f>F447+G447-H447+I447+J447+K447+L447-M447-N447-O447</x:f>
        <x:v>553823</x:v>
      </x:c>
      <x:c r="Q447" s="38" t="n">
        <x:v>553823</x:v>
      </x:c>
      <x:c r="R447" s="38" t="n">
        <x:f>P447-Q447</x:f>
        <x:v>0</x:v>
      </x:c>
      <x:c r="S447" s="38" t="n">
        <x:v>73620</x:v>
      </x:c>
      <x:c r="T447" s="38" t="n">
        <x:v>11435</x:v>
      </x:c>
      <x:c r="U447" s="38" t="n">
        <x:v>84</x:v>
      </x:c>
      <x:c r="V447" s="38" t="n">
        <x:v>0</x:v>
      </x:c>
      <x:c r="W447" s="38" t="n">
        <x:v>0</x:v>
      </x:c>
      <x:c r="X447" s="44" t="n">
        <x:v>0</x:v>
      </x:c>
      <x:c r="Y447" s="38" t="n">
        <x:v>180</x:v>
      </x:c>
      <x:c r="Z447" s="38" t="n">
        <x:v>37</x:v>
      </x:c>
      <x:c r="AA447" s="38" t="n">
        <x:v>47</x:v>
      </x:c>
      <x:c r="AB447" s="38" t="n">
        <x:v>7</x:v>
      </x:c>
      <x:c r="AC447" s="38" t="n">
        <x:v>9180</x:v>
      </x:c>
      <x:c r="AD447" s="38" t="n">
        <x:v>0</x:v>
      </x:c>
      <x:c r="AE447" s="38" t="n">
        <x:f>IF(B447=1,0,F447-Q446)</x:f>
        <x:v>0</x:v>
      </x:c>
    </x:row>
    <x:row r="448" ht="27" customHeight="1">
      <x:c r="A448" s="28" t="str">
        <x:v>Decorator F2P</x:v>
      </x:c>
      <x:c r="B448" s="38" t="n">
        <x:v>84</x:v>
      </x:c>
      <x:c r="C448" s="38" t="n">
        <x:v>38</x:v>
      </x:c>
      <x:c r="D448" s="38" t="n">
        <x:v>641745</x:v>
      </x:c>
      <x:c r="E448" s="38" t="n">
        <x:v>95</x:v>
      </x:c>
      <x:c r="F448" s="38" t="n">
        <x:v>553823</x:v>
      </x:c>
      <x:c r="G448" s="38" t="n">
        <x:v>95338</x:v>
      </x:c>
      <x:c r="H448" s="38" t="n">
        <x:v>19750</x:v>
      </x:c>
      <x:c r="I448" s="38" t="n">
        <x:v>25102</x:v>
      </x:c>
      <x:c r="J448" s="38" t="n">
        <x:v>1140</x:v>
      </x:c>
      <x:c r="K448" s="38" t="n">
        <x:v>0</x:v>
      </x:c>
      <x:c r="L448" s="38" t="n">
        <x:v>0</x:v>
      </x:c>
      <x:c r="M448" s="38" t="n">
        <x:v>600000</x:v>
      </x:c>
      <x:c r="N448" s="38" t="n">
        <x:v>25635</x:v>
      </x:c>
      <x:c r="O448" s="38" t="n">
        <x:v>0</x:v>
      </x:c>
      <x:c r="P448" s="38" t="n">
        <x:f>F448+G448-H448+I448+J448+K448+L448-M448-N448-O448</x:f>
        <x:v>30018</x:v>
      </x:c>
      <x:c r="Q448" s="38" t="n">
        <x:v>30018</x:v>
      </x:c>
      <x:c r="R448" s="38" t="n">
        <x:f>P448-Q448</x:f>
        <x:v>0</x:v>
      </x:c>
      <x:c r="S448" s="38" t="n">
        <x:v>76288</x:v>
      </x:c>
      <x:c r="T448" s="38" t="n">
        <x:v>17558</x:v>
      </x:c>
      <x:c r="U448" s="38" t="n">
        <x:v>87</x:v>
      </x:c>
      <x:c r="V448" s="38" t="n">
        <x:v>3</x:v>
      </x:c>
      <x:c r="W448" s="38" t="n">
        <x:v>0</x:v>
      </x:c>
      <x:c r="X448" s="44" t="n">
        <x:v>0</x:v>
      </x:c>
      <x:c r="Y448" s="38" t="n">
        <x:v>185</x:v>
      </x:c>
      <x:c r="Z448" s="38" t="n">
        <x:v>38</x:v>
      </x:c>
      <x:c r="AA448" s="38" t="n">
        <x:v>48</x:v>
      </x:c>
      <x:c r="AB448" s="38" t="n">
        <x:v>7</x:v>
      </x:c>
      <x:c r="AC448" s="38" t="n">
        <x:v>9880</x:v>
      </x:c>
      <x:c r="AD448" s="38" t="n">
        <x:v>0</x:v>
      </x:c>
      <x:c r="AE448" s="38" t="n">
        <x:f>IF(B448=1,0,F448-Q447)</x:f>
        <x:v>0</x:v>
      </x:c>
    </x:row>
    <x:row r="449" ht="27" customHeight="1">
      <x:c r="A449" s="28" t="str">
        <x:v>Decorator F2P</x:v>
      </x:c>
      <x:c r="B449" s="38" t="n">
        <x:v>85</x:v>
      </x:c>
      <x:c r="C449" s="38" t="n">
        <x:v>38</x:v>
      </x:c>
      <x:c r="D449" s="38" t="n">
        <x:v>653824</x:v>
      </x:c>
      <x:c r="E449" s="38" t="n">
        <x:v>95</x:v>
      </x:c>
      <x:c r="F449" s="38" t="n">
        <x:v>30018</x:v>
      </x:c>
      <x:c r="G449" s="38" t="n">
        <x:v>98800</x:v>
      </x:c>
      <x:c r="H449" s="38" t="n">
        <x:v>19760</x:v>
      </x:c>
      <x:c r="I449" s="38" t="n">
        <x:v>4557</x:v>
      </x:c>
      <x:c r="J449" s="38" t="n">
        <x:v>0</x:v>
      </x:c>
      <x:c r="K449" s="38" t="n">
        <x:v>0</x:v>
      </x:c>
      <x:c r="L449" s="38" t="n">
        <x:v>0</x:v>
      </x:c>
      <x:c r="M449" s="38" t="n">
        <x:v>0</x:v>
      </x:c>
      <x:c r="N449" s="38" t="n">
        <x:v>0</x:v>
      </x:c>
      <x:c r="O449" s="38" t="n">
        <x:v>27782</x:v>
      </x:c>
      <x:c r="P449" s="38" t="n">
        <x:f>F449+G449-H449+I449+J449+K449+L449-M449-N449-O449</x:f>
        <x:v>85833</x:v>
      </x:c>
      <x:c r="Q449" s="38" t="n">
        <x:v>85833</x:v>
      </x:c>
      <x:c r="R449" s="38" t="n">
        <x:f>P449-Q449</x:f>
        <x:v>0</x:v>
      </x:c>
      <x:c r="S449" s="38" t="n">
        <x:v>79040</x:v>
      </x:c>
      <x:c r="T449" s="38" t="n">
        <x:v>12079</x:v>
      </x:c>
      <x:c r="U449" s="38" t="n">
        <x:v>87</x:v>
      </x:c>
      <x:c r="V449" s="38" t="n">
        <x:v>0</x:v>
      </x:c>
      <x:c r="W449" s="38" t="n">
        <x:v>0</x:v>
      </x:c>
      <x:c r="X449" s="44" t="n">
        <x:v>0</x:v>
      </x:c>
      <x:c r="Y449" s="38" t="n">
        <x:v>190</x:v>
      </x:c>
      <x:c r="Z449" s="38" t="n">
        <x:v>38</x:v>
      </x:c>
      <x:c r="AA449" s="38" t="n">
        <x:v>48</x:v>
      </x:c>
      <x:c r="AB449" s="38" t="n">
        <x:v>7</x:v>
      </x:c>
      <x:c r="AC449" s="38" t="n">
        <x:v>9880</x:v>
      </x:c>
      <x:c r="AD449" s="38" t="n">
        <x:v>0</x:v>
      </x:c>
      <x:c r="AE449" s="38" t="n">
        <x:f>IF(B449=1,0,F449-Q448)</x:f>
        <x:v>0</x:v>
      </x:c>
    </x:row>
    <x:row r="450" ht="27" customHeight="1">
      <x:c r="A450" s="28" t="str">
        <x:v>Decorator F2P</x:v>
      </x:c>
      <x:c r="B450" s="38" t="n">
        <x:v>86</x:v>
      </x:c>
      <x:c r="C450" s="38" t="n">
        <x:v>38</x:v>
      </x:c>
      <x:c r="D450" s="38" t="n">
        <x:v>665903</x:v>
      </x:c>
      <x:c r="E450" s="38" t="n">
        <x:v>95</x:v>
      </x:c>
      <x:c r="F450" s="38" t="n">
        <x:v>85833</x:v>
      </x:c>
      <x:c r="G450" s="38" t="n">
        <x:v>98800</x:v>
      </x:c>
      <x:c r="H450" s="38" t="n">
        <x:v>19760</x:v>
      </x:c>
      <x:c r="I450" s="38" t="n">
        <x:v>4557</x:v>
      </x:c>
      <x:c r="J450" s="38" t="n">
        <x:v>0</x:v>
      </x:c>
      <x:c r="K450" s="38" t="n">
        <x:v>0</x:v>
      </x:c>
      <x:c r="L450" s="38" t="n">
        <x:v>0</x:v>
      </x:c>
      <x:c r="M450" s="38" t="n">
        <x:v>0</x:v>
      </x:c>
      <x:c r="N450" s="38" t="n">
        <x:v>0</x:v>
      </x:c>
      <x:c r="O450" s="38" t="n">
        <x:v>83597</x:v>
      </x:c>
      <x:c r="P450" s="38" t="n">
        <x:f>F450+G450-H450+I450+J450+K450+L450-M450-N450-O450</x:f>
        <x:v>85833</x:v>
      </x:c>
      <x:c r="Q450" s="38" t="n">
        <x:v>85833</x:v>
      </x:c>
      <x:c r="R450" s="38" t="n">
        <x:f>P450-Q450</x:f>
        <x:v>0</x:v>
      </x:c>
      <x:c r="S450" s="38" t="n">
        <x:v>79040</x:v>
      </x:c>
      <x:c r="T450" s="38" t="n">
        <x:v>12079</x:v>
      </x:c>
      <x:c r="U450" s="38" t="n">
        <x:v>87</x:v>
      </x:c>
      <x:c r="V450" s="38" t="n">
        <x:v>0</x:v>
      </x:c>
      <x:c r="W450" s="38" t="n">
        <x:v>0</x:v>
      </x:c>
      <x:c r="X450" s="44" t="n">
        <x:v>0</x:v>
      </x:c>
      <x:c r="Y450" s="38" t="n">
        <x:v>190</x:v>
      </x:c>
      <x:c r="Z450" s="38" t="n">
        <x:v>38</x:v>
      </x:c>
      <x:c r="AA450" s="38" t="n">
        <x:v>48</x:v>
      </x:c>
      <x:c r="AB450" s="38" t="n">
        <x:v>7</x:v>
      </x:c>
      <x:c r="AC450" s="38" t="n">
        <x:v>9880</x:v>
      </x:c>
      <x:c r="AD450" s="38" t="n">
        <x:v>0</x:v>
      </x:c>
      <x:c r="AE450" s="38" t="n">
        <x:f>IF(B450=1,0,F450-Q449)</x:f>
        <x:v>0</x:v>
      </x:c>
    </x:row>
    <x:row r="451" ht="27" customHeight="1">
      <x:c r="A451" s="28" t="str">
        <x:v>Decorator F2P</x:v>
      </x:c>
      <x:c r="B451" s="38" t="n">
        <x:v>87</x:v>
      </x:c>
      <x:c r="C451" s="38" t="n">
        <x:v>38</x:v>
      </x:c>
      <x:c r="D451" s="38" t="n">
        <x:v>677982</x:v>
      </x:c>
      <x:c r="E451" s="38" t="n">
        <x:v>95</x:v>
      </x:c>
      <x:c r="F451" s="38" t="n">
        <x:v>85833</x:v>
      </x:c>
      <x:c r="G451" s="38" t="n">
        <x:v>98800</x:v>
      </x:c>
      <x:c r="H451" s="38" t="n">
        <x:v>19760</x:v>
      </x:c>
      <x:c r="I451" s="38" t="n">
        <x:v>4557</x:v>
      </x:c>
      <x:c r="J451" s="38" t="n">
        <x:v>0</x:v>
      </x:c>
      <x:c r="K451" s="38" t="n">
        <x:v>0</x:v>
      </x:c>
      <x:c r="L451" s="38" t="n">
        <x:v>0</x:v>
      </x:c>
      <x:c r="M451" s="38" t="n">
        <x:v>0</x:v>
      </x:c>
      <x:c r="N451" s="38" t="n">
        <x:v>0</x:v>
      </x:c>
      <x:c r="O451" s="38" t="n">
        <x:v>83597</x:v>
      </x:c>
      <x:c r="P451" s="38" t="n">
        <x:f>F451+G451-H451+I451+J451+K451+L451-M451-N451-O451</x:f>
        <x:v>85833</x:v>
      </x:c>
      <x:c r="Q451" s="38" t="n">
        <x:v>85833</x:v>
      </x:c>
      <x:c r="R451" s="38" t="n">
        <x:f>P451-Q451</x:f>
        <x:v>0</x:v>
      </x:c>
      <x:c r="S451" s="38" t="n">
        <x:v>79040</x:v>
      </x:c>
      <x:c r="T451" s="38" t="n">
        <x:v>12079</x:v>
      </x:c>
      <x:c r="U451" s="38" t="n">
        <x:v>87</x:v>
      </x:c>
      <x:c r="V451" s="38" t="n">
        <x:v>0</x:v>
      </x:c>
      <x:c r="W451" s="38" t="n">
        <x:v>0</x:v>
      </x:c>
      <x:c r="X451" s="44" t="n">
        <x:v>0</x:v>
      </x:c>
      <x:c r="Y451" s="38" t="n">
        <x:v>190</x:v>
      </x:c>
      <x:c r="Z451" s="38" t="n">
        <x:v>38</x:v>
      </x:c>
      <x:c r="AA451" s="38" t="n">
        <x:v>48</x:v>
      </x:c>
      <x:c r="AB451" s="38" t="n">
        <x:v>7</x:v>
      </x:c>
      <x:c r="AC451" s="38" t="n">
        <x:v>9880</x:v>
      </x:c>
      <x:c r="AD451" s="38" t="n">
        <x:v>0</x:v>
      </x:c>
      <x:c r="AE451" s="38" t="n">
        <x:f>IF(B451=1,0,F451-Q450)</x:f>
        <x:v>0</x:v>
      </x:c>
    </x:row>
    <x:row r="452" ht="27" customHeight="1">
      <x:c r="A452" s="28" t="str">
        <x:v>Decorator F2P</x:v>
      </x:c>
      <x:c r="B452" s="38" t="n">
        <x:v>88</x:v>
      </x:c>
      <x:c r="C452" s="38" t="n">
        <x:v>39</x:v>
      </x:c>
      <x:c r="D452" s="38" t="n">
        <x:v>689547</x:v>
      </x:c>
      <x:c r="E452" s="38" t="n">
        <x:v>95</x:v>
      </x:c>
      <x:c r="F452" s="38" t="n">
        <x:v>85833</x:v>
      </x:c>
      <x:c r="G452" s="38" t="n">
        <x:v>104159</x:v>
      </x:c>
      <x:c r="H452" s="38" t="n">
        <x:v>21953</x:v>
      </x:c>
      <x:c r="I452" s="38" t="n">
        <x:v>4557</x:v>
      </x:c>
      <x:c r="J452" s="38" t="n">
        <x:v>1160</x:v>
      </x:c>
      <x:c r="K452" s="38" t="n">
        <x:v>0</x:v>
      </x:c>
      <x:c r="L452" s="38" t="n">
        <x:v>0</x:v>
      </x:c>
      <x:c r="M452" s="38" t="n">
        <x:v>0</x:v>
      </x:c>
      <x:c r="N452" s="38" t="n">
        <x:v>41705</x:v>
      </x:c>
      <x:c r="O452" s="38" t="n">
        <x:v>43796</x:v>
      </x:c>
      <x:c r="P452" s="38" t="n">
        <x:f>F452+G452-H452+I452+J452+K452+L452-M452-N452-O452</x:f>
        <x:v>88255</x:v>
      </x:c>
      <x:c r="Q452" s="38" t="n">
        <x:v>88255</x:v>
      </x:c>
      <x:c r="R452" s="38" t="n">
        <x:f>P452-Q452</x:f>
        <x:v>0</x:v>
      </x:c>
      <x:c r="S452" s="38" t="n">
        <x:v>83346</x:v>
      </x:c>
      <x:c r="T452" s="38" t="n">
        <x:v>11565</x:v>
      </x:c>
      <x:c r="U452" s="38" t="n">
        <x:v>87</x:v>
      </x:c>
      <x:c r="V452" s="38" t="n">
        <x:v>0</x:v>
      </x:c>
      <x:c r="W452" s="38" t="n">
        <x:v>0</x:v>
      </x:c>
      <x:c r="X452" s="44" t="n">
        <x:v>0</x:v>
      </x:c>
      <x:c r="Y452" s="38" t="n">
        <x:v>190</x:v>
      </x:c>
      <x:c r="Z452" s="38" t="n">
        <x:v>39</x:v>
      </x:c>
      <x:c r="AA452" s="38" t="n">
        <x:v>49</x:v>
      </x:c>
      <x:c r="AB452" s="38" t="n">
        <x:v>7</x:v>
      </x:c>
      <x:c r="AC452" s="38" t="n">
        <x:v>11020</x:v>
      </x:c>
      <x:c r="AD452" s="38" t="n">
        <x:v>0</x:v>
      </x:c>
      <x:c r="AE452" s="38" t="n">
        <x:f>IF(B452=1,0,F452-Q451)</x:f>
        <x:v>0</x:v>
      </x:c>
    </x:row>
    <x:row r="453" ht="27" customHeight="1">
      <x:c r="A453" s="28" t="str">
        <x:v>Decorator F2P</x:v>
      </x:c>
      <x:c r="B453" s="38" t="n">
        <x:v>89</x:v>
      </x:c>
      <x:c r="C453" s="38" t="n">
        <x:v>39</x:v>
      </x:c>
      <x:c r="D453" s="38" t="n">
        <x:v>700686</x:v>
      </x:c>
      <x:c r="E453" s="38" t="n">
        <x:v>95</x:v>
      </x:c>
      <x:c r="F453" s="38" t="n">
        <x:v>88255</x:v>
      </x:c>
      <x:c r="G453" s="38" t="n">
        <x:v>110390</x:v>
      </x:c>
      <x:c r="H453" s="38" t="n">
        <x:v>22040</x:v>
      </x:c>
      <x:c r="I453" s="38" t="n">
        <x:v>4634</x:v>
      </x:c>
      <x:c r="J453" s="38" t="n">
        <x:v>0</x:v>
      </x:c>
      <x:c r="K453" s="38" t="n">
        <x:v>0</x:v>
      </x:c>
      <x:c r="L453" s="38" t="n">
        <x:v>0</x:v>
      </x:c>
      <x:c r="M453" s="38" t="n">
        <x:v>0</x:v>
      </x:c>
      <x:c r="N453" s="38" t="n">
        <x:v>0</x:v>
      </x:c>
      <x:c r="O453" s="38" t="n">
        <x:v>65038</x:v>
      </x:c>
      <x:c r="P453" s="38" t="n">
        <x:f>F453+G453-H453+I453+J453+K453+L453-M453-N453-O453</x:f>
        <x:v>116201</x:v>
      </x:c>
      <x:c r="Q453" s="38" t="n">
        <x:v>116201</x:v>
      </x:c>
      <x:c r="R453" s="38" t="n">
        <x:f>P453-Q453</x:f>
        <x:v>0</x:v>
      </x:c>
      <x:c r="S453" s="38" t="n">
        <x:v>88350</x:v>
      </x:c>
      <x:c r="T453" s="38" t="n">
        <x:v>11139</x:v>
      </x:c>
      <x:c r="U453" s="38" t="n">
        <x:v>87</x:v>
      </x:c>
      <x:c r="V453" s="38" t="n">
        <x:v>0</x:v>
      </x:c>
      <x:c r="W453" s="38" t="n">
        <x:v>0</x:v>
      </x:c>
      <x:c r="X453" s="44" t="n">
        <x:v>0</x:v>
      </x:c>
      <x:c r="Y453" s="38" t="n">
        <x:v>190</x:v>
      </x:c>
      <x:c r="Z453" s="38" t="n">
        <x:v>39</x:v>
      </x:c>
      <x:c r="AA453" s="38" t="n">
        <x:v>49</x:v>
      </x:c>
      <x:c r="AB453" s="38" t="n">
        <x:v>8</x:v>
      </x:c>
      <x:c r="AC453" s="38" t="n">
        <x:v>11020</x:v>
      </x:c>
      <x:c r="AD453" s="38" t="n">
        <x:v>0</x:v>
      </x:c>
      <x:c r="AE453" s="38" t="n">
        <x:f>IF(B453=1,0,F453-Q452)</x:f>
        <x:v>0</x:v>
      </x:c>
    </x:row>
    <x:row r="454" ht="27" customHeight="1">
      <x:c r="A454" s="28" t="str">
        <x:v>Decorator F2P</x:v>
      </x:c>
      <x:c r="B454" s="38" t="n">
        <x:v>90</x:v>
      </x:c>
      <x:c r="C454" s="38" t="n">
        <x:v>39</x:v>
      </x:c>
      <x:c r="D454" s="38" t="n">
        <x:v>711825</x:v>
      </x:c>
      <x:c r="E454" s="38" t="n">
        <x:v>95</x:v>
      </x:c>
      <x:c r="F454" s="38" t="n">
        <x:v>116201</x:v>
      </x:c>
      <x:c r="G454" s="38" t="n">
        <x:v>110390</x:v>
      </x:c>
      <x:c r="H454" s="38" t="n">
        <x:v>22040</x:v>
      </x:c>
      <x:c r="I454" s="38" t="n">
        <x:v>4634</x:v>
      </x:c>
      <x:c r="J454" s="38" t="n">
        <x:v>0</x:v>
      </x:c>
      <x:c r="K454" s="38" t="n">
        <x:v>0</x:v>
      </x:c>
      <x:c r="L454" s="38" t="n">
        <x:v>0</x:v>
      </x:c>
      <x:c r="M454" s="38" t="n">
        <x:v>0</x:v>
      </x:c>
      <x:c r="N454" s="38" t="n">
        <x:v>0</x:v>
      </x:c>
      <x:c r="O454" s="38" t="n">
        <x:v>0</x:v>
      </x:c>
      <x:c r="P454" s="38" t="n">
        <x:f>F454+G454-H454+I454+J454+K454+L454-M454-N454-O454</x:f>
        <x:v>209185</x:v>
      </x:c>
      <x:c r="Q454" s="38" t="n">
        <x:v>209185</x:v>
      </x:c>
      <x:c r="R454" s="38" t="n">
        <x:f>P454-Q454</x:f>
        <x:v>0</x:v>
      </x:c>
      <x:c r="S454" s="38" t="n">
        <x:v>88350</x:v>
      </x:c>
      <x:c r="T454" s="38" t="n">
        <x:v>11139</x:v>
      </x:c>
      <x:c r="U454" s="38" t="n">
        <x:v>87</x:v>
      </x:c>
      <x:c r="V454" s="38" t="n">
        <x:v>0</x:v>
      </x:c>
      <x:c r="W454" s="38" t="n">
        <x:v>0</x:v>
      </x:c>
      <x:c r="X454" s="44" t="n">
        <x:v>0</x:v>
      </x:c>
      <x:c r="Y454" s="38" t="n">
        <x:v>190</x:v>
      </x:c>
      <x:c r="Z454" s="38" t="n">
        <x:v>39</x:v>
      </x:c>
      <x:c r="AA454" s="38" t="n">
        <x:v>49</x:v>
      </x:c>
      <x:c r="AB454" s="38" t="n">
        <x:v>8</x:v>
      </x:c>
      <x:c r="AC454" s="38" t="n">
        <x:v>11020</x:v>
      </x:c>
      <x:c r="AD454" s="38" t="n">
        <x:v>0</x:v>
      </x:c>
      <x:c r="AE454" s="38" t="n">
        <x:f>IF(B454=1,0,F454-Q453)</x:f>
        <x:v>0</x:v>
      </x:c>
    </x:row>
    <x:row r="455" ht="27" customHeight="1">
      <x:c r="A455" s="28" t="str">
        <x:v>Decorator F2P</x:v>
      </x:c>
      <x:c r="B455" s="38" t="n">
        <x:v>91</x:v>
      </x:c>
      <x:c r="C455" s="38" t="n">
        <x:v>39</x:v>
      </x:c>
      <x:c r="D455" s="38" t="n">
        <x:v>729211</x:v>
      </x:c>
      <x:c r="E455" s="38" t="n">
        <x:v>95</x:v>
      </x:c>
      <x:c r="F455" s="38" t="n">
        <x:v>209185</x:v>
      </x:c>
      <x:c r="G455" s="38" t="n">
        <x:v>110390</x:v>
      </x:c>
      <x:c r="H455" s="38" t="n">
        <x:v>22040</x:v>
      </x:c>
      <x:c r="I455" s="38" t="n">
        <x:v>27420</x:v>
      </x:c>
      <x:c r="J455" s="38" t="n">
        <x:v>0</x:v>
      </x:c>
      <x:c r="K455" s="38" t="n">
        <x:v>0</x:v>
      </x:c>
      <x:c r="L455" s="38" t="n">
        <x:v>0</x:v>
      </x:c>
      <x:c r="M455" s="38" t="n">
        <x:v>0</x:v>
      </x:c>
      <x:c r="N455" s="38" t="n">
        <x:v>0</x:v>
      </x:c>
      <x:c r="O455" s="38" t="n">
        <x:v>0</x:v>
      </x:c>
      <x:c r="P455" s="38" t="n">
        <x:f>F455+G455-H455+I455+J455+K455+L455-M455-N455-O455</x:f>
        <x:v>324955</x:v>
      </x:c>
      <x:c r="Q455" s="38" t="n">
        <x:v>324955</x:v>
      </x:c>
      <x:c r="R455" s="38" t="n">
        <x:f>P455-Q455</x:f>
        <x:v>0</x:v>
      </x:c>
      <x:c r="S455" s="38" t="n">
        <x:v>88350</x:v>
      </x:c>
      <x:c r="T455" s="38" t="n">
        <x:v>17386</x:v>
      </x:c>
      <x:c r="U455" s="38" t="n">
        <x:v>89</x:v>
      </x:c>
      <x:c r="V455" s="38" t="n">
        <x:v>2</x:v>
      </x:c>
      <x:c r="W455" s="38" t="n">
        <x:v>0</x:v>
      </x:c>
      <x:c r="X455" s="44" t="n">
        <x:v>0</x:v>
      </x:c>
      <x:c r="Y455" s="38" t="n">
        <x:v>190</x:v>
      </x:c>
      <x:c r="Z455" s="38" t="n">
        <x:v>39</x:v>
      </x:c>
      <x:c r="AA455" s="38" t="n">
        <x:v>49</x:v>
      </x:c>
      <x:c r="AB455" s="38" t="n">
        <x:v>8</x:v>
      </x:c>
      <x:c r="AC455" s="38" t="n">
        <x:v>11020</x:v>
      </x:c>
      <x:c r="AD455" s="38" t="n">
        <x:v>0</x:v>
      </x:c>
      <x:c r="AE455" s="38" t="n">
        <x:f>IF(B455=1,0,F455-Q454)</x:f>
        <x:v>0</x:v>
      </x:c>
    </x:row>
    <x:row r="456" ht="27" customHeight="1">
      <x:c r="A456" s="28" t="str">
        <x:v>Decorator F2P</x:v>
      </x:c>
      <x:c r="B456" s="38" t="n">
        <x:v>92</x:v>
      </x:c>
      <x:c r="C456" s="38" t="n">
        <x:v>39</x:v>
      </x:c>
      <x:c r="D456" s="38" t="n">
        <x:v>740350</x:v>
      </x:c>
      <x:c r="E456" s="38" t="n">
        <x:v>95</x:v>
      </x:c>
      <x:c r="F456" s="38" t="n">
        <x:v>324955</x:v>
      </x:c>
      <x:c r="G456" s="38" t="n">
        <x:v>110390</x:v>
      </x:c>
      <x:c r="H456" s="38" t="n">
        <x:v>22040</x:v>
      </x:c>
      <x:c r="I456" s="38" t="n">
        <x:v>4634</x:v>
      </x:c>
      <x:c r="J456" s="38" t="n">
        <x:v>0</x:v>
      </x:c>
      <x:c r="K456" s="38" t="n">
        <x:v>0</x:v>
      </x:c>
      <x:c r="L456" s="38" t="n">
        <x:v>0</x:v>
      </x:c>
      <x:c r="M456" s="38" t="n">
        <x:v>0</x:v>
      </x:c>
      <x:c r="N456" s="38" t="n">
        <x:v>0</x:v>
      </x:c>
      <x:c r="O456" s="38" t="n">
        <x:v>0</x:v>
      </x:c>
      <x:c r="P456" s="38" t="n">
        <x:f>F456+G456-H456+I456+J456+K456+L456-M456-N456-O456</x:f>
        <x:v>417939</x:v>
      </x:c>
      <x:c r="Q456" s="38" t="n">
        <x:v>417939</x:v>
      </x:c>
      <x:c r="R456" s="38" t="n">
        <x:f>P456-Q456</x:f>
        <x:v>0</x:v>
      </x:c>
      <x:c r="S456" s="38" t="n">
        <x:v>88350</x:v>
      </x:c>
      <x:c r="T456" s="38" t="n">
        <x:v>11139</x:v>
      </x:c>
      <x:c r="U456" s="38" t="n">
        <x:v>89</x:v>
      </x:c>
      <x:c r="V456" s="38" t="n">
        <x:v>0</x:v>
      </x:c>
      <x:c r="W456" s="38" t="n">
        <x:v>0</x:v>
      </x:c>
      <x:c r="X456" s="44" t="n">
        <x:v>0</x:v>
      </x:c>
      <x:c r="Y456" s="38" t="n">
        <x:v>190</x:v>
      </x:c>
      <x:c r="Z456" s="38" t="n">
        <x:v>39</x:v>
      </x:c>
      <x:c r="AA456" s="38" t="n">
        <x:v>49</x:v>
      </x:c>
      <x:c r="AB456" s="38" t="n">
        <x:v>8</x:v>
      </x:c>
      <x:c r="AC456" s="38" t="n">
        <x:v>11020</x:v>
      </x:c>
      <x:c r="AD456" s="38" t="n">
        <x:v>0</x:v>
      </x:c>
      <x:c r="AE456" s="38" t="n">
        <x:f>IF(B456=1,0,F456-Q455)</x:f>
        <x:v>0</x:v>
      </x:c>
    </x:row>
    <x:row r="457" ht="27" customHeight="1">
      <x:c r="A457" s="28" t="str">
        <x:v>Decorator F2P</x:v>
      </x:c>
      <x:c r="B457" s="38" t="n">
        <x:v>93</x:v>
      </x:c>
      <x:c r="C457" s="38" t="n">
        <x:v>40</x:v>
      </x:c>
      <x:c r="D457" s="38" t="n">
        <x:v>742640</x:v>
      </x:c>
      <x:c r="E457" s="38" t="n">
        <x:v>95</x:v>
      </x:c>
      <x:c r="F457" s="38" t="n">
        <x:v>417939</x:v>
      </x:c>
      <x:c r="G457" s="38" t="n">
        <x:v>105767</x:v>
      </x:c>
      <x:c r="H457" s="38" t="n">
        <x:v>20722</x:v>
      </x:c>
      <x:c r="I457" s="38" t="n">
        <x:v>4634</x:v>
      </x:c>
      <x:c r="J457" s="38" t="n">
        <x:v>1240</x:v>
      </x:c>
      <x:c r="K457" s="38" t="n">
        <x:v>0</x:v>
      </x:c>
      <x:c r="L457" s="38" t="n">
        <x:v>0</x:v>
      </x:c>
      <x:c r="M457" s="38" t="n">
        <x:v>0</x:v>
      </x:c>
      <x:c r="N457" s="38" t="n">
        <x:v>44630</x:v>
      </x:c>
      <x:c r="O457" s="38" t="n">
        <x:v>0</x:v>
      </x:c>
      <x:c r="P457" s="38" t="n">
        <x:f>F457+G457-H457+I457+J457+K457+L457-M457-N457-O457</x:f>
        <x:v>464228</x:v>
      </x:c>
      <x:c r="Q457" s="38" t="n">
        <x:v>464228</x:v>
      </x:c>
      <x:c r="R457" s="38" t="n">
        <x:f>P457-Q457</x:f>
        <x:v>0</x:v>
      </x:c>
      <x:c r="S457" s="38" t="n">
        <x:v>84595</x:v>
      </x:c>
      <x:c r="T457" s="38" t="n">
        <x:v>2290</x:v>
      </x:c>
      <x:c r="U457" s="38" t="n">
        <x:v>92</x:v>
      </x:c>
      <x:c r="V457" s="38" t="n">
        <x:v>3</x:v>
      </x:c>
      <x:c r="W457" s="38" t="n">
        <x:v>0</x:v>
      </x:c>
      <x:c r="X457" s="44" t="n">
        <x:v>0</x:v>
      </x:c>
      <x:c r="Y457" s="38" t="n">
        <x:v>189</x:v>
      </x:c>
      <x:c r="Z457" s="38" t="n">
        <x:v>39</x:v>
      </x:c>
      <x:c r="AA457" s="38" t="n">
        <x:v>50</x:v>
      </x:c>
      <x:c r="AB457" s="38" t="n">
        <x:v>8</x:v>
      </x:c>
      <x:c r="AC457" s="38" t="n">
        <x:v>10570</x:v>
      </x:c>
      <x:c r="AD457" s="38" t="n">
        <x:v>0</x:v>
      </x:c>
      <x:c r="AE457" s="38" t="n">
        <x:f>IF(B457=1,0,F457-Q456)</x:f>
        <x:v>0</x:v>
      </x:c>
    </x:row>
    <x:row r="458" ht="27" customHeight="1">
      <x:c r="A458" s="28" t="str">
        <x:v>Decorator F2P</x:v>
      </x:c>
      <x:c r="B458" s="38" t="n">
        <x:v>94</x:v>
      </x:c>
      <x:c r="C458" s="38" t="n">
        <x:v>40</x:v>
      </x:c>
      <x:c r="D458" s="38" t="n">
        <x:v>742640</x:v>
      </x:c>
      <x:c r="E458" s="38" t="n">
        <x:v>95</x:v>
      </x:c>
      <x:c r="F458" s="38" t="n">
        <x:v>464228</x:v>
      </x:c>
      <x:c r="G458" s="38" t="n">
        <x:v>101144</x:v>
      </x:c>
      <x:c r="H458" s="38" t="n">
        <x:v>20304</x:v>
      </x:c>
      <x:c r="I458" s="38" t="n">
        <x:v>4959</x:v>
      </x:c>
      <x:c r="J458" s="38" t="n">
        <x:v>0</x:v>
      </x:c>
      <x:c r="K458" s="38" t="n">
        <x:v>0</x:v>
      </x:c>
      <x:c r="L458" s="38" t="n">
        <x:v>0</x:v>
      </x:c>
      <x:c r="M458" s="38" t="n">
        <x:v>0</x:v>
      </x:c>
      <x:c r="N458" s="38" t="n">
        <x:v>0</x:v>
      </x:c>
      <x:c r="O458" s="38" t="n">
        <x:v>0</x:v>
      </x:c>
      <x:c r="P458" s="38" t="n">
        <x:f>F458+G458-H458+I458+J458+K458+L458-M458-N458-O458</x:f>
        <x:v>550027</x:v>
      </x:c>
      <x:c r="Q458" s="38" t="n">
        <x:v>550027</x:v>
      </x:c>
      <x:c r="R458" s="38" t="n">
        <x:f>P458-Q458</x:f>
        <x:v>0</x:v>
      </x:c>
      <x:c r="S458" s="38" t="n">
        <x:v>80840</x:v>
      </x:c>
      <x:c r="T458" s="38" t="n">
        <x:v>0</x:v>
      </x:c>
      <x:c r="U458" s="38" t="n">
        <x:v>92</x:v>
      </x:c>
      <x:c r="V458" s="38" t="n">
        <x:v>0</x:v>
      </x:c>
      <x:c r="W458" s="38" t="n">
        <x:v>0</x:v>
      </x:c>
      <x:c r="X458" s="44" t="n">
        <x:v>0</x:v>
      </x:c>
      <x:c r="Y458" s="38" t="n">
        <x:v>188</x:v>
      </x:c>
      <x:c r="Z458" s="38" t="n">
        <x:v>39</x:v>
      </x:c>
      <x:c r="AA458" s="38" t="n">
        <x:v>50</x:v>
      </x:c>
      <x:c r="AB458" s="38" t="n">
        <x:v>8</x:v>
      </x:c>
      <x:c r="AC458" s="38" t="n">
        <x:v>10570</x:v>
      </x:c>
      <x:c r="AD458" s="38" t="n">
        <x:v>0</x:v>
      </x:c>
      <x:c r="AE458" s="38" t="n">
        <x:f>IF(B458=1,0,F458-Q457)</x:f>
        <x:v>0</x:v>
      </x:c>
    </x:row>
    <x:row r="459" ht="27" customHeight="1">
      <x:c r="A459" s="28" t="str">
        <x:v>Decorator F2P</x:v>
      </x:c>
      <x:c r="B459" s="38" t="n">
        <x:v>95</x:v>
      </x:c>
      <x:c r="C459" s="38" t="n">
        <x:v>40</x:v>
      </x:c>
      <x:c r="D459" s="38" t="n">
        <x:v>742640</x:v>
      </x:c>
      <x:c r="E459" s="38" t="n">
        <x:v>95</x:v>
      </x:c>
      <x:c r="F459" s="38" t="n">
        <x:v>550027</x:v>
      </x:c>
      <x:c r="G459" s="38" t="n">
        <x:v>103773</x:v>
      </x:c>
      <x:c r="H459" s="38" t="n">
        <x:v>20520</x:v>
      </x:c>
      <x:c r="I459" s="38" t="n">
        <x:v>4959</x:v>
      </x:c>
      <x:c r="J459" s="38" t="n">
        <x:v>0</x:v>
      </x:c>
      <x:c r="K459" s="38" t="n">
        <x:v>0</x:v>
      </x:c>
      <x:c r="L459" s="38" t="n">
        <x:v>0</x:v>
      </x:c>
      <x:c r="M459" s="38" t="n">
        <x:v>0</x:v>
      </x:c>
      <x:c r="N459" s="38" t="n">
        <x:v>0</x:v>
      </x:c>
      <x:c r="O459" s="38" t="n">
        <x:v>0</x:v>
      </x:c>
      <x:c r="P459" s="38" t="n">
        <x:f>F459+G459-H459+I459+J459+K459+L459-M459-N459-O459</x:f>
        <x:v>638239</x:v>
      </x:c>
      <x:c r="Q459" s="38" t="n">
        <x:v>638239</x:v>
      </x:c>
      <x:c r="R459" s="38" t="n">
        <x:f>P459-Q459</x:f>
        <x:v>0</x:v>
      </x:c>
      <x:c r="S459" s="38" t="n">
        <x:v>82943</x:v>
      </x:c>
      <x:c r="T459" s="38" t="n">
        <x:v>0</x:v>
      </x:c>
      <x:c r="U459" s="38" t="n">
        <x:v>94</x:v>
      </x:c>
      <x:c r="V459" s="38" t="n">
        <x:v>2</x:v>
      </x:c>
      <x:c r="W459" s="38" t="n">
        <x:v>0</x:v>
      </x:c>
      <x:c r="X459" s="44" t="n">
        <x:v>0</x:v>
      </x:c>
      <x:c r="Y459" s="38" t="n">
        <x:v>190</x:v>
      </x:c>
      <x:c r="Z459" s="38" t="n">
        <x:v>40</x:v>
      </x:c>
      <x:c r="AA459" s="38" t="n">
        <x:v>50</x:v>
      </x:c>
      <x:c r="AB459" s="38" t="n">
        <x:v>8</x:v>
      </x:c>
      <x:c r="AC459" s="38" t="n">
        <x:v>10260</x:v>
      </x:c>
      <x:c r="AD459" s="38" t="n">
        <x:v>0</x:v>
      </x:c>
      <x:c r="AE459" s="38" t="n">
        <x:f>IF(B459=1,0,F459-Q458)</x:f>
        <x:v>0</x:v>
      </x:c>
    </x:row>
    <x:row r="460" ht="27" customHeight="1">
      <x:c r="A460" s="28" t="str">
        <x:v>Decorator F2P</x:v>
      </x:c>
      <x:c r="B460" s="38" t="n">
        <x:v>96</x:v>
      </x:c>
      <x:c r="C460" s="38" t="n">
        <x:v>40</x:v>
      </x:c>
      <x:c r="D460" s="38" t="n">
        <x:v>742640</x:v>
      </x:c>
      <x:c r="E460" s="38" t="n">
        <x:v>100</x:v>
      </x:c>
      <x:c r="F460" s="38" t="n">
        <x:v>638239</x:v>
      </x:c>
      <x:c r="G460" s="38" t="n">
        <x:v>102220</x:v>
      </x:c>
      <x:c r="H460" s="38" t="n">
        <x:v>21060</x:v>
      </x:c>
      <x:c r="I460" s="38" t="n">
        <x:v>4959</x:v>
      </x:c>
      <x:c r="J460" s="38" t="n">
        <x:v>0</x:v>
      </x:c>
      <x:c r="K460" s="38" t="n">
        <x:v>0</x:v>
      </x:c>
      <x:c r="L460" s="38" t="n">
        <x:v>0</x:v>
      </x:c>
      <x:c r="M460" s="38" t="n">
        <x:v>700000</x:v>
      </x:c>
      <x:c r="N460" s="38" t="n">
        <x:v>0</x:v>
      </x:c>
      <x:c r="O460" s="38" t="n">
        <x:v>13558</x:v>
      </x:c>
      <x:c r="P460" s="38" t="n">
        <x:f>F460+G460-H460+I460+J460+K460+L460-M460-N460-O460</x:f>
        <x:v>10800</x:v>
      </x:c>
      <x:c r="Q460" s="38" t="n">
        <x:v>10800</x:v>
      </x:c>
      <x:c r="R460" s="38" t="n">
        <x:f>P460-Q460</x:f>
        <x:v>0</x:v>
      </x:c>
      <x:c r="S460" s="38" t="n">
        <x:v>81700</x:v>
      </x:c>
      <x:c r="T460" s="38" t="n">
        <x:v>0</x:v>
      </x:c>
      <x:c r="U460" s="38" t="n">
        <x:v>94</x:v>
      </x:c>
      <x:c r="V460" s="38" t="n">
        <x:v>0</x:v>
      </x:c>
      <x:c r="W460" s="38" t="n">
        <x:v>0</x:v>
      </x:c>
      <x:c r="X460" s="44" t="n">
        <x:v>0</x:v>
      </x:c>
      <x:c r="Y460" s="38" t="n">
        <x:v>190</x:v>
      </x:c>
      <x:c r="Z460" s="38" t="n">
        <x:v>40</x:v>
      </x:c>
      <x:c r="AA460" s="38" t="n">
        <x:v>50</x:v>
      </x:c>
      <x:c r="AB460" s="38" t="n">
        <x:v>8</x:v>
      </x:c>
      <x:c r="AC460" s="38" t="n">
        <x:v>10800</x:v>
      </x:c>
      <x:c r="AD460" s="38" t="n">
        <x:v>0</x:v>
      </x:c>
      <x:c r="AE460" s="38" t="n">
        <x:f>IF(B460=1,0,F460-Q459)</x:f>
        <x:v>0</x:v>
      </x:c>
    </x:row>
    <x:row r="461" ht="27" customHeight="1">
      <x:c r="A461" s="28" t="str">
        <x:v>Decorator F2P</x:v>
      </x:c>
      <x:c r="B461" s="38" t="n">
        <x:v>97</x:v>
      </x:c>
      <x:c r="C461" s="38" t="n">
        <x:v>40</x:v>
      </x:c>
      <x:c r="D461" s="38" t="n">
        <x:v>742640</x:v>
      </x:c>
      <x:c r="E461" s="38" t="n">
        <x:v>100</x:v>
      </x:c>
      <x:c r="F461" s="38" t="n">
        <x:v>10800</x:v>
      </x:c>
      <x:c r="G461" s="38" t="n">
        <x:v>107600</x:v>
      </x:c>
      <x:c r="H461" s="38" t="n">
        <x:v>21600</x:v>
      </x:c>
      <x:c r="I461" s="38" t="n">
        <x:v>4959</x:v>
      </x:c>
      <x:c r="J461" s="38" t="n">
        <x:v>0</x:v>
      </x:c>
      <x:c r="K461" s="38" t="n">
        <x:v>0</x:v>
      </x:c>
      <x:c r="L461" s="38" t="n">
        <x:v>0</x:v>
      </x:c>
      <x:c r="M461" s="38" t="n">
        <x:v>0</x:v>
      </x:c>
      <x:c r="N461" s="38" t="n">
        <x:v>0</x:v>
      </x:c>
      <x:c r="O461" s="38" t="n">
        <x:v>90959</x:v>
      </x:c>
      <x:c r="P461" s="38" t="n">
        <x:f>F461+G461-H461+I461+J461+K461+L461-M461-N461-O461</x:f>
        <x:v>10800</x:v>
      </x:c>
      <x:c r="Q461" s="38" t="n">
        <x:v>10800</x:v>
      </x:c>
      <x:c r="R461" s="38" t="n">
        <x:f>P461-Q461</x:f>
        <x:v>0</x:v>
      </x:c>
      <x:c r="S461" s="38" t="n">
        <x:v>86000</x:v>
      </x:c>
      <x:c r="T461" s="38" t="n">
        <x:v>0</x:v>
      </x:c>
      <x:c r="U461" s="38" t="n">
        <x:v>94</x:v>
      </x:c>
      <x:c r="V461" s="38" t="n">
        <x:v>0</x:v>
      </x:c>
      <x:c r="W461" s="38" t="n">
        <x:v>0</x:v>
      </x:c>
      <x:c r="X461" s="44" t="n">
        <x:v>0</x:v>
      </x:c>
      <x:c r="Y461" s="38" t="n">
        <x:v>200</x:v>
      </x:c>
      <x:c r="Z461" s="38" t="n">
        <x:v>40</x:v>
      </x:c>
      <x:c r="AA461" s="38" t="n">
        <x:v>50</x:v>
      </x:c>
      <x:c r="AB461" s="38" t="n">
        <x:v>8</x:v>
      </x:c>
      <x:c r="AC461" s="38" t="n">
        <x:v>10800</x:v>
      </x:c>
      <x:c r="AD461" s="38" t="n">
        <x:v>0</x:v>
      </x:c>
      <x:c r="AE461" s="38" t="n">
        <x:f>IF(B461=1,0,F461-Q460)</x:f>
        <x:v>0</x:v>
      </x:c>
    </x:row>
    <x:row r="462" ht="27" customHeight="1">
      <x:c r="A462" s="28" t="str">
        <x:v>Decorator F2P</x:v>
      </x:c>
      <x:c r="B462" s="38" t="n">
        <x:v>98</x:v>
      </x:c>
      <x:c r="C462" s="38" t="n">
        <x:v>40</x:v>
      </x:c>
      <x:c r="D462" s="38" t="n">
        <x:v>742640</x:v>
      </x:c>
      <x:c r="E462" s="38" t="n">
        <x:v>100</x:v>
      </x:c>
      <x:c r="F462" s="38" t="n">
        <x:v>10800</x:v>
      </x:c>
      <x:c r="G462" s="38" t="n">
        <x:v>107600</x:v>
      </x:c>
      <x:c r="H462" s="38" t="n">
        <x:v>21600</x:v>
      </x:c>
      <x:c r="I462" s="38" t="n">
        <x:v>28130</x:v>
      </x:c>
      <x:c r="J462" s="38" t="n">
        <x:v>0</x:v>
      </x:c>
      <x:c r="K462" s="38" t="n">
        <x:v>0</x:v>
      </x:c>
      <x:c r="L462" s="38" t="n">
        <x:v>0</x:v>
      </x:c>
      <x:c r="M462" s="38" t="n">
        <x:v>0</x:v>
      </x:c>
      <x:c r="N462" s="38" t="n">
        <x:v>0</x:v>
      </x:c>
      <x:c r="O462" s="38" t="n">
        <x:v>114130</x:v>
      </x:c>
      <x:c r="P462" s="38" t="n">
        <x:f>F462+G462-H462+I462+J462+K462+L462-M462-N462-O462</x:f>
        <x:v>10800</x:v>
      </x:c>
      <x:c r="Q462" s="38" t="n">
        <x:v>10800</x:v>
      </x:c>
      <x:c r="R462" s="38" t="n">
        <x:f>P462-Q462</x:f>
        <x:v>0</x:v>
      </x:c>
      <x:c r="S462" s="38" t="n">
        <x:v>86000</x:v>
      </x:c>
      <x:c r="T462" s="38" t="n">
        <x:v>0</x:v>
      </x:c>
      <x:c r="U462" s="38" t="n">
        <x:v>96</x:v>
      </x:c>
      <x:c r="V462" s="38" t="n">
        <x:v>2</x:v>
      </x:c>
      <x:c r="W462" s="38" t="n">
        <x:v>0</x:v>
      </x:c>
      <x:c r="X462" s="44" t="n">
        <x:v>0</x:v>
      </x:c>
      <x:c r="Y462" s="38" t="n">
        <x:v>200</x:v>
      </x:c>
      <x:c r="Z462" s="38" t="n">
        <x:v>40</x:v>
      </x:c>
      <x:c r="AA462" s="38" t="n">
        <x:v>50</x:v>
      </x:c>
      <x:c r="AB462" s="38" t="n">
        <x:v>8</x:v>
      </x:c>
      <x:c r="AC462" s="38" t="n">
        <x:v>10800</x:v>
      </x:c>
      <x:c r="AD462" s="38" t="n">
        <x:v>0</x:v>
      </x:c>
      <x:c r="AE462" s="38" t="n">
        <x:f>IF(B462=1,0,F462-Q461)</x:f>
        <x:v>0</x:v>
      </x:c>
    </x:row>
    <x:row r="463" ht="27" customHeight="1">
      <x:c r="A463" s="28" t="str">
        <x:v>Decorator F2P</x:v>
      </x:c>
      <x:c r="B463" s="38" t="n">
        <x:v>99</x:v>
      </x:c>
      <x:c r="C463" s="38" t="n">
        <x:v>40</x:v>
      </x:c>
      <x:c r="D463" s="38" t="n">
        <x:v>742640</x:v>
      </x:c>
      <x:c r="E463" s="38" t="n">
        <x:v>100</x:v>
      </x:c>
      <x:c r="F463" s="38" t="n">
        <x:v>10800</x:v>
      </x:c>
      <x:c r="G463" s="38" t="n">
        <x:v>107600</x:v>
      </x:c>
      <x:c r="H463" s="38" t="n">
        <x:v>21600</x:v>
      </x:c>
      <x:c r="I463" s="38" t="n">
        <x:v>4959</x:v>
      </x:c>
      <x:c r="J463" s="38" t="n">
        <x:v>0</x:v>
      </x:c>
      <x:c r="K463" s="38" t="n">
        <x:v>0</x:v>
      </x:c>
      <x:c r="L463" s="38" t="n">
        <x:v>0</x:v>
      </x:c>
      <x:c r="M463" s="38" t="n">
        <x:v>0</x:v>
      </x:c>
      <x:c r="N463" s="38" t="n">
        <x:v>0</x:v>
      </x:c>
      <x:c r="O463" s="38" t="n">
        <x:v>90959</x:v>
      </x:c>
      <x:c r="P463" s="38" t="n">
        <x:f>F463+G463-H463+I463+J463+K463+L463-M463-N463-O463</x:f>
        <x:v>10800</x:v>
      </x:c>
      <x:c r="Q463" s="38" t="n">
        <x:v>10800</x:v>
      </x:c>
      <x:c r="R463" s="38" t="n">
        <x:f>P463-Q463</x:f>
        <x:v>0</x:v>
      </x:c>
      <x:c r="S463" s="38" t="n">
        <x:v>86000</x:v>
      </x:c>
      <x:c r="T463" s="38" t="n">
        <x:v>0</x:v>
      </x:c>
      <x:c r="U463" s="38" t="n">
        <x:v>96</x:v>
      </x:c>
      <x:c r="V463" s="38" t="n">
        <x:v>0</x:v>
      </x:c>
      <x:c r="W463" s="38" t="n">
        <x:v>0</x:v>
      </x:c>
      <x:c r="X463" s="44" t="n">
        <x:v>0</x:v>
      </x:c>
      <x:c r="Y463" s="38" t="n">
        <x:v>200</x:v>
      </x:c>
      <x:c r="Z463" s="38" t="n">
        <x:v>40</x:v>
      </x:c>
      <x:c r="AA463" s="38" t="n">
        <x:v>50</x:v>
      </x:c>
      <x:c r="AB463" s="38" t="n">
        <x:v>8</x:v>
      </x:c>
      <x:c r="AC463" s="38" t="n">
        <x:v>10800</x:v>
      </x:c>
      <x:c r="AD463" s="38" t="n">
        <x:v>0</x:v>
      </x:c>
      <x:c r="AE463" s="38" t="n">
        <x:f>IF(B463=1,0,F463-Q462)</x:f>
        <x:v>0</x:v>
      </x:c>
    </x:row>
    <x:row r="464" ht="27" customHeight="1">
      <x:c r="A464" s="28" t="str">
        <x:v>Decorator F2P</x:v>
      </x:c>
      <x:c r="B464" s="38" t="n">
        <x:v>100</x:v>
      </x:c>
      <x:c r="C464" s="38" t="n">
        <x:v>40</x:v>
      </x:c>
      <x:c r="D464" s="38" t="n">
        <x:v>742640</x:v>
      </x:c>
      <x:c r="E464" s="38" t="n">
        <x:v>100</x:v>
      </x:c>
      <x:c r="F464" s="38" t="n">
        <x:v>10800</x:v>
      </x:c>
      <x:c r="G464" s="38" t="n">
        <x:v>107600</x:v>
      </x:c>
      <x:c r="H464" s="38" t="n">
        <x:v>21600</x:v>
      </x:c>
      <x:c r="I464" s="38" t="n">
        <x:v>4959</x:v>
      </x:c>
      <x:c r="J464" s="38" t="n">
        <x:v>0</x:v>
      </x:c>
      <x:c r="K464" s="38" t="n">
        <x:v>0</x:v>
      </x:c>
      <x:c r="L464" s="38" t="n">
        <x:v>0</x:v>
      </x:c>
      <x:c r="M464" s="38" t="n">
        <x:v>0</x:v>
      </x:c>
      <x:c r="N464" s="38" t="n">
        <x:v>0</x:v>
      </x:c>
      <x:c r="O464" s="38" t="n">
        <x:v>90959</x:v>
      </x:c>
      <x:c r="P464" s="38" t="n">
        <x:f>F464+G464-H464+I464+J464+K464+L464-M464-N464-O464</x:f>
        <x:v>10800</x:v>
      </x:c>
      <x:c r="Q464" s="38" t="n">
        <x:v>10800</x:v>
      </x:c>
      <x:c r="R464" s="38" t="n">
        <x:f>P464-Q464</x:f>
        <x:v>0</x:v>
      </x:c>
      <x:c r="S464" s="38" t="n">
        <x:v>86000</x:v>
      </x:c>
      <x:c r="T464" s="38" t="n">
        <x:v>0</x:v>
      </x:c>
      <x:c r="U464" s="38" t="n">
        <x:v>96</x:v>
      </x:c>
      <x:c r="V464" s="38" t="n">
        <x:v>0</x:v>
      </x:c>
      <x:c r="W464" s="38" t="n">
        <x:v>0</x:v>
      </x:c>
      <x:c r="X464" s="44" t="n">
        <x:v>0</x:v>
      </x:c>
      <x:c r="Y464" s="38" t="n">
        <x:v>200</x:v>
      </x:c>
      <x:c r="Z464" s="38" t="n">
        <x:v>40</x:v>
      </x:c>
      <x:c r="AA464" s="38" t="n">
        <x:v>50</x:v>
      </x:c>
      <x:c r="AB464" s="38" t="n">
        <x:v>8</x:v>
      </x:c>
      <x:c r="AC464" s="38" t="n">
        <x:v>10800</x:v>
      </x:c>
      <x:c r="AD464" s="38" t="n">
        <x:v>0</x:v>
      </x:c>
      <x:c r="AE464" s="38" t="n">
        <x:f>IF(B464=1,0,F464-Q463)</x:f>
        <x:v>0</x:v>
      </x:c>
    </x:row>
    <x:row r="465" ht="27" customHeight="1">
      <x:c r="A465" s="28" t="str">
        <x:v>Decorator F2P</x:v>
      </x:c>
      <x:c r="B465" s="38" t="n">
        <x:v>101</x:v>
      </x:c>
      <x:c r="C465" s="38" t="n">
        <x:v>40</x:v>
      </x:c>
      <x:c r="D465" s="38" t="n">
        <x:v>742640</x:v>
      </x:c>
      <x:c r="E465" s="38" t="n">
        <x:v>100</x:v>
      </x:c>
      <x:c r="F465" s="38" t="n">
        <x:v>10800</x:v>
      </x:c>
      <x:c r="G465" s="38" t="n">
        <x:v>107600</x:v>
      </x:c>
      <x:c r="H465" s="38" t="n">
        <x:v>21600</x:v>
      </x:c>
      <x:c r="I465" s="38" t="n">
        <x:v>4959</x:v>
      </x:c>
      <x:c r="J465" s="38" t="n">
        <x:v>0</x:v>
      </x:c>
      <x:c r="K465" s="38" t="n">
        <x:v>0</x:v>
      </x:c>
      <x:c r="L465" s="38" t="n">
        <x:v>0</x:v>
      </x:c>
      <x:c r="M465" s="38" t="n">
        <x:v>0</x:v>
      </x:c>
      <x:c r="N465" s="38" t="n">
        <x:v>0</x:v>
      </x:c>
      <x:c r="O465" s="38" t="n">
        <x:v>90959</x:v>
      </x:c>
      <x:c r="P465" s="38" t="n">
        <x:f>F465+G465-H465+I465+J465+K465+L465-M465-N465-O465</x:f>
        <x:v>10800</x:v>
      </x:c>
      <x:c r="Q465" s="38" t="n">
        <x:v>10800</x:v>
      </x:c>
      <x:c r="R465" s="38" t="n">
        <x:f>P465-Q465</x:f>
        <x:v>0</x:v>
      </x:c>
      <x:c r="S465" s="38" t="n">
        <x:v>86000</x:v>
      </x:c>
      <x:c r="T465" s="38" t="n">
        <x:v>0</x:v>
      </x:c>
      <x:c r="U465" s="38" t="n">
        <x:v>96</x:v>
      </x:c>
      <x:c r="V465" s="38" t="n">
        <x:v>0</x:v>
      </x:c>
      <x:c r="W465" s="38" t="n">
        <x:v>0</x:v>
      </x:c>
      <x:c r="X465" s="44" t="n">
        <x:v>0</x:v>
      </x:c>
      <x:c r="Y465" s="38" t="n">
        <x:v>200</x:v>
      </x:c>
      <x:c r="Z465" s="38" t="n">
        <x:v>40</x:v>
      </x:c>
      <x:c r="AA465" s="38" t="n">
        <x:v>50</x:v>
      </x:c>
      <x:c r="AB465" s="38" t="n">
        <x:v>8</x:v>
      </x:c>
      <x:c r="AC465" s="38" t="n">
        <x:v>10800</x:v>
      </x:c>
      <x:c r="AD465" s="38" t="n">
        <x:v>0</x:v>
      </x:c>
      <x:c r="AE465" s="38" t="n">
        <x:f>IF(B465=1,0,F465-Q464)</x:f>
        <x:v>0</x:v>
      </x:c>
    </x:row>
    <x:row r="466" ht="27" customHeight="1">
      <x:c r="A466" s="28" t="str">
        <x:v>Decorator F2P</x:v>
      </x:c>
      <x:c r="B466" s="38" t="n">
        <x:v>102</x:v>
      </x:c>
      <x:c r="C466" s="38" t="n">
        <x:v>40</x:v>
      </x:c>
      <x:c r="D466" s="38" t="n">
        <x:v>742640</x:v>
      </x:c>
      <x:c r="E466" s="38" t="n">
        <x:v>100</x:v>
      </x:c>
      <x:c r="F466" s="38" t="n">
        <x:v>10800</x:v>
      </x:c>
      <x:c r="G466" s="38" t="n">
        <x:v>107600</x:v>
      </x:c>
      <x:c r="H466" s="38" t="n">
        <x:v>21600</x:v>
      </x:c>
      <x:c r="I466" s="38" t="n">
        <x:v>4959</x:v>
      </x:c>
      <x:c r="J466" s="38" t="n">
        <x:v>0</x:v>
      </x:c>
      <x:c r="K466" s="38" t="n">
        <x:v>0</x:v>
      </x:c>
      <x:c r="L466" s="38" t="n">
        <x:v>0</x:v>
      </x:c>
      <x:c r="M466" s="38" t="n">
        <x:v>0</x:v>
      </x:c>
      <x:c r="N466" s="38" t="n">
        <x:v>0</x:v>
      </x:c>
      <x:c r="O466" s="38" t="n">
        <x:v>4376</x:v>
      </x:c>
      <x:c r="P466" s="38" t="n">
        <x:f>F466+G466-H466+I466+J466+K466+L466-M466-N466-O466</x:f>
        <x:v>97383</x:v>
      </x:c>
      <x:c r="Q466" s="38" t="n">
        <x:v>97383</x:v>
      </x:c>
      <x:c r="R466" s="38" t="n">
        <x:f>P466-Q466</x:f>
        <x:v>0</x:v>
      </x:c>
      <x:c r="S466" s="38" t="n">
        <x:v>86000</x:v>
      </x:c>
      <x:c r="T466" s="38" t="n">
        <x:v>0</x:v>
      </x:c>
      <x:c r="U466" s="38" t="n">
        <x:v>96</x:v>
      </x:c>
      <x:c r="V466" s="38" t="n">
        <x:v>0</x:v>
      </x:c>
      <x:c r="W466" s="38" t="n">
        <x:v>0</x:v>
      </x:c>
      <x:c r="X466" s="44" t="n">
        <x:v>0</x:v>
      </x:c>
      <x:c r="Y466" s="38" t="n">
        <x:v>200</x:v>
      </x:c>
      <x:c r="Z466" s="38" t="n">
        <x:v>40</x:v>
      </x:c>
      <x:c r="AA466" s="38" t="n">
        <x:v>50</x:v>
      </x:c>
      <x:c r="AB466" s="38" t="n">
        <x:v>9</x:v>
      </x:c>
      <x:c r="AC466" s="38" t="n">
        <x:v>10800</x:v>
      </x:c>
      <x:c r="AD466" s="38" t="n">
        <x:v>0</x:v>
      </x:c>
      <x:c r="AE466" s="38" t="n">
        <x:f>IF(B466=1,0,F466-Q465)</x:f>
        <x:v>0</x:v>
      </x:c>
    </x:row>
    <x:row r="467" ht="27" customHeight="1">
      <x:c r="A467" s="28" t="str">
        <x:v>Decorator F2P</x:v>
      </x:c>
      <x:c r="B467" s="38" t="n">
        <x:v>103</x:v>
      </x:c>
      <x:c r="C467" s="38" t="n">
        <x:v>40</x:v>
      </x:c>
      <x:c r="D467" s="38" t="n">
        <x:v>742640</x:v>
      </x:c>
      <x:c r="E467" s="38" t="n">
        <x:v>100</x:v>
      </x:c>
      <x:c r="F467" s="38" t="n">
        <x:v>97383</x:v>
      </x:c>
      <x:c r="G467" s="38" t="n">
        <x:v>107600</x:v>
      </x:c>
      <x:c r="H467" s="38" t="n">
        <x:v>21600</x:v>
      </x:c>
      <x:c r="I467" s="38" t="n">
        <x:v>4959</x:v>
      </x:c>
      <x:c r="J467" s="38" t="n">
        <x:v>0</x:v>
      </x:c>
      <x:c r="K467" s="38" t="n">
        <x:v>0</x:v>
      </x:c>
      <x:c r="L467" s="38" t="n">
        <x:v>0</x:v>
      </x:c>
      <x:c r="M467" s="38" t="n">
        <x:v>0</x:v>
      </x:c>
      <x:c r="N467" s="38" t="n">
        <x:v>0</x:v>
      </x:c>
      <x:c r="O467" s="38" t="n">
        <x:v>177542</x:v>
      </x:c>
      <x:c r="P467" s="38" t="n">
        <x:f>F467+G467-H467+I467+J467+K467+L467-M467-N467-O467</x:f>
        <x:v>10800</x:v>
      </x:c>
      <x:c r="Q467" s="38" t="n">
        <x:v>10800</x:v>
      </x:c>
      <x:c r="R467" s="38" t="n">
        <x:f>P467-Q467</x:f>
        <x:v>0</x:v>
      </x:c>
      <x:c r="S467" s="38" t="n">
        <x:v>86000</x:v>
      </x:c>
      <x:c r="T467" s="38" t="n">
        <x:v>0</x:v>
      </x:c>
      <x:c r="U467" s="38" t="n">
        <x:v>96</x:v>
      </x:c>
      <x:c r="V467" s="38" t="n">
        <x:v>0</x:v>
      </x:c>
      <x:c r="W467" s="38" t="n">
        <x:v>0</x:v>
      </x:c>
      <x:c r="X467" s="44" t="n">
        <x:v>0</x:v>
      </x:c>
      <x:c r="Y467" s="38" t="n">
        <x:v>200</x:v>
      </x:c>
      <x:c r="Z467" s="38" t="n">
        <x:v>40</x:v>
      </x:c>
      <x:c r="AA467" s="38" t="n">
        <x:v>50</x:v>
      </x:c>
      <x:c r="AB467" s="38" t="n">
        <x:v>9</x:v>
      </x:c>
      <x:c r="AC467" s="38" t="n">
        <x:v>10800</x:v>
      </x:c>
      <x:c r="AD467" s="38" t="n">
        <x:v>0</x:v>
      </x:c>
      <x:c r="AE467" s="38" t="n">
        <x:f>IF(B467=1,0,F467-Q466)</x:f>
        <x:v>0</x:v>
      </x:c>
    </x:row>
    <x:row r="468" ht="27" customHeight="1">
      <x:c r="A468" s="28" t="str">
        <x:v>Decorator F2P</x:v>
      </x:c>
      <x:c r="B468" s="38" t="n">
        <x:v>104</x:v>
      </x:c>
      <x:c r="C468" s="38" t="n">
        <x:v>40</x:v>
      </x:c>
      <x:c r="D468" s="38" t="n">
        <x:v>742640</x:v>
      </x:c>
      <x:c r="E468" s="38" t="n">
        <x:v>100</x:v>
      </x:c>
      <x:c r="F468" s="38" t="n">
        <x:v>10800</x:v>
      </x:c>
      <x:c r="G468" s="38" t="n">
        <x:v>107600</x:v>
      </x:c>
      <x:c r="H468" s="38" t="n">
        <x:v>21600</x:v>
      </x:c>
      <x:c r="I468" s="38" t="n">
        <x:v>4959</x:v>
      </x:c>
      <x:c r="J468" s="38" t="n">
        <x:v>0</x:v>
      </x:c>
      <x:c r="K468" s="38" t="n">
        <x:v>0</x:v>
      </x:c>
      <x:c r="L468" s="38" t="n">
        <x:v>0</x:v>
      </x:c>
      <x:c r="M468" s="38" t="n">
        <x:v>0</x:v>
      </x:c>
      <x:c r="N468" s="38" t="n">
        <x:v>0</x:v>
      </x:c>
      <x:c r="O468" s="38" t="n">
        <x:v>90959</x:v>
      </x:c>
      <x:c r="P468" s="38" t="n">
        <x:f>F468+G468-H468+I468+J468+K468+L468-M468-N468-O468</x:f>
        <x:v>10800</x:v>
      </x:c>
      <x:c r="Q468" s="38" t="n">
        <x:v>10800</x:v>
      </x:c>
      <x:c r="R468" s="38" t="n">
        <x:f>P468-Q468</x:f>
        <x:v>0</x:v>
      </x:c>
      <x:c r="S468" s="38" t="n">
        <x:v>86000</x:v>
      </x:c>
      <x:c r="T468" s="38" t="n">
        <x:v>0</x:v>
      </x:c>
      <x:c r="U468" s="38" t="n">
        <x:v>96</x:v>
      </x:c>
      <x:c r="V468" s="38" t="n">
        <x:v>0</x:v>
      </x:c>
      <x:c r="W468" s="38" t="n">
        <x:v>0</x:v>
      </x:c>
      <x:c r="X468" s="44" t="n">
        <x:v>0</x:v>
      </x:c>
      <x:c r="Y468" s="38" t="n">
        <x:v>200</x:v>
      </x:c>
      <x:c r="Z468" s="38" t="n">
        <x:v>40</x:v>
      </x:c>
      <x:c r="AA468" s="38" t="n">
        <x:v>50</x:v>
      </x:c>
      <x:c r="AB468" s="38" t="n">
        <x:v>9</x:v>
      </x:c>
      <x:c r="AC468" s="38" t="n">
        <x:v>10800</x:v>
      </x:c>
      <x:c r="AD468" s="38" t="n">
        <x:v>0</x:v>
      </x:c>
      <x:c r="AE468" s="38" t="n">
        <x:f>IF(B468=1,0,F468-Q467)</x:f>
        <x:v>0</x:v>
      </x:c>
    </x:row>
    <x:row r="469" ht="27" customHeight="1">
      <x:c r="A469" s="28" t="str">
        <x:v>Decorator F2P</x:v>
      </x:c>
      <x:c r="B469" s="38" t="n">
        <x:v>105</x:v>
      </x:c>
      <x:c r="C469" s="38" t="n">
        <x:v>40</x:v>
      </x:c>
      <x:c r="D469" s="38" t="n">
        <x:v>742640</x:v>
      </x:c>
      <x:c r="E469" s="38" t="n">
        <x:v>100</x:v>
      </x:c>
      <x:c r="F469" s="38" t="n">
        <x:v>10800</x:v>
      </x:c>
      <x:c r="G469" s="38" t="n">
        <x:v>107600</x:v>
      </x:c>
      <x:c r="H469" s="38" t="n">
        <x:v>21600</x:v>
      </x:c>
      <x:c r="I469" s="38" t="n">
        <x:v>29754</x:v>
      </x:c>
      <x:c r="J469" s="38" t="n">
        <x:v>0</x:v>
      </x:c>
      <x:c r="K469" s="38" t="n">
        <x:v>0</x:v>
      </x:c>
      <x:c r="L469" s="38" t="n">
        <x:v>0</x:v>
      </x:c>
      <x:c r="M469" s="38" t="n">
        <x:v>0</x:v>
      </x:c>
      <x:c r="N469" s="38" t="n">
        <x:v>0</x:v>
      </x:c>
      <x:c r="O469" s="38" t="n">
        <x:v>115754</x:v>
      </x:c>
      <x:c r="P469" s="38" t="n">
        <x:f>F469+G469-H469+I469+J469+K469+L469-M469-N469-O469</x:f>
        <x:v>10800</x:v>
      </x:c>
      <x:c r="Q469" s="38" t="n">
        <x:v>10800</x:v>
      </x:c>
      <x:c r="R469" s="38" t="n">
        <x:f>P469-Q469</x:f>
        <x:v>0</x:v>
      </x:c>
      <x:c r="S469" s="38" t="n">
        <x:v>86000</x:v>
      </x:c>
      <x:c r="T469" s="38" t="n">
        <x:v>0</x:v>
      </x:c>
      <x:c r="U469" s="38" t="n">
        <x:v>98</x:v>
      </x:c>
      <x:c r="V469" s="38" t="n">
        <x:v>2</x:v>
      </x:c>
      <x:c r="W469" s="38" t="n">
        <x:v>0</x:v>
      </x:c>
      <x:c r="X469" s="44" t="n">
        <x:v>0</x:v>
      </x:c>
      <x:c r="Y469" s="38" t="n">
        <x:v>200</x:v>
      </x:c>
      <x:c r="Z469" s="38" t="n">
        <x:v>40</x:v>
      </x:c>
      <x:c r="AA469" s="38" t="n">
        <x:v>50</x:v>
      </x:c>
      <x:c r="AB469" s="38" t="n">
        <x:v>9</x:v>
      </x:c>
      <x:c r="AC469" s="38" t="n">
        <x:v>10800</x:v>
      </x:c>
      <x:c r="AD469" s="38" t="n">
        <x:v>0</x:v>
      </x:c>
      <x:c r="AE469" s="38" t="n">
        <x:f>IF(B469=1,0,F469-Q468)</x:f>
        <x:v>0</x:v>
      </x:c>
    </x:row>
    <x:row r="470" ht="27" customHeight="1">
      <x:c r="A470" s="28" t="str">
        <x:v>Decorator F2P</x:v>
      </x:c>
      <x:c r="B470" s="38" t="n">
        <x:v>106</x:v>
      </x:c>
      <x:c r="C470" s="38" t="n">
        <x:v>40</x:v>
      </x:c>
      <x:c r="D470" s="38" t="n">
        <x:v>742640</x:v>
      </x:c>
      <x:c r="E470" s="38" t="n">
        <x:v>100</x:v>
      </x:c>
      <x:c r="F470" s="38" t="n">
        <x:v>10800</x:v>
      </x:c>
      <x:c r="G470" s="38" t="n">
        <x:v>107600</x:v>
      </x:c>
      <x:c r="H470" s="38" t="n">
        <x:v>21600</x:v>
      </x:c>
      <x:c r="I470" s="38" t="n">
        <x:v>4959</x:v>
      </x:c>
      <x:c r="J470" s="38" t="n">
        <x:v>0</x:v>
      </x:c>
      <x:c r="K470" s="38" t="n">
        <x:v>0</x:v>
      </x:c>
      <x:c r="L470" s="38" t="n">
        <x:v>0</x:v>
      </x:c>
      <x:c r="M470" s="38" t="n">
        <x:v>0</x:v>
      </x:c>
      <x:c r="N470" s="38" t="n">
        <x:v>0</x:v>
      </x:c>
      <x:c r="O470" s="38" t="n">
        <x:v>90959</x:v>
      </x:c>
      <x:c r="P470" s="38" t="n">
        <x:f>F470+G470-H470+I470+J470+K470+L470-M470-N470-O470</x:f>
        <x:v>10800</x:v>
      </x:c>
      <x:c r="Q470" s="38" t="n">
        <x:v>10800</x:v>
      </x:c>
      <x:c r="R470" s="38" t="n">
        <x:f>P470-Q470</x:f>
        <x:v>0</x:v>
      </x:c>
      <x:c r="S470" s="38" t="n">
        <x:v>86000</x:v>
      </x:c>
      <x:c r="T470" s="38" t="n">
        <x:v>0</x:v>
      </x:c>
      <x:c r="U470" s="38" t="n">
        <x:v>102</x:v>
      </x:c>
      <x:c r="V470" s="38" t="n">
        <x:v>4</x:v>
      </x:c>
      <x:c r="W470" s="38" t="n">
        <x:v>0</x:v>
      </x:c>
      <x:c r="X470" s="44" t="n">
        <x:v>0</x:v>
      </x:c>
      <x:c r="Y470" s="38" t="n">
        <x:v>200</x:v>
      </x:c>
      <x:c r="Z470" s="38" t="n">
        <x:v>40</x:v>
      </x:c>
      <x:c r="AA470" s="38" t="n">
        <x:v>50</x:v>
      </x:c>
      <x:c r="AB470" s="38" t="n">
        <x:v>9</x:v>
      </x:c>
      <x:c r="AC470" s="38" t="n">
        <x:v>10800</x:v>
      </x:c>
      <x:c r="AD470" s="38" t="n">
        <x:v>0</x:v>
      </x:c>
      <x:c r="AE470" s="38" t="n">
        <x:f>IF(B470=1,0,F470-Q469)</x:f>
        <x:v>0</x:v>
      </x:c>
    </x:row>
    <x:row r="471" ht="27" customHeight="1">
      <x:c r="A471" s="28" t="str">
        <x:v>Decorator F2P</x:v>
      </x:c>
      <x:c r="B471" s="38" t="n">
        <x:v>107</x:v>
      </x:c>
      <x:c r="C471" s="38" t="n">
        <x:v>40</x:v>
      </x:c>
      <x:c r="D471" s="38" t="n">
        <x:v>742640</x:v>
      </x:c>
      <x:c r="E471" s="38" t="n">
        <x:v>100</x:v>
      </x:c>
      <x:c r="F471" s="38" t="n">
        <x:v>10800</x:v>
      </x:c>
      <x:c r="G471" s="38" t="n">
        <x:v>107600</x:v>
      </x:c>
      <x:c r="H471" s="38" t="n">
        <x:v>21600</x:v>
      </x:c>
      <x:c r="I471" s="38" t="n">
        <x:v>4959</x:v>
      </x:c>
      <x:c r="J471" s="38" t="n">
        <x:v>0</x:v>
      </x:c>
      <x:c r="K471" s="38" t="n">
        <x:v>0</x:v>
      </x:c>
      <x:c r="L471" s="38" t="n">
        <x:v>0</x:v>
      </x:c>
      <x:c r="M471" s="38" t="n">
        <x:v>0</x:v>
      </x:c>
      <x:c r="N471" s="38" t="n">
        <x:v>0</x:v>
      </x:c>
      <x:c r="O471" s="38" t="n">
        <x:v>90959</x:v>
      </x:c>
      <x:c r="P471" s="38" t="n">
        <x:f>F471+G471-H471+I471+J471+K471+L471-M471-N471-O471</x:f>
        <x:v>10800</x:v>
      </x:c>
      <x:c r="Q471" s="38" t="n">
        <x:v>10800</x:v>
      </x:c>
      <x:c r="R471" s="38" t="n">
        <x:f>P471-Q471</x:f>
        <x:v>0</x:v>
      </x:c>
      <x:c r="S471" s="38" t="n">
        <x:v>86000</x:v>
      </x:c>
      <x:c r="T471" s="38" t="n">
        <x:v>0</x:v>
      </x:c>
      <x:c r="U471" s="38" t="n">
        <x:v>102</x:v>
      </x:c>
      <x:c r="V471" s="38" t="n">
        <x:v>0</x:v>
      </x:c>
      <x:c r="W471" s="38" t="n">
        <x:v>0</x:v>
      </x:c>
      <x:c r="X471" s="44" t="n">
        <x:v>0</x:v>
      </x:c>
      <x:c r="Y471" s="38" t="n">
        <x:v>200</x:v>
      </x:c>
      <x:c r="Z471" s="38" t="n">
        <x:v>40</x:v>
      </x:c>
      <x:c r="AA471" s="38" t="n">
        <x:v>50</x:v>
      </x:c>
      <x:c r="AB471" s="38" t="n">
        <x:v>9</x:v>
      </x:c>
      <x:c r="AC471" s="38" t="n">
        <x:v>10800</x:v>
      </x:c>
      <x:c r="AD471" s="38" t="n">
        <x:v>0</x:v>
      </x:c>
      <x:c r="AE471" s="38" t="n">
        <x:f>IF(B471=1,0,F471-Q470)</x:f>
        <x:v>0</x:v>
      </x:c>
    </x:row>
    <x:row r="472" ht="27" customHeight="1">
      <x:c r="A472" s="28" t="str">
        <x:v>Decorator F2P</x:v>
      </x:c>
      <x:c r="B472" s="38" t="n">
        <x:v>108</x:v>
      </x:c>
      <x:c r="C472" s="38" t="n">
        <x:v>40</x:v>
      </x:c>
      <x:c r="D472" s="38" t="n">
        <x:v>742640</x:v>
      </x:c>
      <x:c r="E472" s="38" t="n">
        <x:v>100</x:v>
      </x:c>
      <x:c r="F472" s="38" t="n">
        <x:v>10800</x:v>
      </x:c>
      <x:c r="G472" s="38" t="n">
        <x:v>107600</x:v>
      </x:c>
      <x:c r="H472" s="38" t="n">
        <x:v>21600</x:v>
      </x:c>
      <x:c r="I472" s="38" t="n">
        <x:v>4959</x:v>
      </x:c>
      <x:c r="J472" s="38" t="n">
        <x:v>0</x:v>
      </x:c>
      <x:c r="K472" s="38" t="n">
        <x:v>0</x:v>
      </x:c>
      <x:c r="L472" s="38" t="n">
        <x:v>0</x:v>
      </x:c>
      <x:c r="M472" s="38" t="n">
        <x:v>0</x:v>
      </x:c>
      <x:c r="N472" s="38" t="n">
        <x:v>0</x:v>
      </x:c>
      <x:c r="O472" s="38" t="n">
        <x:v>90959</x:v>
      </x:c>
      <x:c r="P472" s="38" t="n">
        <x:f>F472+G472-H472+I472+J472+K472+L472-M472-N472-O472</x:f>
        <x:v>10800</x:v>
      </x:c>
      <x:c r="Q472" s="38" t="n">
        <x:v>10800</x:v>
      </x:c>
      <x:c r="R472" s="38" t="n">
        <x:f>P472-Q472</x:f>
        <x:v>0</x:v>
      </x:c>
      <x:c r="S472" s="38" t="n">
        <x:v>86000</x:v>
      </x:c>
      <x:c r="T472" s="38" t="n">
        <x:v>0</x:v>
      </x:c>
      <x:c r="U472" s="38" t="n">
        <x:v>102</x:v>
      </x:c>
      <x:c r="V472" s="38" t="n">
        <x:v>0</x:v>
      </x:c>
      <x:c r="W472" s="38" t="n">
        <x:v>0</x:v>
      </x:c>
      <x:c r="X472" s="44" t="n">
        <x:v>0</x:v>
      </x:c>
      <x:c r="Y472" s="38" t="n">
        <x:v>200</x:v>
      </x:c>
      <x:c r="Z472" s="38" t="n">
        <x:v>40</x:v>
      </x:c>
      <x:c r="AA472" s="38" t="n">
        <x:v>50</x:v>
      </x:c>
      <x:c r="AB472" s="38" t="n">
        <x:v>9</x:v>
      </x:c>
      <x:c r="AC472" s="38" t="n">
        <x:v>10800</x:v>
      </x:c>
      <x:c r="AD472" s="38" t="n">
        <x:v>0</x:v>
      </x:c>
      <x:c r="AE472" s="38" t="n">
        <x:f>IF(B472=1,0,F472-Q471)</x:f>
        <x:v>0</x:v>
      </x:c>
    </x:row>
    <x:row r="473" ht="27" customHeight="1">
      <x:c r="A473" s="28" t="str">
        <x:v>Decorator F2P</x:v>
      </x:c>
      <x:c r="B473" s="38" t="n">
        <x:v>109</x:v>
      </x:c>
      <x:c r="C473" s="38" t="n">
        <x:v>40</x:v>
      </x:c>
      <x:c r="D473" s="38" t="n">
        <x:v>742640</x:v>
      </x:c>
      <x:c r="E473" s="38" t="n">
        <x:v>100</x:v>
      </x:c>
      <x:c r="F473" s="38" t="n">
        <x:v>10800</x:v>
      </x:c>
      <x:c r="G473" s="38" t="n">
        <x:v>107600</x:v>
      </x:c>
      <x:c r="H473" s="38" t="n">
        <x:v>21600</x:v>
      </x:c>
      <x:c r="I473" s="38" t="n">
        <x:v>4959</x:v>
      </x:c>
      <x:c r="J473" s="38" t="n">
        <x:v>0</x:v>
      </x:c>
      <x:c r="K473" s="38" t="n">
        <x:v>0</x:v>
      </x:c>
      <x:c r="L473" s="38" t="n">
        <x:v>0</x:v>
      </x:c>
      <x:c r="M473" s="38" t="n">
        <x:v>0</x:v>
      </x:c>
      <x:c r="N473" s="38" t="n">
        <x:v>0</x:v>
      </x:c>
      <x:c r="O473" s="38" t="n">
        <x:v>90959</x:v>
      </x:c>
      <x:c r="P473" s="38" t="n">
        <x:f>F473+G473-H473+I473+J473+K473+L473-M473-N473-O473</x:f>
        <x:v>10800</x:v>
      </x:c>
      <x:c r="Q473" s="38" t="n">
        <x:v>10800</x:v>
      </x:c>
      <x:c r="R473" s="38" t="n">
        <x:f>P473-Q473</x:f>
        <x:v>0</x:v>
      </x:c>
      <x:c r="S473" s="38" t="n">
        <x:v>86000</x:v>
      </x:c>
      <x:c r="T473" s="38" t="n">
        <x:v>0</x:v>
      </x:c>
      <x:c r="U473" s="38" t="n">
        <x:v>102</x:v>
      </x:c>
      <x:c r="V473" s="38" t="n">
        <x:v>0</x:v>
      </x:c>
      <x:c r="W473" s="38" t="n">
        <x:v>0</x:v>
      </x:c>
      <x:c r="X473" s="44" t="n">
        <x:v>0</x:v>
      </x:c>
      <x:c r="Y473" s="38" t="n">
        <x:v>200</x:v>
      </x:c>
      <x:c r="Z473" s="38" t="n">
        <x:v>40</x:v>
      </x:c>
      <x:c r="AA473" s="38" t="n">
        <x:v>50</x:v>
      </x:c>
      <x:c r="AB473" s="38" t="n">
        <x:v>9</x:v>
      </x:c>
      <x:c r="AC473" s="38" t="n">
        <x:v>10800</x:v>
      </x:c>
      <x:c r="AD473" s="38" t="n">
        <x:v>0</x:v>
      </x:c>
      <x:c r="AE473" s="38" t="n">
        <x:f>IF(B473=1,0,F473-Q472)</x:f>
        <x:v>0</x:v>
      </x:c>
    </x:row>
    <x:row r="474" ht="27" customHeight="1">
      <x:c r="A474" s="28" t="str">
        <x:v>Decorator F2P</x:v>
      </x:c>
      <x:c r="B474" s="38" t="n">
        <x:v>110</x:v>
      </x:c>
      <x:c r="C474" s="38" t="n">
        <x:v>40</x:v>
      </x:c>
      <x:c r="D474" s="38" t="n">
        <x:v>742640</x:v>
      </x:c>
      <x:c r="E474" s="38" t="n">
        <x:v>100</x:v>
      </x:c>
      <x:c r="F474" s="38" t="n">
        <x:v>10800</x:v>
      </x:c>
      <x:c r="G474" s="38" t="n">
        <x:v>107600</x:v>
      </x:c>
      <x:c r="H474" s="38" t="n">
        <x:v>21600</x:v>
      </x:c>
      <x:c r="I474" s="38" t="n">
        <x:v>4959</x:v>
      </x:c>
      <x:c r="J474" s="38" t="n">
        <x:v>0</x:v>
      </x:c>
      <x:c r="K474" s="38" t="n">
        <x:v>0</x:v>
      </x:c>
      <x:c r="L474" s="38" t="n">
        <x:v>0</x:v>
      </x:c>
      <x:c r="M474" s="38" t="n">
        <x:v>0</x:v>
      </x:c>
      <x:c r="N474" s="38" t="n">
        <x:v>0</x:v>
      </x:c>
      <x:c r="O474" s="38" t="n">
        <x:v>90959</x:v>
      </x:c>
      <x:c r="P474" s="38" t="n">
        <x:f>F474+G474-H474+I474+J474+K474+L474-M474-N474-O474</x:f>
        <x:v>10800</x:v>
      </x:c>
      <x:c r="Q474" s="38" t="n">
        <x:v>10800</x:v>
      </x:c>
      <x:c r="R474" s="38" t="n">
        <x:f>P474-Q474</x:f>
        <x:v>0</x:v>
      </x:c>
      <x:c r="S474" s="38" t="n">
        <x:v>86000</x:v>
      </x:c>
      <x:c r="T474" s="38" t="n">
        <x:v>0</x:v>
      </x:c>
      <x:c r="U474" s="38" t="n">
        <x:v>102</x:v>
      </x:c>
      <x:c r="V474" s="38" t="n">
        <x:v>0</x:v>
      </x:c>
      <x:c r="W474" s="38" t="n">
        <x:v>0</x:v>
      </x:c>
      <x:c r="X474" s="44" t="n">
        <x:v>0</x:v>
      </x:c>
      <x:c r="Y474" s="38" t="n">
        <x:v>200</x:v>
      </x:c>
      <x:c r="Z474" s="38" t="n">
        <x:v>40</x:v>
      </x:c>
      <x:c r="AA474" s="38" t="n">
        <x:v>50</x:v>
      </x:c>
      <x:c r="AB474" s="38" t="n">
        <x:v>9</x:v>
      </x:c>
      <x:c r="AC474" s="38" t="n">
        <x:v>10800</x:v>
      </x:c>
      <x:c r="AD474" s="38" t="n">
        <x:v>0</x:v>
      </x:c>
      <x:c r="AE474" s="38" t="n">
        <x:f>IF(B474=1,0,F474-Q473)</x:f>
        <x:v>0</x:v>
      </x:c>
    </x:row>
    <x:row r="475" ht="27" customHeight="1">
      <x:c r="A475" s="28" t="str">
        <x:v>Decorator F2P</x:v>
      </x:c>
      <x:c r="B475" s="38" t="n">
        <x:v>111</x:v>
      </x:c>
      <x:c r="C475" s="38" t="n">
        <x:v>40</x:v>
      </x:c>
      <x:c r="D475" s="38" t="n">
        <x:v>742640</x:v>
      </x:c>
      <x:c r="E475" s="38" t="n">
        <x:v>100</x:v>
      </x:c>
      <x:c r="F475" s="38" t="n">
        <x:v>10800</x:v>
      </x:c>
      <x:c r="G475" s="38" t="n">
        <x:v>107600</x:v>
      </x:c>
      <x:c r="H475" s="38" t="n">
        <x:v>21600</x:v>
      </x:c>
      <x:c r="I475" s="38" t="n">
        <x:v>4959</x:v>
      </x:c>
      <x:c r="J475" s="38" t="n">
        <x:v>0</x:v>
      </x:c>
      <x:c r="K475" s="38" t="n">
        <x:v>0</x:v>
      </x:c>
      <x:c r="L475" s="38" t="n">
        <x:v>0</x:v>
      </x:c>
      <x:c r="M475" s="38" t="n">
        <x:v>0</x:v>
      </x:c>
      <x:c r="N475" s="38" t="n">
        <x:v>0</x:v>
      </x:c>
      <x:c r="O475" s="38" t="n">
        <x:v>90959</x:v>
      </x:c>
      <x:c r="P475" s="38" t="n">
        <x:f>F475+G475-H475+I475+J475+K475+L475-M475-N475-O475</x:f>
        <x:v>10800</x:v>
      </x:c>
      <x:c r="Q475" s="38" t="n">
        <x:v>10800</x:v>
      </x:c>
      <x:c r="R475" s="38" t="n">
        <x:f>P475-Q475</x:f>
        <x:v>0</x:v>
      </x:c>
      <x:c r="S475" s="38" t="n">
        <x:v>86000</x:v>
      </x:c>
      <x:c r="T475" s="38" t="n">
        <x:v>0</x:v>
      </x:c>
      <x:c r="U475" s="38" t="n">
        <x:v>102</x:v>
      </x:c>
      <x:c r="V475" s="38" t="n">
        <x:v>0</x:v>
      </x:c>
      <x:c r="W475" s="38" t="n">
        <x:v>0</x:v>
      </x:c>
      <x:c r="X475" s="44" t="n">
        <x:v>0</x:v>
      </x:c>
      <x:c r="Y475" s="38" t="n">
        <x:v>200</x:v>
      </x:c>
      <x:c r="Z475" s="38" t="n">
        <x:v>40</x:v>
      </x:c>
      <x:c r="AA475" s="38" t="n">
        <x:v>50</x:v>
      </x:c>
      <x:c r="AB475" s="38" t="n">
        <x:v>9</x:v>
      </x:c>
      <x:c r="AC475" s="38" t="n">
        <x:v>10800</x:v>
      </x:c>
      <x:c r="AD475" s="38" t="n">
        <x:v>0</x:v>
      </x:c>
      <x:c r="AE475" s="38" t="n">
        <x:f>IF(B475=1,0,F475-Q474)</x:f>
        <x:v>0</x:v>
      </x:c>
    </x:row>
    <x:row r="476" ht="27" customHeight="1">
      <x:c r="A476" s="28" t="str">
        <x:v>Decorator F2P</x:v>
      </x:c>
      <x:c r="B476" s="38" t="n">
        <x:v>112</x:v>
      </x:c>
      <x:c r="C476" s="38" t="n">
        <x:v>40</x:v>
      </x:c>
      <x:c r="D476" s="38" t="n">
        <x:v>742640</x:v>
      </x:c>
      <x:c r="E476" s="38" t="n">
        <x:v>100</x:v>
      </x:c>
      <x:c r="F476" s="38" t="n">
        <x:v>10800</x:v>
      </x:c>
      <x:c r="G476" s="38" t="n">
        <x:v>107600</x:v>
      </x:c>
      <x:c r="H476" s="38" t="n">
        <x:v>21600</x:v>
      </x:c>
      <x:c r="I476" s="38" t="n">
        <x:v>29754</x:v>
      </x:c>
      <x:c r="J476" s="38" t="n">
        <x:v>0</x:v>
      </x:c>
      <x:c r="K476" s="38" t="n">
        <x:v>0</x:v>
      </x:c>
      <x:c r="L476" s="38" t="n">
        <x:v>0</x:v>
      </x:c>
      <x:c r="M476" s="38" t="n">
        <x:v>0</x:v>
      </x:c>
      <x:c r="N476" s="38" t="n">
        <x:v>0</x:v>
      </x:c>
      <x:c r="O476" s="38" t="n">
        <x:v>61791</x:v>
      </x:c>
      <x:c r="P476" s="38" t="n">
        <x:f>F476+G476-H476+I476+J476+K476+L476-M476-N476-O476</x:f>
        <x:v>64763</x:v>
      </x:c>
      <x:c r="Q476" s="38" t="n">
        <x:v>64763</x:v>
      </x:c>
      <x:c r="R476" s="38" t="n">
        <x:f>P476-Q476</x:f>
        <x:v>0</x:v>
      </x:c>
      <x:c r="S476" s="38" t="n">
        <x:v>86000</x:v>
      </x:c>
      <x:c r="T476" s="38" t="n">
        <x:v>0</x:v>
      </x:c>
      <x:c r="U476" s="38" t="n">
        <x:v>104</x:v>
      </x:c>
      <x:c r="V476" s="38" t="n">
        <x:v>2</x:v>
      </x:c>
      <x:c r="W476" s="38" t="n">
        <x:v>0</x:v>
      </x:c>
      <x:c r="X476" s="44" t="n">
        <x:v>0</x:v>
      </x:c>
      <x:c r="Y476" s="38" t="n">
        <x:v>200</x:v>
      </x:c>
      <x:c r="Z476" s="38" t="n">
        <x:v>40</x:v>
      </x:c>
      <x:c r="AA476" s="38" t="n">
        <x:v>50</x:v>
      </x:c>
      <x:c r="AB476" s="38" t="n">
        <x:v>10</x:v>
      </x:c>
      <x:c r="AC476" s="38" t="n">
        <x:v>10800</x:v>
      </x:c>
      <x:c r="AD476" s="38" t="n">
        <x:v>0</x:v>
      </x:c>
      <x:c r="AE476" s="38" t="n">
        <x:f>IF(B476=1,0,F476-Q475)</x:f>
        <x:v>0</x:v>
      </x:c>
    </x:row>
    <x:row r="477" ht="27" customHeight="1">
      <x:c r="A477" s="28" t="str">
        <x:v>Decorator F2P</x:v>
      </x:c>
      <x:c r="B477" s="38" t="n">
        <x:v>113</x:v>
      </x:c>
      <x:c r="C477" s="38" t="n">
        <x:v>40</x:v>
      </x:c>
      <x:c r="D477" s="38" t="n">
        <x:v>742640</x:v>
      </x:c>
      <x:c r="E477" s="38" t="n">
        <x:v>100</x:v>
      </x:c>
      <x:c r="F477" s="38" t="n">
        <x:v>64763</x:v>
      </x:c>
      <x:c r="G477" s="38" t="n">
        <x:v>107600</x:v>
      </x:c>
      <x:c r="H477" s="38" t="n">
        <x:v>21600</x:v>
      </x:c>
      <x:c r="I477" s="38" t="n">
        <x:v>4959</x:v>
      </x:c>
      <x:c r="J477" s="38" t="n">
        <x:v>0</x:v>
      </x:c>
      <x:c r="K477" s="38" t="n">
        <x:v>0</x:v>
      </x:c>
      <x:c r="L477" s="38" t="n">
        <x:v>0</x:v>
      </x:c>
      <x:c r="M477" s="38" t="n">
        <x:v>0</x:v>
      </x:c>
      <x:c r="N477" s="38" t="n">
        <x:v>0</x:v>
      </x:c>
      <x:c r="O477" s="38" t="n">
        <x:v>0</x:v>
      </x:c>
      <x:c r="P477" s="38" t="n">
        <x:f>F477+G477-H477+I477+J477+K477+L477-M477-N477-O477</x:f>
        <x:v>155722</x:v>
      </x:c>
      <x:c r="Q477" s="38" t="n">
        <x:v>155722</x:v>
      </x:c>
      <x:c r="R477" s="38" t="n">
        <x:f>P477-Q477</x:f>
        <x:v>0</x:v>
      </x:c>
      <x:c r="S477" s="38" t="n">
        <x:v>86000</x:v>
      </x:c>
      <x:c r="T477" s="38" t="n">
        <x:v>0</x:v>
      </x:c>
      <x:c r="U477" s="38" t="n">
        <x:v>104</x:v>
      </x:c>
      <x:c r="V477" s="38" t="n">
        <x:v>0</x:v>
      </x:c>
      <x:c r="W477" s="38" t="n">
        <x:v>0</x:v>
      </x:c>
      <x:c r="X477" s="44" t="n">
        <x:v>0</x:v>
      </x:c>
      <x:c r="Y477" s="38" t="n">
        <x:v>200</x:v>
      </x:c>
      <x:c r="Z477" s="38" t="n">
        <x:v>40</x:v>
      </x:c>
      <x:c r="AA477" s="38" t="n">
        <x:v>50</x:v>
      </x:c>
      <x:c r="AB477" s="38" t="n">
        <x:v>10</x:v>
      </x:c>
      <x:c r="AC477" s="38" t="n">
        <x:v>10800</x:v>
      </x:c>
      <x:c r="AD477" s="38" t="n">
        <x:v>0</x:v>
      </x:c>
      <x:c r="AE477" s="38" t="n">
        <x:f>IF(B477=1,0,F477-Q476)</x:f>
        <x:v>0</x:v>
      </x:c>
    </x:row>
    <x:row r="478" ht="27" customHeight="1">
      <x:c r="A478" s="28" t="str">
        <x:v>Decorator F2P</x:v>
      </x:c>
      <x:c r="B478" s="38" t="n">
        <x:v>114</x:v>
      </x:c>
      <x:c r="C478" s="38" t="n">
        <x:v>40</x:v>
      </x:c>
      <x:c r="D478" s="38" t="n">
        <x:v>742640</x:v>
      </x:c>
      <x:c r="E478" s="38" t="n">
        <x:v>100</x:v>
      </x:c>
      <x:c r="F478" s="38" t="n">
        <x:v>155722</x:v>
      </x:c>
      <x:c r="G478" s="38" t="n">
        <x:v>107600</x:v>
      </x:c>
      <x:c r="H478" s="38" t="n">
        <x:v>21600</x:v>
      </x:c>
      <x:c r="I478" s="38" t="n">
        <x:v>4959</x:v>
      </x:c>
      <x:c r="J478" s="38" t="n">
        <x:v>0</x:v>
      </x:c>
      <x:c r="K478" s="38" t="n">
        <x:v>0</x:v>
      </x:c>
      <x:c r="L478" s="38" t="n">
        <x:v>0</x:v>
      </x:c>
      <x:c r="M478" s="38" t="n">
        <x:v>0</x:v>
      </x:c>
      <x:c r="N478" s="38" t="n">
        <x:v>0</x:v>
      </x:c>
      <x:c r="O478" s="38" t="n">
        <x:v>0</x:v>
      </x:c>
      <x:c r="P478" s="38" t="n">
        <x:f>F478+G478-H478+I478+J478+K478+L478-M478-N478-O478</x:f>
        <x:v>246681</x:v>
      </x:c>
      <x:c r="Q478" s="38" t="n">
        <x:v>246681</x:v>
      </x:c>
      <x:c r="R478" s="38" t="n">
        <x:f>P478-Q478</x:f>
        <x:v>0</x:v>
      </x:c>
      <x:c r="S478" s="38" t="n">
        <x:v>86000</x:v>
      </x:c>
      <x:c r="T478" s="38" t="n">
        <x:v>0</x:v>
      </x:c>
      <x:c r="U478" s="38" t="n">
        <x:v>104</x:v>
      </x:c>
      <x:c r="V478" s="38" t="n">
        <x:v>0</x:v>
      </x:c>
      <x:c r="W478" s="38" t="n">
        <x:v>0</x:v>
      </x:c>
      <x:c r="X478" s="44" t="n">
        <x:v>0</x:v>
      </x:c>
      <x:c r="Y478" s="38" t="n">
        <x:v>200</x:v>
      </x:c>
      <x:c r="Z478" s="38" t="n">
        <x:v>40</x:v>
      </x:c>
      <x:c r="AA478" s="38" t="n">
        <x:v>50</x:v>
      </x:c>
      <x:c r="AB478" s="38" t="n">
        <x:v>10</x:v>
      </x:c>
      <x:c r="AC478" s="38" t="n">
        <x:v>10800</x:v>
      </x:c>
      <x:c r="AD478" s="38" t="n">
        <x:v>0</x:v>
      </x:c>
      <x:c r="AE478" s="38" t="n">
        <x:f>IF(B478=1,0,F478-Q477)</x:f>
        <x:v>0</x:v>
      </x:c>
    </x:row>
    <x:row r="479" ht="27" customHeight="1">
      <x:c r="A479" s="28" t="str">
        <x:v>Decorator F2P</x:v>
      </x:c>
      <x:c r="B479" s="38" t="n">
        <x:v>115</x:v>
      </x:c>
      <x:c r="C479" s="38" t="n">
        <x:v>40</x:v>
      </x:c>
      <x:c r="D479" s="38" t="n">
        <x:v>742640</x:v>
      </x:c>
      <x:c r="E479" s="38" t="n">
        <x:v>100</x:v>
      </x:c>
      <x:c r="F479" s="38" t="n">
        <x:v>246681</x:v>
      </x:c>
      <x:c r="G479" s="38" t="n">
        <x:v>107600</x:v>
      </x:c>
      <x:c r="H479" s="38" t="n">
        <x:v>21600</x:v>
      </x:c>
      <x:c r="I479" s="38" t="n">
        <x:v>4959</x:v>
      </x:c>
      <x:c r="J479" s="38" t="n">
        <x:v>0</x:v>
      </x:c>
      <x:c r="K479" s="38" t="n">
        <x:v>0</x:v>
      </x:c>
      <x:c r="L479" s="38" t="n">
        <x:v>0</x:v>
      </x:c>
      <x:c r="M479" s="38" t="n">
        <x:v>0</x:v>
      </x:c>
      <x:c r="N479" s="38" t="n">
        <x:v>0</x:v>
      </x:c>
      <x:c r="O479" s="38" t="n">
        <x:v>0</x:v>
      </x:c>
      <x:c r="P479" s="38" t="n">
        <x:f>F479+G479-H479+I479+J479+K479+L479-M479-N479-O479</x:f>
        <x:v>337640</x:v>
      </x:c>
      <x:c r="Q479" s="38" t="n">
        <x:v>337640</x:v>
      </x:c>
      <x:c r="R479" s="38" t="n">
        <x:f>P479-Q479</x:f>
        <x:v>0</x:v>
      </x:c>
      <x:c r="S479" s="38" t="n">
        <x:v>86000</x:v>
      </x:c>
      <x:c r="T479" s="38" t="n">
        <x:v>0</x:v>
      </x:c>
      <x:c r="U479" s="38" t="n">
        <x:v>104</x:v>
      </x:c>
      <x:c r="V479" s="38" t="n">
        <x:v>0</x:v>
      </x:c>
      <x:c r="W479" s="38" t="n">
        <x:v>0</x:v>
      </x:c>
      <x:c r="X479" s="44" t="n">
        <x:v>0</x:v>
      </x:c>
      <x:c r="Y479" s="38" t="n">
        <x:v>200</x:v>
      </x:c>
      <x:c r="Z479" s="38" t="n">
        <x:v>40</x:v>
      </x:c>
      <x:c r="AA479" s="38" t="n">
        <x:v>50</x:v>
      </x:c>
      <x:c r="AB479" s="38" t="n">
        <x:v>10</x:v>
      </x:c>
      <x:c r="AC479" s="38" t="n">
        <x:v>10800</x:v>
      </x:c>
      <x:c r="AD479" s="38" t="n">
        <x:v>0</x:v>
      </x:c>
      <x:c r="AE479" s="38" t="n">
        <x:f>IF(B479=1,0,F479-Q478)</x:f>
        <x:v>0</x:v>
      </x:c>
    </x:row>
    <x:row r="480" ht="27" customHeight="1">
      <x:c r="A480" s="28" t="str">
        <x:v>Decorator F2P</x:v>
      </x:c>
      <x:c r="B480" s="38" t="n">
        <x:v>116</x:v>
      </x:c>
      <x:c r="C480" s="38" t="n">
        <x:v>40</x:v>
      </x:c>
      <x:c r="D480" s="38" t="n">
        <x:v>742640</x:v>
      </x:c>
      <x:c r="E480" s="38" t="n">
        <x:v>100</x:v>
      </x:c>
      <x:c r="F480" s="38" t="n">
        <x:v>337640</x:v>
      </x:c>
      <x:c r="G480" s="38" t="n">
        <x:v>107600</x:v>
      </x:c>
      <x:c r="H480" s="38" t="n">
        <x:v>21600</x:v>
      </x:c>
      <x:c r="I480" s="38" t="n">
        <x:v>4959</x:v>
      </x:c>
      <x:c r="J480" s="38" t="n">
        <x:v>0</x:v>
      </x:c>
      <x:c r="K480" s="38" t="n">
        <x:v>0</x:v>
      </x:c>
      <x:c r="L480" s="38" t="n">
        <x:v>0</x:v>
      </x:c>
      <x:c r="M480" s="38" t="n">
        <x:v>0</x:v>
      </x:c>
      <x:c r="N480" s="38" t="n">
        <x:v>0</x:v>
      </x:c>
      <x:c r="O480" s="38" t="n">
        <x:v>0</x:v>
      </x:c>
      <x:c r="P480" s="38" t="n">
        <x:f>F480+G480-H480+I480+J480+K480+L480-M480-N480-O480</x:f>
        <x:v>428599</x:v>
      </x:c>
      <x:c r="Q480" s="38" t="n">
        <x:v>428599</x:v>
      </x:c>
      <x:c r="R480" s="38" t="n">
        <x:f>P480-Q480</x:f>
        <x:v>0</x:v>
      </x:c>
      <x:c r="S480" s="38" t="n">
        <x:v>86000</x:v>
      </x:c>
      <x:c r="T480" s="38" t="n">
        <x:v>0</x:v>
      </x:c>
      <x:c r="U480" s="38" t="n">
        <x:v>104</x:v>
      </x:c>
      <x:c r="V480" s="38" t="n">
        <x:v>0</x:v>
      </x:c>
      <x:c r="W480" s="38" t="n">
        <x:v>0</x:v>
      </x:c>
      <x:c r="X480" s="44" t="n">
        <x:v>0</x:v>
      </x:c>
      <x:c r="Y480" s="38" t="n">
        <x:v>200</x:v>
      </x:c>
      <x:c r="Z480" s="38" t="n">
        <x:v>40</x:v>
      </x:c>
      <x:c r="AA480" s="38" t="n">
        <x:v>50</x:v>
      </x:c>
      <x:c r="AB480" s="38" t="n">
        <x:v>10</x:v>
      </x:c>
      <x:c r="AC480" s="38" t="n">
        <x:v>10800</x:v>
      </x:c>
      <x:c r="AD480" s="38" t="n">
        <x:v>0</x:v>
      </x:c>
      <x:c r="AE480" s="38" t="n">
        <x:f>IF(B480=1,0,F480-Q479)</x:f>
        <x:v>0</x:v>
      </x:c>
    </x:row>
    <x:row r="481" ht="27" customHeight="1">
      <x:c r="A481" s="28" t="str">
        <x:v>Decorator F2P</x:v>
      </x:c>
      <x:c r="B481" s="38" t="n">
        <x:v>117</x:v>
      </x:c>
      <x:c r="C481" s="38" t="n">
        <x:v>40</x:v>
      </x:c>
      <x:c r="D481" s="38" t="n">
        <x:v>742640</x:v>
      </x:c>
      <x:c r="E481" s="38" t="n">
        <x:v>100</x:v>
      </x:c>
      <x:c r="F481" s="38" t="n">
        <x:v>428599</x:v>
      </x:c>
      <x:c r="G481" s="38" t="n">
        <x:v>107600</x:v>
      </x:c>
      <x:c r="H481" s="38" t="n">
        <x:v>21600</x:v>
      </x:c>
      <x:c r="I481" s="38" t="n">
        <x:v>4959</x:v>
      </x:c>
      <x:c r="J481" s="38" t="n">
        <x:v>0</x:v>
      </x:c>
      <x:c r="K481" s="38" t="n">
        <x:v>0</x:v>
      </x:c>
      <x:c r="L481" s="38" t="n">
        <x:v>0</x:v>
      </x:c>
      <x:c r="M481" s="38" t="n">
        <x:v>0</x:v>
      </x:c>
      <x:c r="N481" s="38" t="n">
        <x:v>0</x:v>
      </x:c>
      <x:c r="O481" s="38" t="n">
        <x:v>0</x:v>
      </x:c>
      <x:c r="P481" s="38" t="n">
        <x:f>F481+G481-H481+I481+J481+K481+L481-M481-N481-O481</x:f>
        <x:v>519558</x:v>
      </x:c>
      <x:c r="Q481" s="38" t="n">
        <x:v>519558</x:v>
      </x:c>
      <x:c r="R481" s="38" t="n">
        <x:f>P481-Q481</x:f>
        <x:v>0</x:v>
      </x:c>
      <x:c r="S481" s="38" t="n">
        <x:v>86000</x:v>
      </x:c>
      <x:c r="T481" s="38" t="n">
        <x:v>0</x:v>
      </x:c>
      <x:c r="U481" s="38" t="n">
        <x:v>104</x:v>
      </x:c>
      <x:c r="V481" s="38" t="n">
        <x:v>0</x:v>
      </x:c>
      <x:c r="W481" s="38" t="n">
        <x:v>0</x:v>
      </x:c>
      <x:c r="X481" s="44" t="n">
        <x:v>0</x:v>
      </x:c>
      <x:c r="Y481" s="38" t="n">
        <x:v>200</x:v>
      </x:c>
      <x:c r="Z481" s="38" t="n">
        <x:v>40</x:v>
      </x:c>
      <x:c r="AA481" s="38" t="n">
        <x:v>50</x:v>
      </x:c>
      <x:c r="AB481" s="38" t="n">
        <x:v>10</x:v>
      </x:c>
      <x:c r="AC481" s="38" t="n">
        <x:v>10800</x:v>
      </x:c>
      <x:c r="AD481" s="38" t="n">
        <x:v>0</x:v>
      </x:c>
      <x:c r="AE481" s="38" t="n">
        <x:f>IF(B481=1,0,F481-Q480)</x:f>
        <x:v>0</x:v>
      </x:c>
    </x:row>
    <x:row r="482" ht="27" customHeight="1">
      <x:c r="A482" s="28" t="str">
        <x:v>Decorator F2P</x:v>
      </x:c>
      <x:c r="B482" s="38" t="n">
        <x:v>118</x:v>
      </x:c>
      <x:c r="C482" s="38" t="n">
        <x:v>40</x:v>
      </x:c>
      <x:c r="D482" s="38" t="n">
        <x:v>742640</x:v>
      </x:c>
      <x:c r="E482" s="38" t="n">
        <x:v>100</x:v>
      </x:c>
      <x:c r="F482" s="38" t="n">
        <x:v>519558</x:v>
      </x:c>
      <x:c r="G482" s="38" t="n">
        <x:v>107600</x:v>
      </x:c>
      <x:c r="H482" s="38" t="n">
        <x:v>21600</x:v>
      </x:c>
      <x:c r="I482" s="38" t="n">
        <x:v>4959</x:v>
      </x:c>
      <x:c r="J482" s="38" t="n">
        <x:v>0</x:v>
      </x:c>
      <x:c r="K482" s="38" t="n">
        <x:v>0</x:v>
      </x:c>
      <x:c r="L482" s="38" t="n">
        <x:v>0</x:v>
      </x:c>
      <x:c r="M482" s="38" t="n">
        <x:v>0</x:v>
      </x:c>
      <x:c r="N482" s="38" t="n">
        <x:v>0</x:v>
      </x:c>
      <x:c r="O482" s="38" t="n">
        <x:v>0</x:v>
      </x:c>
      <x:c r="P482" s="38" t="n">
        <x:f>F482+G482-H482+I482+J482+K482+L482-M482-N482-O482</x:f>
        <x:v>610517</x:v>
      </x:c>
      <x:c r="Q482" s="38" t="n">
        <x:v>610517</x:v>
      </x:c>
      <x:c r="R482" s="38" t="n">
        <x:f>P482-Q482</x:f>
        <x:v>0</x:v>
      </x:c>
      <x:c r="S482" s="38" t="n">
        <x:v>86000</x:v>
      </x:c>
      <x:c r="T482" s="38" t="n">
        <x:v>0</x:v>
      </x:c>
      <x:c r="U482" s="38" t="n">
        <x:v>104</x:v>
      </x:c>
      <x:c r="V482" s="38" t="n">
        <x:v>0</x:v>
      </x:c>
      <x:c r="W482" s="38" t="n">
        <x:v>0</x:v>
      </x:c>
      <x:c r="X482" s="44" t="n">
        <x:v>0</x:v>
      </x:c>
      <x:c r="Y482" s="38" t="n">
        <x:v>200</x:v>
      </x:c>
      <x:c r="Z482" s="38" t="n">
        <x:v>40</x:v>
      </x:c>
      <x:c r="AA482" s="38" t="n">
        <x:v>50</x:v>
      </x:c>
      <x:c r="AB482" s="38" t="n">
        <x:v>10</x:v>
      </x:c>
      <x:c r="AC482" s="38" t="n">
        <x:v>10800</x:v>
      </x:c>
      <x:c r="AD482" s="38" t="n">
        <x:v>0</x:v>
      </x:c>
      <x:c r="AE482" s="38" t="n">
        <x:f>IF(B482=1,0,F482-Q481)</x:f>
        <x:v>0</x:v>
      </x:c>
    </x:row>
    <x:row r="483" ht="27" customHeight="1">
      <x:c r="A483" s="28" t="str">
        <x:v>Decorator F2P</x:v>
      </x:c>
      <x:c r="B483" s="38" t="n">
        <x:v>119</x:v>
      </x:c>
      <x:c r="C483" s="38" t="n">
        <x:v>40</x:v>
      </x:c>
      <x:c r="D483" s="38" t="n">
        <x:v>742640</x:v>
      </x:c>
      <x:c r="E483" s="38" t="n">
        <x:v>100</x:v>
      </x:c>
      <x:c r="F483" s="38" t="n">
        <x:v>610517</x:v>
      </x:c>
      <x:c r="G483" s="38" t="n">
        <x:v>107600</x:v>
      </x:c>
      <x:c r="H483" s="38" t="n">
        <x:v>21600</x:v>
      </x:c>
      <x:c r="I483" s="38" t="n">
        <x:v>29754</x:v>
      </x:c>
      <x:c r="J483" s="38" t="n">
        <x:v>0</x:v>
      </x:c>
      <x:c r="K483" s="38" t="n">
        <x:v>0</x:v>
      </x:c>
      <x:c r="L483" s="38" t="n">
        <x:v>0</x:v>
      </x:c>
      <x:c r="M483" s="38" t="n">
        <x:v>0</x:v>
      </x:c>
      <x:c r="N483" s="38" t="n">
        <x:v>0</x:v>
      </x:c>
      <x:c r="O483" s="38" t="n">
        <x:v>0</x:v>
      </x:c>
      <x:c r="P483" s="38" t="n">
        <x:f>F483+G483-H483+I483+J483+K483+L483-M483-N483-O483</x:f>
        <x:v>726271</x:v>
      </x:c>
      <x:c r="Q483" s="38" t="n">
        <x:v>726271</x:v>
      </x:c>
      <x:c r="R483" s="38" t="n">
        <x:f>P483-Q483</x:f>
        <x:v>0</x:v>
      </x:c>
      <x:c r="S483" s="38" t="n">
        <x:v>86000</x:v>
      </x:c>
      <x:c r="T483" s="38" t="n">
        <x:v>0</x:v>
      </x:c>
      <x:c r="U483" s="38" t="n">
        <x:v>106</x:v>
      </x:c>
      <x:c r="V483" s="38" t="n">
        <x:v>2</x:v>
      </x:c>
      <x:c r="W483" s="38" t="n">
        <x:v>0</x:v>
      </x:c>
      <x:c r="X483" s="44" t="n">
        <x:v>0</x:v>
      </x:c>
      <x:c r="Y483" s="38" t="n">
        <x:v>200</x:v>
      </x:c>
      <x:c r="Z483" s="38" t="n">
        <x:v>40</x:v>
      </x:c>
      <x:c r="AA483" s="38" t="n">
        <x:v>50</x:v>
      </x:c>
      <x:c r="AB483" s="38" t="n">
        <x:v>10</x:v>
      </x:c>
      <x:c r="AC483" s="38" t="n">
        <x:v>10800</x:v>
      </x:c>
      <x:c r="AD483" s="38" t="n">
        <x:v>0</x:v>
      </x:c>
      <x:c r="AE483" s="38" t="n">
        <x:f>IF(B483=1,0,F483-Q482)</x:f>
        <x:v>0</x:v>
      </x:c>
    </x:row>
    <x:row r="484" ht="27" customHeight="1">
      <x:c r="A484" s="28" t="str">
        <x:v>Decorator F2P</x:v>
      </x:c>
      <x:c r="B484" s="38" t="n">
        <x:v>120</x:v>
      </x:c>
      <x:c r="C484" s="38" t="n">
        <x:v>40</x:v>
      </x:c>
      <x:c r="D484" s="38" t="n">
        <x:v>742640</x:v>
      </x:c>
      <x:c r="E484" s="38" t="n">
        <x:v>100</x:v>
      </x:c>
      <x:c r="F484" s="38" t="n">
        <x:v>726271</x:v>
      </x:c>
      <x:c r="G484" s="38" t="n">
        <x:v>107600</x:v>
      </x:c>
      <x:c r="H484" s="38" t="n">
        <x:v>21600</x:v>
      </x:c>
      <x:c r="I484" s="38" t="n">
        <x:v>4959</x:v>
      </x:c>
      <x:c r="J484" s="38" t="n">
        <x:v>0</x:v>
      </x:c>
      <x:c r="K484" s="38" t="n">
        <x:v>0</x:v>
      </x:c>
      <x:c r="L484" s="38" t="n">
        <x:v>0</x:v>
      </x:c>
      <x:c r="M484" s="38" t="n">
        <x:v>0</x:v>
      </x:c>
      <x:c r="N484" s="38" t="n">
        <x:v>0</x:v>
      </x:c>
      <x:c r="O484" s="38" t="n">
        <x:v>0</x:v>
      </x:c>
      <x:c r="P484" s="38" t="n">
        <x:f>F484+G484-H484+I484+J484+K484+L484-M484-N484-O484</x:f>
        <x:v>817230</x:v>
      </x:c>
      <x:c r="Q484" s="38" t="n">
        <x:v>817230</x:v>
      </x:c>
      <x:c r="R484" s="38" t="n">
        <x:f>P484-Q484</x:f>
        <x:v>0</x:v>
      </x:c>
      <x:c r="S484" s="38" t="n">
        <x:v>86000</x:v>
      </x:c>
      <x:c r="T484" s="38" t="n">
        <x:v>0</x:v>
      </x:c>
      <x:c r="U484" s="38" t="n">
        <x:v>106</x:v>
      </x:c>
      <x:c r="V484" s="38" t="n">
        <x:v>0</x:v>
      </x:c>
      <x:c r="W484" s="38" t="n">
        <x:v>0</x:v>
      </x:c>
      <x:c r="X484" s="44" t="n">
        <x:v>0</x:v>
      </x:c>
      <x:c r="Y484" s="38" t="n">
        <x:v>200</x:v>
      </x:c>
      <x:c r="Z484" s="38" t="n">
        <x:v>40</x:v>
      </x:c>
      <x:c r="AA484" s="38" t="n">
        <x:v>50</x:v>
      </x:c>
      <x:c r="AB484" s="38" t="n">
        <x:v>10</x:v>
      </x:c>
      <x:c r="AC484" s="38" t="n">
        <x:v>10800</x:v>
      </x:c>
      <x:c r="AD484" s="38" t="n">
        <x:v>0</x:v>
      </x:c>
      <x:c r="AE484" s="38" t="n">
        <x:f>IF(B484=1,0,F484-Q483)</x:f>
        <x:v>0</x:v>
      </x:c>
    </x:row>
    <x:row r="485" ht="27" customHeight="1">
      <x:c r="A485" s="28" t="str">
        <x:v>Light payer</x:v>
      </x:c>
      <x:c r="B485" s="38" t="n">
        <x:v>1</x:v>
      </x:c>
      <x:c r="C485" s="38" t="n">
        <x:v>3</x:v>
      </x:c>
      <x:c r="D485" s="38" t="n">
        <x:v>370</x:v>
      </x:c>
      <x:c r="E485" s="38" t="n">
        <x:v>15</x:v>
      </x:c>
      <x:c r="F485" s="38" t="n">
        <x:v>731</x:v>
      </x:c>
      <x:c r="G485" s="38" t="n">
        <x:v>1155</x:v>
      </x:c>
      <x:c r="H485" s="38" t="n">
        <x:v>759</x:v>
      </x:c>
      <x:c r="I485" s="38" t="n">
        <x:v>0</x:v>
      </x:c>
      <x:c r="J485" s="38" t="n">
        <x:v>75</x:v>
      </x:c>
      <x:c r="K485" s="38" t="n">
        <x:v>0</x:v>
      </x:c>
      <x:c r="L485" s="38" t="n">
        <x:v>0</x:v>
      </x:c>
      <x:c r="M485" s="38" t="n">
        <x:v>300</x:v>
      </x:c>
      <x:c r="N485" s="38" t="n">
        <x:v>0</x:v>
      </x:c>
      <x:c r="O485" s="38" t="n">
        <x:v>0</x:v>
      </x:c>
      <x:c r="P485" s="38" t="n">
        <x:f>F485+G485-H485+I485+J485+K485+L485-M485-N485-O485</x:f>
        <x:v>902</x:v>
      </x:c>
      <x:c r="Q485" s="38" t="n">
        <x:v>902</x:v>
      </x:c>
      <x:c r="R485" s="38" t="n">
        <x:f>P485-Q485</x:f>
        <x:v>0</x:v>
      </x:c>
      <x:c r="S485" s="38" t="n">
        <x:v>933</x:v>
      </x:c>
      <x:c r="T485" s="38" t="n">
        <x:v>290</x:v>
      </x:c>
      <x:c r="U485" s="38" t="n">
        <x:v>1</x:v>
      </x:c>
      <x:c r="V485" s="38" t="n">
        <x:v>0</x:v>
      </x:c>
      <x:c r="W485" s="38" t="n">
        <x:v>0</x:v>
      </x:c>
      <x:c r="X485" s="44" t="n">
        <x:v>0</x:v>
      </x:c>
      <x:c r="Y485" s="38" t="n">
        <x:v>9</x:v>
      </x:c>
      <x:c r="Z485" s="38" t="n">
        <x:v>3</x:v>
      </x:c>
      <x:c r="AA485" s="38" t="n">
        <x:v>1</x:v>
      </x:c>
      <x:c r="AB485" s="38" t="n">
        <x:v>0</x:v>
      </x:c>
      <x:c r="AC485" s="38" t="n">
        <x:v>537</x:v>
      </x:c>
      <x:c r="AD485" s="38" t="n">
        <x:v>0</x:v>
      </x:c>
      <x:c r="AE485" s="38" t="n">
        <x:f>IF(B485=1,0,F485-Q484)</x:f>
        <x:v>0</x:v>
      </x:c>
    </x:row>
    <x:row r="486" ht="27" customHeight="1">
      <x:c r="A486" s="28" t="str">
        <x:v>Light payer</x:v>
      </x:c>
      <x:c r="B486" s="38" t="n">
        <x:v>2</x:v>
      </x:c>
      <x:c r="C486" s="38" t="n">
        <x:v>5</x:v>
      </x:c>
      <x:c r="D486" s="38" t="n">
        <x:v>1828</x:v>
      </x:c>
      <x:c r="E486" s="38" t="n">
        <x:v>15</x:v>
      </x:c>
      <x:c r="F486" s="38" t="n">
        <x:v>902</x:v>
      </x:c>
      <x:c r="G486" s="38" t="n">
        <x:v>5505</x:v>
      </x:c>
      <x:c r="H486" s="38" t="n">
        <x:v>1323</x:v>
      </x:c>
      <x:c r="I486" s="38" t="n">
        <x:v>294</x:v>
      </x:c>
      <x:c r="J486" s="38" t="n">
        <x:v>155</x:v>
      </x:c>
      <x:c r="K486" s="38" t="n">
        <x:v>0</x:v>
      </x:c>
      <x:c r="L486" s="38" t="n">
        <x:v>0</x:v>
      </x:c>
      <x:c r="M486" s="38" t="n">
        <x:v>0</x:v>
      </x:c>
      <x:c r="N486" s="38" t="n">
        <x:v>0</x:v>
      </x:c>
      <x:c r="O486" s="38" t="n">
        <x:v>0</x:v>
      </x:c>
      <x:c r="P486" s="38" t="n">
        <x:f>F486+G486-H486+I486+J486+K486+L486-M486-N486-O486</x:f>
        <x:v>5533</x:v>
      </x:c>
      <x:c r="Q486" s="38" t="n">
        <x:v>5533</x:v>
      </x:c>
      <x:c r="R486" s="38" t="n">
        <x:f>P486-Q486</x:f>
        <x:v>0</x:v>
      </x:c>
      <x:c r="S486" s="38" t="n">
        <x:v>4459</x:v>
      </x:c>
      <x:c r="T486" s="38" t="n">
        <x:v>1458</x:v>
      </x:c>
      <x:c r="U486" s="38" t="n">
        <x:v>5</x:v>
      </x:c>
      <x:c r="V486" s="38" t="n">
        <x:v>4</x:v>
      </x:c>
      <x:c r="W486" s="38" t="n">
        <x:v>0</x:v>
      </x:c>
      <x:c r="X486" s="44" t="n">
        <x:v>0</x:v>
      </x:c>
      <x:c r="Y486" s="38" t="n">
        <x:v>28</x:v>
      </x:c>
      <x:c r="Z486" s="38" t="n">
        <x:v>6</x:v>
      </x:c>
      <x:c r="AA486" s="38" t="n">
        <x:v>1</x:v>
      </x:c>
      <x:c r="AB486" s="38" t="n">
        <x:v>0</x:v>
      </x:c>
      <x:c r="AC486" s="38" t="n">
        <x:v>814</x:v>
      </x:c>
      <x:c r="AD486" s="38" t="n">
        <x:v>0</x:v>
      </x:c>
      <x:c r="AE486" s="38" t="n">
        <x:f>IF(B486=1,0,F486-Q485)</x:f>
        <x:v>0</x:v>
      </x:c>
    </x:row>
    <x:row r="487" ht="27" customHeight="1">
      <x:c r="A487" s="28" t="str">
        <x:v>Light payer</x:v>
      </x:c>
      <x:c r="B487" s="38" t="n">
        <x:v>3</x:v>
      </x:c>
      <x:c r="C487" s="38" t="n">
        <x:v>7</x:v>
      </x:c>
      <x:c r="D487" s="38" t="n">
        <x:v>3301</x:v>
      </x:c>
      <x:c r="E487" s="38" t="n">
        <x:v>25</x:v>
      </x:c>
      <x:c r="F487" s="38" t="n">
        <x:v>5533</x:v>
      </x:c>
      <x:c r="G487" s="38" t="n">
        <x:v>6493</x:v>
      </x:c>
      <x:c r="H487" s="38" t="n">
        <x:v>1752</x:v>
      </x:c>
      <x:c r="I487" s="38" t="n">
        <x:v>319</x:v>
      </x:c>
      <x:c r="J487" s="38" t="n">
        <x:v>230</x:v>
      </x:c>
      <x:c r="K487" s="38" t="n">
        <x:v>1325</x:v>
      </x:c>
      <x:c r="L487" s="38" t="n">
        <x:v>0</x:v>
      </x:c>
      <x:c r="M487" s="38" t="n">
        <x:v>6500</x:v>
      </x:c>
      <x:c r="N487" s="38" t="n">
        <x:v>0</x:v>
      </x:c>
      <x:c r="O487" s="38" t="n">
        <x:v>0</x:v>
      </x:c>
      <x:c r="P487" s="38" t="n">
        <x:f>F487+G487-H487+I487+J487+K487+L487-M487-N487-O487</x:f>
        <x:v>5648</x:v>
      </x:c>
      <x:c r="Q487" s="38" t="n">
        <x:v>5648</x:v>
      </x:c>
      <x:c r="R487" s="38" t="n">
        <x:f>P487-Q487</x:f>
        <x:v>0</x:v>
      </x:c>
      <x:c r="S487" s="38" t="n">
        <x:v>5186</x:v>
      </x:c>
      <x:c r="T487" s="38" t="n">
        <x:v>1473</x:v>
      </x:c>
      <x:c r="U487" s="38" t="n">
        <x:v>41</x:v>
      </x:c>
      <x:c r="V487" s="38" t="n">
        <x:v>36</x:v>
      </x:c>
      <x:c r="W487" s="38" t="n">
        <x:v>0</x:v>
      </x:c>
      <x:c r="X487" s="44" t="n">
        <x:v>3.99</x:v>
      </x:c>
      <x:c r="Y487" s="38" t="n">
        <x:v>28</x:v>
      </x:c>
      <x:c r="Z487" s="38" t="n">
        <x:v>8</x:v>
      </x:c>
      <x:c r="AA487" s="38" t="n">
        <x:v>1</x:v>
      </x:c>
      <x:c r="AB487" s="38" t="n">
        <x:v>0</x:v>
      </x:c>
      <x:c r="AC487" s="38" t="n">
        <x:v>1259</x:v>
      </x:c>
      <x:c r="AD487" s="38" t="n">
        <x:v>0</x:v>
      </x:c>
      <x:c r="AE487" s="38" t="n">
        <x:f>IF(B487=1,0,F487-Q486)</x:f>
        <x:v>0</x:v>
      </x:c>
    </x:row>
    <x:row r="488" ht="27" customHeight="1">
      <x:c r="A488" s="28" t="str">
        <x:v>Light payer</x:v>
      </x:c>
      <x:c r="B488" s="38" t="n">
        <x:v>4</x:v>
      </x:c>
      <x:c r="C488" s="38" t="n">
        <x:v>8</x:v>
      </x:c>
      <x:c r="D488" s="38" t="n">
        <x:v>6124</x:v>
      </x:c>
      <x:c r="E488" s="38" t="n">
        <x:v>25</x:v>
      </x:c>
      <x:c r="F488" s="38" t="n">
        <x:v>5648</x:v>
      </x:c>
      <x:c r="G488" s="38" t="n">
        <x:v>11822</x:v>
      </x:c>
      <x:c r="H488" s="38" t="n">
        <x:v>2448</x:v>
      </x:c>
      <x:c r="I488" s="38" t="n">
        <x:v>572</x:v>
      </x:c>
      <x:c r="J488" s="38" t="n">
        <x:v>150</x:v>
      </x:c>
      <x:c r="K488" s="38" t="n">
        <x:v>0</x:v>
      </x:c>
      <x:c r="L488" s="38" t="n">
        <x:v>0</x:v>
      </x:c>
      <x:c r="M488" s="38" t="n">
        <x:v>0</x:v>
      </x:c>
      <x:c r="N488" s="38" t="n">
        <x:v>70</x:v>
      </x:c>
      <x:c r="O488" s="38" t="n">
        <x:v>0</x:v>
      </x:c>
      <x:c r="P488" s="38" t="n">
        <x:f>F488+G488-H488+I488+J488+K488+L488-M488-N488-O488</x:f>
        <x:v>15674</x:v>
      </x:c>
      <x:c r="Q488" s="38" t="n">
        <x:v>15674</x:v>
      </x:c>
      <x:c r="R488" s="38" t="n">
        <x:f>P488-Q488</x:f>
        <x:v>0</x:v>
      </x:c>
      <x:c r="S488" s="38" t="n">
        <x:v>9438</x:v>
      </x:c>
      <x:c r="T488" s="38" t="n">
        <x:v>2823</x:v>
      </x:c>
      <x:c r="U488" s="38" t="n">
        <x:v>26</x:v>
      </x:c>
      <x:c r="V488" s="38" t="n">
        <x:v>3</x:v>
      </x:c>
      <x:c r="W488" s="38" t="n">
        <x:v>18</x:v>
      </x:c>
      <x:c r="X488" s="44" t="n">
        <x:v>3.99</x:v>
      </x:c>
      <x:c r="Y488" s="38" t="n">
        <x:v>50</x:v>
      </x:c>
      <x:c r="Z488" s="38" t="n">
        <x:v>9</x:v>
      </x:c>
      <x:c r="AA488" s="38" t="n">
        <x:v>2</x:v>
      </x:c>
      <x:c r="AB488" s="38" t="n">
        <x:v>0</x:v>
      </x:c>
      <x:c r="AC488" s="38" t="n">
        <x:v>1323</x:v>
      </x:c>
      <x:c r="AD488" s="38" t="n">
        <x:v>0</x:v>
      </x:c>
      <x:c r="AE488" s="38" t="n">
        <x:f>IF(B488=1,0,F488-Q487)</x:f>
        <x:v>0</x:v>
      </x:c>
    </x:row>
    <x:row r="489" ht="27" customHeight="1">
      <x:c r="A489" s="28" t="str">
        <x:v>Light payer</x:v>
      </x:c>
      <x:c r="B489" s="38" t="n">
        <x:v>5</x:v>
      </x:c>
      <x:c r="C489" s="38" t="n">
        <x:v>9</x:v>
      </x:c>
      <x:c r="D489" s="38" t="n">
        <x:v>8627</x:v>
      </x:c>
      <x:c r="E489" s="38" t="n">
        <x:v>30</x:v>
      </x:c>
      <x:c r="F489" s="38" t="n">
        <x:v>15674</x:v>
      </x:c>
      <x:c r="G489" s="38" t="n">
        <x:v>12782</x:v>
      </x:c>
      <x:c r="H489" s="38" t="n">
        <x:v>2774</x:v>
      </x:c>
      <x:c r="I489" s="38" t="n">
        <x:v>592</x:v>
      </x:c>
      <x:c r="J489" s="38" t="n">
        <x:v>185</x:v>
      </x:c>
      <x:c r="K489" s="38" t="n">
        <x:v>0</x:v>
      </x:c>
      <x:c r="L489" s="38" t="n">
        <x:v>0</x:v>
      </x:c>
      <x:c r="M489" s="38" t="n">
        <x:v>15000</x:v>
      </x:c>
      <x:c r="N489" s="38" t="n">
        <x:v>0</x:v>
      </x:c>
      <x:c r="O489" s="38" t="n">
        <x:v>0</x:v>
      </x:c>
      <x:c r="P489" s="38" t="n">
        <x:f>F489+G489-H489+I489+J489+K489+L489-M489-N489-O489</x:f>
        <x:v>11459</x:v>
      </x:c>
      <x:c r="Q489" s="38" t="n">
        <x:v>11459</x:v>
      </x:c>
      <x:c r="R489" s="38" t="n">
        <x:f>P489-Q489</x:f>
        <x:v>0</x:v>
      </x:c>
      <x:c r="S489" s="38" t="n">
        <x:v>10235</x:v>
      </x:c>
      <x:c r="T489" s="38" t="n">
        <x:v>2503</x:v>
      </x:c>
      <x:c r="U489" s="38" t="n">
        <x:v>28</x:v>
      </x:c>
      <x:c r="V489" s="38" t="n">
        <x:v>2</x:v>
      </x:c>
      <x:c r="W489" s="38" t="n">
        <x:v>0</x:v>
      </x:c>
      <x:c r="X489" s="44" t="n">
        <x:v>3.99</x:v>
      </x:c>
      <x:c r="Y489" s="38" t="n">
        <x:v>49</x:v>
      </x:c>
      <x:c r="Z489" s="38" t="n">
        <x:v>10</x:v>
      </x:c>
      <x:c r="AA489" s="38" t="n">
        <x:v>2</x:v>
      </x:c>
      <x:c r="AB489" s="38" t="n">
        <x:v>0</x:v>
      </x:c>
      <x:c r="AC489" s="38" t="n">
        <x:v>1550</x:v>
      </x:c>
      <x:c r="AD489" s="38" t="n">
        <x:v>0</x:v>
      </x:c>
      <x:c r="AE489" s="38" t="n">
        <x:f>IF(B489=1,0,F489-Q488)</x:f>
        <x:v>0</x:v>
      </x:c>
    </x:row>
    <x:row r="490" ht="27" customHeight="1">
      <x:c r="A490" s="28" t="str">
        <x:v>Light payer</x:v>
      </x:c>
      <x:c r="B490" s="38" t="n">
        <x:v>6</x:v>
      </x:c>
      <x:c r="C490" s="38" t="n">
        <x:v>10</x:v>
      </x:c>
      <x:c r="D490" s="38" t="n">
        <x:v>11604</x:v>
      </x:c>
      <x:c r="E490" s="38" t="n">
        <x:v>30</x:v>
      </x:c>
      <x:c r="F490" s="38" t="n">
        <x:v>11459</x:v>
      </x:c>
      <x:c r="G490" s="38" t="n">
        <x:v>15701</x:v>
      </x:c>
      <x:c r="H490" s="38" t="n">
        <x:v>3398</x:v>
      </x:c>
      <x:c r="I490" s="38" t="n">
        <x:v>734</x:v>
      </x:c>
      <x:c r="J490" s="38" t="n">
        <x:v>190</x:v>
      </x:c>
      <x:c r="K490" s="38" t="n">
        <x:v>0</x:v>
      </x:c>
      <x:c r="L490" s="38" t="n">
        <x:v>0</x:v>
      </x:c>
      <x:c r="M490" s="38" t="n">
        <x:v>0</x:v>
      </x:c>
      <x:c r="N490" s="38" t="n">
        <x:v>0</x:v>
      </x:c>
      <x:c r="O490" s="38" t="n">
        <x:v>0</x:v>
      </x:c>
      <x:c r="P490" s="38" t="n">
        <x:f>F490+G490-H490+I490+J490+K490+L490-M490-N490-O490</x:f>
        <x:v>24686</x:v>
      </x:c>
      <x:c r="Q490" s="38" t="n">
        <x:v>24686</x:v>
      </x:c>
      <x:c r="R490" s="38" t="n">
        <x:f>P490-Q490</x:f>
        <x:v>0</x:v>
      </x:c>
      <x:c r="S490" s="38" t="n">
        <x:v>12561</x:v>
      </x:c>
      <x:c r="T490" s="38" t="n">
        <x:v>2977</x:v>
      </x:c>
      <x:c r="U490" s="38" t="n">
        <x:v>31</x:v>
      </x:c>
      <x:c r="V490" s="38" t="n">
        <x:v>3</x:v>
      </x:c>
      <x:c r="W490" s="38" t="n">
        <x:v>0</x:v>
      </x:c>
      <x:c r="X490" s="44" t="n">
        <x:v>3.99</x:v>
      </x:c>
      <x:c r="Y490" s="38" t="n">
        <x:v>60</x:v>
      </x:c>
      <x:c r="Z490" s="38" t="n">
        <x:v>11</x:v>
      </x:c>
      <x:c r="AA490" s="38" t="n">
        <x:v>2</x:v>
      </x:c>
      <x:c r="AB490" s="38" t="n">
        <x:v>0</x:v>
      </x:c>
      <x:c r="AC490" s="38" t="n">
        <x:v>1808</x:v>
      </x:c>
      <x:c r="AD490" s="38" t="n">
        <x:v>0</x:v>
      </x:c>
      <x:c r="AE490" s="38" t="n">
        <x:f>IF(B490=1,0,F490-Q489)</x:f>
        <x:v>0</x:v>
      </x:c>
    </x:row>
    <x:row r="491" ht="27" customHeight="1">
      <x:c r="A491" s="28" t="str">
        <x:v>Light payer</x:v>
      </x:c>
      <x:c r="B491" s="38" t="n">
        <x:v>7</x:v>
      </x:c>
      <x:c r="C491" s="38" t="n">
        <x:v>10</x:v>
      </x:c>
      <x:c r="D491" s="38" t="n">
        <x:v>15277</x:v>
      </x:c>
      <x:c r="E491" s="38" t="n">
        <x:v>30</x:v>
      </x:c>
      <x:c r="F491" s="38" t="n">
        <x:v>24686</x:v>
      </x:c>
      <x:c r="G491" s="38" t="n">
        <x:v>15892</x:v>
      </x:c>
      <x:c r="H491" s="38" t="n">
        <x:v>3190</x:v>
      </x:c>
      <x:c r="I491" s="38" t="n">
        <x:v>2352</x:v>
      </x:c>
      <x:c r="J491" s="38" t="n">
        <x:v>0</x:v>
      </x:c>
      <x:c r="K491" s="38" t="n">
        <x:v>0</x:v>
      </x:c>
      <x:c r="L491" s="38" t="n">
        <x:v>0</x:v>
      </x:c>
      <x:c r="M491" s="38" t="n">
        <x:v>0</x:v>
      </x:c>
      <x:c r="N491" s="38" t="n">
        <x:v>70</x:v>
      </x:c>
      <x:c r="O491" s="38" t="n">
        <x:v>0</x:v>
      </x:c>
      <x:c r="P491" s="38" t="n">
        <x:f>F491+G491-H491+I491+J491+K491+L491-M491-N491-O491</x:f>
        <x:v>39670</x:v>
      </x:c>
      <x:c r="Q491" s="38" t="n">
        <x:v>39670</x:v>
      </x:c>
      <x:c r="R491" s="38" t="n">
        <x:f>P491-Q491</x:f>
        <x:v>0</x:v>
      </x:c>
      <x:c r="S491" s="38" t="n">
        <x:v>12702</x:v>
      </x:c>
      <x:c r="T491" s="38" t="n">
        <x:v>3673</x:v>
      </x:c>
      <x:c r="U491" s="38" t="n">
        <x:v>33</x:v>
      </x:c>
      <x:c r="V491" s="38" t="n">
        <x:v>2</x:v>
      </x:c>
      <x:c r="W491" s="38" t="n">
        <x:v>0</x:v>
      </x:c>
      <x:c r="X491" s="44" t="n">
        <x:v>3.99</x:v>
      </x:c>
      <x:c r="Y491" s="38" t="n">
        <x:v>58</x:v>
      </x:c>
      <x:c r="Z491" s="38" t="n">
        <x:v>11</x:v>
      </x:c>
      <x:c r="AA491" s="38" t="n">
        <x:v>3</x:v>
      </x:c>
      <x:c r="AB491" s="38" t="n">
        <x:v>0</x:v>
      </x:c>
      <x:c r="AC491" s="38" t="n">
        <x:v>1808</x:v>
      </x:c>
      <x:c r="AD491" s="38" t="n">
        <x:v>0</x:v>
      </x:c>
      <x:c r="AE491" s="38" t="n">
        <x:f>IF(B491=1,0,F491-Q490)</x:f>
        <x:v>0</x:v>
      </x:c>
    </x:row>
    <x:row r="492" ht="27" customHeight="1">
      <x:c r="A492" s="28" t="str">
        <x:v>Light payer</x:v>
      </x:c>
      <x:c r="B492" s="38" t="n">
        <x:v>8</x:v>
      </x:c>
      <x:c r="C492" s="38" t="n">
        <x:v>11</x:v>
      </x:c>
      <x:c r="D492" s="38" t="n">
        <x:v>18410</x:v>
      </x:c>
      <x:c r="E492" s="38" t="n">
        <x:v>30</x:v>
      </x:c>
      <x:c r="F492" s="38" t="n">
        <x:v>39670</x:v>
      </x:c>
      <x:c r="G492" s="38" t="n">
        <x:v>17191</x:v>
      </x:c>
      <x:c r="H492" s="38" t="n">
        <x:v>3357</x:v>
      </x:c>
      <x:c r="I492" s="38" t="n">
        <x:v>759</x:v>
      </x:c>
      <x:c r="J492" s="38" t="n">
        <x:v>195</x:v>
      </x:c>
      <x:c r="K492" s="38" t="n">
        <x:v>0</x:v>
      </x:c>
      <x:c r="L492" s="38" t="n">
        <x:v>0</x:v>
      </x:c>
      <x:c r="M492" s="38" t="n">
        <x:v>0</x:v>
      </x:c>
      <x:c r="N492" s="38" t="n">
        <x:v>0</x:v>
      </x:c>
      <x:c r="O492" s="38" t="n">
        <x:v>1325</x:v>
      </x:c>
      <x:c r="P492" s="38" t="n">
        <x:f>F492+G492-H492+I492+J492+K492+L492-M492-N492-O492</x:f>
        <x:v>53133</x:v>
      </x:c>
      <x:c r="Q492" s="38" t="n">
        <x:v>53133</x:v>
      </x:c>
      <x:c r="R492" s="38" t="n">
        <x:f>P492-Q492</x:f>
        <x:v>0</x:v>
      </x:c>
      <x:c r="S492" s="38" t="n">
        <x:v>13736</x:v>
      </x:c>
      <x:c r="T492" s="38" t="n">
        <x:v>3133</x:v>
      </x:c>
      <x:c r="U492" s="38" t="n">
        <x:v>33</x:v>
      </x:c>
      <x:c r="V492" s="38" t="n">
        <x:v>0</x:v>
      </x:c>
      <x:c r="W492" s="38" t="n">
        <x:v>0</x:v>
      </x:c>
      <x:c r="X492" s="44" t="n">
        <x:v>3.99</x:v>
      </x:c>
      <x:c r="Y492" s="38" t="n">
        <x:v>59</x:v>
      </x:c>
      <x:c r="Z492" s="38" t="n">
        <x:v>13</x:v>
      </x:c>
      <x:c r="AA492" s="38" t="n">
        <x:v>3</x:v>
      </x:c>
      <x:c r="AB492" s="38" t="n">
        <x:v>1</x:v>
      </x:c>
      <x:c r="AC492" s="38" t="n">
        <x:v>1710</x:v>
      </x:c>
      <x:c r="AD492" s="38" t="n">
        <x:v>0</x:v>
      </x:c>
      <x:c r="AE492" s="38" t="n">
        <x:f>IF(B492=1,0,F492-Q491)</x:f>
        <x:v>0</x:v>
      </x:c>
    </x:row>
    <x:row r="493" ht="27" customHeight="1">
      <x:c r="A493" s="28" t="str">
        <x:v>Light payer</x:v>
      </x:c>
      <x:c r="B493" s="38" t="n">
        <x:v>9</x:v>
      </x:c>
      <x:c r="C493" s="38" t="n">
        <x:v>12</x:v>
      </x:c>
      <x:c r="D493" s="38" t="n">
        <x:v>21671</x:v>
      </x:c>
      <x:c r="E493" s="38" t="n">
        <x:v>35</x:v>
      </x:c>
      <x:c r="F493" s="38" t="n">
        <x:v>53133</x:v>
      </x:c>
      <x:c r="G493" s="38" t="n">
        <x:v>18384</x:v>
      </x:c>
      <x:c r="H493" s="38" t="n">
        <x:v>4171</x:v>
      </x:c>
      <x:c r="I493" s="38" t="n">
        <x:v>783</x:v>
      </x:c>
      <x:c r="J493" s="38" t="n">
        <x:v>235</x:v>
      </x:c>
      <x:c r="K493" s="38" t="n">
        <x:v>0</x:v>
      </x:c>
      <x:c r="L493" s="38" t="n">
        <x:v>0</x:v>
      </x:c>
      <x:c r="M493" s="38" t="n">
        <x:v>40000</x:v>
      </x:c>
      <x:c r="N493" s="38" t="n">
        <x:v>0</x:v>
      </x:c>
      <x:c r="O493" s="38" t="n">
        <x:v>6325</x:v>
      </x:c>
      <x:c r="P493" s="38" t="n">
        <x:f>F493+G493-H493+I493+J493+K493+L493-M493-N493-O493</x:f>
        <x:v>22039</x:v>
      </x:c>
      <x:c r="Q493" s="38" t="n">
        <x:v>22039</x:v>
      </x:c>
      <x:c r="R493" s="38" t="n">
        <x:f>P493-Q493</x:f>
        <x:v>0</x:v>
      </x:c>
      <x:c r="S493" s="38" t="n">
        <x:v>14702</x:v>
      </x:c>
      <x:c r="T493" s="38" t="n">
        <x:v>3261</x:v>
      </x:c>
      <x:c r="U493" s="38" t="n">
        <x:v>34</x:v>
      </x:c>
      <x:c r="V493" s="38" t="n">
        <x:v>1</x:v>
      </x:c>
      <x:c r="W493" s="38" t="n">
        <x:v>0</x:v>
      </x:c>
      <x:c r="X493" s="44" t="n">
        <x:v>3.99</x:v>
      </x:c>
      <x:c r="Y493" s="38" t="n">
        <x:v>64</x:v>
      </x:c>
      <x:c r="Z493" s="38" t="n">
        <x:v>13</x:v>
      </x:c>
      <x:c r="AA493" s="38" t="n">
        <x:v>3</x:v>
      </x:c>
      <x:c r="AB493" s="38" t="n">
        <x:v>2</x:v>
      </x:c>
      <x:c r="AC493" s="38" t="n">
        <x:v>2199</x:v>
      </x:c>
      <x:c r="AD493" s="38" t="n">
        <x:v>0</x:v>
      </x:c>
      <x:c r="AE493" s="38" t="n">
        <x:f>IF(B493=1,0,F493-Q492)</x:f>
        <x:v>0</x:v>
      </x:c>
    </x:row>
    <x:row r="494" ht="27" customHeight="1">
      <x:c r="A494" s="28" t="str">
        <x:v>Light payer</x:v>
      </x:c>
      <x:c r="B494" s="38" t="n">
        <x:v>10</x:v>
      </x:c>
      <x:c r="C494" s="38" t="n">
        <x:v>12</x:v>
      </x:c>
      <x:c r="D494" s="38" t="n">
        <x:v>25172</x:v>
      </x:c>
      <x:c r="E494" s="38" t="n">
        <x:v>35</x:v>
      </x:c>
      <x:c r="F494" s="38" t="n">
        <x:v>22039</x:v>
      </x:c>
      <x:c r="G494" s="38" t="n">
        <x:v>19788</x:v>
      </x:c>
      <x:c r="H494" s="38" t="n">
        <x:v>3944</x:v>
      </x:c>
      <x:c r="I494" s="38" t="n">
        <x:v>942</x:v>
      </x:c>
      <x:c r="J494" s="38" t="n">
        <x:v>0</x:v>
      </x:c>
      <x:c r="K494" s="38" t="n">
        <x:v>13345</x:v>
      </x:c>
      <x:c r="L494" s="38" t="n">
        <x:v>0</x:v>
      </x:c>
      <x:c r="M494" s="38" t="n">
        <x:v>0</x:v>
      </x:c>
      <x:c r="N494" s="38" t="n">
        <x:v>70</x:v>
      </x:c>
      <x:c r="O494" s="38" t="n">
        <x:v>0</x:v>
      </x:c>
      <x:c r="P494" s="38" t="n">
        <x:f>F494+G494-H494+I494+J494+K494+L494-M494-N494-O494</x:f>
        <x:v>52100</x:v>
      </x:c>
      <x:c r="Q494" s="38" t="n">
        <x:v>52100</x:v>
      </x:c>
      <x:c r="R494" s="38" t="n">
        <x:f>P494-Q494</x:f>
        <x:v>0</x:v>
      </x:c>
      <x:c r="S494" s="38" t="n">
        <x:v>15844</x:v>
      </x:c>
      <x:c r="T494" s="38" t="n">
        <x:v>3501</x:v>
      </x:c>
      <x:c r="U494" s="38" t="n">
        <x:v>34</x:v>
      </x:c>
      <x:c r="V494" s="38" t="n">
        <x:v>0</x:v>
      </x:c>
      <x:c r="W494" s="38" t="n">
        <x:v>0</x:v>
      </x:c>
      <x:c r="X494" s="44" t="n">
        <x:v>6.98</x:v>
      </x:c>
      <x:c r="Y494" s="38" t="n">
        <x:v>68</x:v>
      </x:c>
      <x:c r="Z494" s="38" t="n">
        <x:v>13</x:v>
      </x:c>
      <x:c r="AA494" s="38" t="n">
        <x:v>4</x:v>
      </x:c>
      <x:c r="AB494" s="38" t="n">
        <x:v>2</x:v>
      </x:c>
      <x:c r="AC494" s="38" t="n">
        <x:v>2199</x:v>
      </x:c>
      <x:c r="AD494" s="38" t="n">
        <x:v>0</x:v>
      </x:c>
      <x:c r="AE494" s="38" t="n">
        <x:f>IF(B494=1,0,F494-Q493)</x:f>
        <x:v>0</x:v>
      </x:c>
    </x:row>
    <x:row r="495" ht="27" customHeight="1">
      <x:c r="A495" s="28" t="str">
        <x:v>Light payer</x:v>
      </x:c>
      <x:c r="B495" s="38" t="n">
        <x:v>11</x:v>
      </x:c>
      <x:c r="C495" s="38" t="n">
        <x:v>13</x:v>
      </x:c>
      <x:c r="D495" s="38" t="n">
        <x:v>28887</x:v>
      </x:c>
      <x:c r="E495" s="38" t="n">
        <x:v>35</x:v>
      </x:c>
      <x:c r="F495" s="38" t="n">
        <x:v>52100</x:v>
      </x:c>
      <x:c r="G495" s="38" t="n">
        <x:v>21229</x:v>
      </x:c>
      <x:c r="H495" s="38" t="n">
        <x:v>4196</x:v>
      </x:c>
      <x:c r="I495" s="38" t="n">
        <x:v>942</x:v>
      </x:c>
      <x:c r="J495" s="38" t="n">
        <x:v>245</x:v>
      </x:c>
      <x:c r="K495" s="38" t="n">
        <x:v>0</x:v>
      </x:c>
      <x:c r="L495" s="38" t="n">
        <x:v>0</x:v>
      </x:c>
      <x:c r="M495" s="38" t="n">
        <x:v>0</x:v>
      </x:c>
      <x:c r="N495" s="38" t="n">
        <x:v>0</x:v>
      </x:c>
      <x:c r="O495" s="38" t="n">
        <x:v>0</x:v>
      </x:c>
      <x:c r="P495" s="38" t="n">
        <x:f>F495+G495-H495+I495+J495+K495+L495-M495-N495-O495</x:f>
        <x:v>70320</x:v>
      </x:c>
      <x:c r="Q495" s="38" t="n">
        <x:v>70320</x:v>
      </x:c>
      <x:c r="R495" s="38" t="n">
        <x:f>P495-Q495</x:f>
        <x:v>0</x:v>
      </x:c>
      <x:c r="S495" s="38" t="n">
        <x:v>16990</x:v>
      </x:c>
      <x:c r="T495" s="38" t="n">
        <x:v>3715</x:v>
      </x:c>
      <x:c r="U495" s="38" t="n">
        <x:v>34</x:v>
      </x:c>
      <x:c r="V495" s="38" t="n">
        <x:v>0</x:v>
      </x:c>
      <x:c r="W495" s="38" t="n">
        <x:v>0</x:v>
      </x:c>
      <x:c r="X495" s="44" t="n">
        <x:v>6.98</x:v>
      </x:c>
      <x:c r="Y495" s="38" t="n">
        <x:v>69</x:v>
      </x:c>
      <x:c r="Z495" s="38" t="n">
        <x:v>14</x:v>
      </x:c>
      <x:c r="AA495" s="38" t="n">
        <x:v>4</x:v>
      </x:c>
      <x:c r="AB495" s="38" t="n">
        <x:v>2</x:v>
      </x:c>
      <x:c r="AC495" s="38" t="n">
        <x:v>2156</x:v>
      </x:c>
      <x:c r="AD495" s="38" t="n">
        <x:v>0</x:v>
      </x:c>
      <x:c r="AE495" s="38" t="n">
        <x:f>IF(B495=1,0,F495-Q494)</x:f>
        <x:v>0</x:v>
      </x:c>
    </x:row>
    <x:row r="496" ht="27" customHeight="1">
      <x:c r="A496" s="28" t="str">
        <x:v>Light payer</x:v>
      </x:c>
      <x:c r="B496" s="38" t="n">
        <x:v>12</x:v>
      </x:c>
      <x:c r="C496" s="38" t="n">
        <x:v>14</x:v>
      </x:c>
      <x:c r="D496" s="38" t="n">
        <x:v>32596</x:v>
      </x:c>
      <x:c r="E496" s="38" t="n">
        <x:v>35</x:v>
      </x:c>
      <x:c r="F496" s="38" t="n">
        <x:v>70320</x:v>
      </x:c>
      <x:c r="G496" s="38" t="n">
        <x:v>21278</x:v>
      </x:c>
      <x:c r="H496" s="38" t="n">
        <x:v>4222</x:v>
      </x:c>
      <x:c r="I496" s="38" t="n">
        <x:v>970</x:v>
      </x:c>
      <x:c r="J496" s="38" t="n">
        <x:v>250</x:v>
      </x:c>
      <x:c r="K496" s="38" t="n">
        <x:v>0</x:v>
      </x:c>
      <x:c r="L496" s="38" t="n">
        <x:v>0</x:v>
      </x:c>
      <x:c r="M496" s="38" t="n">
        <x:v>0</x:v>
      </x:c>
      <x:c r="N496" s="38" t="n">
        <x:v>0</x:v>
      </x:c>
      <x:c r="O496" s="38" t="n">
        <x:v>0</x:v>
      </x:c>
      <x:c r="P496" s="38" t="n">
        <x:f>F496+G496-H496+I496+J496+K496+L496-M496-N496-O496</x:f>
        <x:v>88596</x:v>
      </x:c>
      <x:c r="Q496" s="38" t="n">
        <x:v>88596</x:v>
      </x:c>
      <x:c r="R496" s="38" t="n">
        <x:f>P496-Q496</x:f>
        <x:v>0</x:v>
      </x:c>
      <x:c r="S496" s="38" t="n">
        <x:v>17022</x:v>
      </x:c>
      <x:c r="T496" s="38" t="n">
        <x:v>3709</x:v>
      </x:c>
      <x:c r="U496" s="38" t="n">
        <x:v>37</x:v>
      </x:c>
      <x:c r="V496" s="38" t="n">
        <x:v>3</x:v>
      </x:c>
      <x:c r="W496" s="38" t="n">
        <x:v>0</x:v>
      </x:c>
      <x:c r="X496" s="44" t="n">
        <x:v>6.98</x:v>
      </x:c>
      <x:c r="Y496" s="38" t="n">
        <x:v>70</x:v>
      </x:c>
      <x:c r="Z496" s="38" t="n">
        <x:v>15</x:v>
      </x:c>
      <x:c r="AA496" s="38" t="n">
        <x:v>4</x:v>
      </x:c>
      <x:c r="AB496" s="38" t="n">
        <x:v>2</x:v>
      </x:c>
      <x:c r="AC496" s="38" t="n">
        <x:v>2122</x:v>
      </x:c>
      <x:c r="AD496" s="38" t="n">
        <x:v>0</x:v>
      </x:c>
      <x:c r="AE496" s="38" t="n">
        <x:f>IF(B496=1,0,F496-Q495)</x:f>
        <x:v>0</x:v>
      </x:c>
    </x:row>
    <x:row r="497" ht="27" customHeight="1">
      <x:c r="A497" s="28" t="str">
        <x:v>Light payer</x:v>
      </x:c>
      <x:c r="B497" s="38" t="n">
        <x:v>13</x:v>
      </x:c>
      <x:c r="C497" s="38" t="n">
        <x:v>14</x:v>
      </x:c>
      <x:c r="D497" s="38" t="n">
        <x:v>36232</x:v>
      </x:c>
      <x:c r="E497" s="38" t="n">
        <x:v>35</x:v>
      </x:c>
      <x:c r="F497" s="38" t="n">
        <x:v>88596</x:v>
      </x:c>
      <x:c r="G497" s="38" t="n">
        <x:v>21391</x:v>
      </x:c>
      <x:c r="H497" s="38" t="n">
        <x:v>4340</x:v>
      </x:c>
      <x:c r="I497" s="38" t="n">
        <x:v>999</x:v>
      </x:c>
      <x:c r="J497" s="38" t="n">
        <x:v>0</x:v>
      </x:c>
      <x:c r="K497" s="38" t="n">
        <x:v>0</x:v>
      </x:c>
      <x:c r="L497" s="38" t="n">
        <x:v>0</x:v>
      </x:c>
      <x:c r="M497" s="38" t="n">
        <x:v>0</x:v>
      </x:c>
      <x:c r="N497" s="38" t="n">
        <x:v>110</x:v>
      </x:c>
      <x:c r="O497" s="38" t="n">
        <x:v>0</x:v>
      </x:c>
      <x:c r="P497" s="38" t="n">
        <x:f>F497+G497-H497+I497+J497+K497+L497-M497-N497-O497</x:f>
        <x:v>106536</x:v>
      </x:c>
      <x:c r="Q497" s="38" t="n">
        <x:v>106536</x:v>
      </x:c>
      <x:c r="R497" s="38" t="n">
        <x:f>P497-Q497</x:f>
        <x:v>0</x:v>
      </x:c>
      <x:c r="S497" s="38" t="n">
        <x:v>17099</x:v>
      </x:c>
      <x:c r="T497" s="38" t="n">
        <x:v>3636</x:v>
      </x:c>
      <x:c r="U497" s="38" t="n">
        <x:v>37</x:v>
      </x:c>
      <x:c r="V497" s="38" t="n">
        <x:v>0</x:v>
      </x:c>
      <x:c r="W497" s="38" t="n">
        <x:v>0</x:v>
      </x:c>
      <x:c r="X497" s="44" t="n">
        <x:v>6.98</x:v>
      </x:c>
      <x:c r="Y497" s="38" t="n">
        <x:v>70</x:v>
      </x:c>
      <x:c r="Z497" s="38" t="n">
        <x:v>16</x:v>
      </x:c>
      <x:c r="AA497" s="38" t="n">
        <x:v>5</x:v>
      </x:c>
      <x:c r="AB497" s="38" t="n">
        <x:v>2</x:v>
      </x:c>
      <x:c r="AC497" s="38" t="n">
        <x:v>2170</x:v>
      </x:c>
      <x:c r="AD497" s="38" t="n">
        <x:v>0</x:v>
      </x:c>
      <x:c r="AE497" s="38" t="n">
        <x:f>IF(B497=1,0,F497-Q496)</x:f>
        <x:v>0</x:v>
      </x:c>
    </x:row>
    <x:row r="498" ht="27" customHeight="1">
      <x:c r="A498" s="28" t="str">
        <x:v>Light payer</x:v>
      </x:c>
      <x:c r="B498" s="38" t="n">
        <x:v>14</x:v>
      </x:c>
      <x:c r="C498" s="38" t="n">
        <x:v>15</x:v>
      </x:c>
      <x:c r="D498" s="38" t="n">
        <x:v>41332</x:v>
      </x:c>
      <x:c r="E498" s="38" t="n">
        <x:v>35</x:v>
      </x:c>
      <x:c r="F498" s="38" t="n">
        <x:v>106536</x:v>
      </x:c>
      <x:c r="G498" s="38" t="n">
        <x:v>23065</x:v>
      </x:c>
      <x:c r="H498" s="38" t="n">
        <x:v>4900</x:v>
      </x:c>
      <x:c r="I498" s="38" t="n">
        <x:v>4793</x:v>
      </x:c>
      <x:c r="J498" s="38" t="n">
        <x:v>255</x:v>
      </x:c>
      <x:c r="K498" s="38" t="n">
        <x:v>0</x:v>
      </x:c>
      <x:c r="L498" s="38" t="n">
        <x:v>0</x:v>
      </x:c>
      <x:c r="M498" s="38" t="n">
        <x:v>0</x:v>
      </x:c>
      <x:c r="N498" s="38" t="n">
        <x:v>0</x:v>
      </x:c>
      <x:c r="O498" s="38" t="n">
        <x:v>17115</x:v>
      </x:c>
      <x:c r="P498" s="38" t="n">
        <x:f>F498+G498-H498+I498+J498+K498+L498-M498-N498-O498</x:f>
        <x:v>112634</x:v>
      </x:c>
      <x:c r="Q498" s="38" t="n">
        <x:v>112634</x:v>
      </x:c>
      <x:c r="R498" s="38" t="n">
        <x:f>P498-Q498</x:f>
        <x:v>0</x:v>
      </x:c>
      <x:c r="S498" s="38" t="n">
        <x:v>18445</x:v>
      </x:c>
      <x:c r="T498" s="38" t="n">
        <x:v>5100</x:v>
      </x:c>
      <x:c r="U498" s="38" t="n">
        <x:v>42</x:v>
      </x:c>
      <x:c r="V498" s="38" t="n">
        <x:v>5</x:v>
      </x:c>
      <x:c r="W498" s="38" t="n">
        <x:v>0</x:v>
      </x:c>
      <x:c r="X498" s="44" t="n">
        <x:v>6.98</x:v>
      </x:c>
      <x:c r="Y498" s="38" t="n">
        <x:v>70</x:v>
      </x:c>
      <x:c r="Z498" s="38" t="n">
        <x:v>17</x:v>
      </x:c>
      <x:c r="AA498" s="38" t="n">
        <x:v>5</x:v>
      </x:c>
      <x:c r="AB498" s="38" t="n">
        <x:v>3</x:v>
      </x:c>
      <x:c r="AC498" s="38" t="n">
        <x:v>2450</x:v>
      </x:c>
      <x:c r="AD498" s="38" t="n">
        <x:v>0</x:v>
      </x:c>
      <x:c r="AE498" s="38" t="n">
        <x:f>IF(B498=1,0,F498-Q497)</x:f>
        <x:v>0</x:v>
      </x:c>
    </x:row>
    <x:row r="499" ht="27" customHeight="1">
      <x:c r="A499" s="28" t="str">
        <x:v>Light payer</x:v>
      </x:c>
      <x:c r="B499" s="38" t="n">
        <x:v>15</x:v>
      </x:c>
      <x:c r="C499" s="38" t="n">
        <x:v>15</x:v>
      </x:c>
      <x:c r="D499" s="38" t="n">
        <x:v>44725</x:v>
      </x:c>
      <x:c r="E499" s="38" t="n">
        <x:v>35</x:v>
      </x:c>
      <x:c r="F499" s="38" t="n">
        <x:v>112634</x:v>
      </x:c>
      <x:c r="G499" s="38" t="n">
        <x:v>24500</x:v>
      </x:c>
      <x:c r="H499" s="38" t="n">
        <x:v>4900</x:v>
      </x:c>
      <x:c r="I499" s="38" t="n">
        <x:v>1027</x:v>
      </x:c>
      <x:c r="J499" s="38" t="n">
        <x:v>0</x:v>
      </x:c>
      <x:c r="K499" s="38" t="n">
        <x:v>0</x:v>
      </x:c>
      <x:c r="L499" s="38" t="n">
        <x:v>0</x:v>
      </x:c>
      <x:c r="M499" s="38" t="n">
        <x:v>0</x:v>
      </x:c>
      <x:c r="N499" s="38" t="n">
        <x:v>0</x:v>
      </x:c>
      <x:c r="O499" s="38" t="n">
        <x:v>0</x:v>
      </x:c>
      <x:c r="P499" s="38" t="n">
        <x:f>F499+G499-H499+I499+J499+K499+L499-M499-N499-O499</x:f>
        <x:v>133261</x:v>
      </x:c>
      <x:c r="Q499" s="38" t="n">
        <x:v>133261</x:v>
      </x:c>
      <x:c r="R499" s="38" t="n">
        <x:f>P499-Q499</x:f>
        <x:v>0</x:v>
      </x:c>
      <x:c r="S499" s="38" t="n">
        <x:v>19600</x:v>
      </x:c>
      <x:c r="T499" s="38" t="n">
        <x:v>3393</x:v>
      </x:c>
      <x:c r="U499" s="38" t="n">
        <x:v>42</x:v>
      </x:c>
      <x:c r="V499" s="38" t="n">
        <x:v>0</x:v>
      </x:c>
      <x:c r="W499" s="38" t="n">
        <x:v>0</x:v>
      </x:c>
      <x:c r="X499" s="44" t="n">
        <x:v>6.98</x:v>
      </x:c>
      <x:c r="Y499" s="38" t="n">
        <x:v>70</x:v>
      </x:c>
      <x:c r="Z499" s="38" t="n">
        <x:v>17</x:v>
      </x:c>
      <x:c r="AA499" s="38" t="n">
        <x:v>5</x:v>
      </x:c>
      <x:c r="AB499" s="38" t="n">
        <x:v>3</x:v>
      </x:c>
      <x:c r="AC499" s="38" t="n">
        <x:v>2450</x:v>
      </x:c>
      <x:c r="AD499" s="38" t="n">
        <x:v>0</x:v>
      </x:c>
      <x:c r="AE499" s="38" t="n">
        <x:f>IF(B499=1,0,F499-Q498)</x:f>
        <x:v>0</x:v>
      </x:c>
    </x:row>
    <x:row r="500" ht="27" customHeight="1">
      <x:c r="A500" s="28" t="str">
        <x:v>Light payer</x:v>
      </x:c>
      <x:c r="B500" s="38" t="n">
        <x:v>16</x:v>
      </x:c>
      <x:c r="C500" s="38" t="n">
        <x:v>16</x:v>
      </x:c>
      <x:c r="D500" s="38" t="n">
        <x:v>48725</x:v>
      </x:c>
      <x:c r="E500" s="38" t="n">
        <x:v>45</x:v>
      </x:c>
      <x:c r="F500" s="38" t="n">
        <x:v>133261</x:v>
      </x:c>
      <x:c r="G500" s="38" t="n">
        <x:v>26594</x:v>
      </x:c>
      <x:c r="H500" s="38" t="n">
        <x:v>5846</x:v>
      </x:c>
      <x:c r="I500" s="38" t="n">
        <x:v>1027</x:v>
      </x:c>
      <x:c r="J500" s="38" t="n">
        <x:v>340</x:v>
      </x:c>
      <x:c r="K500" s="38" t="n">
        <x:v>0</x:v>
      </x:c>
      <x:c r="L500" s="38" t="n">
        <x:v>0</x:v>
      </x:c>
      <x:c r="M500" s="38" t="n">
        <x:v>120000</x:v>
      </x:c>
      <x:c r="N500" s="38" t="n">
        <x:v>110</x:v>
      </x:c>
      <x:c r="O500" s="38" t="n">
        <x:v>0</x:v>
      </x:c>
      <x:c r="P500" s="38" t="n">
        <x:f>F500+G500-H500+I500+J500+K500+L500-M500-N500-O500</x:f>
        <x:v>35266</x:v>
      </x:c>
      <x:c r="Q500" s="38" t="n">
        <x:v>35266</x:v>
      </x:c>
      <x:c r="R500" s="38" t="n">
        <x:f>P500-Q500</x:f>
        <x:v>0</x:v>
      </x:c>
      <x:c r="S500" s="38" t="n">
        <x:v>21284</x:v>
      </x:c>
      <x:c r="T500" s="38" t="n">
        <x:v>4000</x:v>
      </x:c>
      <x:c r="U500" s="38" t="n">
        <x:v>43</x:v>
      </x:c>
      <x:c r="V500" s="38" t="n">
        <x:v>1</x:v>
      </x:c>
      <x:c r="W500" s="38" t="n">
        <x:v>0</x:v>
      </x:c>
      <x:c r="X500" s="44" t="n">
        <x:v>6.98</x:v>
      </x:c>
      <x:c r="Y500" s="38" t="n">
        <x:v>79</x:v>
      </x:c>
      <x:c r="Z500" s="38" t="n">
        <x:v>17</x:v>
      </x:c>
      <x:c r="AA500" s="38" t="n">
        <x:v>6</x:v>
      </x:c>
      <x:c r="AB500" s="38" t="n">
        <x:v>3</x:v>
      </x:c>
      <x:c r="AC500" s="38" t="n">
        <x:v>2986</x:v>
      </x:c>
      <x:c r="AD500" s="38" t="n">
        <x:v>0</x:v>
      </x:c>
      <x:c r="AE500" s="38" t="n">
        <x:f>IF(B500=1,0,F500-Q499)</x:f>
        <x:v>0</x:v>
      </x:c>
    </x:row>
    <x:row r="501" ht="27" customHeight="1">
      <x:c r="A501" s="28" t="str">
        <x:v>Light payer</x:v>
      </x:c>
      <x:c r="B501" s="38" t="n">
        <x:v>17</x:v>
      </x:c>
      <x:c r="C501" s="38" t="n">
        <x:v>16</x:v>
      </x:c>
      <x:c r="D501" s="38" t="n">
        <x:v>53586</x:v>
      </x:c>
      <x:c r="E501" s="38" t="n">
        <x:v>45</x:v>
      </x:c>
      <x:c r="F501" s="38" t="n">
        <x:v>35266</x:v>
      </x:c>
      <x:c r="G501" s="38" t="n">
        <x:v>29642</x:v>
      </x:c>
      <x:c r="H501" s="38" t="n">
        <x:v>5850</x:v>
      </x:c>
      <x:c r="I501" s="38" t="n">
        <x:v>1357</x:v>
      </x:c>
      <x:c r="J501" s="38" t="n">
        <x:v>0</x:v>
      </x:c>
      <x:c r="K501" s="38" t="n">
        <x:v>0</x:v>
      </x:c>
      <x:c r="L501" s="38" t="n">
        <x:v>0</x:v>
      </x:c>
      <x:c r="M501" s="38" t="n">
        <x:v>0</x:v>
      </x:c>
      <x:c r="N501" s="38" t="n">
        <x:v>0</x:v>
      </x:c>
      <x:c r="O501" s="38" t="n">
        <x:v>0</x:v>
      </x:c>
      <x:c r="P501" s="38" t="n">
        <x:f>F501+G501-H501+I501+J501+K501+L501-M501-N501-O501</x:f>
        <x:v>60415</x:v>
      </x:c>
      <x:c r="Q501" s="38" t="n">
        <x:v>60415</x:v>
      </x:c>
      <x:c r="R501" s="38" t="n">
        <x:f>P501-Q501</x:f>
        <x:v>0</x:v>
      </x:c>
      <x:c r="S501" s="38" t="n">
        <x:v>23731</x:v>
      </x:c>
      <x:c r="T501" s="38" t="n">
        <x:v>4861</x:v>
      </x:c>
      <x:c r="U501" s="38" t="n">
        <x:v>43</x:v>
      </x:c>
      <x:c r="V501" s="38" t="n">
        <x:v>0</x:v>
      </x:c>
      <x:c r="W501" s="38" t="n">
        <x:v>0</x:v>
      </x:c>
      <x:c r="X501" s="44" t="n">
        <x:v>6.98</x:v>
      </x:c>
      <x:c r="Y501" s="38" t="n">
        <x:v>90</x:v>
      </x:c>
      <x:c r="Z501" s="38" t="n">
        <x:v>18</x:v>
      </x:c>
      <x:c r="AA501" s="38" t="n">
        <x:v>6</x:v>
      </x:c>
      <x:c r="AB501" s="38" t="n">
        <x:v>3</x:v>
      </x:c>
      <x:c r="AC501" s="38" t="n">
        <x:v>2925</x:v>
      </x:c>
      <x:c r="AD501" s="38" t="n">
        <x:v>0</x:v>
      </x:c>
      <x:c r="AE501" s="38" t="n">
        <x:f>IF(B501=1,0,F501-Q500)</x:f>
        <x:v>0</x:v>
      </x:c>
    </x:row>
    <x:row r="502" ht="27" customHeight="1">
      <x:c r="A502" s="28" t="str">
        <x:v>Light payer</x:v>
      </x:c>
      <x:c r="B502" s="38" t="n">
        <x:v>18</x:v>
      </x:c>
      <x:c r="C502" s="38" t="n">
        <x:v>17</x:v>
      </x:c>
      <x:c r="D502" s="38" t="n">
        <x:v>58403</x:v>
      </x:c>
      <x:c r="E502" s="38" t="n">
        <x:v>45</x:v>
      </x:c>
      <x:c r="F502" s="38" t="n">
        <x:v>60415</x:v>
      </x:c>
      <x:c r="G502" s="38" t="n">
        <x:v>29340</x:v>
      </x:c>
      <x:c r="H502" s="38" t="n">
        <x:v>6134</x:v>
      </x:c>
      <x:c r="I502" s="38" t="n">
        <x:v>1357</x:v>
      </x:c>
      <x:c r="J502" s="38" t="n">
        <x:v>350</x:v>
      </x:c>
      <x:c r="K502" s="38" t="n">
        <x:v>0</x:v>
      </x:c>
      <x:c r="L502" s="38" t="n">
        <x:v>0</x:v>
      </x:c>
      <x:c r="M502" s="38" t="n">
        <x:v>0</x:v>
      </x:c>
      <x:c r="N502" s="38" t="n">
        <x:v>0</x:v>
      </x:c>
      <x:c r="O502" s="38" t="n">
        <x:v>0</x:v>
      </x:c>
      <x:c r="P502" s="38" t="n">
        <x:f>F502+G502-H502+I502+J502+K502+L502-M502-N502-O502</x:f>
        <x:v>85328</x:v>
      </x:c>
      <x:c r="Q502" s="38" t="n">
        <x:v>85328</x:v>
      </x:c>
      <x:c r="R502" s="38" t="n">
        <x:f>P502-Q502</x:f>
        <x:v>0</x:v>
      </x:c>
      <x:c r="S502" s="38" t="n">
        <x:v>23490</x:v>
      </x:c>
      <x:c r="T502" s="38" t="n">
        <x:v>4817</x:v>
      </x:c>
      <x:c r="U502" s="38" t="n">
        <x:v>43</x:v>
      </x:c>
      <x:c r="V502" s="38" t="n">
        <x:v>0</x:v>
      </x:c>
      <x:c r="W502" s="38" t="n">
        <x:v>0</x:v>
      </x:c>
      <x:c r="X502" s="44" t="n">
        <x:v>6.98</x:v>
      </x:c>
      <x:c r="Y502" s="38" t="n">
        <x:v>90</x:v>
      </x:c>
      <x:c r="Z502" s="38" t="n">
        <x:v>18</x:v>
      </x:c>
      <x:c r="AA502" s="38" t="n">
        <x:v>6</x:v>
      </x:c>
      <x:c r="AB502" s="38" t="n">
        <x:v>3</x:v>
      </x:c>
      <x:c r="AC502" s="38" t="n">
        <x:v>3209</x:v>
      </x:c>
      <x:c r="AD502" s="38" t="n">
        <x:v>0</x:v>
      </x:c>
      <x:c r="AE502" s="38" t="n">
        <x:f>IF(B502=1,0,F502-Q501)</x:f>
        <x:v>0</x:v>
      </x:c>
    </x:row>
    <x:row r="503" ht="27" customHeight="1">
      <x:c r="A503" s="28" t="str">
        <x:v>Light payer</x:v>
      </x:c>
      <x:c r="B503" s="38" t="n">
        <x:v>19</x:v>
      </x:c>
      <x:c r="C503" s="38" t="n">
        <x:v>17</x:v>
      </x:c>
      <x:c r="D503" s="38" t="n">
        <x:v>63128</x:v>
      </x:c>
      <x:c r="E503" s="38" t="n">
        <x:v>45</x:v>
      </x:c>
      <x:c r="F503" s="38" t="n">
        <x:v>85328</x:v>
      </x:c>
      <x:c r="G503" s="38" t="n">
        <x:v>29480</x:v>
      </x:c>
      <x:c r="H503" s="38" t="n">
        <x:v>5896</x:v>
      </x:c>
      <x:c r="I503" s="38" t="n">
        <x:v>1393</x:v>
      </x:c>
      <x:c r="J503" s="38" t="n">
        <x:v>0</x:v>
      </x:c>
      <x:c r="K503" s="38" t="n">
        <x:v>0</x:v>
      </x:c>
      <x:c r="L503" s="38" t="n">
        <x:v>0</x:v>
      </x:c>
      <x:c r="M503" s="38" t="n">
        <x:v>0</x:v>
      </x:c>
      <x:c r="N503" s="38" t="n">
        <x:v>305</x:v>
      </x:c>
      <x:c r="O503" s="38" t="n">
        <x:v>0</x:v>
      </x:c>
      <x:c r="P503" s="38" t="n">
        <x:f>F503+G503-H503+I503+J503+K503+L503-M503-N503-O503</x:f>
        <x:v>110000</x:v>
      </x:c>
      <x:c r="Q503" s="38" t="n">
        <x:v>110000</x:v>
      </x:c>
      <x:c r="R503" s="38" t="n">
        <x:f>P503-Q503</x:f>
        <x:v>0</x:v>
      </x:c>
      <x:c r="S503" s="38" t="n">
        <x:v>23584</x:v>
      </x:c>
      <x:c r="T503" s="38" t="n">
        <x:v>4725</x:v>
      </x:c>
      <x:c r="U503" s="38" t="n">
        <x:v>43</x:v>
      </x:c>
      <x:c r="V503" s="38" t="n">
        <x:v>0</x:v>
      </x:c>
      <x:c r="W503" s="38" t="n">
        <x:v>0</x:v>
      </x:c>
      <x:c r="X503" s="44" t="n">
        <x:v>6.98</x:v>
      </x:c>
      <x:c r="Y503" s="38" t="n">
        <x:v>88</x:v>
      </x:c>
      <x:c r="Z503" s="38" t="n">
        <x:v>18</x:v>
      </x:c>
      <x:c r="AA503" s="38" t="n">
        <x:v>7</x:v>
      </x:c>
      <x:c r="AB503" s="38" t="n">
        <x:v>3</x:v>
      </x:c>
      <x:c r="AC503" s="38" t="n">
        <x:v>3209</x:v>
      </x:c>
      <x:c r="AD503" s="38" t="n">
        <x:v>0</x:v>
      </x:c>
      <x:c r="AE503" s="38" t="n">
        <x:f>IF(B503=1,0,F503-Q502)</x:f>
        <x:v>0</x:v>
      </x:c>
    </x:row>
    <x:row r="504" ht="27" customHeight="1">
      <x:c r="A504" s="28" t="str">
        <x:v>Light payer</x:v>
      </x:c>
      <x:c r="B504" s="38" t="n">
        <x:v>20</x:v>
      </x:c>
      <x:c r="C504" s="38" t="n">
        <x:v>17</x:v>
      </x:c>
      <x:c r="D504" s="38" t="n">
        <x:v>68041</x:v>
      </x:c>
      <x:c r="E504" s="38" t="n">
        <x:v>45</x:v>
      </x:c>
      <x:c r="F504" s="38" t="n">
        <x:v>110000</x:v>
      </x:c>
      <x:c r="G504" s="38" t="n">
        <x:v>30785</x:v>
      </x:c>
      <x:c r="H504" s="38" t="n">
        <x:v>5963</x:v>
      </x:c>
      <x:c r="I504" s="38" t="n">
        <x:v>1393</x:v>
      </x:c>
      <x:c r="J504" s="38" t="n">
        <x:v>0</x:v>
      </x:c>
      <x:c r="K504" s="38" t="n">
        <x:v>0</x:v>
      </x:c>
      <x:c r="L504" s="38" t="n">
        <x:v>0</x:v>
      </x:c>
      <x:c r="M504" s="38" t="n">
        <x:v>0</x:v>
      </x:c>
      <x:c r="N504" s="38" t="n">
        <x:v>0</x:v>
      </x:c>
      <x:c r="O504" s="38" t="n">
        <x:v>0</x:v>
      </x:c>
      <x:c r="P504" s="38" t="n">
        <x:f>F504+G504-H504+I504+J504+K504+L504-M504-N504-O504</x:f>
        <x:v>136215</x:v>
      </x:c>
      <x:c r="Q504" s="38" t="n">
        <x:v>136215</x:v>
      </x:c>
      <x:c r="R504" s="38" t="n">
        <x:f>P504-Q504</x:f>
        <x:v>0</x:v>
      </x:c>
      <x:c r="S504" s="38" t="n">
        <x:v>24628</x:v>
      </x:c>
      <x:c r="T504" s="38" t="n">
        <x:v>4913</x:v>
      </x:c>
      <x:c r="U504" s="38" t="n">
        <x:v>43</x:v>
      </x:c>
      <x:c r="V504" s="38" t="n">
        <x:v>0</x:v>
      </x:c>
      <x:c r="W504" s="38" t="n">
        <x:v>0</x:v>
      </x:c>
      <x:c r="X504" s="44" t="n">
        <x:v>6.98</x:v>
      </x:c>
      <x:c r="Y504" s="38" t="n">
        <x:v>89</x:v>
      </x:c>
      <x:c r="Z504" s="38" t="n">
        <x:v>19</x:v>
      </x:c>
      <x:c r="AA504" s="38" t="n">
        <x:v>7</x:v>
      </x:c>
      <x:c r="AB504" s="38" t="n">
        <x:v>3</x:v>
      </x:c>
      <x:c r="AC504" s="38" t="n">
        <x:v>3015</x:v>
      </x:c>
      <x:c r="AD504" s="38" t="n">
        <x:v>0</x:v>
      </x:c>
      <x:c r="AE504" s="38" t="n">
        <x:f>IF(B504=1,0,F504-Q503)</x:f>
        <x:v>0</x:v>
      </x:c>
    </x:row>
    <x:row r="505" ht="27" customHeight="1">
      <x:c r="A505" s="28" t="str">
        <x:v>Light payer</x:v>
      </x:c>
      <x:c r="B505" s="38" t="n">
        <x:v>21</x:v>
      </x:c>
      <x:c r="C505" s="38" t="n">
        <x:v>18</x:v>
      </x:c>
      <x:c r="D505" s="38" t="n">
        <x:v>75020</x:v>
      </x:c>
      <x:c r="E505" s="38" t="n">
        <x:v>50</x:v>
      </x:c>
      <x:c r="F505" s="38" t="n">
        <x:v>136215</x:v>
      </x:c>
      <x:c r="G505" s="38" t="n">
        <x:v>31948</x:v>
      </x:c>
      <x:c r="H505" s="38" t="n">
        <x:v>6836</x:v>
      </x:c>
      <x:c r="I505" s="38" t="n">
        <x:v>6528</x:v>
      </x:c>
      <x:c r="J505" s="38" t="n">
        <x:v>395</x:v>
      </x:c>
      <x:c r="K505" s="38" t="n">
        <x:v>0</x:v>
      </x:c>
      <x:c r="L505" s="38" t="n">
        <x:v>0</x:v>
      </x:c>
      <x:c r="M505" s="38" t="n">
        <x:v>105000</x:v>
      </x:c>
      <x:c r="N505" s="38" t="n">
        <x:v>0</x:v>
      </x:c>
      <x:c r="O505" s="38" t="n">
        <x:v>0</x:v>
      </x:c>
      <x:c r="P505" s="38" t="n">
        <x:f>F505+G505-H505+I505+J505+K505+L505-M505-N505-O505</x:f>
        <x:v>63250</x:v>
      </x:c>
      <x:c r="Q505" s="38" t="n">
        <x:v>63250</x:v>
      </x:c>
      <x:c r="R505" s="38" t="n">
        <x:f>P505-Q505</x:f>
        <x:v>0</x:v>
      </x:c>
      <x:c r="S505" s="38" t="n">
        <x:v>25547</x:v>
      </x:c>
      <x:c r="T505" s="38" t="n">
        <x:v>6979</x:v>
      </x:c>
      <x:c r="U505" s="38" t="n">
        <x:v>48</x:v>
      </x:c>
      <x:c r="V505" s="38" t="n">
        <x:v>5</x:v>
      </x:c>
      <x:c r="W505" s="38" t="n">
        <x:v>0</x:v>
      </x:c>
      <x:c r="X505" s="44" t="n">
        <x:v>6.98</x:v>
      </x:c>
      <x:c r="Y505" s="38" t="n">
        <x:v>95</x:v>
      </x:c>
      <x:c r="Z505" s="38" t="n">
        <x:v>20</x:v>
      </x:c>
      <x:c r="AA505" s="38" t="n">
        <x:v>7</x:v>
      </x:c>
      <x:c r="AB505" s="38" t="n">
        <x:v>3</x:v>
      </x:c>
      <x:c r="AC505" s="38" t="n">
        <x:v>3450</x:v>
      </x:c>
      <x:c r="AD505" s="38" t="n">
        <x:v>0</x:v>
      </x:c>
      <x:c r="AE505" s="38" t="n">
        <x:f>IF(B505=1,0,F505-Q504)</x:f>
        <x:v>0</x:v>
      </x:c>
    </x:row>
    <x:row r="506" ht="27" customHeight="1">
      <x:c r="A506" s="28" t="str">
        <x:v>Light payer</x:v>
      </x:c>
      <x:c r="B506" s="38" t="n">
        <x:v>22</x:v>
      </x:c>
      <x:c r="C506" s="38" t="n">
        <x:v>18</x:v>
      </x:c>
      <x:c r="D506" s="38" t="n">
        <x:v>80482</x:v>
      </x:c>
      <x:c r="E506" s="38" t="n">
        <x:v>50</x:v>
      </x:c>
      <x:c r="F506" s="38" t="n">
        <x:v>63250</x:v>
      </x:c>
      <x:c r="G506" s="38" t="n">
        <x:v>34400</x:v>
      </x:c>
      <x:c r="H506" s="38" t="n">
        <x:v>6900</x:v>
      </x:c>
      <x:c r="I506" s="38" t="n">
        <x:v>1589</x:v>
      </x:c>
      <x:c r="J506" s="38" t="n">
        <x:v>0</x:v>
      </x:c>
      <x:c r="K506" s="38" t="n">
        <x:v>0</x:v>
      </x:c>
      <x:c r="L506" s="38" t="n">
        <x:v>0</x:v>
      </x:c>
      <x:c r="M506" s="38" t="n">
        <x:v>0</x:v>
      </x:c>
      <x:c r="N506" s="38" t="n">
        <x:v>305</x:v>
      </x:c>
      <x:c r="O506" s="38" t="n">
        <x:v>0</x:v>
      </x:c>
      <x:c r="P506" s="38" t="n">
        <x:f>F506+G506-H506+I506+J506+K506+L506-M506-N506-O506</x:f>
        <x:v>92034</x:v>
      </x:c>
      <x:c r="Q506" s="38" t="n">
        <x:v>92034</x:v>
      </x:c>
      <x:c r="R506" s="38" t="n">
        <x:f>P506-Q506</x:f>
        <x:v>0</x:v>
      </x:c>
      <x:c r="S506" s="38" t="n">
        <x:v>27500</x:v>
      </x:c>
      <x:c r="T506" s="38" t="n">
        <x:v>5462</x:v>
      </x:c>
      <x:c r="U506" s="38" t="n">
        <x:v>52</x:v>
      </x:c>
      <x:c r="V506" s="38" t="n">
        <x:v>4</x:v>
      </x:c>
      <x:c r="W506" s="38" t="n">
        <x:v>0</x:v>
      </x:c>
      <x:c r="X506" s="44" t="n">
        <x:v>6.98</x:v>
      </x:c>
      <x:c r="Y506" s="38" t="n">
        <x:v>100</x:v>
      </x:c>
      <x:c r="Z506" s="38" t="n">
        <x:v>20</x:v>
      </x:c>
      <x:c r="AA506" s="38" t="n">
        <x:v>8</x:v>
      </x:c>
      <x:c r="AB506" s="38" t="n">
        <x:v>3</x:v>
      </x:c>
      <x:c r="AC506" s="38" t="n">
        <x:v>3450</x:v>
      </x:c>
      <x:c r="AD506" s="38" t="n">
        <x:v>0</x:v>
      </x:c>
      <x:c r="AE506" s="38" t="n">
        <x:f>IF(B506=1,0,F506-Q505)</x:f>
        <x:v>0</x:v>
      </x:c>
    </x:row>
    <x:row r="507" ht="27" customHeight="1">
      <x:c r="A507" s="28" t="str">
        <x:v>Light payer</x:v>
      </x:c>
      <x:c r="B507" s="38" t="n">
        <x:v>23</x:v>
      </x:c>
      <x:c r="C507" s="38" t="n">
        <x:v>19</x:v>
      </x:c>
      <x:c r="D507" s="38" t="n">
        <x:v>85944</x:v>
      </x:c>
      <x:c r="E507" s="38" t="n">
        <x:v>50</x:v>
      </x:c>
      <x:c r="F507" s="38" t="n">
        <x:v>92034</x:v>
      </x:c>
      <x:c r="G507" s="38" t="n">
        <x:v>34850</x:v>
      </x:c>
      <x:c r="H507" s="38" t="n">
        <x:v>7100</x:v>
      </x:c>
      <x:c r="I507" s="38" t="n">
        <x:v>1589</x:v>
      </x:c>
      <x:c r="J507" s="38" t="n">
        <x:v>405</x:v>
      </x:c>
      <x:c r="K507" s="38" t="n">
        <x:v>0</x:v>
      </x:c>
      <x:c r="L507" s="38" t="n">
        <x:v>0</x:v>
      </x:c>
      <x:c r="M507" s="38" t="n">
        <x:v>0</x:v>
      </x:c>
      <x:c r="N507" s="38" t="n">
        <x:v>0</x:v>
      </x:c>
      <x:c r="O507" s="38" t="n">
        <x:v>0</x:v>
      </x:c>
      <x:c r="P507" s="38" t="n">
        <x:f>F507+G507-H507+I507+J507+K507+L507-M507-N507-O507</x:f>
        <x:v>121778</x:v>
      </x:c>
      <x:c r="Q507" s="38" t="n">
        <x:v>121778</x:v>
      </x:c>
      <x:c r="R507" s="38" t="n">
        <x:f>P507-Q507</x:f>
        <x:v>0</x:v>
      </x:c>
      <x:c r="S507" s="38" t="n">
        <x:v>27850</x:v>
      </x:c>
      <x:c r="T507" s="38" t="n">
        <x:v>5462</x:v>
      </x:c>
      <x:c r="U507" s="38" t="n">
        <x:v>52</x:v>
      </x:c>
      <x:c r="V507" s="38" t="n">
        <x:v>0</x:v>
      </x:c>
      <x:c r="W507" s="38" t="n">
        <x:v>0</x:v>
      </x:c>
      <x:c r="X507" s="44" t="n">
        <x:v>6.98</x:v>
      </x:c>
      <x:c r="Y507" s="38" t="n">
        <x:v>100</x:v>
      </x:c>
      <x:c r="Z507" s="38" t="n">
        <x:v>21</x:v>
      </x:c>
      <x:c r="AA507" s="38" t="n">
        <x:v>8</x:v>
      </x:c>
      <x:c r="AB507" s="38" t="n">
        <x:v>3</x:v>
      </x:c>
      <x:c r="AC507" s="38" t="n">
        <x:v>3550</x:v>
      </x:c>
      <x:c r="AD507" s="38" t="n">
        <x:v>0</x:v>
      </x:c>
      <x:c r="AE507" s="38" t="n">
        <x:f>IF(B507=1,0,F507-Q506)</x:f>
        <x:v>0</x:v>
      </x:c>
    </x:row>
    <x:row r="508" ht="27" customHeight="1">
      <x:c r="A508" s="28" t="str">
        <x:v>Light payer</x:v>
      </x:c>
      <x:c r="B508" s="38" t="n">
        <x:v>24</x:v>
      </x:c>
      <x:c r="C508" s="38" t="n">
        <x:v>19</x:v>
      </x:c>
      <x:c r="D508" s="38" t="n">
        <x:v>91410</x:v>
      </x:c>
      <x:c r="E508" s="38" t="n">
        <x:v>50</x:v>
      </x:c>
      <x:c r="F508" s="38" t="n">
        <x:v>121778</x:v>
      </x:c>
      <x:c r="G508" s="38" t="n">
        <x:v>35300</x:v>
      </x:c>
      <x:c r="H508" s="38" t="n">
        <x:v>7100</x:v>
      </x:c>
      <x:c r="I508" s="38" t="n">
        <x:v>1629</x:v>
      </x:c>
      <x:c r="J508" s="38" t="n">
        <x:v>0</x:v>
      </x:c>
      <x:c r="K508" s="38" t="n">
        <x:v>0</x:v>
      </x:c>
      <x:c r="L508" s="38" t="n">
        <x:v>0</x:v>
      </x:c>
      <x:c r="M508" s="38" t="n">
        <x:v>0</x:v>
      </x:c>
      <x:c r="N508" s="38" t="n">
        <x:v>0</x:v>
      </x:c>
      <x:c r="O508" s="38" t="n">
        <x:v>0</x:v>
      </x:c>
      <x:c r="P508" s="38" t="n">
        <x:f>F508+G508-H508+I508+J508+K508+L508-M508-N508-O508</x:f>
        <x:v>151607</x:v>
      </x:c>
      <x:c r="Q508" s="38" t="n">
        <x:v>151607</x:v>
      </x:c>
      <x:c r="R508" s="38" t="n">
        <x:f>P508-Q508</x:f>
        <x:v>0</x:v>
      </x:c>
      <x:c r="S508" s="38" t="n">
        <x:v>28200</x:v>
      </x:c>
      <x:c r="T508" s="38" t="n">
        <x:v>5466</x:v>
      </x:c>
      <x:c r="U508" s="38" t="n">
        <x:v>52</x:v>
      </x:c>
      <x:c r="V508" s="38" t="n">
        <x:v>0</x:v>
      </x:c>
      <x:c r="W508" s="38" t="n">
        <x:v>0</x:v>
      </x:c>
      <x:c r="X508" s="44" t="n">
        <x:v>6.98</x:v>
      </x:c>
      <x:c r="Y508" s="38" t="n">
        <x:v>100</x:v>
      </x:c>
      <x:c r="Z508" s="38" t="n">
        <x:v>21</x:v>
      </x:c>
      <x:c r="AA508" s="38" t="n">
        <x:v>8</x:v>
      </x:c>
      <x:c r="AB508" s="38" t="n">
        <x:v>3</x:v>
      </x:c>
      <x:c r="AC508" s="38" t="n">
        <x:v>3550</x:v>
      </x:c>
      <x:c r="AD508" s="38" t="n">
        <x:v>0</x:v>
      </x:c>
      <x:c r="AE508" s="38" t="n">
        <x:f>IF(B508=1,0,F508-Q507)</x:f>
        <x:v>0</x:v>
      </x:c>
    </x:row>
    <x:row r="509" ht="27" customHeight="1">
      <x:c r="A509" s="28" t="str">
        <x:v>Light payer</x:v>
      </x:c>
      <x:c r="B509" s="38" t="n">
        <x:v>25</x:v>
      </x:c>
      <x:c r="C509" s="38" t="n">
        <x:v>19</x:v>
      </x:c>
      <x:c r="D509" s="38" t="n">
        <x:v>96876</x:v>
      </x:c>
      <x:c r="E509" s="38" t="n">
        <x:v>50</x:v>
      </x:c>
      <x:c r="F509" s="38" t="n">
        <x:v>151607</x:v>
      </x:c>
      <x:c r="G509" s="38" t="n">
        <x:v>35300</x:v>
      </x:c>
      <x:c r="H509" s="38" t="n">
        <x:v>7100</x:v>
      </x:c>
      <x:c r="I509" s="38" t="n">
        <x:v>1629</x:v>
      </x:c>
      <x:c r="J509" s="38" t="n">
        <x:v>0</x:v>
      </x:c>
      <x:c r="K509" s="38" t="n">
        <x:v>0</x:v>
      </x:c>
      <x:c r="L509" s="38" t="n">
        <x:v>0</x:v>
      </x:c>
      <x:c r="M509" s="38" t="n">
        <x:v>0</x:v>
      </x:c>
      <x:c r="N509" s="38" t="n">
        <x:v>320</x:v>
      </x:c>
      <x:c r="O509" s="38" t="n">
        <x:v>0</x:v>
      </x:c>
      <x:c r="P509" s="38" t="n">
        <x:f>F509+G509-H509+I509+J509+K509+L509-M509-N509-O509</x:f>
        <x:v>181116</x:v>
      </x:c>
      <x:c r="Q509" s="38" t="n">
        <x:v>181116</x:v>
      </x:c>
      <x:c r="R509" s="38" t="n">
        <x:f>P509-Q509</x:f>
        <x:v>0</x:v>
      </x:c>
      <x:c r="S509" s="38" t="n">
        <x:v>28200</x:v>
      </x:c>
      <x:c r="T509" s="38" t="n">
        <x:v>5466</x:v>
      </x:c>
      <x:c r="U509" s="38" t="n">
        <x:v>52</x:v>
      </x:c>
      <x:c r="V509" s="38" t="n">
        <x:v>0</x:v>
      </x:c>
      <x:c r="W509" s="38" t="n">
        <x:v>0</x:v>
      </x:c>
      <x:c r="X509" s="44" t="n">
        <x:v>6.98</x:v>
      </x:c>
      <x:c r="Y509" s="38" t="n">
        <x:v>100</x:v>
      </x:c>
      <x:c r="Z509" s="38" t="n">
        <x:v>21</x:v>
      </x:c>
      <x:c r="AA509" s="38" t="n">
        <x:v>9</x:v>
      </x:c>
      <x:c r="AB509" s="38" t="n">
        <x:v>3</x:v>
      </x:c>
      <x:c r="AC509" s="38" t="n">
        <x:v>3550</x:v>
      </x:c>
      <x:c r="AD509" s="38" t="n">
        <x:v>0</x:v>
      </x:c>
      <x:c r="AE509" s="38" t="n">
        <x:f>IF(B509=1,0,F509-Q508)</x:f>
        <x:v>0</x:v>
      </x:c>
    </x:row>
    <x:row r="510" ht="27" customHeight="1">
      <x:c r="A510" s="28" t="str">
        <x:v>Light payer</x:v>
      </x:c>
      <x:c r="B510" s="38" t="n">
        <x:v>26</x:v>
      </x:c>
      <x:c r="C510" s="38" t="n">
        <x:v>20</x:v>
      </x:c>
      <x:c r="D510" s="38" t="n">
        <x:v>102342</x:v>
      </x:c>
      <x:c r="E510" s="38" t="n">
        <x:v>50</x:v>
      </x:c>
      <x:c r="F510" s="38" t="n">
        <x:v>181116</x:v>
      </x:c>
      <x:c r="G510" s="38" t="n">
        <x:v>35339</x:v>
      </x:c>
      <x:c r="H510" s="38" t="n">
        <x:v>7195</x:v>
      </x:c>
      <x:c r="I510" s="38" t="n">
        <x:v>1629</x:v>
      </x:c>
      <x:c r="J510" s="38" t="n">
        <x:v>415</x:v>
      </x:c>
      <x:c r="K510" s="38" t="n">
        <x:v>0</x:v>
      </x:c>
      <x:c r="L510" s="38" t="n">
        <x:v>0</x:v>
      </x:c>
      <x:c r="M510" s="38" t="n">
        <x:v>0</x:v>
      </x:c>
      <x:c r="N510" s="38" t="n">
        <x:v>0</x:v>
      </x:c>
      <x:c r="O510" s="38" t="n">
        <x:v>41740</x:v>
      </x:c>
      <x:c r="P510" s="38" t="n">
        <x:f>F510+G510-H510+I510+J510+K510+L510-M510-N510-O510</x:f>
        <x:v>169564</x:v>
      </x:c>
      <x:c r="Q510" s="38" t="n">
        <x:v>169564</x:v>
      </x:c>
      <x:c r="R510" s="38" t="n">
        <x:f>P510-Q510</x:f>
        <x:v>0</x:v>
      </x:c>
      <x:c r="S510" s="38" t="n">
        <x:v>28261</x:v>
      </x:c>
      <x:c r="T510" s="38" t="n">
        <x:v>5466</x:v>
      </x:c>
      <x:c r="U510" s="38" t="n">
        <x:v>55</x:v>
      </x:c>
      <x:c r="V510" s="38" t="n">
        <x:v>3</x:v>
      </x:c>
      <x:c r="W510" s="38" t="n">
        <x:v>0</x:v>
      </x:c>
      <x:c r="X510" s="44" t="n">
        <x:v>6.98</x:v>
      </x:c>
      <x:c r="Y510" s="38" t="n">
        <x:v>99</x:v>
      </x:c>
      <x:c r="Z510" s="38" t="n">
        <x:v>21</x:v>
      </x:c>
      <x:c r="AA510" s="38" t="n">
        <x:v>9</x:v>
      </x:c>
      <x:c r="AB510" s="38" t="n">
        <x:v>4</x:v>
      </x:c>
      <x:c r="AC510" s="38" t="n">
        <x:v>3667</x:v>
      </x:c>
      <x:c r="AD510" s="38" t="n">
        <x:v>0</x:v>
      </x:c>
      <x:c r="AE510" s="38" t="n">
        <x:f>IF(B510=1,0,F510-Q509)</x:f>
        <x:v>0</x:v>
      </x:c>
    </x:row>
    <x:row r="511" ht="27" customHeight="1">
      <x:c r="A511" s="28" t="str">
        <x:v>Light payer</x:v>
      </x:c>
      <x:c r="B511" s="38" t="n">
        <x:v>27</x:v>
      </x:c>
      <x:c r="C511" s="38" t="n">
        <x:v>20</x:v>
      </x:c>
      <x:c r="D511" s="38" t="n">
        <x:v>107958</x:v>
      </x:c>
      <x:c r="E511" s="38" t="n">
        <x:v>50</x:v>
      </x:c>
      <x:c r="F511" s="38" t="n">
        <x:v>169564</x:v>
      </x:c>
      <x:c r="G511" s="38" t="n">
        <x:v>36435</x:v>
      </x:c>
      <x:c r="H511" s="38" t="n">
        <x:v>7200</x:v>
      </x:c>
      <x:c r="I511" s="38" t="n">
        <x:v>1670</x:v>
      </x:c>
      <x:c r="J511" s="38" t="n">
        <x:v>0</x:v>
      </x:c>
      <x:c r="K511" s="38" t="n">
        <x:v>0</x:v>
      </x:c>
      <x:c r="L511" s="38" t="n">
        <x:v>0</x:v>
      </x:c>
      <x:c r="M511" s="38" t="n">
        <x:v>0</x:v>
      </x:c>
      <x:c r="N511" s="38" t="n">
        <x:v>0</x:v>
      </x:c>
      <x:c r="O511" s="38" t="n">
        <x:v>0</x:v>
      </x:c>
      <x:c r="P511" s="38" t="n">
        <x:f>F511+G511-H511+I511+J511+K511+L511-M511-N511-O511</x:f>
        <x:v>200469</x:v>
      </x:c>
      <x:c r="Q511" s="38" t="n">
        <x:v>200469</x:v>
      </x:c>
      <x:c r="R511" s="38" t="n">
        <x:f>P511-Q511</x:f>
        <x:v>0</x:v>
      </x:c>
      <x:c r="S511" s="38" t="n">
        <x:v>29168</x:v>
      </x:c>
      <x:c r="T511" s="38" t="n">
        <x:v>5616</x:v>
      </x:c>
      <x:c r="U511" s="38" t="n">
        <x:v>55</x:v>
      </x:c>
      <x:c r="V511" s="38" t="n">
        <x:v>0</x:v>
      </x:c>
      <x:c r="W511" s="38" t="n">
        <x:v>0</x:v>
      </x:c>
      <x:c r="X511" s="44" t="n">
        <x:v>6.98</x:v>
      </x:c>
      <x:c r="Y511" s="38" t="n">
        <x:v>100</x:v>
      </x:c>
      <x:c r="Z511" s="38" t="n">
        <x:v>22</x:v>
      </x:c>
      <x:c r="AA511" s="38" t="n">
        <x:v>9</x:v>
      </x:c>
      <x:c r="AB511" s="38" t="n">
        <x:v>4</x:v>
      </x:c>
      <x:c r="AC511" s="38" t="n">
        <x:v>3600</x:v>
      </x:c>
      <x:c r="AD511" s="38" t="n">
        <x:v>0</x:v>
      </x:c>
      <x:c r="AE511" s="38" t="n">
        <x:f>IF(B511=1,0,F511-Q510)</x:f>
        <x:v>0</x:v>
      </x:c>
    </x:row>
    <x:row r="512" ht="27" customHeight="1">
      <x:c r="A512" s="28" t="str">
        <x:v>Light payer</x:v>
      </x:c>
      <x:c r="B512" s="38" t="n">
        <x:v>28</x:v>
      </x:c>
      <x:c r="C512" s="38" t="n">
        <x:v>21</x:v>
      </x:c>
      <x:c r="D512" s="38" t="n">
        <x:v>116587</x:v>
      </x:c>
      <x:c r="E512" s="38" t="n">
        <x:v>55</x:v>
      </x:c>
      <x:c r="F512" s="38" t="n">
        <x:v>200469</x:v>
      </x:c>
      <x:c r="G512" s="38" t="n">
        <x:v>38400</x:v>
      </x:c>
      <x:c r="H512" s="38" t="n">
        <x:v>8140</x:v>
      </x:c>
      <x:c r="I512" s="38" t="n">
        <x:v>9613</x:v>
      </x:c>
      <x:c r="J512" s="38" t="n">
        <x:v>470</x:v>
      </x:c>
      <x:c r="K512" s="38" t="n">
        <x:v>0</x:v>
      </x:c>
      <x:c r="L512" s="38" t="n">
        <x:v>0</x:v>
      </x:c>
      <x:c r="M512" s="38" t="n">
        <x:v>200000</x:v>
      </x:c>
      <x:c r="N512" s="38" t="n">
        <x:v>320</x:v>
      </x:c>
      <x:c r="O512" s="38" t="n">
        <x:v>0</x:v>
      </x:c>
      <x:c r="P512" s="38" t="n">
        <x:f>F512+G512-H512+I512+J512+K512+L512-M512-N512-O512</x:f>
        <x:v>40492</x:v>
      </x:c>
      <x:c r="Q512" s="38" t="n">
        <x:v>40492</x:v>
      </x:c>
      <x:c r="R512" s="38" t="n">
        <x:f>P512-Q512</x:f>
        <x:v>0</x:v>
      </x:c>
      <x:c r="S512" s="38" t="n">
        <x:v>30730</x:v>
      </x:c>
      <x:c r="T512" s="38" t="n">
        <x:v>8629</x:v>
      </x:c>
      <x:c r="U512" s="38" t="n">
        <x:v>57</x:v>
      </x:c>
      <x:c r="V512" s="38" t="n">
        <x:v>2</x:v>
      </x:c>
      <x:c r="W512" s="38" t="n">
        <x:v>0</x:v>
      </x:c>
      <x:c r="X512" s="44" t="n">
        <x:v>6.98</x:v>
      </x:c>
      <x:c r="Y512" s="38" t="n">
        <x:v>105</x:v>
      </x:c>
      <x:c r="Z512" s="38" t="n">
        <x:v>22</x:v>
      </x:c>
      <x:c r="AA512" s="38" t="n">
        <x:v>10</x:v>
      </x:c>
      <x:c r="AB512" s="38" t="n">
        <x:v>4</x:v>
      </x:c>
      <x:c r="AC512" s="38" t="n">
        <x:v>4070</x:v>
      </x:c>
      <x:c r="AD512" s="38" t="n">
        <x:v>0</x:v>
      </x:c>
      <x:c r="AE512" s="38" t="n">
        <x:f>IF(B512=1,0,F512-Q511)</x:f>
        <x:v>0</x:v>
      </x:c>
    </x:row>
    <x:row r="513" ht="27" customHeight="1">
      <x:c r="A513" s="28" t="str">
        <x:v>Light payer</x:v>
      </x:c>
      <x:c r="B513" s="38" t="n">
        <x:v>29</x:v>
      </x:c>
      <x:c r="C513" s="38" t="n">
        <x:v>21</x:v>
      </x:c>
      <x:c r="D513" s="38" t="n">
        <x:v>122721</x:v>
      </x:c>
      <x:c r="E513" s="38" t="n">
        <x:v>55</x:v>
      </x:c>
      <x:c r="F513" s="38" t="n">
        <x:v>40492</x:v>
      </x:c>
      <x:c r="G513" s="38" t="n">
        <x:v>40700</x:v>
      </x:c>
      <x:c r="H513" s="38" t="n">
        <x:v>8140</x:v>
      </x:c>
      <x:c r="I513" s="38" t="n">
        <x:v>1881</x:v>
      </x:c>
      <x:c r="J513" s="38" t="n">
        <x:v>0</x:v>
      </x:c>
      <x:c r="K513" s="38" t="n">
        <x:v>0</x:v>
      </x:c>
      <x:c r="L513" s="38" t="n">
        <x:v>0</x:v>
      </x:c>
      <x:c r="M513" s="38" t="n">
        <x:v>0</x:v>
      </x:c>
      <x:c r="N513" s="38" t="n">
        <x:v>0</x:v>
      </x:c>
      <x:c r="O513" s="38" t="n">
        <x:v>0</x:v>
      </x:c>
      <x:c r="P513" s="38" t="n">
        <x:f>F513+G513-H513+I513+J513+K513+L513-M513-N513-O513</x:f>
        <x:v>74933</x:v>
      </x:c>
      <x:c r="Q513" s="38" t="n">
        <x:v>74933</x:v>
      </x:c>
      <x:c r="R513" s="38" t="n">
        <x:f>P513-Q513</x:f>
        <x:v>0</x:v>
      </x:c>
      <x:c r="S513" s="38" t="n">
        <x:v>32560</x:v>
      </x:c>
      <x:c r="T513" s="38" t="n">
        <x:v>6134</x:v>
      </x:c>
      <x:c r="U513" s="38" t="n">
        <x:v>57</x:v>
      </x:c>
      <x:c r="V513" s="38" t="n">
        <x:v>0</x:v>
      </x:c>
      <x:c r="W513" s="38" t="n">
        <x:v>0</x:v>
      </x:c>
      <x:c r="X513" s="44" t="n">
        <x:v>6.98</x:v>
      </x:c>
      <x:c r="Y513" s="38" t="n">
        <x:v>110</x:v>
      </x:c>
      <x:c r="Z513" s="38" t="n">
        <x:v>22</x:v>
      </x:c>
      <x:c r="AA513" s="38" t="n">
        <x:v>10</x:v>
      </x:c>
      <x:c r="AB513" s="38" t="n">
        <x:v>4</x:v>
      </x:c>
      <x:c r="AC513" s="38" t="n">
        <x:v>4070</x:v>
      </x:c>
      <x:c r="AD513" s="38" t="n">
        <x:v>0</x:v>
      </x:c>
      <x:c r="AE513" s="38" t="n">
        <x:f>IF(B513=1,0,F513-Q512)</x:f>
        <x:v>0</x:v>
      </x:c>
    </x:row>
    <x:row r="514" ht="27" customHeight="1">
      <x:c r="A514" s="28" t="str">
        <x:v>Light payer</x:v>
      </x:c>
      <x:c r="B514" s="38" t="n">
        <x:v>30</x:v>
      </x:c>
      <x:c r="C514" s="38" t="n">
        <x:v>22</x:v>
      </x:c>
      <x:c r="D514" s="38" t="n">
        <x:v>128805</x:v>
      </x:c>
      <x:c r="E514" s="38" t="n">
        <x:v>55</x:v>
      </x:c>
      <x:c r="F514" s="38" t="n">
        <x:v>74933</x:v>
      </x:c>
      <x:c r="G514" s="38" t="n">
        <x:v>40816</x:v>
      </x:c>
      <x:c r="H514" s="38" t="n">
        <x:v>8369</x:v>
      </x:c>
      <x:c r="I514" s="38" t="n">
        <x:v>1881</x:v>
      </x:c>
      <x:c r="J514" s="38" t="n">
        <x:v>480</x:v>
      </x:c>
      <x:c r="K514" s="38" t="n">
        <x:v>0</x:v>
      </x:c>
      <x:c r="L514" s="38" t="n">
        <x:v>0</x:v>
      </x:c>
      <x:c r="M514" s="38" t="n">
        <x:v>0</x:v>
      </x:c>
      <x:c r="N514" s="38" t="n">
        <x:v>0</x:v>
      </x:c>
      <x:c r="O514" s="38" t="n">
        <x:v>0</x:v>
      </x:c>
      <x:c r="P514" s="38" t="n">
        <x:f>F514+G514-H514+I514+J514+K514+L514-M514-N514-O514</x:f>
        <x:v>109741</x:v>
      </x:c>
      <x:c r="Q514" s="38" t="n">
        <x:v>109741</x:v>
      </x:c>
      <x:c r="R514" s="38" t="n">
        <x:f>P514-Q514</x:f>
        <x:v>0</x:v>
      </x:c>
      <x:c r="S514" s="38" t="n">
        <x:v>32642</x:v>
      </x:c>
      <x:c r="T514" s="38" t="n">
        <x:v>6084</x:v>
      </x:c>
      <x:c r="U514" s="38" t="n">
        <x:v>58</x:v>
      </x:c>
      <x:c r="V514" s="38" t="n">
        <x:v>1</x:v>
      </x:c>
      <x:c r="W514" s="38" t="n">
        <x:v>0</x:v>
      </x:c>
      <x:c r="X514" s="44" t="n">
        <x:v>6.98</x:v>
      </x:c>
      <x:c r="Y514" s="38" t="n">
        <x:v>109</x:v>
      </x:c>
      <x:c r="Z514" s="38" t="n">
        <x:v>22</x:v>
      </x:c>
      <x:c r="AA514" s="38" t="n">
        <x:v>10</x:v>
      </x:c>
      <x:c r="AB514" s="38" t="n">
        <x:v>4</x:v>
      </x:c>
      <x:c r="AC514" s="38" t="n">
        <x:v>4265</x:v>
      </x:c>
      <x:c r="AD514" s="38" t="n">
        <x:v>0</x:v>
      </x:c>
      <x:c r="AE514" s="38" t="n">
        <x:f>IF(B514=1,0,F514-Q513)</x:f>
        <x:v>0</x:v>
      </x:c>
    </x:row>
    <x:row r="515" ht="27" customHeight="1">
      <x:c r="A515" s="28" t="str">
        <x:v>Light payer</x:v>
      </x:c>
      <x:c r="B515" s="38" t="n">
        <x:v>31</x:v>
      </x:c>
      <x:c r="C515" s="38" t="n">
        <x:v>22</x:v>
      </x:c>
      <x:c r="D515" s="38" t="n">
        <x:v>134981</x:v>
      </x:c>
      <x:c r="E515" s="38" t="n">
        <x:v>55</x:v>
      </x:c>
      <x:c r="F515" s="38" t="n">
        <x:v>109741</x:v>
      </x:c>
      <x:c r="G515" s="38" t="n">
        <x:v>42114</x:v>
      </x:c>
      <x:c r="H515" s="38" t="n">
        <x:v>8360</x:v>
      </x:c>
      <x:c r="I515" s="38" t="n">
        <x:v>1926</x:v>
      </x:c>
      <x:c r="J515" s="38" t="n">
        <x:v>0</x:v>
      </x:c>
      <x:c r="K515" s="38" t="n">
        <x:v>0</x:v>
      </x:c>
      <x:c r="L515" s="38" t="n">
        <x:v>0</x:v>
      </x:c>
      <x:c r="M515" s="38" t="n">
        <x:v>0</x:v>
      </x:c>
      <x:c r="N515" s="38" t="n">
        <x:v>330</x:v>
      </x:c>
      <x:c r="O515" s="38" t="n">
        <x:v>0</x:v>
      </x:c>
      <x:c r="P515" s="38" t="n">
        <x:f>F515+G515-H515+I515+J515+K515+L515-M515-N515-O515</x:f>
        <x:v>145091</x:v>
      </x:c>
      <x:c r="Q515" s="38" t="n">
        <x:v>145091</x:v>
      </x:c>
      <x:c r="R515" s="38" t="n">
        <x:f>P515-Q515</x:f>
        <x:v>0</x:v>
      </x:c>
      <x:c r="S515" s="38" t="n">
        <x:v>33669</x:v>
      </x:c>
      <x:c r="T515" s="38" t="n">
        <x:v>6176</x:v>
      </x:c>
      <x:c r="U515" s="38" t="n">
        <x:v>58</x:v>
      </x:c>
      <x:c r="V515" s="38" t="n">
        <x:v>0</x:v>
      </x:c>
      <x:c r="W515" s="38" t="n">
        <x:v>0</x:v>
      </x:c>
      <x:c r="X515" s="44" t="n">
        <x:v>6.98</x:v>
      </x:c>
      <x:c r="Y515" s="38" t="n">
        <x:v>110</x:v>
      </x:c>
      <x:c r="Z515" s="38" t="n">
        <x:v>23</x:v>
      </x:c>
      <x:c r="AA515" s="38" t="n">
        <x:v>11</x:v>
      </x:c>
      <x:c r="AB515" s="38" t="n">
        <x:v>4</x:v>
      </x:c>
      <x:c r="AC515" s="38" t="n">
        <x:v>4180</x:v>
      </x:c>
      <x:c r="AD515" s="38" t="n">
        <x:v>0</x:v>
      </x:c>
      <x:c r="AE515" s="38" t="n">
        <x:f>IF(B515=1,0,F515-Q514)</x:f>
        <x:v>0</x:v>
      </x:c>
    </x:row>
    <x:row r="516" ht="27" customHeight="1">
      <x:c r="A516" s="28" t="str">
        <x:v>Light payer</x:v>
      </x:c>
      <x:c r="B516" s="38" t="n">
        <x:v>32</x:v>
      </x:c>
      <x:c r="C516" s="38" t="n">
        <x:v>23</x:v>
      </x:c>
      <x:c r="D516" s="38" t="n">
        <x:v>141120</x:v>
      </x:c>
      <x:c r="E516" s="38" t="n">
        <x:v>55</x:v>
      </x:c>
      <x:c r="F516" s="38" t="n">
        <x:v>145091</x:v>
      </x:c>
      <x:c r="G516" s="38" t="n">
        <x:v>41690</x:v>
      </x:c>
      <x:c r="H516" s="38" t="n">
        <x:v>8541</x:v>
      </x:c>
      <x:c r="I516" s="38" t="n">
        <x:v>1926</x:v>
      </x:c>
      <x:c r="J516" s="38" t="n">
        <x:v>495</x:v>
      </x:c>
      <x:c r="K516" s="38" t="n">
        <x:v>0</x:v>
      </x:c>
      <x:c r="L516" s="38" t="n">
        <x:v>0</x:v>
      </x:c>
      <x:c r="M516" s="38" t="n">
        <x:v>0</x:v>
      </x:c>
      <x:c r="N516" s="38" t="n">
        <x:v>0</x:v>
      </x:c>
      <x:c r="O516" s="38" t="n">
        <x:v>0</x:v>
      </x:c>
      <x:c r="P516" s="38" t="n">
        <x:f>F516+G516-H516+I516+J516+K516+L516-M516-N516-O516</x:f>
        <x:v>180661</x:v>
      </x:c>
      <x:c r="Q516" s="38" t="n">
        <x:v>180661</x:v>
      </x:c>
      <x:c r="R516" s="38" t="n">
        <x:f>P516-Q516</x:f>
        <x:v>0</x:v>
      </x:c>
      <x:c r="S516" s="38" t="n">
        <x:v>33330</x:v>
      </x:c>
      <x:c r="T516" s="38" t="n">
        <x:v>6139</x:v>
      </x:c>
      <x:c r="U516" s="38" t="n">
        <x:v>58</x:v>
      </x:c>
      <x:c r="V516" s="38" t="n">
        <x:v>0</x:v>
      </x:c>
      <x:c r="W516" s="38" t="n">
        <x:v>0</x:v>
      </x:c>
      <x:c r="X516" s="44" t="n">
        <x:v>6.98</x:v>
      </x:c>
      <x:c r="Y516" s="38" t="n">
        <x:v>110</x:v>
      </x:c>
      <x:c r="Z516" s="38" t="n">
        <x:v>23</x:v>
      </x:c>
      <x:c r="AA516" s="38" t="n">
        <x:v>11</x:v>
      </x:c>
      <x:c r="AB516" s="38" t="n">
        <x:v>4</x:v>
      </x:c>
      <x:c r="AC516" s="38" t="n">
        <x:v>4361</x:v>
      </x:c>
      <x:c r="AD516" s="38" t="n">
        <x:v>0</x:v>
      </x:c>
      <x:c r="AE516" s="38" t="n">
        <x:f>IF(B516=1,0,F516-Q515)</x:f>
        <x:v>0</x:v>
      </x:c>
    </x:row>
    <x:row r="517" ht="27" customHeight="1">
      <x:c r="A517" s="28" t="str">
        <x:v>Light payer</x:v>
      </x:c>
      <x:c r="B517" s="38" t="n">
        <x:v>33</x:v>
      </x:c>
      <x:c r="C517" s="38" t="n">
        <x:v>23</x:v>
      </x:c>
      <x:c r="D517" s="38" t="n">
        <x:v>147370</x:v>
      </x:c>
      <x:c r="E517" s="38" t="n">
        <x:v>55</x:v>
      </x:c>
      <x:c r="F517" s="38" t="n">
        <x:v>180661</x:v>
      </x:c>
      <x:c r="G517" s="38" t="n">
        <x:v>42650</x:v>
      </x:c>
      <x:c r="H517" s="38" t="n">
        <x:v>8502</x:v>
      </x:c>
      <x:c r="I517" s="38" t="n">
        <x:v>1970</x:v>
      </x:c>
      <x:c r="J517" s="38" t="n">
        <x:v>0</x:v>
      </x:c>
      <x:c r="K517" s="38" t="n">
        <x:v>0</x:v>
      </x:c>
      <x:c r="L517" s="38" t="n">
        <x:v>0</x:v>
      </x:c>
      <x:c r="M517" s="38" t="n">
        <x:v>0</x:v>
      </x:c>
      <x:c r="N517" s="38" t="n">
        <x:v>0</x:v>
      </x:c>
      <x:c r="O517" s="38" t="n">
        <x:v>0</x:v>
      </x:c>
      <x:c r="P517" s="38" t="n">
        <x:f>F517+G517-H517+I517+J517+K517+L517-M517-N517-O517</x:f>
        <x:v>216779</x:v>
      </x:c>
      <x:c r="Q517" s="38" t="n">
        <x:v>216779</x:v>
      </x:c>
      <x:c r="R517" s="38" t="n">
        <x:f>P517-Q517</x:f>
        <x:v>0</x:v>
      </x:c>
      <x:c r="S517" s="38" t="n">
        <x:v>34077</x:v>
      </x:c>
      <x:c r="T517" s="38" t="n">
        <x:v>6250</x:v>
      </x:c>
      <x:c r="U517" s="38" t="n">
        <x:v>58</x:v>
      </x:c>
      <x:c r="V517" s="38" t="n">
        <x:v>0</x:v>
      </x:c>
      <x:c r="W517" s="38" t="n">
        <x:v>0</x:v>
      </x:c>
      <x:c r="X517" s="44" t="n">
        <x:v>6.98</x:v>
      </x:c>
      <x:c r="Y517" s="38" t="n">
        <x:v>109</x:v>
      </x:c>
      <x:c r="Z517" s="38" t="n">
        <x:v>24</x:v>
      </x:c>
      <x:c r="AA517" s="38" t="n">
        <x:v>11</x:v>
      </x:c>
      <x:c r="AB517" s="38" t="n">
        <x:v>4</x:v>
      </x:c>
      <x:c r="AC517" s="38" t="n">
        <x:v>4290</x:v>
      </x:c>
      <x:c r="AD517" s="38" t="n">
        <x:v>0</x:v>
      </x:c>
      <x:c r="AE517" s="38" t="n">
        <x:f>IF(B517=1,0,F517-Q516)</x:f>
        <x:v>0</x:v>
      </x:c>
    </x:row>
    <x:row r="518" ht="27" customHeight="1">
      <x:c r="A518" s="28" t="str">
        <x:v>Light payer</x:v>
      </x:c>
      <x:c r="B518" s="38" t="n">
        <x:v>34</x:v>
      </x:c>
      <x:c r="C518" s="38" t="n">
        <x:v>23</x:v>
      </x:c>
      <x:c r="D518" s="38" t="n">
        <x:v>153624</x:v>
      </x:c>
      <x:c r="E518" s="38" t="n">
        <x:v>55</x:v>
      </x:c>
      <x:c r="F518" s="38" t="n">
        <x:v>216779</x:v>
      </x:c>
      <x:c r="G518" s="38" t="n">
        <x:v>42680</x:v>
      </x:c>
      <x:c r="H518" s="38" t="n">
        <x:v>8580</x:v>
      </x:c>
      <x:c r="I518" s="38" t="n">
        <x:v>1970</x:v>
      </x:c>
      <x:c r="J518" s="38" t="n">
        <x:v>0</x:v>
      </x:c>
      <x:c r="K518" s="38" t="n">
        <x:v>0</x:v>
      </x:c>
      <x:c r="L518" s="38" t="n">
        <x:v>0</x:v>
      </x:c>
      <x:c r="M518" s="38" t="n">
        <x:v>0</x:v>
      </x:c>
      <x:c r="N518" s="38" t="n">
        <x:v>330</x:v>
      </x:c>
      <x:c r="O518" s="38" t="n">
        <x:v>0</x:v>
      </x:c>
      <x:c r="P518" s="38" t="n">
        <x:f>F518+G518-H518+I518+J518+K518+L518-M518-N518-O518</x:f>
        <x:v>252519</x:v>
      </x:c>
      <x:c r="Q518" s="38" t="n">
        <x:v>252519</x:v>
      </x:c>
      <x:c r="R518" s="38" t="n">
        <x:f>P518-Q518</x:f>
        <x:v>0</x:v>
      </x:c>
      <x:c r="S518" s="38" t="n">
        <x:v>34100</x:v>
      </x:c>
      <x:c r="T518" s="38" t="n">
        <x:v>6254</x:v>
      </x:c>
      <x:c r="U518" s="38" t="n">
        <x:v>58</x:v>
      </x:c>
      <x:c r="V518" s="38" t="n">
        <x:v>0</x:v>
      </x:c>
      <x:c r="W518" s="38" t="n">
        <x:v>0</x:v>
      </x:c>
      <x:c r="X518" s="44" t="n">
        <x:v>6.98</x:v>
      </x:c>
      <x:c r="Y518" s="38" t="n">
        <x:v>110</x:v>
      </x:c>
      <x:c r="Z518" s="38" t="n">
        <x:v>24</x:v>
      </x:c>
      <x:c r="AA518" s="38" t="n">
        <x:v>12</x:v>
      </x:c>
      <x:c r="AB518" s="38" t="n">
        <x:v>4</x:v>
      </x:c>
      <x:c r="AC518" s="38" t="n">
        <x:v>4290</x:v>
      </x:c>
      <x:c r="AD518" s="38" t="n">
        <x:v>0</x:v>
      </x:c>
      <x:c r="AE518" s="38" t="n">
        <x:f>IF(B518=1,0,F518-Q517)</x:f>
        <x:v>0</x:v>
      </x:c>
    </x:row>
    <x:row r="519" ht="27" customHeight="1">
      <x:c r="A519" s="28" t="str">
        <x:v>Light payer</x:v>
      </x:c>
      <x:c r="B519" s="38" t="n">
        <x:v>35</x:v>
      </x:c>
      <x:c r="C519" s="38" t="n">
        <x:v>24</x:v>
      </x:c>
      <x:c r="D519" s="38" t="n">
        <x:v>162995</x:v>
      </x:c>
      <x:c r="E519" s="38" t="n">
        <x:v>55</x:v>
      </x:c>
      <x:c r="F519" s="38" t="n">
        <x:v>252519</x:v>
      </x:c>
      <x:c r="G519" s="38" t="n">
        <x:v>42724</x:v>
      </x:c>
      <x:c r="H519" s="38" t="n">
        <x:v>8841</x:v>
      </x:c>
      <x:c r="I519" s="38" t="n">
        <x:v>11375</x:v>
      </x:c>
      <x:c r="J519" s="38" t="n">
        <x:v>505</x:v>
      </x:c>
      <x:c r="K519" s="38" t="n">
        <x:v>0</x:v>
      </x:c>
      <x:c r="L519" s="38" t="n">
        <x:v>0</x:v>
      </x:c>
      <x:c r="M519" s="38" t="n">
        <x:v>0</x:v>
      </x:c>
      <x:c r="N519" s="38" t="n">
        <x:v>0</x:v>
      </x:c>
      <x:c r="O519" s="38" t="n">
        <x:v>0</x:v>
      </x:c>
      <x:c r="P519" s="38" t="n">
        <x:f>F519+G519-H519+I519+J519+K519+L519-M519-N519-O519</x:f>
        <x:v>298282</x:v>
      </x:c>
      <x:c r="Q519" s="38" t="n">
        <x:v>298282</x:v>
      </x:c>
      <x:c r="R519" s="38" t="n">
        <x:f>P519-Q519</x:f>
        <x:v>0</x:v>
      </x:c>
      <x:c r="S519" s="38" t="n">
        <x:v>34168</x:v>
      </x:c>
      <x:c r="T519" s="38" t="n">
        <x:v>9371</x:v>
      </x:c>
      <x:c r="U519" s="38" t="n">
        <x:v>61</x:v>
      </x:c>
      <x:c r="V519" s="38" t="n">
        <x:v>3</x:v>
      </x:c>
      <x:c r="W519" s="38" t="n">
        <x:v>0</x:v>
      </x:c>
      <x:c r="X519" s="44" t="n">
        <x:v>6.98</x:v>
      </x:c>
      <x:c r="Y519" s="38" t="n">
        <x:v>109</x:v>
      </x:c>
      <x:c r="Z519" s="38" t="n">
        <x:v>24</x:v>
      </x:c>
      <x:c r="AA519" s="38" t="n">
        <x:v>12</x:v>
      </x:c>
      <x:c r="AB519" s="38" t="n">
        <x:v>4</x:v>
      </x:c>
      <x:c r="AC519" s="38" t="n">
        <x:v>4575</x:v>
      </x:c>
      <x:c r="AD519" s="38" t="n">
        <x:v>0</x:v>
      </x:c>
      <x:c r="AE519" s="38" t="n">
        <x:f>IF(B519=1,0,F519-Q518)</x:f>
        <x:v>0</x:v>
      </x:c>
    </x:row>
    <x:row r="520" ht="27" customHeight="1">
      <x:c r="A520" s="28" t="str">
        <x:v>Light payer</x:v>
      </x:c>
      <x:c r="B520" s="38" t="n">
        <x:v>36</x:v>
      </x:c>
      <x:c r="C520" s="38" t="n">
        <x:v>24</x:v>
      </x:c>
      <x:c r="D520" s="38" t="n">
        <x:v>169152</x:v>
      </x:c>
      <x:c r="E520" s="38" t="n">
        <x:v>55</x:v>
      </x:c>
      <x:c r="F520" s="38" t="n">
        <x:v>298282</x:v>
      </x:c>
      <x:c r="G520" s="38" t="n">
        <x:v>42768</x:v>
      </x:c>
      <x:c r="H520" s="38" t="n">
        <x:v>8532</x:v>
      </x:c>
      <x:c r="I520" s="38" t="n">
        <x:v>2015</x:v>
      </x:c>
      <x:c r="J520" s="38" t="n">
        <x:v>0</x:v>
      </x:c>
      <x:c r="K520" s="38" t="n">
        <x:v>0</x:v>
      </x:c>
      <x:c r="L520" s="38" t="n">
        <x:v>0</x:v>
      </x:c>
      <x:c r="M520" s="38" t="n">
        <x:v>0</x:v>
      </x:c>
      <x:c r="N520" s="38" t="n">
        <x:v>0</x:v>
      </x:c>
      <x:c r="O520" s="38" t="n">
        <x:v>0</x:v>
      </x:c>
      <x:c r="P520" s="38" t="n">
        <x:f>F520+G520-H520+I520+J520+K520+L520-M520-N520-O520</x:f>
        <x:v>334533</x:v>
      </x:c>
      <x:c r="Q520" s="38" t="n">
        <x:v>334533</x:v>
      </x:c>
      <x:c r="R520" s="38" t="n">
        <x:f>P520-Q520</x:f>
        <x:v>0</x:v>
      </x:c>
      <x:c r="S520" s="38" t="n">
        <x:v>34236</x:v>
      </x:c>
      <x:c r="T520" s="38" t="n">
        <x:v>6157</x:v>
      </x:c>
      <x:c r="U520" s="38" t="n">
        <x:v>61</x:v>
      </x:c>
      <x:c r="V520" s="38" t="n">
        <x:v>0</x:v>
      </x:c>
      <x:c r="W520" s="38" t="n">
        <x:v>0</x:v>
      </x:c>
      <x:c r="X520" s="44" t="n">
        <x:v>6.98</x:v>
      </x:c>
      <x:c r="Y520" s="38" t="n">
        <x:v>108</x:v>
      </x:c>
      <x:c r="Z520" s="38" t="n">
        <x:v>24</x:v>
      </x:c>
      <x:c r="AA520" s="38" t="n">
        <x:v>12</x:v>
      </x:c>
      <x:c r="AB520" s="38" t="n">
        <x:v>4</x:v>
      </x:c>
      <x:c r="AC520" s="38" t="n">
        <x:v>4575</x:v>
      </x:c>
      <x:c r="AD520" s="38" t="n">
        <x:v>0</x:v>
      </x:c>
      <x:c r="AE520" s="38" t="n">
        <x:f>IF(B520=1,0,F520-Q519)</x:f>
        <x:v>0</x:v>
      </x:c>
    </x:row>
    <x:row r="521" ht="27" customHeight="1">
      <x:c r="A521" s="28" t="str">
        <x:v>Light payer</x:v>
      </x:c>
      <x:c r="B521" s="38" t="n">
        <x:v>37</x:v>
      </x:c>
      <x:c r="C521" s="38" t="n">
        <x:v>25</x:v>
      </x:c>
      <x:c r="D521" s="38" t="n">
        <x:v>175559</x:v>
      </x:c>
      <x:c r="E521" s="38" t="n">
        <x:v>65</x:v>
      </x:c>
      <x:c r="F521" s="38" t="n">
        <x:v>334533</x:v>
      </x:c>
      <x:c r="G521" s="38" t="n">
        <x:v>44709</x:v>
      </x:c>
      <x:c r="H521" s="38" t="n">
        <x:v>9549</x:v>
      </x:c>
      <x:c r="I521" s="38" t="n">
        <x:v>2015</x:v>
      </x:c>
      <x:c r="J521" s="38" t="n">
        <x:v>610</x:v>
      </x:c>
      <x:c r="K521" s="38" t="n">
        <x:v>0</x:v>
      </x:c>
      <x:c r="L521" s="38" t="n">
        <x:v>0</x:v>
      </x:c>
      <x:c r="M521" s="38" t="n">
        <x:v>300000</x:v>
      </x:c>
      <x:c r="N521" s="38" t="n">
        <x:v>570</x:v>
      </x:c>
      <x:c r="O521" s="38" t="n">
        <x:v>25922</x:v>
      </x:c>
      <x:c r="P521" s="38" t="n">
        <x:f>F521+G521-H521+I521+J521+K521+L521-M521-N521-O521</x:f>
        <x:v>45826</x:v>
      </x:c>
      <x:c r="Q521" s="38" t="n">
        <x:v>45826</x:v>
      </x:c>
      <x:c r="R521" s="38" t="n">
        <x:f>P521-Q521</x:f>
        <x:v>0</x:v>
      </x:c>
      <x:c r="S521" s="38" t="n">
        <x:v>35789</x:v>
      </x:c>
      <x:c r="T521" s="38" t="n">
        <x:v>6407</x:v>
      </x:c>
      <x:c r="U521" s="38" t="n">
        <x:v>66</x:v>
      </x:c>
      <x:c r="V521" s="38" t="n">
        <x:v>5</x:v>
      </x:c>
      <x:c r="W521" s="38" t="n">
        <x:v>0</x:v>
      </x:c>
      <x:c r="X521" s="44" t="n">
        <x:v>6.98</x:v>
      </x:c>
      <x:c r="Y521" s="38" t="n">
        <x:v>110</x:v>
      </x:c>
      <x:c r="Z521" s="38" t="n">
        <x:v>25</x:v>
      </x:c>
      <x:c r="AA521" s="38" t="n">
        <x:v>13</x:v>
      </x:c>
      <x:c r="AB521" s="38" t="n">
        <x:v>4</x:v>
      </x:c>
      <x:c r="AC521" s="38" t="n">
        <x:v>5204</x:v>
      </x:c>
      <x:c r="AD521" s="38" t="n">
        <x:v>0</x:v>
      </x:c>
      <x:c r="AE521" s="38" t="n">
        <x:f>IF(B521=1,0,F521-Q520)</x:f>
        <x:v>0</x:v>
      </x:c>
    </x:row>
    <x:row r="522" ht="27" customHeight="1">
      <x:c r="A522" s="28" t="str">
        <x:v>Light payer</x:v>
      </x:c>
      <x:c r="B522" s="38" t="n">
        <x:v>38</x:v>
      </x:c>
      <x:c r="C522" s="38" t="n">
        <x:v>25</x:v>
      </x:c>
      <x:c r="D522" s="38" t="n">
        <x:v>183054</x:v>
      </x:c>
      <x:c r="E522" s="38" t="n">
        <x:v>65</x:v>
      </x:c>
      <x:c r="F522" s="38" t="n">
        <x:v>45826</x:v>
      </x:c>
      <x:c r="G522" s="38" t="n">
        <x:v>52346</x:v>
      </x:c>
      <x:c r="H522" s="38" t="n">
        <x:v>10530</x:v>
      </x:c>
      <x:c r="I522" s="38" t="n">
        <x:v>2434</x:v>
      </x:c>
      <x:c r="J522" s="38" t="n">
        <x:v>0</x:v>
      </x:c>
      <x:c r="K522" s="38" t="n">
        <x:v>0</x:v>
      </x:c>
      <x:c r="L522" s="38" t="n">
        <x:v>0</x:v>
      </x:c>
      <x:c r="M522" s="38" t="n">
        <x:v>0</x:v>
      </x:c>
      <x:c r="N522" s="38" t="n">
        <x:v>0</x:v>
      </x:c>
      <x:c r="O522" s="38" t="n">
        <x:v>44250</x:v>
      </x:c>
      <x:c r="P522" s="38" t="n">
        <x:f>F522+G522-H522+I522+J522+K522+L522-M522-N522-O522</x:f>
        <x:v>45826</x:v>
      </x:c>
      <x:c r="Q522" s="38" t="n">
        <x:v>45826</x:v>
      </x:c>
      <x:c r="R522" s="38" t="n">
        <x:f>P522-Q522</x:f>
        <x:v>0</x:v>
      </x:c>
      <x:c r="S522" s="38" t="n">
        <x:v>41877</x:v>
      </x:c>
      <x:c r="T522" s="38" t="n">
        <x:v>7495</x:v>
      </x:c>
      <x:c r="U522" s="38" t="n">
        <x:v>66</x:v>
      </x:c>
      <x:c r="V522" s="38" t="n">
        <x:v>0</x:v>
      </x:c>
      <x:c r="W522" s="38" t="n">
        <x:v>0</x:v>
      </x:c>
      <x:c r="X522" s="44" t="n">
        <x:v>6.98</x:v>
      </x:c>
      <x:c r="Y522" s="38" t="n">
        <x:v>130</x:v>
      </x:c>
      <x:c r="Z522" s="38" t="n">
        <x:v>26</x:v>
      </x:c>
      <x:c r="AA522" s="38" t="n">
        <x:v>13</x:v>
      </x:c>
      <x:c r="AB522" s="38" t="n">
        <x:v>4</x:v>
      </x:c>
      <x:c r="AC522" s="38" t="n">
        <x:v>5265</x:v>
      </x:c>
      <x:c r="AD522" s="38" t="n">
        <x:v>0</x:v>
      </x:c>
      <x:c r="AE522" s="38" t="n">
        <x:f>IF(B522=1,0,F522-Q521)</x:f>
        <x:v>0</x:v>
      </x:c>
    </x:row>
    <x:row r="523" ht="27" customHeight="1">
      <x:c r="A523" s="28" t="str">
        <x:v>Light payer</x:v>
      </x:c>
      <x:c r="B523" s="38" t="n">
        <x:v>39</x:v>
      </x:c>
      <x:c r="C523" s="38" t="n">
        <x:v>25</x:v>
      </x:c>
      <x:c r="D523" s="38" t="n">
        <x:v>190588</x:v>
      </x:c>
      <x:c r="E523" s="38" t="n">
        <x:v>65</x:v>
      </x:c>
      <x:c r="F523" s="38" t="n">
        <x:v>45826</x:v>
      </x:c>
      <x:c r="G523" s="38" t="n">
        <x:v>52650</x:v>
      </x:c>
      <x:c r="H523" s="38" t="n">
        <x:v>10530</x:v>
      </x:c>
      <x:c r="I523" s="38" t="n">
        <x:v>2434</x:v>
      </x:c>
      <x:c r="J523" s="38" t="n">
        <x:v>0</x:v>
      </x:c>
      <x:c r="K523" s="38" t="n">
        <x:v>0</x:v>
      </x:c>
      <x:c r="L523" s="38" t="n">
        <x:v>0</x:v>
      </x:c>
      <x:c r="M523" s="38" t="n">
        <x:v>0</x:v>
      </x:c>
      <x:c r="N523" s="38" t="n">
        <x:v>0</x:v>
      </x:c>
      <x:c r="O523" s="38" t="n">
        <x:v>10948</x:v>
      </x:c>
      <x:c r="P523" s="38" t="n">
        <x:f>F523+G523-H523+I523+J523+K523+L523-M523-N523-O523</x:f>
        <x:v>79432</x:v>
      </x:c>
      <x:c r="Q523" s="38" t="n">
        <x:v>79432</x:v>
      </x:c>
      <x:c r="R523" s="38" t="n">
        <x:f>P523-Q523</x:f>
        <x:v>0</x:v>
      </x:c>
      <x:c r="S523" s="38" t="n">
        <x:v>42120</x:v>
      </x:c>
      <x:c r="T523" s="38" t="n">
        <x:v>7534</x:v>
      </x:c>
      <x:c r="U523" s="38" t="n">
        <x:v>66</x:v>
      </x:c>
      <x:c r="V523" s="38" t="n">
        <x:v>0</x:v>
      </x:c>
      <x:c r="W523" s="38" t="n">
        <x:v>0</x:v>
      </x:c>
      <x:c r="X523" s="44" t="n">
        <x:v>6.98</x:v>
      </x:c>
      <x:c r="Y523" s="38" t="n">
        <x:v>130</x:v>
      </x:c>
      <x:c r="Z523" s="38" t="n">
        <x:v>26</x:v>
      </x:c>
      <x:c r="AA523" s="38" t="n">
        <x:v>13</x:v>
      </x:c>
      <x:c r="AB523" s="38" t="n">
        <x:v>5</x:v>
      </x:c>
      <x:c r="AC523" s="38" t="n">
        <x:v>5265</x:v>
      </x:c>
      <x:c r="AD523" s="38" t="n">
        <x:v>0</x:v>
      </x:c>
      <x:c r="AE523" s="38" t="n">
        <x:f>IF(B523=1,0,F523-Q522)</x:f>
        <x:v>0</x:v>
      </x:c>
    </x:row>
    <x:row r="524" ht="27" customHeight="1">
      <x:c r="A524" s="28" t="str">
        <x:v>Light payer</x:v>
      </x:c>
      <x:c r="B524" s="38" t="n">
        <x:v>40</x:v>
      </x:c>
      <x:c r="C524" s="38" t="n">
        <x:v>26</x:v>
      </x:c>
      <x:c r="D524" s="38" t="n">
        <x:v>198122</x:v>
      </x:c>
      <x:c r="E524" s="38" t="n">
        <x:v>65</x:v>
      </x:c>
      <x:c r="F524" s="38" t="n">
        <x:v>79432</x:v>
      </x:c>
      <x:c r="G524" s="38" t="n">
        <x:v>52650</x:v>
      </x:c>
      <x:c r="H524" s="38" t="n">
        <x:v>10600</x:v>
      </x:c>
      <x:c r="I524" s="38" t="n">
        <x:v>2434</x:v>
      </x:c>
      <x:c r="J524" s="38" t="n">
        <x:v>620</x:v>
      </x:c>
      <x:c r="K524" s="38" t="n">
        <x:v>0</x:v>
      </x:c>
      <x:c r="L524" s="38" t="n">
        <x:v>0</x:v>
      </x:c>
      <x:c r="M524" s="38" t="n">
        <x:v>0</x:v>
      </x:c>
      <x:c r="N524" s="38" t="n">
        <x:v>570</x:v>
      </x:c>
      <x:c r="O524" s="38" t="n">
        <x:v>0</x:v>
      </x:c>
      <x:c r="P524" s="38" t="n">
        <x:f>F524+G524-H524+I524+J524+K524+L524-M524-N524-O524</x:f>
        <x:v>123966</x:v>
      </x:c>
      <x:c r="Q524" s="38" t="n">
        <x:v>123966</x:v>
      </x:c>
      <x:c r="R524" s="38" t="n">
        <x:f>P524-Q524</x:f>
        <x:v>0</x:v>
      </x:c>
      <x:c r="S524" s="38" t="n">
        <x:v>42120</x:v>
      </x:c>
      <x:c r="T524" s="38" t="n">
        <x:v>7534</x:v>
      </x:c>
      <x:c r="U524" s="38" t="n">
        <x:v>67</x:v>
      </x:c>
      <x:c r="V524" s="38" t="n">
        <x:v>1</x:v>
      </x:c>
      <x:c r="W524" s="38" t="n">
        <x:v>0</x:v>
      </x:c>
      <x:c r="X524" s="44" t="n">
        <x:v>6.98</x:v>
      </x:c>
      <x:c r="Y524" s="38" t="n">
        <x:v>130</x:v>
      </x:c>
      <x:c r="Z524" s="38" t="n">
        <x:v>26</x:v>
      </x:c>
      <x:c r="AA524" s="38" t="n">
        <x:v>14</x:v>
      </x:c>
      <x:c r="AB524" s="38" t="n">
        <x:v>5</x:v>
      </x:c>
      <x:c r="AC524" s="38" t="n">
        <x:v>5335</x:v>
      </x:c>
      <x:c r="AD524" s="38" t="n">
        <x:v>0</x:v>
      </x:c>
      <x:c r="AE524" s="38" t="n">
        <x:f>IF(B524=1,0,F524-Q523)</x:f>
        <x:v>0</x:v>
      </x:c>
    </x:row>
    <x:row r="525" ht="27" customHeight="1">
      <x:c r="A525" s="28" t="str">
        <x:v>Light payer</x:v>
      </x:c>
      <x:c r="B525" s="38" t="n">
        <x:v>41</x:v>
      </x:c>
      <x:c r="C525" s="38" t="n">
        <x:v>26</x:v>
      </x:c>
      <x:c r="D525" s="38" t="n">
        <x:v>205622</x:v>
      </x:c>
      <x:c r="E525" s="38" t="n">
        <x:v>65</x:v>
      </x:c>
      <x:c r="F525" s="38" t="n">
        <x:v>123966</x:v>
      </x:c>
      <x:c r="G525" s="38" t="n">
        <x:v>53649</x:v>
      </x:c>
      <x:c r="H525" s="38" t="n">
        <x:v>10790</x:v>
      </x:c>
      <x:c r="I525" s="38" t="n">
        <x:v>2486</x:v>
      </x:c>
      <x:c r="J525" s="38" t="n">
        <x:v>0</x:v>
      </x:c>
      <x:c r="K525" s="38" t="n">
        <x:v>0</x:v>
      </x:c>
      <x:c r="L525" s="38" t="n">
        <x:v>0</x:v>
      </x:c>
      <x:c r="M525" s="38" t="n">
        <x:v>0</x:v>
      </x:c>
      <x:c r="N525" s="38" t="n">
        <x:v>0</x:v>
      </x:c>
      <x:c r="O525" s="38" t="n">
        <x:v>0</x:v>
      </x:c>
      <x:c r="P525" s="38" t="n">
        <x:f>F525+G525-H525+I525+J525+K525+L525-M525-N525-O525</x:f>
        <x:v>169311</x:v>
      </x:c>
      <x:c r="Q525" s="38" t="n">
        <x:v>169311</x:v>
      </x:c>
      <x:c r="R525" s="38" t="n">
        <x:f>P525-Q525</x:f>
        <x:v>0</x:v>
      </x:c>
      <x:c r="S525" s="38" t="n">
        <x:v>42919</x:v>
      </x:c>
      <x:c r="T525" s="38" t="n">
        <x:v>7500</x:v>
      </x:c>
      <x:c r="U525" s="38" t="n">
        <x:v>67</x:v>
      </x:c>
      <x:c r="V525" s="38" t="n">
        <x:v>0</x:v>
      </x:c>
      <x:c r="W525" s="38" t="n">
        <x:v>0</x:v>
      </x:c>
      <x:c r="X525" s="44" t="n">
        <x:v>6.98</x:v>
      </x:c>
      <x:c r="Y525" s="38" t="n">
        <x:v>130</x:v>
      </x:c>
      <x:c r="Z525" s="38" t="n">
        <x:v>27</x:v>
      </x:c>
      <x:c r="AA525" s="38" t="n">
        <x:v>14</x:v>
      </x:c>
      <x:c r="AB525" s="38" t="n">
        <x:v>5</x:v>
      </x:c>
      <x:c r="AC525" s="38" t="n">
        <x:v>5395</x:v>
      </x:c>
      <x:c r="AD525" s="38" t="n">
        <x:v>0</x:v>
      </x:c>
      <x:c r="AE525" s="38" t="n">
        <x:f>IF(B525=1,0,F525-Q524)</x:f>
        <x:v>0</x:v>
      </x:c>
    </x:row>
    <x:row r="526" ht="27" customHeight="1">
      <x:c r="A526" s="28" t="str">
        <x:v>Light payer</x:v>
      </x:c>
      <x:c r="B526" s="38" t="n">
        <x:v>42</x:v>
      </x:c>
      <x:c r="C526" s="38" t="n">
        <x:v>26</x:v>
      </x:c>
      <x:c r="D526" s="38" t="n">
        <x:v>216409</x:v>
      </x:c>
      <x:c r="E526" s="38" t="n">
        <x:v>65</x:v>
      </x:c>
      <x:c r="F526" s="38" t="n">
        <x:v>169311</x:v>
      </x:c>
      <x:c r="G526" s="38" t="n">
        <x:v>53950</x:v>
      </x:c>
      <x:c r="H526" s="38" t="n">
        <x:v>10790</x:v>
      </x:c>
      <x:c r="I526" s="38" t="n">
        <x:v>12559</x:v>
      </x:c>
      <x:c r="J526" s="38" t="n">
        <x:v>0</x:v>
      </x:c>
      <x:c r="K526" s="38" t="n">
        <x:v>0</x:v>
      </x:c>
      <x:c r="L526" s="38" t="n">
        <x:v>0</x:v>
      </x:c>
      <x:c r="M526" s="38" t="n">
        <x:v>0</x:v>
      </x:c>
      <x:c r="N526" s="38" t="n">
        <x:v>0</x:v>
      </x:c>
      <x:c r="O526" s="38" t="n">
        <x:v>0</x:v>
      </x:c>
      <x:c r="P526" s="38" t="n">
        <x:f>F526+G526-H526+I526+J526+K526+L526-M526-N526-O526</x:f>
        <x:v>225030</x:v>
      </x:c>
      <x:c r="Q526" s="38" t="n">
        <x:v>225030</x:v>
      </x:c>
      <x:c r="R526" s="38" t="n">
        <x:f>P526-Q526</x:f>
        <x:v>0</x:v>
      </x:c>
      <x:c r="S526" s="38" t="n">
        <x:v>43160</x:v>
      </x:c>
      <x:c r="T526" s="38" t="n">
        <x:v>10787</x:v>
      </x:c>
      <x:c r="U526" s="38" t="n">
        <x:v>69</x:v>
      </x:c>
      <x:c r="V526" s="38" t="n">
        <x:v>2</x:v>
      </x:c>
      <x:c r="W526" s="38" t="n">
        <x:v>0</x:v>
      </x:c>
      <x:c r="X526" s="44" t="n">
        <x:v>6.98</x:v>
      </x:c>
      <x:c r="Y526" s="38" t="n">
        <x:v>130</x:v>
      </x:c>
      <x:c r="Z526" s="38" t="n">
        <x:v>27</x:v>
      </x:c>
      <x:c r="AA526" s="38" t="n">
        <x:v>14</x:v>
      </x:c>
      <x:c r="AB526" s="38" t="n">
        <x:v>5</x:v>
      </x:c>
      <x:c r="AC526" s="38" t="n">
        <x:v>5395</x:v>
      </x:c>
      <x:c r="AD526" s="38" t="n">
        <x:v>0</x:v>
      </x:c>
      <x:c r="AE526" s="38" t="n">
        <x:f>IF(B526=1,0,F526-Q525)</x:f>
        <x:v>0</x:v>
      </x:c>
    </x:row>
    <x:row r="527" ht="27" customHeight="1">
      <x:c r="A527" s="28" t="str">
        <x:v>Light payer</x:v>
      </x:c>
      <x:c r="B527" s="38" t="n">
        <x:v>43</x:v>
      </x:c>
      <x:c r="C527" s="38" t="n">
        <x:v>27</x:v>
      </x:c>
      <x:c r="D527" s="38" t="n">
        <x:v>223949</x:v>
      </x:c>
      <x:c r="E527" s="38" t="n">
        <x:v>65</x:v>
      </x:c>
      <x:c r="F527" s="38" t="n">
        <x:v>225030</x:v>
      </x:c>
      <x:c r="G527" s="38" t="n">
        <x:v>53950</x:v>
      </x:c>
      <x:c r="H527" s="38" t="n">
        <x:v>10344</x:v>
      </x:c>
      <x:c r="I527" s="38" t="n">
        <x:v>2486</x:v>
      </x:c>
      <x:c r="J527" s="38" t="n">
        <x:v>635</x:v>
      </x:c>
      <x:c r="K527" s="38" t="n">
        <x:v>0</x:v>
      </x:c>
      <x:c r="L527" s="38" t="n">
        <x:v>0</x:v>
      </x:c>
      <x:c r="M527" s="38" t="n">
        <x:v>0</x:v>
      </x:c>
      <x:c r="N527" s="38" t="n">
        <x:v>905</x:v>
      </x:c>
      <x:c r="O527" s="38" t="n">
        <x:v>0</x:v>
      </x:c>
      <x:c r="P527" s="38" t="n">
        <x:f>F527+G527-H527+I527+J527+K527+L527-M527-N527-O527</x:f>
        <x:v>270852</x:v>
      </x:c>
      <x:c r="Q527" s="38" t="n">
        <x:v>270852</x:v>
      </x:c>
      <x:c r="R527" s="38" t="n">
        <x:f>P527-Q527</x:f>
        <x:v>0</x:v>
      </x:c>
      <x:c r="S527" s="38" t="n">
        <x:v>43160</x:v>
      </x:c>
      <x:c r="T527" s="38" t="n">
        <x:v>7540</x:v>
      </x:c>
      <x:c r="U527" s="38" t="n">
        <x:v>69</x:v>
      </x:c>
      <x:c r="V527" s="38" t="n">
        <x:v>0</x:v>
      </x:c>
      <x:c r="W527" s="38" t="n">
        <x:v>0</x:v>
      </x:c>
      <x:c r="X527" s="44" t="n">
        <x:v>6.98</x:v>
      </x:c>
      <x:c r="Y527" s="38" t="n">
        <x:v>130</x:v>
      </x:c>
      <x:c r="Z527" s="38" t="n">
        <x:v>27</x:v>
      </x:c>
      <x:c r="AA527" s="38" t="n">
        <x:v>15</x:v>
      </x:c>
      <x:c r="AB527" s="38" t="n">
        <x:v>5</x:v>
      </x:c>
      <x:c r="AC527" s="38" t="n">
        <x:v>4949</x:v>
      </x:c>
      <x:c r="AD527" s="38" t="n">
        <x:v>0</x:v>
      </x:c>
      <x:c r="AE527" s="38" t="n">
        <x:f>IF(B527=1,0,F527-Q526)</x:f>
        <x:v>0</x:v>
      </x:c>
    </x:row>
    <x:row r="528" ht="27" customHeight="1">
      <x:c r="A528" s="28" t="str">
        <x:v>Light payer</x:v>
      </x:c>
      <x:c r="B528" s="38" t="n">
        <x:v>44</x:v>
      </x:c>
      <x:c r="C528" s="38" t="n">
        <x:v>27</x:v>
      </x:c>
      <x:c r="D528" s="38" t="n">
        <x:v>232269</x:v>
      </x:c>
      <x:c r="E528" s="38" t="n">
        <x:v>65</x:v>
      </x:c>
      <x:c r="F528" s="38" t="n">
        <x:v>270852</x:v>
      </x:c>
      <x:c r="G528" s="38" t="n">
        <x:v>49573</x:v>
      </x:c>
      <x:c r="H528" s="38" t="n">
        <x:v>9880</x:v>
      </x:c>
      <x:c r="I528" s="38" t="n">
        <x:v>2539</x:v>
      </x:c>
      <x:c r="J528" s="38" t="n">
        <x:v>0</x:v>
      </x:c>
      <x:c r="K528" s="38" t="n">
        <x:v>0</x:v>
      </x:c>
      <x:c r="L528" s="38" t="n">
        <x:v>0</x:v>
      </x:c>
      <x:c r="M528" s="38" t="n">
        <x:v>0</x:v>
      </x:c>
      <x:c r="N528" s="38" t="n">
        <x:v>0</x:v>
      </x:c>
      <x:c r="O528" s="38" t="n">
        <x:v>0</x:v>
      </x:c>
      <x:c r="P528" s="38" t="n">
        <x:f>F528+G528-H528+I528+J528+K528+L528-M528-N528-O528</x:f>
        <x:v>313084</x:v>
      </x:c>
      <x:c r="Q528" s="38" t="n">
        <x:v>313084</x:v>
      </x:c>
      <x:c r="R528" s="38" t="n">
        <x:f>P528-Q528</x:f>
        <x:v>0</x:v>
      </x:c>
      <x:c r="S528" s="38" t="n">
        <x:v>39684</x:v>
      </x:c>
      <x:c r="T528" s="38" t="n">
        <x:v>8320</x:v>
      </x:c>
      <x:c r="U528" s="38" t="n">
        <x:v>69</x:v>
      </x:c>
      <x:c r="V528" s="38" t="n">
        <x:v>0</x:v>
      </x:c>
      <x:c r="W528" s="38" t="n">
        <x:v>0</x:v>
      </x:c>
      <x:c r="X528" s="44" t="n">
        <x:v>6.98</x:v>
      </x:c>
      <x:c r="Y528" s="38" t="n">
        <x:v>130</x:v>
      </x:c>
      <x:c r="Z528" s="38" t="n">
        <x:v>28</x:v>
      </x:c>
      <x:c r="AA528" s="38" t="n">
        <x:v>15</x:v>
      </x:c>
      <x:c r="AB528" s="38" t="n">
        <x:v>5</x:v>
      </x:c>
      <x:c r="AC528" s="38" t="n">
        <x:v>4940</x:v>
      </x:c>
      <x:c r="AD528" s="38" t="n">
        <x:v>0</x:v>
      </x:c>
      <x:c r="AE528" s="38" t="n">
        <x:f>IF(B528=1,0,F528-Q527)</x:f>
        <x:v>0</x:v>
      </x:c>
    </x:row>
    <x:row r="529" ht="27" customHeight="1">
      <x:c r="A529" s="28" t="str">
        <x:v>Light payer</x:v>
      </x:c>
      <x:c r="B529" s="38" t="n">
        <x:v>45</x:v>
      </x:c>
      <x:c r="C529" s="38" t="n">
        <x:v>27</x:v>
      </x:c>
      <x:c r="D529" s="38" t="n">
        <x:v>240595</x:v>
      </x:c>
      <x:c r="E529" s="38" t="n">
        <x:v>65</x:v>
      </x:c>
      <x:c r="F529" s="38" t="n">
        <x:v>313084</x:v>
      </x:c>
      <x:c r="G529" s="38" t="n">
        <x:v>49530</x:v>
      </x:c>
      <x:c r="H529" s="38" t="n">
        <x:v>9880</x:v>
      </x:c>
      <x:c r="I529" s="38" t="n">
        <x:v>2539</x:v>
      </x:c>
      <x:c r="J529" s="38" t="n">
        <x:v>0</x:v>
      </x:c>
      <x:c r="K529" s="38" t="n">
        <x:v>0</x:v>
      </x:c>
      <x:c r="L529" s="38" t="n">
        <x:v>0</x:v>
      </x:c>
      <x:c r="M529" s="38" t="n">
        <x:v>0</x:v>
      </x:c>
      <x:c r="N529" s="38" t="n">
        <x:v>0</x:v>
      </x:c>
      <x:c r="O529" s="38" t="n">
        <x:v>0</x:v>
      </x:c>
      <x:c r="P529" s="38" t="n">
        <x:f>F529+G529-H529+I529+J529+K529+L529-M529-N529-O529</x:f>
        <x:v>355273</x:v>
      </x:c>
      <x:c r="Q529" s="38" t="n">
        <x:v>355273</x:v>
      </x:c>
      <x:c r="R529" s="38" t="n">
        <x:f>P529-Q529</x:f>
        <x:v>0</x:v>
      </x:c>
      <x:c r="S529" s="38" t="n">
        <x:v>39650</x:v>
      </x:c>
      <x:c r="T529" s="38" t="n">
        <x:v>8326</x:v>
      </x:c>
      <x:c r="U529" s="38" t="n">
        <x:v>69</x:v>
      </x:c>
      <x:c r="V529" s="38" t="n">
        <x:v>0</x:v>
      </x:c>
      <x:c r="W529" s="38" t="n">
        <x:v>0</x:v>
      </x:c>
      <x:c r="X529" s="44" t="n">
        <x:v>6.98</x:v>
      </x:c>
      <x:c r="Y529" s="38" t="n">
        <x:v>130</x:v>
      </x:c>
      <x:c r="Z529" s="38" t="n">
        <x:v>28</x:v>
      </x:c>
      <x:c r="AA529" s="38" t="n">
        <x:v>15</x:v>
      </x:c>
      <x:c r="AB529" s="38" t="n">
        <x:v>5</x:v>
      </x:c>
      <x:c r="AC529" s="38" t="n">
        <x:v>4940</x:v>
      </x:c>
      <x:c r="AD529" s="38" t="n">
        <x:v>0</x:v>
      </x:c>
      <x:c r="AE529" s="38" t="n">
        <x:f>IF(B529=1,0,F529-Q528)</x:f>
        <x:v>0</x:v>
      </x:c>
    </x:row>
    <x:row r="530" ht="27" customHeight="1">
      <x:c r="A530" s="28" t="str">
        <x:v>Light payer</x:v>
      </x:c>
      <x:c r="B530" s="38" t="n">
        <x:v>46</x:v>
      </x:c>
      <x:c r="C530" s="38" t="n">
        <x:v>27</x:v>
      </x:c>
      <x:c r="D530" s="38" t="n">
        <x:v>248921</x:v>
      </x:c>
      <x:c r="E530" s="38" t="n">
        <x:v>65</x:v>
      </x:c>
      <x:c r="F530" s="38" t="n">
        <x:v>355273</x:v>
      </x:c>
      <x:c r="G530" s="38" t="n">
        <x:v>49530</x:v>
      </x:c>
      <x:c r="H530" s="38" t="n">
        <x:v>9880</x:v>
      </x:c>
      <x:c r="I530" s="38" t="n">
        <x:v>2539</x:v>
      </x:c>
      <x:c r="J530" s="38" t="n">
        <x:v>0</x:v>
      </x:c>
      <x:c r="K530" s="38" t="n">
        <x:v>0</x:v>
      </x:c>
      <x:c r="L530" s="38" t="n">
        <x:v>0</x:v>
      </x:c>
      <x:c r="M530" s="38" t="n">
        <x:v>0</x:v>
      </x:c>
      <x:c r="N530" s="38" t="n">
        <x:v>1700</x:v>
      </x:c>
      <x:c r="O530" s="38" t="n">
        <x:v>0</x:v>
      </x:c>
      <x:c r="P530" s="38" t="n">
        <x:f>F530+G530-H530+I530+J530+K530+L530-M530-N530-O530</x:f>
        <x:v>395762</x:v>
      </x:c>
      <x:c r="Q530" s="38" t="n">
        <x:v>395762</x:v>
      </x:c>
      <x:c r="R530" s="38" t="n">
        <x:f>P530-Q530</x:f>
        <x:v>0</x:v>
      </x:c>
      <x:c r="S530" s="38" t="n">
        <x:v>39650</x:v>
      </x:c>
      <x:c r="T530" s="38" t="n">
        <x:v>8326</x:v>
      </x:c>
      <x:c r="U530" s="38" t="n">
        <x:v>69</x:v>
      </x:c>
      <x:c r="V530" s="38" t="n">
        <x:v>0</x:v>
      </x:c>
      <x:c r="W530" s="38" t="n">
        <x:v>0</x:v>
      </x:c>
      <x:c r="X530" s="44" t="n">
        <x:v>6.98</x:v>
      </x:c>
      <x:c r="Y530" s="38" t="n">
        <x:v>130</x:v>
      </x:c>
      <x:c r="Z530" s="38" t="n">
        <x:v>28</x:v>
      </x:c>
      <x:c r="AA530" s="38" t="n">
        <x:v>16</x:v>
      </x:c>
      <x:c r="AB530" s="38" t="n">
        <x:v>5</x:v>
      </x:c>
      <x:c r="AC530" s="38" t="n">
        <x:v>4940</x:v>
      </x:c>
      <x:c r="AD530" s="38" t="n">
        <x:v>0</x:v>
      </x:c>
      <x:c r="AE530" s="38" t="n">
        <x:f>IF(B530=1,0,F530-Q529)</x:f>
        <x:v>0</x:v>
      </x:c>
    </x:row>
    <x:row r="531" ht="27" customHeight="1">
      <x:c r="A531" s="28" t="str">
        <x:v>Light payer</x:v>
      </x:c>
      <x:c r="B531" s="38" t="n">
        <x:v>47</x:v>
      </x:c>
      <x:c r="C531" s="38" t="n">
        <x:v>28</x:v>
      </x:c>
      <x:c r="D531" s="38" t="n">
        <x:v>257187</x:v>
      </x:c>
      <x:c r="E531" s="38" t="n">
        <x:v>70</x:v>
      </x:c>
      <x:c r="F531" s="38" t="n">
        <x:v>395762</x:v>
      </x:c>
      <x:c r="G531" s="38" t="n">
        <x:v>55075</x:v>
      </x:c>
      <x:c r="H531" s="38" t="n">
        <x:v>12180</x:v>
      </x:c>
      <x:c r="I531" s="38" t="n">
        <x:v>2539</x:v>
      </x:c>
      <x:c r="J531" s="38" t="n">
        <x:v>700</x:v>
      </x:c>
      <x:c r="K531" s="38" t="n">
        <x:v>0</x:v>
      </x:c>
      <x:c r="L531" s="38" t="n">
        <x:v>0</x:v>
      </x:c>
      <x:c r="M531" s="38" t="n">
        <x:v>350000</x:v>
      </x:c>
      <x:c r="N531" s="38" t="n">
        <x:v>0</x:v>
      </x:c>
      <x:c r="O531" s="38" t="n">
        <x:v>0</x:v>
      </x:c>
      <x:c r="P531" s="38" t="n">
        <x:f>F531+G531-H531+I531+J531+K531+L531-M531-N531-O531</x:f>
        <x:v>91896</x:v>
      </x:c>
      <x:c r="Q531" s="38" t="n">
        <x:v>91896</x:v>
      </x:c>
      <x:c r="R531" s="38" t="n">
        <x:f>P531-Q531</x:f>
        <x:v>0</x:v>
      </x:c>
      <x:c r="S531" s="38" t="n">
        <x:v>44045</x:v>
      </x:c>
      <x:c r="T531" s="38" t="n">
        <x:v>8266</x:v>
      </x:c>
      <x:c r="U531" s="38" t="n">
        <x:v>70</x:v>
      </x:c>
      <x:c r="V531" s="38" t="n">
        <x:v>1</x:v>
      </x:c>
      <x:c r="W531" s="38" t="n">
        <x:v>0</x:v>
      </x:c>
      <x:c r="X531" s="44" t="n">
        <x:v>6.98</x:v>
      </x:c>
      <x:c r="Y531" s="38" t="n">
        <x:v>135</x:v>
      </x:c>
      <x:c r="Z531" s="38" t="n">
        <x:v>29</x:v>
      </x:c>
      <x:c r="AA531" s="38" t="n">
        <x:v>16</x:v>
      </x:c>
      <x:c r="AB531" s="38" t="n">
        <x:v>5</x:v>
      </x:c>
      <x:c r="AC531" s="38" t="n">
        <x:v>6090</x:v>
      </x:c>
      <x:c r="AD531" s="38" t="n">
        <x:v>0</x:v>
      </x:c>
      <x:c r="AE531" s="38" t="n">
        <x:f>IF(B531=1,0,F531-Q530)</x:f>
        <x:v>0</x:v>
      </x:c>
    </x:row>
    <x:row r="532" ht="27" customHeight="1">
      <x:c r="A532" s="28" t="str">
        <x:v>Light payer</x:v>
      </x:c>
      <x:c r="B532" s="38" t="n">
        <x:v>48</x:v>
      </x:c>
      <x:c r="C532" s="38" t="n">
        <x:v>28</x:v>
      </x:c>
      <x:c r="D532" s="38" t="n">
        <x:v>265460</x:v>
      </x:c>
      <x:c r="E532" s="38" t="n">
        <x:v>70</x:v>
      </x:c>
      <x:c r="F532" s="38" t="n">
        <x:v>91896</x:v>
      </x:c>
      <x:c r="G532" s="38" t="n">
        <x:v>60620</x:v>
      </x:c>
      <x:c r="H532" s="38" t="n">
        <x:v>12180</x:v>
      </x:c>
      <x:c r="I532" s="38" t="n">
        <x:v>2791</x:v>
      </x:c>
      <x:c r="J532" s="38" t="n">
        <x:v>0</x:v>
      </x:c>
      <x:c r="K532" s="38" t="n">
        <x:v>0</x:v>
      </x:c>
      <x:c r="L532" s="38" t="n">
        <x:v>0</x:v>
      </x:c>
      <x:c r="M532" s="38" t="n">
        <x:v>0</x:v>
      </x:c>
      <x:c r="N532" s="38" t="n">
        <x:v>0</x:v>
      </x:c>
      <x:c r="O532" s="38" t="n">
        <x:v>0</x:v>
      </x:c>
      <x:c r="P532" s="38" t="n">
        <x:f>F532+G532-H532+I532+J532+K532+L532-M532-N532-O532</x:f>
        <x:v>143127</x:v>
      </x:c>
      <x:c r="Q532" s="38" t="n">
        <x:v>143127</x:v>
      </x:c>
      <x:c r="R532" s="38" t="n">
        <x:f>P532-Q532</x:f>
        <x:v>0</x:v>
      </x:c>
      <x:c r="S532" s="38" t="n">
        <x:v>48440</x:v>
      </x:c>
      <x:c r="T532" s="38" t="n">
        <x:v>8273</x:v>
      </x:c>
      <x:c r="U532" s="38" t="n">
        <x:v>70</x:v>
      </x:c>
      <x:c r="V532" s="38" t="n">
        <x:v>0</x:v>
      </x:c>
      <x:c r="W532" s="38" t="n">
        <x:v>0</x:v>
      </x:c>
      <x:c r="X532" s="44" t="n">
        <x:v>6.98</x:v>
      </x:c>
      <x:c r="Y532" s="38" t="n">
        <x:v>140</x:v>
      </x:c>
      <x:c r="Z532" s="38" t="n">
        <x:v>29</x:v>
      </x:c>
      <x:c r="AA532" s="38" t="n">
        <x:v>16</x:v>
      </x:c>
      <x:c r="AB532" s="38" t="n">
        <x:v>5</x:v>
      </x:c>
      <x:c r="AC532" s="38" t="n">
        <x:v>6090</x:v>
      </x:c>
      <x:c r="AD532" s="38" t="n">
        <x:v>0</x:v>
      </x:c>
      <x:c r="AE532" s="38" t="n">
        <x:f>IF(B532=1,0,F532-Q531)</x:f>
        <x:v>0</x:v>
      </x:c>
    </x:row>
    <x:row r="533" ht="27" customHeight="1">
      <x:c r="A533" s="28" t="str">
        <x:v>Light payer</x:v>
      </x:c>
      <x:c r="B533" s="38" t="n">
        <x:v>49</x:v>
      </x:c>
      <x:c r="C533" s="38" t="n">
        <x:v>28</x:v>
      </x:c>
      <x:c r="D533" s="38" t="n">
        <x:v>277633</x:v>
      </x:c>
      <x:c r="E533" s="38" t="n">
        <x:v>70</x:v>
      </x:c>
      <x:c r="F533" s="38" t="n">
        <x:v>143127</x:v>
      </x:c>
      <x:c r="G533" s="38" t="n">
        <x:v>60620</x:v>
      </x:c>
      <x:c r="H533" s="38" t="n">
        <x:v>12180</x:v>
      </x:c>
      <x:c r="I533" s="38" t="n">
        <x:v>15222</x:v>
      </x:c>
      <x:c r="J533" s="38" t="n">
        <x:v>0</x:v>
      </x:c>
      <x:c r="K533" s="38" t="n">
        <x:v>0</x:v>
      </x:c>
      <x:c r="L533" s="38" t="n">
        <x:v>0</x:v>
      </x:c>
      <x:c r="M533" s="38" t="n">
        <x:v>0</x:v>
      </x:c>
      <x:c r="N533" s="38" t="n">
        <x:v>1125</x:v>
      </x:c>
      <x:c r="O533" s="38" t="n">
        <x:v>0</x:v>
      </x:c>
      <x:c r="P533" s="38" t="n">
        <x:f>F533+G533-H533+I533+J533+K533+L533-M533-N533-O533</x:f>
        <x:v>205664</x:v>
      </x:c>
      <x:c r="Q533" s="38" t="n">
        <x:v>205664</x:v>
      </x:c>
      <x:c r="R533" s="38" t="n">
        <x:f>P533-Q533</x:f>
        <x:v>0</x:v>
      </x:c>
      <x:c r="S533" s="38" t="n">
        <x:v>48440</x:v>
      </x:c>
      <x:c r="T533" s="38" t="n">
        <x:v>12173</x:v>
      </x:c>
      <x:c r="U533" s="38" t="n">
        <x:v>72</x:v>
      </x:c>
      <x:c r="V533" s="38" t="n">
        <x:v>2</x:v>
      </x:c>
      <x:c r="W533" s="38" t="n">
        <x:v>0</x:v>
      </x:c>
      <x:c r="X533" s="44" t="n">
        <x:v>6.98</x:v>
      </x:c>
      <x:c r="Y533" s="38" t="n">
        <x:v>140</x:v>
      </x:c>
      <x:c r="Z533" s="38" t="n">
        <x:v>29</x:v>
      </x:c>
      <x:c r="AA533" s="38" t="n">
        <x:v>17</x:v>
      </x:c>
      <x:c r="AB533" s="38" t="n">
        <x:v>5</x:v>
      </x:c>
      <x:c r="AC533" s="38" t="n">
        <x:v>6090</x:v>
      </x:c>
      <x:c r="AD533" s="38" t="n">
        <x:v>0</x:v>
      </x:c>
      <x:c r="AE533" s="38" t="n">
        <x:f>IF(B533=1,0,F533-Q532)</x:f>
        <x:v>0</x:v>
      </x:c>
    </x:row>
    <x:row r="534" ht="27" customHeight="1">
      <x:c r="A534" s="28" t="str">
        <x:v>Light payer</x:v>
      </x:c>
      <x:c r="B534" s="38" t="n">
        <x:v>50</x:v>
      </x:c>
      <x:c r="C534" s="38" t="n">
        <x:v>29</x:v>
      </x:c>
      <x:c r="D534" s="38" t="n">
        <x:v>285853</x:v>
      </x:c>
      <x:c r="E534" s="38" t="n">
        <x:v>70</x:v>
      </x:c>
      <x:c r="F534" s="38" t="n">
        <x:v>205664</x:v>
      </x:c>
      <x:c r="G534" s="38" t="n">
        <x:v>60739</x:v>
      </x:c>
      <x:c r="H534" s="38" t="n">
        <x:v>12331</x:v>
      </x:c>
      <x:c r="I534" s="38" t="n">
        <x:v>2791</x:v>
      </x:c>
      <x:c r="J534" s="38" t="n">
        <x:v>710</x:v>
      </x:c>
      <x:c r="K534" s="38" t="n">
        <x:v>0</x:v>
      </x:c>
      <x:c r="L534" s="38" t="n">
        <x:v>0</x:v>
      </x:c>
      <x:c r="M534" s="38" t="n">
        <x:v>0</x:v>
      </x:c>
      <x:c r="N534" s="38" t="n">
        <x:v>0</x:v>
      </x:c>
      <x:c r="O534" s="38" t="n">
        <x:v>0</x:v>
      </x:c>
      <x:c r="P534" s="38" t="n">
        <x:f>F534+G534-H534+I534+J534+K534+L534-M534-N534-O534</x:f>
        <x:v>257573</x:v>
      </x:c>
      <x:c r="Q534" s="38" t="n">
        <x:v>257573</x:v>
      </x:c>
      <x:c r="R534" s="38" t="n">
        <x:f>P534-Q534</x:f>
        <x:v>0</x:v>
      </x:c>
      <x:c r="S534" s="38" t="n">
        <x:v>48577</x:v>
      </x:c>
      <x:c r="T534" s="38" t="n">
        <x:v>8220</x:v>
      </x:c>
      <x:c r="U534" s="38" t="n">
        <x:v>76</x:v>
      </x:c>
      <x:c r="V534" s="38" t="n">
        <x:v>4</x:v>
      </x:c>
      <x:c r="W534" s="38" t="n">
        <x:v>0</x:v>
      </x:c>
      <x:c r="X534" s="44" t="n">
        <x:v>6.98</x:v>
      </x:c>
      <x:c r="Y534" s="38" t="n">
        <x:v>139</x:v>
      </x:c>
      <x:c r="Z534" s="38" t="n">
        <x:v>29</x:v>
      </x:c>
      <x:c r="AA534" s="38" t="n">
        <x:v>17</x:v>
      </x:c>
      <x:c r="AB534" s="38" t="n">
        <x:v>5</x:v>
      </x:c>
      <x:c r="AC534" s="38" t="n">
        <x:v>6259</x:v>
      </x:c>
      <x:c r="AD534" s="38" t="n">
        <x:v>0</x:v>
      </x:c>
      <x:c r="AE534" s="38" t="n">
        <x:f>IF(B534=1,0,F534-Q533)</x:f>
        <x:v>0</x:v>
      </x:c>
    </x:row>
    <x:row r="535" ht="27" customHeight="1">
      <x:c r="A535" s="28" t="str">
        <x:v>Light payer</x:v>
      </x:c>
      <x:c r="B535" s="38" t="n">
        <x:v>51</x:v>
      </x:c>
      <x:c r="C535" s="38" t="n">
        <x:v>29</x:v>
      </x:c>
      <x:c r="D535" s="38" t="n">
        <x:v>294172</x:v>
      </x:c>
      <x:c r="E535" s="38" t="n">
        <x:v>70</x:v>
      </x:c>
      <x:c r="F535" s="38" t="n">
        <x:v>257573</x:v>
      </x:c>
      <x:c r="G535" s="38" t="n">
        <x:v>62232</x:v>
      </x:c>
      <x:c r="H535" s="38" t="n">
        <x:v>12320</x:v>
      </x:c>
      <x:c r="I535" s="38" t="n">
        <x:v>2848</x:v>
      </x:c>
      <x:c r="J535" s="38" t="n">
        <x:v>0</x:v>
      </x:c>
      <x:c r="K535" s="38" t="n">
        <x:v>0</x:v>
      </x:c>
      <x:c r="L535" s="38" t="n">
        <x:v>0</x:v>
      </x:c>
      <x:c r="M535" s="38" t="n">
        <x:v>0</x:v>
      </x:c>
      <x:c r="N535" s="38" t="n">
        <x:v>0</x:v>
      </x:c>
      <x:c r="O535" s="38" t="n">
        <x:v>0</x:v>
      </x:c>
      <x:c r="P535" s="38" t="n">
        <x:f>F535+G535-H535+I535+J535+K535+L535-M535-N535-O535</x:f>
        <x:v>310333</x:v>
      </x:c>
      <x:c r="Q535" s="38" t="n">
        <x:v>310333</x:v>
      </x:c>
      <x:c r="R535" s="38" t="n">
        <x:f>P535-Q535</x:f>
        <x:v>0</x:v>
      </x:c>
      <x:c r="S535" s="38" t="n">
        <x:v>49813</x:v>
      </x:c>
      <x:c r="T535" s="38" t="n">
        <x:v>8319</x:v>
      </x:c>
      <x:c r="U535" s="38" t="n">
        <x:v>78</x:v>
      </x:c>
      <x:c r="V535" s="38" t="n">
        <x:v>2</x:v>
      </x:c>
      <x:c r="W535" s="38" t="n">
        <x:v>0</x:v>
      </x:c>
      <x:c r="X535" s="44" t="n">
        <x:v>6.98</x:v>
      </x:c>
      <x:c r="Y535" s="38" t="n">
        <x:v>140</x:v>
      </x:c>
      <x:c r="Z535" s="38" t="n">
        <x:v>30</x:v>
      </x:c>
      <x:c r="AA535" s="38" t="n">
        <x:v>17</x:v>
      </x:c>
      <x:c r="AB535" s="38" t="n">
        <x:v>5</x:v>
      </x:c>
      <x:c r="AC535" s="38" t="n">
        <x:v>6160</x:v>
      </x:c>
      <x:c r="AD535" s="38" t="n">
        <x:v>0</x:v>
      </x:c>
      <x:c r="AE535" s="38" t="n">
        <x:f>IF(B535=1,0,F535-Q534)</x:f>
        <x:v>0</x:v>
      </x:c>
    </x:row>
    <x:row r="536" ht="27" customHeight="1">
      <x:c r="A536" s="28" t="str">
        <x:v>Light payer</x:v>
      </x:c>
      <x:c r="B536" s="38" t="n">
        <x:v>52</x:v>
      </x:c>
      <x:c r="C536" s="38" t="n">
        <x:v>29</x:v>
      </x:c>
      <x:c r="D536" s="38" t="n">
        <x:v>302452</x:v>
      </x:c>
      <x:c r="E536" s="38" t="n">
        <x:v>70</x:v>
      </x:c>
      <x:c r="F536" s="38" t="n">
        <x:v>310333</x:v>
      </x:c>
      <x:c r="G536" s="38" t="n">
        <x:v>61740</x:v>
      </x:c>
      <x:c r="H536" s="38" t="n">
        <x:v>12320</x:v>
      </x:c>
      <x:c r="I536" s="38" t="n">
        <x:v>2848</x:v>
      </x:c>
      <x:c r="J536" s="38" t="n">
        <x:v>0</x:v>
      </x:c>
      <x:c r="K536" s="38" t="n">
        <x:v>0</x:v>
      </x:c>
      <x:c r="L536" s="38" t="n">
        <x:v>0</x:v>
      </x:c>
      <x:c r="M536" s="38" t="n">
        <x:v>0</x:v>
      </x:c>
      <x:c r="N536" s="38" t="n">
        <x:v>2110</x:v>
      </x:c>
      <x:c r="O536" s="38" t="n">
        <x:v>0</x:v>
      </x:c>
      <x:c r="P536" s="38" t="n">
        <x:f>F536+G536-H536+I536+J536+K536+L536-M536-N536-O536</x:f>
        <x:v>360491</x:v>
      </x:c>
      <x:c r="Q536" s="38" t="n">
        <x:v>360491</x:v>
      </x:c>
      <x:c r="R536" s="38" t="n">
        <x:f>P536-Q536</x:f>
        <x:v>0</x:v>
      </x:c>
      <x:c r="S536" s="38" t="n">
        <x:v>49420</x:v>
      </x:c>
      <x:c r="T536" s="38" t="n">
        <x:v>8280</x:v>
      </x:c>
      <x:c r="U536" s="38" t="n">
        <x:v>78</x:v>
      </x:c>
      <x:c r="V536" s="38" t="n">
        <x:v>0</x:v>
      </x:c>
      <x:c r="W536" s="38" t="n">
        <x:v>0</x:v>
      </x:c>
      <x:c r="X536" s="44" t="n">
        <x:v>6.98</x:v>
      </x:c>
      <x:c r="Y536" s="38" t="n">
        <x:v>140</x:v>
      </x:c>
      <x:c r="Z536" s="38" t="n">
        <x:v>30</x:v>
      </x:c>
      <x:c r="AA536" s="38" t="n">
        <x:v>18</x:v>
      </x:c>
      <x:c r="AB536" s="38" t="n">
        <x:v>5</x:v>
      </x:c>
      <x:c r="AC536" s="38" t="n">
        <x:v>6160</x:v>
      </x:c>
      <x:c r="AD536" s="38" t="n">
        <x:v>0</x:v>
      </x:c>
      <x:c r="AE536" s="38" t="n">
        <x:f>IF(B536=1,0,F536-Q535)</x:f>
        <x:v>0</x:v>
      </x:c>
    </x:row>
    <x:row r="537" ht="27" customHeight="1">
      <x:c r="A537" s="28" t="str">
        <x:v>Light payer</x:v>
      </x:c>
      <x:c r="B537" s="38" t="n">
        <x:v>53</x:v>
      </x:c>
      <x:c r="C537" s="38" t="n">
        <x:v>29</x:v>
      </x:c>
      <x:c r="D537" s="38" t="n">
        <x:v>310732</x:v>
      </x:c>
      <x:c r="E537" s="38" t="n">
        <x:v>70</x:v>
      </x:c>
      <x:c r="F537" s="38" t="n">
        <x:v>360491</x:v>
      </x:c>
      <x:c r="G537" s="38" t="n">
        <x:v>61740</x:v>
      </x:c>
      <x:c r="H537" s="38" t="n">
        <x:v>12320</x:v>
      </x:c>
      <x:c r="I537" s="38" t="n">
        <x:v>2848</x:v>
      </x:c>
      <x:c r="J537" s="38" t="n">
        <x:v>0</x:v>
      </x:c>
      <x:c r="K537" s="38" t="n">
        <x:v>0</x:v>
      </x:c>
      <x:c r="L537" s="38" t="n">
        <x:v>0</x:v>
      </x:c>
      <x:c r="M537" s="38" t="n">
        <x:v>0</x:v>
      </x:c>
      <x:c r="N537" s="38" t="n">
        <x:v>0</x:v>
      </x:c>
      <x:c r="O537" s="38" t="n">
        <x:v>0</x:v>
      </x:c>
      <x:c r="P537" s="38" t="n">
        <x:f>F537+G537-H537+I537+J537+K537+L537-M537-N537-O537</x:f>
        <x:v>412759</x:v>
      </x:c>
      <x:c r="Q537" s="38" t="n">
        <x:v>412759</x:v>
      </x:c>
      <x:c r="R537" s="38" t="n">
        <x:f>P537-Q537</x:f>
        <x:v>0</x:v>
      </x:c>
      <x:c r="S537" s="38" t="n">
        <x:v>49420</x:v>
      </x:c>
      <x:c r="T537" s="38" t="n">
        <x:v>8280</x:v>
      </x:c>
      <x:c r="U537" s="38" t="n">
        <x:v>78</x:v>
      </x:c>
      <x:c r="V537" s="38" t="n">
        <x:v>0</x:v>
      </x:c>
      <x:c r="W537" s="38" t="n">
        <x:v>0</x:v>
      </x:c>
      <x:c r="X537" s="44" t="n">
        <x:v>6.98</x:v>
      </x:c>
      <x:c r="Y537" s="38" t="n">
        <x:v>140</x:v>
      </x:c>
      <x:c r="Z537" s="38" t="n">
        <x:v>30</x:v>
      </x:c>
      <x:c r="AA537" s="38" t="n">
        <x:v>18</x:v>
      </x:c>
      <x:c r="AB537" s="38" t="n">
        <x:v>5</x:v>
      </x:c>
      <x:c r="AC537" s="38" t="n">
        <x:v>6160</x:v>
      </x:c>
      <x:c r="AD537" s="38" t="n">
        <x:v>0</x:v>
      </x:c>
      <x:c r="AE537" s="38" t="n">
        <x:f>IF(B537=1,0,F537-Q536)</x:f>
        <x:v>0</x:v>
      </x:c>
    </x:row>
    <x:row r="538" ht="27" customHeight="1">
      <x:c r="A538" s="28" t="str">
        <x:v>Light payer</x:v>
      </x:c>
      <x:c r="B538" s="38" t="n">
        <x:v>54</x:v>
      </x:c>
      <x:c r="C538" s="38" t="n">
        <x:v>30</x:v>
      </x:c>
      <x:c r="D538" s="38" t="n">
        <x:v>319298</x:v>
      </x:c>
      <x:c r="E538" s="38" t="n">
        <x:v>75</x:v>
      </x:c>
      <x:c r="F538" s="38" t="n">
        <x:v>412759</x:v>
      </x:c>
      <x:c r="G538" s="38" t="n">
        <x:v>64170</x:v>
      </x:c>
      <x:c r="H538" s="38" t="n">
        <x:v>13635</x:v>
      </x:c>
      <x:c r="I538" s="38" t="n">
        <x:v>2848</x:v>
      </x:c>
      <x:c r="J538" s="38" t="n">
        <x:v>780</x:v>
      </x:c>
      <x:c r="K538" s="38" t="n">
        <x:v>0</x:v>
      </x:c>
      <x:c r="L538" s="38" t="n">
        <x:v>0</x:v>
      </x:c>
      <x:c r="M538" s="38" t="n">
        <x:v>300000</x:v>
      </x:c>
      <x:c r="N538" s="38" t="n">
        <x:v>0</x:v>
      </x:c>
      <x:c r="O538" s="38" t="n">
        <x:v>108309</x:v>
      </x:c>
      <x:c r="P538" s="38" t="n">
        <x:f>F538+G538-H538+I538+J538+K538+L538-M538-N538-O538</x:f>
        <x:v>58613</x:v>
      </x:c>
      <x:c r="Q538" s="38" t="n">
        <x:v>58613</x:v>
      </x:c>
      <x:c r="R538" s="38" t="n">
        <x:f>P538-Q538</x:f>
        <x:v>0</x:v>
      </x:c>
      <x:c r="S538" s="38" t="n">
        <x:v>51350</x:v>
      </x:c>
      <x:c r="T538" s="38" t="n">
        <x:v>8566</x:v>
      </x:c>
      <x:c r="U538" s="38" t="n">
        <x:v>81</x:v>
      </x:c>
      <x:c r="V538" s="38" t="n">
        <x:v>3</x:v>
      </x:c>
      <x:c r="W538" s="38" t="n">
        <x:v>0</x:v>
      </x:c>
      <x:c r="X538" s="44" t="n">
        <x:v>6.98</x:v>
      </x:c>
      <x:c r="Y538" s="38" t="n">
        <x:v>144</x:v>
      </x:c>
      <x:c r="Z538" s="38" t="n">
        <x:v>30</x:v>
      </x:c>
      <x:c r="AA538" s="38" t="n">
        <x:v>18</x:v>
      </x:c>
      <x:c r="AB538" s="38" t="n">
        <x:v>5</x:v>
      </x:c>
      <x:c r="AC538" s="38" t="n">
        <x:v>6975</x:v>
      </x:c>
      <x:c r="AD538" s="38" t="n">
        <x:v>0</x:v>
      </x:c>
      <x:c r="AE538" s="38" t="n">
        <x:f>IF(B538=1,0,F538-Q537)</x:f>
        <x:v>0</x:v>
      </x:c>
    </x:row>
    <x:row r="539" ht="27" customHeight="1">
      <x:c r="A539" s="28" t="str">
        <x:v>Light payer</x:v>
      </x:c>
      <x:c r="B539" s="38" t="n">
        <x:v>55</x:v>
      </x:c>
      <x:c r="C539" s="38" t="n">
        <x:v>30</x:v>
      </x:c>
      <x:c r="D539" s="38" t="n">
        <x:v>328219</x:v>
      </x:c>
      <x:c r="E539" s="38" t="n">
        <x:v>75</x:v>
      </x:c>
      <x:c r="F539" s="38" t="n">
        <x:v>58613</x:v>
      </x:c>
      <x:c r="G539" s="38" t="n">
        <x:v>66600</x:v>
      </x:c>
      <x:c r="H539" s="38" t="n">
        <x:v>13320</x:v>
      </x:c>
      <x:c r="I539" s="38" t="n">
        <x:v>3112</x:v>
      </x:c>
      <x:c r="J539" s="38" t="n">
        <x:v>0</x:v>
      </x:c>
      <x:c r="K539" s="38" t="n">
        <x:v>0</x:v>
      </x:c>
      <x:c r="L539" s="38" t="n">
        <x:v>0</x:v>
      </x:c>
      <x:c r="M539" s="38" t="n">
        <x:v>0</x:v>
      </x:c>
      <x:c r="N539" s="38" t="n">
        <x:v>2180</x:v>
      </x:c>
      <x:c r="O539" s="38" t="n">
        <x:v>21346</x:v>
      </x:c>
      <x:c r="P539" s="38" t="n">
        <x:f>F539+G539-H539+I539+J539+K539+L539-M539-N539-O539</x:f>
        <x:v>91479</x:v>
      </x:c>
      <x:c r="Q539" s="38" t="n">
        <x:v>91479</x:v>
      </x:c>
      <x:c r="R539" s="38" t="n">
        <x:f>P539-Q539</x:f>
        <x:v>0</x:v>
      </x:c>
      <x:c r="S539" s="38" t="n">
        <x:v>53280</x:v>
      </x:c>
      <x:c r="T539" s="38" t="n">
        <x:v>8921</x:v>
      </x:c>
      <x:c r="U539" s="38" t="n">
        <x:v>81</x:v>
      </x:c>
      <x:c r="V539" s="38" t="n">
        <x:v>0</x:v>
      </x:c>
      <x:c r="W539" s="38" t="n">
        <x:v>0</x:v>
      </x:c>
      <x:c r="X539" s="44" t="n">
        <x:v>6.98</x:v>
      </x:c>
      <x:c r="Y539" s="38" t="n">
        <x:v>148</x:v>
      </x:c>
      <x:c r="Z539" s="38" t="n">
        <x:v>30</x:v>
      </x:c>
      <x:c r="AA539" s="38" t="n">
        <x:v>19</x:v>
      </x:c>
      <x:c r="AB539" s="38" t="n">
        <x:v>6</x:v>
      </x:c>
      <x:c r="AC539" s="38" t="n">
        <x:v>6975</x:v>
      </x:c>
      <x:c r="AD539" s="38" t="n">
        <x:v>0</x:v>
      </x:c>
      <x:c r="AE539" s="38" t="n">
        <x:f>IF(B539=1,0,F539-Q538)</x:f>
        <x:v>0</x:v>
      </x:c>
    </x:row>
    <x:row r="540" ht="27" customHeight="1">
      <x:c r="A540" s="28" t="str">
        <x:v>Light payer</x:v>
      </x:c>
      <x:c r="B540" s="38" t="n">
        <x:v>56</x:v>
      </x:c>
      <x:c r="C540" s="38" t="n">
        <x:v>31</x:v>
      </x:c>
      <x:c r="D540" s="38" t="n">
        <x:v>341691</x:v>
      </x:c>
      <x:c r="E540" s="38" t="n">
        <x:v>75</x:v>
      </x:c>
      <x:c r="F540" s="38" t="n">
        <x:v>91479</x:v>
      </x:c>
      <x:c r="G540" s="38" t="n">
        <x:v>68625</x:v>
      </x:c>
      <x:c r="H540" s="38" t="n">
        <x:v>13650</x:v>
      </x:c>
      <x:c r="I540" s="38" t="n">
        <x:v>17067</x:v>
      </x:c>
      <x:c r="J540" s="38" t="n">
        <x:v>795</x:v>
      </x:c>
      <x:c r="K540" s="38" t="n">
        <x:v>0</x:v>
      </x:c>
      <x:c r="L540" s="38" t="n">
        <x:v>0</x:v>
      </x:c>
      <x:c r="M540" s="38" t="n">
        <x:v>0</x:v>
      </x:c>
      <x:c r="N540" s="38" t="n">
        <x:v>0</x:v>
      </x:c>
      <x:c r="O540" s="38" t="n">
        <x:v>0</x:v>
      </x:c>
      <x:c r="P540" s="38" t="n">
        <x:f>F540+G540-H540+I540+J540+K540+L540-M540-N540-O540</x:f>
        <x:v>164316</x:v>
      </x:c>
      <x:c r="Q540" s="38" t="n">
        <x:v>164316</x:v>
      </x:c>
      <x:c r="R540" s="38" t="n">
        <x:f>P540-Q540</x:f>
        <x:v>0</x:v>
      </x:c>
      <x:c r="S540" s="38" t="n">
        <x:v>54900</x:v>
      </x:c>
      <x:c r="T540" s="38" t="n">
        <x:v>13472</x:v>
      </x:c>
      <x:c r="U540" s="38" t="n">
        <x:v>83</x:v>
      </x:c>
      <x:c r="V540" s="38" t="n">
        <x:v>2</x:v>
      </x:c>
      <x:c r="W540" s="38" t="n">
        <x:v>0</x:v>
      </x:c>
      <x:c r="X540" s="44" t="n">
        <x:v>6.98</x:v>
      </x:c>
      <x:c r="Y540" s="38" t="n">
        <x:v>150</x:v>
      </x:c>
      <x:c r="Z540" s="38" t="n">
        <x:v>31</x:v>
      </x:c>
      <x:c r="AA540" s="38" t="n">
        <x:v>19</x:v>
      </x:c>
      <x:c r="AB540" s="38" t="n">
        <x:v>6</x:v>
      </x:c>
      <x:c r="AC540" s="38" t="n">
        <x:v>6900</x:v>
      </x:c>
      <x:c r="AD540" s="38" t="n">
        <x:v>0</x:v>
      </x:c>
      <x:c r="AE540" s="38" t="n">
        <x:f>IF(B540=1,0,F540-Q539)</x:f>
        <x:v>0</x:v>
      </x:c>
    </x:row>
    <x:row r="541" ht="27" customHeight="1">
      <x:c r="A541" s="28" t="str">
        <x:v>Light payer</x:v>
      </x:c>
      <x:c r="B541" s="38" t="n">
        <x:v>57</x:v>
      </x:c>
      <x:c r="C541" s="38" t="n">
        <x:v>31</x:v>
      </x:c>
      <x:c r="D541" s="38" t="n">
        <x:v>350727</x:v>
      </x:c>
      <x:c r="E541" s="38" t="n">
        <x:v>75</x:v>
      </x:c>
      <x:c r="F541" s="38" t="n">
        <x:v>164316</x:v>
      </x:c>
      <x:c r="G541" s="38" t="n">
        <x:v>68850</x:v>
      </x:c>
      <x:c r="H541" s="38" t="n">
        <x:v>13800</x:v>
      </x:c>
      <x:c r="I541" s="38" t="n">
        <x:v>3172</x:v>
      </x:c>
      <x:c r="J541" s="38" t="n">
        <x:v>0</x:v>
      </x:c>
      <x:c r="K541" s="38" t="n">
        <x:v>0</x:v>
      </x:c>
      <x:c r="L541" s="38" t="n">
        <x:v>0</x:v>
      </x:c>
      <x:c r="M541" s="38" t="n">
        <x:v>0</x:v>
      </x:c>
      <x:c r="N541" s="38" t="n">
        <x:v>0</x:v>
      </x:c>
      <x:c r="O541" s="38" t="n">
        <x:v>0</x:v>
      </x:c>
      <x:c r="P541" s="38" t="n">
        <x:f>F541+G541-H541+I541+J541+K541+L541-M541-N541-O541</x:f>
        <x:v>222538</x:v>
      </x:c>
      <x:c r="Q541" s="38" t="n">
        <x:v>222538</x:v>
      </x:c>
      <x:c r="R541" s="38" t="n">
        <x:f>P541-Q541</x:f>
        <x:v>0</x:v>
      </x:c>
      <x:c r="S541" s="38" t="n">
        <x:v>55050</x:v>
      </x:c>
      <x:c r="T541" s="38" t="n">
        <x:v>9036</x:v>
      </x:c>
      <x:c r="U541" s="38" t="n">
        <x:v>83</x:v>
      </x:c>
      <x:c r="V541" s="38" t="n">
        <x:v>0</x:v>
      </x:c>
      <x:c r="W541" s="38" t="n">
        <x:v>0</x:v>
      </x:c>
      <x:c r="X541" s="44" t="n">
        <x:v>6.98</x:v>
      </x:c>
      <x:c r="Y541" s="38" t="n">
        <x:v>150</x:v>
      </x:c>
      <x:c r="Z541" s="38" t="n">
        <x:v>31</x:v>
      </x:c>
      <x:c r="AA541" s="38" t="n">
        <x:v>19</x:v>
      </x:c>
      <x:c r="AB541" s="38" t="n">
        <x:v>6</x:v>
      </x:c>
      <x:c r="AC541" s="38" t="n">
        <x:v>6900</x:v>
      </x:c>
      <x:c r="AD541" s="38" t="n">
        <x:v>0</x:v>
      </x:c>
      <x:c r="AE541" s="38" t="n">
        <x:f>IF(B541=1,0,F541-Q540)</x:f>
        <x:v>0</x:v>
      </x:c>
    </x:row>
    <x:row r="542" ht="27" customHeight="1">
      <x:c r="A542" s="28" t="str">
        <x:v>Light payer</x:v>
      </x:c>
      <x:c r="B542" s="38" t="n">
        <x:v>58</x:v>
      </x:c>
      <x:c r="C542" s="38" t="n">
        <x:v>31</x:v>
      </x:c>
      <x:c r="D542" s="38" t="n">
        <x:v>359763</x:v>
      </x:c>
      <x:c r="E542" s="38" t="n">
        <x:v>75</x:v>
      </x:c>
      <x:c r="F542" s="38" t="n">
        <x:v>222538</x:v>
      </x:c>
      <x:c r="G542" s="38" t="n">
        <x:v>68850</x:v>
      </x:c>
      <x:c r="H542" s="38" t="n">
        <x:v>13800</x:v>
      </x:c>
      <x:c r="I542" s="38" t="n">
        <x:v>3172</x:v>
      </x:c>
      <x:c r="J542" s="38" t="n">
        <x:v>0</x:v>
      </x:c>
      <x:c r="K542" s="38" t="n">
        <x:v>0</x:v>
      </x:c>
      <x:c r="L542" s="38" t="n">
        <x:v>0</x:v>
      </x:c>
      <x:c r="M542" s="38" t="n">
        <x:v>0</x:v>
      </x:c>
      <x:c r="N542" s="38" t="n">
        <x:v>2180</x:v>
      </x:c>
      <x:c r="O542" s="38" t="n">
        <x:v>0</x:v>
      </x:c>
      <x:c r="P542" s="38" t="n">
        <x:f>F542+G542-H542+I542+J542+K542+L542-M542-N542-O542</x:f>
        <x:v>278580</x:v>
      </x:c>
      <x:c r="Q542" s="38" t="n">
        <x:v>278580</x:v>
      </x:c>
      <x:c r="R542" s="38" t="n">
        <x:f>P542-Q542</x:f>
        <x:v>0</x:v>
      </x:c>
      <x:c r="S542" s="38" t="n">
        <x:v>55050</x:v>
      </x:c>
      <x:c r="T542" s="38" t="n">
        <x:v>9036</x:v>
      </x:c>
      <x:c r="U542" s="38" t="n">
        <x:v>83</x:v>
      </x:c>
      <x:c r="V542" s="38" t="n">
        <x:v>0</x:v>
      </x:c>
      <x:c r="W542" s="38" t="n">
        <x:v>0</x:v>
      </x:c>
      <x:c r="X542" s="44" t="n">
        <x:v>6.98</x:v>
      </x:c>
      <x:c r="Y542" s="38" t="n">
        <x:v>150</x:v>
      </x:c>
      <x:c r="Z542" s="38" t="n">
        <x:v>31</x:v>
      </x:c>
      <x:c r="AA542" s="38" t="n">
        <x:v>20</x:v>
      </x:c>
      <x:c r="AB542" s="38" t="n">
        <x:v>6</x:v>
      </x:c>
      <x:c r="AC542" s="38" t="n">
        <x:v>6900</x:v>
      </x:c>
      <x:c r="AD542" s="38" t="n">
        <x:v>0</x:v>
      </x:c>
      <x:c r="AE542" s="38" t="n">
        <x:f>IF(B542=1,0,F542-Q541)</x:f>
        <x:v>0</x:v>
      </x:c>
    </x:row>
    <x:row r="543" ht="27" customHeight="1">
      <x:c r="A543" s="28" t="str">
        <x:v>Light payer</x:v>
      </x:c>
      <x:c r="B543" s="38" t="n">
        <x:v>59</x:v>
      </x:c>
      <x:c r="C543" s="38" t="n">
        <x:v>31</x:v>
      </x:c>
      <x:c r="D543" s="38" t="n">
        <x:v>368799</x:v>
      </x:c>
      <x:c r="E543" s="38" t="n">
        <x:v>75</x:v>
      </x:c>
      <x:c r="F543" s="38" t="n">
        <x:v>278580</x:v>
      </x:c>
      <x:c r="G543" s="38" t="n">
        <x:v>68850</x:v>
      </x:c>
      <x:c r="H543" s="38" t="n">
        <x:v>13800</x:v>
      </x:c>
      <x:c r="I543" s="38" t="n">
        <x:v>3172</x:v>
      </x:c>
      <x:c r="J543" s="38" t="n">
        <x:v>0</x:v>
      </x:c>
      <x:c r="K543" s="38" t="n">
        <x:v>0</x:v>
      </x:c>
      <x:c r="L543" s="38" t="n">
        <x:v>0</x:v>
      </x:c>
      <x:c r="M543" s="38" t="n">
        <x:v>0</x:v>
      </x:c>
      <x:c r="N543" s="38" t="n">
        <x:v>0</x:v>
      </x:c>
      <x:c r="O543" s="38" t="n">
        <x:v>0</x:v>
      </x:c>
      <x:c r="P543" s="38" t="n">
        <x:f>F543+G543-H543+I543+J543+K543+L543-M543-N543-O543</x:f>
        <x:v>336802</x:v>
      </x:c>
      <x:c r="Q543" s="38" t="n">
        <x:v>336802</x:v>
      </x:c>
      <x:c r="R543" s="38" t="n">
        <x:f>P543-Q543</x:f>
        <x:v>0</x:v>
      </x:c>
      <x:c r="S543" s="38" t="n">
        <x:v>55050</x:v>
      </x:c>
      <x:c r="T543" s="38" t="n">
        <x:v>9036</x:v>
      </x:c>
      <x:c r="U543" s="38" t="n">
        <x:v>83</x:v>
      </x:c>
      <x:c r="V543" s="38" t="n">
        <x:v>0</x:v>
      </x:c>
      <x:c r="W543" s="38" t="n">
        <x:v>0</x:v>
      </x:c>
      <x:c r="X543" s="44" t="n">
        <x:v>6.98</x:v>
      </x:c>
      <x:c r="Y543" s="38" t="n">
        <x:v>150</x:v>
      </x:c>
      <x:c r="Z543" s="38" t="n">
        <x:v>31</x:v>
      </x:c>
      <x:c r="AA543" s="38" t="n">
        <x:v>20</x:v>
      </x:c>
      <x:c r="AB543" s="38" t="n">
        <x:v>6</x:v>
      </x:c>
      <x:c r="AC543" s="38" t="n">
        <x:v>6900</x:v>
      </x:c>
      <x:c r="AD543" s="38" t="n">
        <x:v>0</x:v>
      </x:c>
      <x:c r="AE543" s="38" t="n">
        <x:f>IF(B543=1,0,F543-Q542)</x:f>
        <x:v>0</x:v>
      </x:c>
    </x:row>
    <x:row r="544" ht="27" customHeight="1">
      <x:c r="A544" s="28" t="str">
        <x:v>Light payer</x:v>
      </x:c>
      <x:c r="B544" s="38" t="n">
        <x:v>60</x:v>
      </x:c>
      <x:c r="C544" s="38" t="n">
        <x:v>32</x:v>
      </x:c>
      <x:c r="D544" s="38" t="n">
        <x:v>377783</x:v>
      </x:c>
      <x:c r="E544" s="38" t="n">
        <x:v>75</x:v>
      </x:c>
      <x:c r="F544" s="38" t="n">
        <x:v>336802</x:v>
      </x:c>
      <x:c r="G544" s="38" t="n">
        <x:v>69078</x:v>
      </x:c>
      <x:c r="H544" s="38" t="n">
        <x:v>14011</x:v>
      </x:c>
      <x:c r="I544" s="38" t="n">
        <x:v>3172</x:v>
      </x:c>
      <x:c r="J544" s="38" t="n">
        <x:v>810</x:v>
      </x:c>
      <x:c r="K544" s="38" t="n">
        <x:v>0</x:v>
      </x:c>
      <x:c r="L544" s="38" t="n">
        <x:v>0</x:v>
      </x:c>
      <x:c r="M544" s="38" t="n">
        <x:v>0</x:v>
      </x:c>
      <x:c r="N544" s="38" t="n">
        <x:v>0</x:v>
      </x:c>
      <x:c r="O544" s="38" t="n">
        <x:v>0</x:v>
      </x:c>
      <x:c r="P544" s="38" t="n">
        <x:f>F544+G544-H544+I544+J544+K544+L544-M544-N544-O544</x:f>
        <x:v>395851</x:v>
      </x:c>
      <x:c r="Q544" s="38" t="n">
        <x:v>395851</x:v>
      </x:c>
      <x:c r="R544" s="38" t="n">
        <x:f>P544-Q544</x:f>
        <x:v>0</x:v>
      </x:c>
      <x:c r="S544" s="38" t="n">
        <x:v>55217</x:v>
      </x:c>
      <x:c r="T544" s="38" t="n">
        <x:v>8984</x:v>
      </x:c>
      <x:c r="U544" s="38" t="n">
        <x:v>84</x:v>
      </x:c>
      <x:c r="V544" s="38" t="n">
        <x:v>1</x:v>
      </x:c>
      <x:c r="W544" s="38" t="n">
        <x:v>0</x:v>
      </x:c>
      <x:c r="X544" s="44" t="n">
        <x:v>6.98</x:v>
      </x:c>
      <x:c r="Y544" s="38" t="n">
        <x:v>150</x:v>
      </x:c>
      <x:c r="Z544" s="38" t="n">
        <x:v>32</x:v>
      </x:c>
      <x:c r="AA544" s="38" t="n">
        <x:v>20</x:v>
      </x:c>
      <x:c r="AB544" s="38" t="n">
        <x:v>6</x:v>
      </x:c>
      <x:c r="AC544" s="38" t="n">
        <x:v>7050</x:v>
      </x:c>
      <x:c r="AD544" s="38" t="n">
        <x:v>0</x:v>
      </x:c>
      <x:c r="AE544" s="38" t="n">
        <x:f>IF(B544=1,0,F544-Q543)</x:f>
        <x:v>0</x:v>
      </x:c>
    </x:row>
    <x:row r="545" ht="27" customHeight="1">
      <x:c r="A545" s="28" t="str">
        <x:v>Light payer</x:v>
      </x:c>
      <x:c r="B545" s="38" t="n">
        <x:v>61</x:v>
      </x:c>
      <x:c r="C545" s="38" t="n">
        <x:v>32</x:v>
      </x:c>
      <x:c r="D545" s="38" t="n">
        <x:v>386826</x:v>
      </x:c>
      <x:c r="E545" s="38" t="n">
        <x:v>75</x:v>
      </x:c>
      <x:c r="F545" s="38" t="n">
        <x:v>395851</x:v>
      </x:c>
      <x:c r="G545" s="38" t="n">
        <x:v>70200</x:v>
      </x:c>
      <x:c r="H545" s="38" t="n">
        <x:v>14100</x:v>
      </x:c>
      <x:c r="I545" s="38" t="n">
        <x:v>3233</x:v>
      </x:c>
      <x:c r="J545" s="38" t="n">
        <x:v>0</x:v>
      </x:c>
      <x:c r="K545" s="38" t="n">
        <x:v>0</x:v>
      </x:c>
      <x:c r="L545" s="38" t="n">
        <x:v>0</x:v>
      </x:c>
      <x:c r="M545" s="38" t="n">
        <x:v>0</x:v>
      </x:c>
      <x:c r="N545" s="38" t="n">
        <x:v>1200</x:v>
      </x:c>
      <x:c r="O545" s="38" t="n">
        <x:v>0</x:v>
      </x:c>
      <x:c r="P545" s="38" t="n">
        <x:f>F545+G545-H545+I545+J545+K545+L545-M545-N545-O545</x:f>
        <x:v>453984</x:v>
      </x:c>
      <x:c r="Q545" s="38" t="n">
        <x:v>453984</x:v>
      </x:c>
      <x:c r="R545" s="38" t="n">
        <x:f>P545-Q545</x:f>
        <x:v>0</x:v>
      </x:c>
      <x:c r="S545" s="38" t="n">
        <x:v>56100</x:v>
      </x:c>
      <x:c r="T545" s="38" t="n">
        <x:v>9043</x:v>
      </x:c>
      <x:c r="U545" s="38" t="n">
        <x:v>84</x:v>
      </x:c>
      <x:c r="V545" s="38" t="n">
        <x:v>0</x:v>
      </x:c>
      <x:c r="W545" s="38" t="n">
        <x:v>0</x:v>
      </x:c>
      <x:c r="X545" s="44" t="n">
        <x:v>6.98</x:v>
      </x:c>
      <x:c r="Y545" s="38" t="n">
        <x:v>150</x:v>
      </x:c>
      <x:c r="Z545" s="38" t="n">
        <x:v>32</x:v>
      </x:c>
      <x:c r="AA545" s="38" t="n">
        <x:v>21</x:v>
      </x:c>
      <x:c r="AB545" s="38" t="n">
        <x:v>6</x:v>
      </x:c>
      <x:c r="AC545" s="38" t="n">
        <x:v>7050</x:v>
      </x:c>
      <x:c r="AD545" s="38" t="n">
        <x:v>0</x:v>
      </x:c>
      <x:c r="AE545" s="38" t="n">
        <x:f>IF(B545=1,0,F545-Q544)</x:f>
        <x:v>0</x:v>
      </x:c>
    </x:row>
    <x:row r="546" ht="27" customHeight="1">
      <x:c r="A546" s="28" t="str">
        <x:v>Light payer</x:v>
      </x:c>
      <x:c r="B546" s="38" t="n">
        <x:v>62</x:v>
      </x:c>
      <x:c r="C546" s="38" t="n">
        <x:v>32</x:v>
      </x:c>
      <x:c r="D546" s="38" t="n">
        <x:v>395869</x:v>
      </x:c>
      <x:c r="E546" s="38" t="n">
        <x:v>75</x:v>
      </x:c>
      <x:c r="F546" s="38" t="n">
        <x:v>453984</x:v>
      </x:c>
      <x:c r="G546" s="38" t="n">
        <x:v>70200</x:v>
      </x:c>
      <x:c r="H546" s="38" t="n">
        <x:v>14100</x:v>
      </x:c>
      <x:c r="I546" s="38" t="n">
        <x:v>3233</x:v>
      </x:c>
      <x:c r="J546" s="38" t="n">
        <x:v>0</x:v>
      </x:c>
      <x:c r="K546" s="38" t="n">
        <x:v>0</x:v>
      </x:c>
      <x:c r="L546" s="38" t="n">
        <x:v>0</x:v>
      </x:c>
      <x:c r="M546" s="38" t="n">
        <x:v>0</x:v>
      </x:c>
      <x:c r="N546" s="38" t="n">
        <x:v>0</x:v>
      </x:c>
      <x:c r="O546" s="38" t="n">
        <x:v>0</x:v>
      </x:c>
      <x:c r="P546" s="38" t="n">
        <x:f>F546+G546-H546+I546+J546+K546+L546-M546-N546-O546</x:f>
        <x:v>513317</x:v>
      </x:c>
      <x:c r="Q546" s="38" t="n">
        <x:v>513317</x:v>
      </x:c>
      <x:c r="R546" s="38" t="n">
        <x:f>P546-Q546</x:f>
        <x:v>0</x:v>
      </x:c>
      <x:c r="S546" s="38" t="n">
        <x:v>56100</x:v>
      </x:c>
      <x:c r="T546" s="38" t="n">
        <x:v>9043</x:v>
      </x:c>
      <x:c r="U546" s="38" t="n">
        <x:v>84</x:v>
      </x:c>
      <x:c r="V546" s="38" t="n">
        <x:v>0</x:v>
      </x:c>
      <x:c r="W546" s="38" t="n">
        <x:v>0</x:v>
      </x:c>
      <x:c r="X546" s="44" t="n">
        <x:v>6.98</x:v>
      </x:c>
      <x:c r="Y546" s="38" t="n">
        <x:v>150</x:v>
      </x:c>
      <x:c r="Z546" s="38" t="n">
        <x:v>32</x:v>
      </x:c>
      <x:c r="AA546" s="38" t="n">
        <x:v>21</x:v>
      </x:c>
      <x:c r="AB546" s="38" t="n">
        <x:v>6</x:v>
      </x:c>
      <x:c r="AC546" s="38" t="n">
        <x:v>7050</x:v>
      </x:c>
      <x:c r="AD546" s="38" t="n">
        <x:v>0</x:v>
      </x:c>
      <x:c r="AE546" s="38" t="n">
        <x:f>IF(B546=1,0,F546-Q545)</x:f>
        <x:v>0</x:v>
      </x:c>
    </x:row>
    <x:row r="547" ht="27" customHeight="1">
      <x:c r="A547" s="28" t="str">
        <x:v>Light payer</x:v>
      </x:c>
      <x:c r="B547" s="38" t="n">
        <x:v>63</x:v>
      </x:c>
      <x:c r="C547" s="38" t="n">
        <x:v>33</x:v>
      </x:c>
      <x:c r="D547" s="38" t="n">
        <x:v>409667</x:v>
      </x:c>
      <x:c r="E547" s="38" t="n">
        <x:v>75</x:v>
      </x:c>
      <x:c r="F547" s="38" t="n">
        <x:v>513317</x:v>
      </x:c>
      <x:c r="G547" s="38" t="n">
        <x:v>70800</x:v>
      </x:c>
      <x:c r="H547" s="38" t="n">
        <x:v>14250</x:v>
      </x:c>
      <x:c r="I547" s="38" t="n">
        <x:v>19095</x:v>
      </x:c>
      <x:c r="J547" s="38" t="n">
        <x:v>825</x:v>
      </x:c>
      <x:c r="K547" s="38" t="n">
        <x:v>0</x:v>
      </x:c>
      <x:c r="L547" s="38" t="n">
        <x:v>0</x:v>
      </x:c>
      <x:c r="M547" s="38" t="n">
        <x:v>0</x:v>
      </x:c>
      <x:c r="N547" s="38" t="n">
        <x:v>0</x:v>
      </x:c>
      <x:c r="O547" s="38" t="n">
        <x:v>0</x:v>
      </x:c>
      <x:c r="P547" s="38" t="n">
        <x:f>F547+G547-H547+I547+J547+K547+L547-M547-N547-O547</x:f>
        <x:v>589787</x:v>
      </x:c>
      <x:c r="Q547" s="38" t="n">
        <x:v>589787</x:v>
      </x:c>
      <x:c r="R547" s="38" t="n">
        <x:f>P547-Q547</x:f>
        <x:v>0</x:v>
      </x:c>
      <x:c r="S547" s="38" t="n">
        <x:v>56625</x:v>
      </x:c>
      <x:c r="T547" s="38" t="n">
        <x:v>13798</x:v>
      </x:c>
      <x:c r="U547" s="38" t="n">
        <x:v>86</x:v>
      </x:c>
      <x:c r="V547" s="38" t="n">
        <x:v>2</x:v>
      </x:c>
      <x:c r="W547" s="38" t="n">
        <x:v>0</x:v>
      </x:c>
      <x:c r="X547" s="44" t="n">
        <x:v>6.98</x:v>
      </x:c>
      <x:c r="Y547" s="38" t="n">
        <x:v>150</x:v>
      </x:c>
      <x:c r="Z547" s="38" t="n">
        <x:v>33</x:v>
      </x:c>
      <x:c r="AA547" s="38" t="n">
        <x:v>21</x:v>
      </x:c>
      <x:c r="AB547" s="38" t="n">
        <x:v>6</x:v>
      </x:c>
      <x:c r="AC547" s="38" t="n">
        <x:v>7125</x:v>
      </x:c>
      <x:c r="AD547" s="38" t="n">
        <x:v>0</x:v>
      </x:c>
      <x:c r="AE547" s="38" t="n">
        <x:f>IF(B547=1,0,F547-Q546)</x:f>
        <x:v>0</x:v>
      </x:c>
    </x:row>
    <x:row r="548" ht="27" customHeight="1">
      <x:c r="A548" s="28" t="str">
        <x:v>Light payer</x:v>
      </x:c>
      <x:c r="B548" s="38" t="n">
        <x:v>64</x:v>
      </x:c>
      <x:c r="C548" s="38" t="n">
        <x:v>33</x:v>
      </x:c>
      <x:c r="D548" s="38" t="n">
        <x:v>418867</x:v>
      </x:c>
      <x:c r="E548" s="38" t="n">
        <x:v>75</x:v>
      </x:c>
      <x:c r="F548" s="38" t="n">
        <x:v>589787</x:v>
      </x:c>
      <x:c r="G548" s="38" t="n">
        <x:v>71400</x:v>
      </x:c>
      <x:c r="H548" s="38" t="n">
        <x:v>14250</x:v>
      </x:c>
      <x:c r="I548" s="38" t="n">
        <x:v>3294</x:v>
      </x:c>
      <x:c r="J548" s="38" t="n">
        <x:v>0</x:v>
      </x:c>
      <x:c r="K548" s="38" t="n">
        <x:v>0</x:v>
      </x:c>
      <x:c r="L548" s="38" t="n">
        <x:v>0</x:v>
      </x:c>
      <x:c r="M548" s="38" t="n">
        <x:v>0</x:v>
      </x:c>
      <x:c r="N548" s="38" t="n">
        <x:v>2710</x:v>
      </x:c>
      <x:c r="O548" s="38" t="n">
        <x:v>0</x:v>
      </x:c>
      <x:c r="P548" s="38" t="n">
        <x:f>F548+G548-H548+I548+J548+K548+L548-M548-N548-O548</x:f>
        <x:v>647521</x:v>
      </x:c>
      <x:c r="Q548" s="38" t="n">
        <x:v>647521</x:v>
      </x:c>
      <x:c r="R548" s="38" t="n">
        <x:f>P548-Q548</x:f>
        <x:v>0</x:v>
      </x:c>
      <x:c r="S548" s="38" t="n">
        <x:v>57150</x:v>
      </x:c>
      <x:c r="T548" s="38" t="n">
        <x:v>9200</x:v>
      </x:c>
      <x:c r="U548" s="38" t="n">
        <x:v>86</x:v>
      </x:c>
      <x:c r="V548" s="38" t="n">
        <x:v>0</x:v>
      </x:c>
      <x:c r="W548" s="38" t="n">
        <x:v>0</x:v>
      </x:c>
      <x:c r="X548" s="44" t="n">
        <x:v>6.98</x:v>
      </x:c>
      <x:c r="Y548" s="38" t="n">
        <x:v>150</x:v>
      </x:c>
      <x:c r="Z548" s="38" t="n">
        <x:v>33</x:v>
      </x:c>
      <x:c r="AA548" s="38" t="n">
        <x:v>22</x:v>
      </x:c>
      <x:c r="AB548" s="38" t="n">
        <x:v>6</x:v>
      </x:c>
      <x:c r="AC548" s="38" t="n">
        <x:v>7125</x:v>
      </x:c>
      <x:c r="AD548" s="38" t="n">
        <x:v>0</x:v>
      </x:c>
      <x:c r="AE548" s="38" t="n">
        <x:f>IF(B548=1,0,F548-Q547)</x:f>
        <x:v>0</x:v>
      </x:c>
    </x:row>
    <x:row r="549" ht="27" customHeight="1">
      <x:c r="A549" s="28" t="str">
        <x:v>Light payer</x:v>
      </x:c>
      <x:c r="B549" s="38" t="n">
        <x:v>65</x:v>
      </x:c>
      <x:c r="C549" s="38" t="n">
        <x:v>33</x:v>
      </x:c>
      <x:c r="D549" s="38" t="n">
        <x:v>428067</x:v>
      </x:c>
      <x:c r="E549" s="38" t="n">
        <x:v>75</x:v>
      </x:c>
      <x:c r="F549" s="38" t="n">
        <x:v>647521</x:v>
      </x:c>
      <x:c r="G549" s="38" t="n">
        <x:v>71400</x:v>
      </x:c>
      <x:c r="H549" s="38" t="n">
        <x:v>14250</x:v>
      </x:c>
      <x:c r="I549" s="38" t="n">
        <x:v>3294</x:v>
      </x:c>
      <x:c r="J549" s="38" t="n">
        <x:v>0</x:v>
      </x:c>
      <x:c r="K549" s="38" t="n">
        <x:v>0</x:v>
      </x:c>
      <x:c r="L549" s="38" t="n">
        <x:v>0</x:v>
      </x:c>
      <x:c r="M549" s="38" t="n">
        <x:v>0</x:v>
      </x:c>
      <x:c r="N549" s="38" t="n">
        <x:v>0</x:v>
      </x:c>
      <x:c r="O549" s="38" t="n">
        <x:v>0</x:v>
      </x:c>
      <x:c r="P549" s="38" t="n">
        <x:f>F549+G549-H549+I549+J549+K549+L549-M549-N549-O549</x:f>
        <x:v>707965</x:v>
      </x:c>
      <x:c r="Q549" s="38" t="n">
        <x:v>707965</x:v>
      </x:c>
      <x:c r="R549" s="38" t="n">
        <x:f>P549-Q549</x:f>
        <x:v>0</x:v>
      </x:c>
      <x:c r="S549" s="38" t="n">
        <x:v>57150</x:v>
      </x:c>
      <x:c r="T549" s="38" t="n">
        <x:v>9200</x:v>
      </x:c>
      <x:c r="U549" s="38" t="n">
        <x:v>86</x:v>
      </x:c>
      <x:c r="V549" s="38" t="n">
        <x:v>0</x:v>
      </x:c>
      <x:c r="W549" s="38" t="n">
        <x:v>0</x:v>
      </x:c>
      <x:c r="X549" s="44" t="n">
        <x:v>6.98</x:v>
      </x:c>
      <x:c r="Y549" s="38" t="n">
        <x:v>150</x:v>
      </x:c>
      <x:c r="Z549" s="38" t="n">
        <x:v>33</x:v>
      </x:c>
      <x:c r="AA549" s="38" t="n">
        <x:v>22</x:v>
      </x:c>
      <x:c r="AB549" s="38" t="n">
        <x:v>6</x:v>
      </x:c>
      <x:c r="AC549" s="38" t="n">
        <x:v>7125</x:v>
      </x:c>
      <x:c r="AD549" s="38" t="n">
        <x:v>0</x:v>
      </x:c>
      <x:c r="AE549" s="38" t="n">
        <x:f>IF(B549=1,0,F549-Q548)</x:f>
        <x:v>0</x:v>
      </x:c>
    </x:row>
    <x:row r="550" ht="27" customHeight="1">
      <x:c r="A550" s="28" t="str">
        <x:v>Light payer</x:v>
      </x:c>
      <x:c r="B550" s="38" t="n">
        <x:v>66</x:v>
      </x:c>
      <x:c r="C550" s="38" t="n">
        <x:v>33</x:v>
      </x:c>
      <x:c r="D550" s="38" t="n">
        <x:v>437267</x:v>
      </x:c>
      <x:c r="E550" s="38" t="n">
        <x:v>75</x:v>
      </x:c>
      <x:c r="F550" s="38" t="n">
        <x:v>707965</x:v>
      </x:c>
      <x:c r="G550" s="38" t="n">
        <x:v>71400</x:v>
      </x:c>
      <x:c r="H550" s="38" t="n">
        <x:v>14250</x:v>
      </x:c>
      <x:c r="I550" s="38" t="n">
        <x:v>3294</x:v>
      </x:c>
      <x:c r="J550" s="38" t="n">
        <x:v>0</x:v>
      </x:c>
      <x:c r="K550" s="38" t="n">
        <x:v>0</x:v>
      </x:c>
      <x:c r="L550" s="38" t="n">
        <x:v>0</x:v>
      </x:c>
      <x:c r="M550" s="38" t="n">
        <x:v>0</x:v>
      </x:c>
      <x:c r="N550" s="38" t="n">
        <x:v>0</x:v>
      </x:c>
      <x:c r="O550" s="38" t="n">
        <x:v>0</x:v>
      </x:c>
      <x:c r="P550" s="38" t="n">
        <x:f>F550+G550-H550+I550+J550+K550+L550-M550-N550-O550</x:f>
        <x:v>768409</x:v>
      </x:c>
      <x:c r="Q550" s="38" t="n">
        <x:v>768409</x:v>
      </x:c>
      <x:c r="R550" s="38" t="n">
        <x:f>P550-Q550</x:f>
        <x:v>0</x:v>
      </x:c>
      <x:c r="S550" s="38" t="n">
        <x:v>57150</x:v>
      </x:c>
      <x:c r="T550" s="38" t="n">
        <x:v>9200</x:v>
      </x:c>
      <x:c r="U550" s="38" t="n">
        <x:v>86</x:v>
      </x:c>
      <x:c r="V550" s="38" t="n">
        <x:v>0</x:v>
      </x:c>
      <x:c r="W550" s="38" t="n">
        <x:v>0</x:v>
      </x:c>
      <x:c r="X550" s="44" t="n">
        <x:v>6.98</x:v>
      </x:c>
      <x:c r="Y550" s="38" t="n">
        <x:v>150</x:v>
      </x:c>
      <x:c r="Z550" s="38" t="n">
        <x:v>33</x:v>
      </x:c>
      <x:c r="AA550" s="38" t="n">
        <x:v>22</x:v>
      </x:c>
      <x:c r="AB550" s="38" t="n">
        <x:v>6</x:v>
      </x:c>
      <x:c r="AC550" s="38" t="n">
        <x:v>7125</x:v>
      </x:c>
      <x:c r="AD550" s="38" t="n">
        <x:v>0</x:v>
      </x:c>
      <x:c r="AE550" s="38" t="n">
        <x:f>IF(B550=1,0,F550-Q549)</x:f>
        <x:v>0</x:v>
      </x:c>
    </x:row>
    <x:row r="551" ht="27" customHeight="1">
      <x:c r="A551" s="28" t="str">
        <x:v>Light payer</x:v>
      </x:c>
      <x:c r="B551" s="38" t="n">
        <x:v>67</x:v>
      </x:c>
      <x:c r="C551" s="38" t="n">
        <x:v>34</x:v>
      </x:c>
      <x:c r="D551" s="38" t="n">
        <x:v>447017</x:v>
      </x:c>
      <x:c r="E551" s="38" t="n">
        <x:v>85</x:v>
      </x:c>
      <x:c r="F551" s="38" t="n">
        <x:v>768409</x:v>
      </x:c>
      <x:c r="G551" s="38" t="n">
        <x:v>76925</x:v>
      </x:c>
      <x:c r="H551" s="38" t="n">
        <x:v>16490</x:v>
      </x:c>
      <x:c r="I551" s="38" t="n">
        <x:v>3294</x:v>
      </x:c>
      <x:c r="J551" s="38" t="n">
        <x:v>950</x:v>
      </x:c>
      <x:c r="K551" s="38" t="n">
        <x:v>0</x:v>
      </x:c>
      <x:c r="L551" s="38" t="n">
        <x:v>0</x:v>
      </x:c>
      <x:c r="M551" s="38" t="n">
        <x:v>600000</x:v>
      </x:c>
      <x:c r="N551" s="38" t="n">
        <x:v>1490</x:v>
      </x:c>
      <x:c r="O551" s="38" t="n">
        <x:v>159985</x:v>
      </x:c>
      <x:c r="P551" s="38" t="n">
        <x:f>F551+G551-H551+I551+J551+K551+L551-M551-N551-O551</x:f>
        <x:v>71613</x:v>
      </x:c>
      <x:c r="Q551" s="38" t="n">
        <x:v>71613</x:v>
      </x:c>
      <x:c r="R551" s="38" t="n">
        <x:f>P551-Q551</x:f>
        <x:v>0</x:v>
      </x:c>
      <x:c r="S551" s="38" t="n">
        <x:v>61555</x:v>
      </x:c>
      <x:c r="T551" s="38" t="n">
        <x:v>9750</x:v>
      </x:c>
      <x:c r="U551" s="38" t="n">
        <x:v>87</x:v>
      </x:c>
      <x:c r="V551" s="38" t="n">
        <x:v>1</x:v>
      </x:c>
      <x:c r="W551" s="38" t="n">
        <x:v>0</x:v>
      </x:c>
      <x:c r="X551" s="44" t="n">
        <x:v>6.98</x:v>
      </x:c>
      <x:c r="Y551" s="38" t="n">
        <x:v>160</x:v>
      </x:c>
      <x:c r="Z551" s="38" t="n">
        <x:v>34</x:v>
      </x:c>
      <x:c r="AA551" s="38" t="n">
        <x:v>23</x:v>
      </x:c>
      <x:c r="AB551" s="38" t="n">
        <x:v>6</x:v>
      </x:c>
      <x:c r="AC551" s="38" t="n">
        <x:v>8245</x:v>
      </x:c>
      <x:c r="AD551" s="38" t="n">
        <x:v>0</x:v>
      </x:c>
      <x:c r="AE551" s="38" t="n">
        <x:f>IF(B551=1,0,F551-Q550)</x:f>
        <x:v>0</x:v>
      </x:c>
    </x:row>
    <x:row r="552" ht="27" customHeight="1">
      <x:c r="A552" s="28" t="str">
        <x:v>Light payer</x:v>
      </x:c>
      <x:c r="B552" s="38" t="n">
        <x:v>68</x:v>
      </x:c>
      <x:c r="C552" s="38" t="n">
        <x:v>34</x:v>
      </x:c>
      <x:c r="D552" s="38" t="n">
        <x:v>457452</x:v>
      </x:c>
      <x:c r="E552" s="38" t="n">
        <x:v>85</x:v>
      </x:c>
      <x:c r="F552" s="38" t="n">
        <x:v>71613</x:v>
      </x:c>
      <x:c r="G552" s="38" t="n">
        <x:v>82450</x:v>
      </x:c>
      <x:c r="H552" s="38" t="n">
        <x:v>16490</x:v>
      </x:c>
      <x:c r="I552" s="38" t="n">
        <x:v>3802</x:v>
      </x:c>
      <x:c r="J552" s="38" t="n">
        <x:v>0</x:v>
      </x:c>
      <x:c r="K552" s="38" t="n">
        <x:v>0</x:v>
      </x:c>
      <x:c r="L552" s="38" t="n">
        <x:v>0</x:v>
      </x:c>
      <x:c r="M552" s="38" t="n">
        <x:v>0</x:v>
      </x:c>
      <x:c r="N552" s="38" t="n">
        <x:v>0</x:v>
      </x:c>
      <x:c r="O552" s="38" t="n">
        <x:v>30115</x:v>
      </x:c>
      <x:c r="P552" s="38" t="n">
        <x:f>F552+G552-H552+I552+J552+K552+L552-M552-N552-O552</x:f>
        <x:v>111260</x:v>
      </x:c>
      <x:c r="Q552" s="38" t="n">
        <x:v>111260</x:v>
      </x:c>
      <x:c r="R552" s="38" t="n">
        <x:f>P552-Q552</x:f>
        <x:v>0</x:v>
      </x:c>
      <x:c r="S552" s="38" t="n">
        <x:v>65960</x:v>
      </x:c>
      <x:c r="T552" s="38" t="n">
        <x:v>10435</x:v>
      </x:c>
      <x:c r="U552" s="38" t="n">
        <x:v>87</x:v>
      </x:c>
      <x:c r="V552" s="38" t="n">
        <x:v>0</x:v>
      </x:c>
      <x:c r="W552" s="38" t="n">
        <x:v>0</x:v>
      </x:c>
      <x:c r="X552" s="44" t="n">
        <x:v>6.98</x:v>
      </x:c>
      <x:c r="Y552" s="38" t="n">
        <x:v>170</x:v>
      </x:c>
      <x:c r="Z552" s="38" t="n">
        <x:v>34</x:v>
      </x:c>
      <x:c r="AA552" s="38" t="n">
        <x:v>23</x:v>
      </x:c>
      <x:c r="AB552" s="38" t="n">
        <x:v>7</x:v>
      </x:c>
      <x:c r="AC552" s="38" t="n">
        <x:v>8245</x:v>
      </x:c>
      <x:c r="AD552" s="38" t="n">
        <x:v>0</x:v>
      </x:c>
      <x:c r="AE552" s="38" t="n">
        <x:f>IF(B552=1,0,F552-Q551)</x:f>
        <x:v>0</x:v>
      </x:c>
    </x:row>
    <x:row r="553" ht="27" customHeight="1">
      <x:c r="A553" s="28" t="str">
        <x:v>Light payer</x:v>
      </x:c>
      <x:c r="B553" s="38" t="n">
        <x:v>69</x:v>
      </x:c>
      <x:c r="C553" s="38" t="n">
        <x:v>34</x:v>
      </x:c>
      <x:c r="D553" s="38" t="n">
        <x:v>467887</x:v>
      </x:c>
      <x:c r="E553" s="38" t="n">
        <x:v>85</x:v>
      </x:c>
      <x:c r="F553" s="38" t="n">
        <x:v>111260</x:v>
      </x:c>
      <x:c r="G553" s="38" t="n">
        <x:v>82450</x:v>
      </x:c>
      <x:c r="H553" s="38" t="n">
        <x:v>16490</x:v>
      </x:c>
      <x:c r="I553" s="38" t="n">
        <x:v>3802</x:v>
      </x:c>
      <x:c r="J553" s="38" t="n">
        <x:v>0</x:v>
      </x:c>
      <x:c r="K553" s="38" t="n">
        <x:v>0</x:v>
      </x:c>
      <x:c r="L553" s="38" t="n">
        <x:v>0</x:v>
      </x:c>
      <x:c r="M553" s="38" t="n">
        <x:v>0</x:v>
      </x:c>
      <x:c r="N553" s="38" t="n">
        <x:v>0</x:v>
      </x:c>
      <x:c r="O553" s="38" t="n">
        <x:v>0</x:v>
      </x:c>
      <x:c r="P553" s="38" t="n">
        <x:f>F553+G553-H553+I553+J553+K553+L553-M553-N553-O553</x:f>
        <x:v>181022</x:v>
      </x:c>
      <x:c r="Q553" s="38" t="n">
        <x:v>181022</x:v>
      </x:c>
      <x:c r="R553" s="38" t="n">
        <x:f>P553-Q553</x:f>
        <x:v>0</x:v>
      </x:c>
      <x:c r="S553" s="38" t="n">
        <x:v>65960</x:v>
      </x:c>
      <x:c r="T553" s="38" t="n">
        <x:v>10435</x:v>
      </x:c>
      <x:c r="U553" s="38" t="n">
        <x:v>87</x:v>
      </x:c>
      <x:c r="V553" s="38" t="n">
        <x:v>0</x:v>
      </x:c>
      <x:c r="W553" s="38" t="n">
        <x:v>0</x:v>
      </x:c>
      <x:c r="X553" s="44" t="n">
        <x:v>6.98</x:v>
      </x:c>
      <x:c r="Y553" s="38" t="n">
        <x:v>170</x:v>
      </x:c>
      <x:c r="Z553" s="38" t="n">
        <x:v>34</x:v>
      </x:c>
      <x:c r="AA553" s="38" t="n">
        <x:v>23</x:v>
      </x:c>
      <x:c r="AB553" s="38" t="n">
        <x:v>7</x:v>
      </x:c>
      <x:c r="AC553" s="38" t="n">
        <x:v>8245</x:v>
      </x:c>
      <x:c r="AD553" s="38" t="n">
        <x:v>0</x:v>
      </x:c>
      <x:c r="AE553" s="38" t="n">
        <x:f>IF(B553=1,0,F553-Q552)</x:f>
        <x:v>0</x:v>
      </x:c>
    </x:row>
    <x:row r="554" ht="27" customHeight="1">
      <x:c r="A554" s="28" t="str">
        <x:v>Light payer</x:v>
      </x:c>
      <x:c r="B554" s="38" t="n">
        <x:v>70</x:v>
      </x:c>
      <x:c r="C554" s="38" t="n">
        <x:v>35</x:v>
      </x:c>
      <x:c r="D554" s="38" t="n">
        <x:v>483074</x:v>
      </x:c>
      <x:c r="E554" s="38" t="n">
        <x:v>85</x:v>
      </x:c>
      <x:c r="F554" s="38" t="n">
        <x:v>181022</x:v>
      </x:c>
      <x:c r="G554" s="38" t="n">
        <x:v>82450</x:v>
      </x:c>
      <x:c r="H554" s="38" t="n">
        <x:v>16945</x:v>
      </x:c>
      <x:c r="I554" s="38" t="n">
        <x:v>20272</x:v>
      </x:c>
      <x:c r="J554" s="38" t="n">
        <x:v>970</x:v>
      </x:c>
      <x:c r="K554" s="38" t="n">
        <x:v>0</x:v>
      </x:c>
      <x:c r="L554" s="38" t="n">
        <x:v>0</x:v>
      </x:c>
      <x:c r="M554" s="38" t="n">
        <x:v>0</x:v>
      </x:c>
      <x:c r="N554" s="38" t="n">
        <x:v>2870</x:v>
      </x:c>
      <x:c r="O554" s="38" t="n">
        <x:v>0</x:v>
      </x:c>
      <x:c r="P554" s="38" t="n">
        <x:f>F554+G554-H554+I554+J554+K554+L554-M554-N554-O554</x:f>
        <x:v>264899</x:v>
      </x:c>
      <x:c r="Q554" s="38" t="n">
        <x:v>264899</x:v>
      </x:c>
      <x:c r="R554" s="38" t="n">
        <x:f>P554-Q554</x:f>
        <x:v>0</x:v>
      </x:c>
      <x:c r="S554" s="38" t="n">
        <x:v>65960</x:v>
      </x:c>
      <x:c r="T554" s="38" t="n">
        <x:v>15187</x:v>
      </x:c>
      <x:c r="U554" s="38" t="n">
        <x:v>92</x:v>
      </x:c>
      <x:c r="V554" s="38" t="n">
        <x:v>5</x:v>
      </x:c>
      <x:c r="W554" s="38" t="n">
        <x:v>0</x:v>
      </x:c>
      <x:c r="X554" s="44" t="n">
        <x:v>6.98</x:v>
      </x:c>
      <x:c r="Y554" s="38" t="n">
        <x:v>170</x:v>
      </x:c>
      <x:c r="Z554" s="38" t="n">
        <x:v>34</x:v>
      </x:c>
      <x:c r="AA554" s="38" t="n">
        <x:v>24</x:v>
      </x:c>
      <x:c r="AB554" s="38" t="n">
        <x:v>7</x:v>
      </x:c>
      <x:c r="AC554" s="38" t="n">
        <x:v>8700</x:v>
      </x:c>
      <x:c r="AD554" s="38" t="n">
        <x:v>0</x:v>
      </x:c>
      <x:c r="AE554" s="38" t="n">
        <x:f>IF(B554=1,0,F554-Q553)</x:f>
        <x:v>0</x:v>
      </x:c>
    </x:row>
    <x:row r="555" ht="27" customHeight="1">
      <x:c r="A555" s="28" t="str">
        <x:v>Light payer</x:v>
      </x:c>
      <x:c r="B555" s="38" t="n">
        <x:v>71</x:v>
      </x:c>
      <x:c r="C555" s="38" t="n">
        <x:v>35</x:v>
      </x:c>
      <x:c r="D555" s="38" t="n">
        <x:v>493575</x:v>
      </x:c>
      <x:c r="E555" s="38" t="n">
        <x:v>85</x:v>
      </x:c>
      <x:c r="F555" s="38" t="n">
        <x:v>264899</x:v>
      </x:c>
      <x:c r="G555" s="38" t="n">
        <x:v>82992</x:v>
      </x:c>
      <x:c r="H555" s="38" t="n">
        <x:v>16632</x:v>
      </x:c>
      <x:c r="I555" s="38" t="n">
        <x:v>3871</x:v>
      </x:c>
      <x:c r="J555" s="38" t="n">
        <x:v>0</x:v>
      </x:c>
      <x:c r="K555" s="38" t="n">
        <x:v>0</x:v>
      </x:c>
      <x:c r="L555" s="38" t="n">
        <x:v>0</x:v>
      </x:c>
      <x:c r="M555" s="38" t="n">
        <x:v>0</x:v>
      </x:c>
      <x:c r="N555" s="38" t="n">
        <x:v>0</x:v>
      </x:c>
      <x:c r="O555" s="38" t="n">
        <x:v>0</x:v>
      </x:c>
      <x:c r="P555" s="38" t="n">
        <x:f>F555+G555-H555+I555+J555+K555+L555-M555-N555-O555</x:f>
        <x:v>335130</x:v>
      </x:c>
      <x:c r="Q555" s="38" t="n">
        <x:v>335130</x:v>
      </x:c>
      <x:c r="R555" s="38" t="n">
        <x:f>P555-Q555</x:f>
        <x:v>0</x:v>
      </x:c>
      <x:c r="S555" s="38" t="n">
        <x:v>66360</x:v>
      </x:c>
      <x:c r="T555" s="38" t="n">
        <x:v>10501</x:v>
      </x:c>
      <x:c r="U555" s="38" t="n">
        <x:v>92</x:v>
      </x:c>
      <x:c r="V555" s="38" t="n">
        <x:v>0</x:v>
      </x:c>
      <x:c r="W555" s="38" t="n">
        <x:v>0</x:v>
      </x:c>
      <x:c r="X555" s="44" t="n">
        <x:v>6.98</x:v>
      </x:c>
      <x:c r="Y555" s="38" t="n">
        <x:v>168</x:v>
      </x:c>
      <x:c r="Z555" s="38" t="n">
        <x:v>34</x:v>
      </x:c>
      <x:c r="AA555" s="38" t="n">
        <x:v>24</x:v>
      </x:c>
      <x:c r="AB555" s="38" t="n">
        <x:v>7</x:v>
      </x:c>
      <x:c r="AC555" s="38" t="n">
        <x:v>8700</x:v>
      </x:c>
      <x:c r="AD555" s="38" t="n">
        <x:v>0</x:v>
      </x:c>
      <x:c r="AE555" s="38" t="n">
        <x:f>IF(B555=1,0,F555-Q554)</x:f>
        <x:v>0</x:v>
      </x:c>
    </x:row>
    <x:row r="556" ht="27" customHeight="1">
      <x:c r="A556" s="28" t="str">
        <x:v>Light payer</x:v>
      </x:c>
      <x:c r="B556" s="38" t="n">
        <x:v>72</x:v>
      </x:c>
      <x:c r="C556" s="38" t="n">
        <x:v>35</x:v>
      </x:c>
      <x:c r="D556" s="38" t="n">
        <x:v>504293</x:v>
      </x:c>
      <x:c r="E556" s="38" t="n">
        <x:v>85</x:v>
      </x:c>
      <x:c r="F556" s="38" t="n">
        <x:v>335130</x:v>
      </x:c>
      <x:c r="G556" s="38" t="n">
        <x:v>84912</x:v>
      </x:c>
      <x:c r="H556" s="38" t="n">
        <x:v>16731</x:v>
      </x:c>
      <x:c r="I556" s="38" t="n">
        <x:v>3871</x:v>
      </x:c>
      <x:c r="J556" s="38" t="n">
        <x:v>0</x:v>
      </x:c>
      <x:c r="K556" s="38" t="n">
        <x:v>0</x:v>
      </x:c>
      <x:c r="L556" s="38" t="n">
        <x:v>0</x:v>
      </x:c>
      <x:c r="M556" s="38" t="n">
        <x:v>0</x:v>
      </x:c>
      <x:c r="N556" s="38" t="n">
        <x:v>0</x:v>
      </x:c>
      <x:c r="O556" s="38" t="n">
        <x:v>0</x:v>
      </x:c>
      <x:c r="P556" s="38" t="n">
        <x:f>F556+G556-H556+I556+J556+K556+L556-M556-N556-O556</x:f>
        <x:v>407182</x:v>
      </x:c>
      <x:c r="Q556" s="38" t="n">
        <x:v>407182</x:v>
      </x:c>
      <x:c r="R556" s="38" t="n">
        <x:f>P556-Q556</x:f>
        <x:v>0</x:v>
      </x:c>
      <x:c r="S556" s="38" t="n">
        <x:v>67896</x:v>
      </x:c>
      <x:c r="T556" s="38" t="n">
        <x:v>10718</x:v>
      </x:c>
      <x:c r="U556" s="38" t="n">
        <x:v>94</x:v>
      </x:c>
      <x:c r="V556" s="38" t="n">
        <x:v>2</x:v>
      </x:c>
      <x:c r="W556" s="38" t="n">
        <x:v>0</x:v>
      </x:c>
      <x:c r="X556" s="44" t="n">
        <x:v>6.98</x:v>
      </x:c>
      <x:c r="Y556" s="38" t="n">
        <x:v>169</x:v>
      </x:c>
      <x:c r="Z556" s="38" t="n">
        <x:v>35</x:v>
      </x:c>
      <x:c r="AA556" s="38" t="n">
        <x:v>24</x:v>
      </x:c>
      <x:c r="AB556" s="38" t="n">
        <x:v>7</x:v>
      </x:c>
      <x:c r="AC556" s="38" t="n">
        <x:v>8415</x:v>
      </x:c>
      <x:c r="AD556" s="38" t="n">
        <x:v>0</x:v>
      </x:c>
      <x:c r="AE556" s="38" t="n">
        <x:f>IF(B556=1,0,F556-Q555)</x:f>
        <x:v>0</x:v>
      </x:c>
    </x:row>
    <x:row r="557" ht="27" customHeight="1">
      <x:c r="A557" s="28" t="str">
        <x:v>Light payer</x:v>
      </x:c>
      <x:c r="B557" s="38" t="n">
        <x:v>73</x:v>
      </x:c>
      <x:c r="C557" s="38" t="n">
        <x:v>35</x:v>
      </x:c>
      <x:c r="D557" s="38" t="n">
        <x:v>514906</x:v>
      </x:c>
      <x:c r="E557" s="38" t="n">
        <x:v>85</x:v>
      </x:c>
      <x:c r="F557" s="38" t="n">
        <x:v>407182</x:v>
      </x:c>
      <x:c r="G557" s="38" t="n">
        <x:v>83980</x:v>
      </x:c>
      <x:c r="H557" s="38" t="n">
        <x:v>16830</x:v>
      </x:c>
      <x:c r="I557" s="38" t="n">
        <x:v>3871</x:v>
      </x:c>
      <x:c r="J557" s="38" t="n">
        <x:v>0</x:v>
      </x:c>
      <x:c r="K557" s="38" t="n">
        <x:v>0</x:v>
      </x:c>
      <x:c r="L557" s="38" t="n">
        <x:v>0</x:v>
      </x:c>
      <x:c r="M557" s="38" t="n">
        <x:v>0</x:v>
      </x:c>
      <x:c r="N557" s="38" t="n">
        <x:v>1575</x:v>
      </x:c>
      <x:c r="O557" s="38" t="n">
        <x:v>0</x:v>
      </x:c>
      <x:c r="P557" s="38" t="n">
        <x:f>F557+G557-H557+I557+J557+K557+L557-M557-N557-O557</x:f>
        <x:v>476628</x:v>
      </x:c>
      <x:c r="Q557" s="38" t="n">
        <x:v>476628</x:v>
      </x:c>
      <x:c r="R557" s="38" t="n">
        <x:f>P557-Q557</x:f>
        <x:v>0</x:v>
      </x:c>
      <x:c r="S557" s="38" t="n">
        <x:v>67150</x:v>
      </x:c>
      <x:c r="T557" s="38" t="n">
        <x:v>10613</x:v>
      </x:c>
      <x:c r="U557" s="38" t="n">
        <x:v>94</x:v>
      </x:c>
      <x:c r="V557" s="38" t="n">
        <x:v>0</x:v>
      </x:c>
      <x:c r="W557" s="38" t="n">
        <x:v>0</x:v>
      </x:c>
      <x:c r="X557" s="44" t="n">
        <x:v>6.98</x:v>
      </x:c>
      <x:c r="Y557" s="38" t="n">
        <x:v>170</x:v>
      </x:c>
      <x:c r="Z557" s="38" t="n">
        <x:v>35</x:v>
      </x:c>
      <x:c r="AA557" s="38" t="n">
        <x:v>25</x:v>
      </x:c>
      <x:c r="AB557" s="38" t="n">
        <x:v>7</x:v>
      </x:c>
      <x:c r="AC557" s="38" t="n">
        <x:v>8415</x:v>
      </x:c>
      <x:c r="AD557" s="38" t="n">
        <x:v>0</x:v>
      </x:c>
      <x:c r="AE557" s="38" t="n">
        <x:f>IF(B557=1,0,F557-Q556)</x:f>
        <x:v>0</x:v>
      </x:c>
    </x:row>
    <x:row r="558" ht="27" customHeight="1">
      <x:c r="A558" s="28" t="str">
        <x:v>Light payer</x:v>
      </x:c>
      <x:c r="B558" s="38" t="n">
        <x:v>74</x:v>
      </x:c>
      <x:c r="C558" s="38" t="n">
        <x:v>36</x:v>
      </x:c>
      <x:c r="D558" s="38" t="n">
        <x:v>525519</x:v>
      </x:c>
      <x:c r="E558" s="38" t="n">
        <x:v>90</x:v>
      </x:c>
      <x:c r="F558" s="38" t="n">
        <x:v>476628</x:v>
      </x:c>
      <x:c r="G558" s="38" t="n">
        <x:v>83980</x:v>
      </x:c>
      <x:c r="H558" s="38" t="n">
        <x:v>18487</x:v>
      </x:c>
      <x:c r="I558" s="38" t="n">
        <x:v>3871</x:v>
      </x:c>
      <x:c r="J558" s="38" t="n">
        <x:v>1045</x:v>
      </x:c>
      <x:c r="K558" s="38" t="n">
        <x:v>0</x:v>
      </x:c>
      <x:c r="L558" s="38" t="n">
        <x:v>0</x:v>
      </x:c>
      <x:c r="M558" s="38" t="n">
        <x:v>425000</x:v>
      </x:c>
      <x:c r="N558" s="38" t="n">
        <x:v>0</x:v>
      </x:c>
      <x:c r="O558" s="38" t="n">
        <x:v>0</x:v>
      </x:c>
      <x:c r="P558" s="38" t="n">
        <x:f>F558+G558-H558+I558+J558+K558+L558-M558-N558-O558</x:f>
        <x:v>122037</x:v>
      </x:c>
      <x:c r="Q558" s="38" t="n">
        <x:v>122037</x:v>
      </x:c>
      <x:c r="R558" s="38" t="n">
        <x:f>P558-Q558</x:f>
        <x:v>0</x:v>
      </x:c>
      <x:c r="S558" s="38" t="n">
        <x:v>67150</x:v>
      </x:c>
      <x:c r="T558" s="38" t="n">
        <x:v>10613</x:v>
      </x:c>
      <x:c r="U558" s="38" t="n">
        <x:v>95</x:v>
      </x:c>
      <x:c r="V558" s="38" t="n">
        <x:v>1</x:v>
      </x:c>
      <x:c r="W558" s="38" t="n">
        <x:v>0</x:v>
      </x:c>
      <x:c r="X558" s="44" t="n">
        <x:v>6.98</x:v>
      </x:c>
      <x:c r="Y558" s="38" t="n">
        <x:v>170</x:v>
      </x:c>
      <x:c r="Z558" s="38" t="n">
        <x:v>35</x:v>
      </x:c>
      <x:c r="AA558" s="38" t="n">
        <x:v>25</x:v>
      </x:c>
      <x:c r="AB558" s="38" t="n">
        <x:v>7</x:v>
      </x:c>
      <x:c r="AC558" s="38" t="n">
        <x:v>10072</x:v>
      </x:c>
      <x:c r="AD558" s="38" t="n">
        <x:v>0</x:v>
      </x:c>
      <x:c r="AE558" s="38" t="n">
        <x:f>IF(B558=1,0,F558-Q557)</x:f>
        <x:v>0</x:v>
      </x:c>
    </x:row>
    <x:row r="559" ht="27" customHeight="1">
      <x:c r="A559" s="28" t="str">
        <x:v>Light payer</x:v>
      </x:c>
      <x:c r="B559" s="38" t="n">
        <x:v>75</x:v>
      </x:c>
      <x:c r="C559" s="38" t="n">
        <x:v>36</x:v>
      </x:c>
      <x:c r="D559" s="38" t="n">
        <x:v>535871</x:v>
      </x:c>
      <x:c r="E559" s="38" t="n">
        <x:v>90</x:v>
      </x:c>
      <x:c r="F559" s="38" t="n">
        <x:v>122037</x:v>
      </x:c>
      <x:c r="G559" s="38" t="n">
        <x:v>99400</x:v>
      </x:c>
      <x:c r="H559" s="38" t="n">
        <x:v>19869</x:v>
      </x:c>
      <x:c r="I559" s="38" t="n">
        <x:v>4172</x:v>
      </x:c>
      <x:c r="J559" s="38" t="n">
        <x:v>0</x:v>
      </x:c>
      <x:c r="K559" s="38" t="n">
        <x:v>0</x:v>
      </x:c>
      <x:c r="L559" s="38" t="n">
        <x:v>0</x:v>
      </x:c>
      <x:c r="M559" s="38" t="n">
        <x:v>0</x:v>
      </x:c>
      <x:c r="N559" s="38" t="n">
        <x:v>0</x:v>
      </x:c>
      <x:c r="O559" s="38" t="n">
        <x:v>0</x:v>
      </x:c>
      <x:c r="P559" s="38" t="n">
        <x:f>F559+G559-H559+I559+J559+K559+L559-M559-N559-O559</x:f>
        <x:v>205740</x:v>
      </x:c>
      <x:c r="Q559" s="38" t="n">
        <x:v>205740</x:v>
      </x:c>
      <x:c r="R559" s="38" t="n">
        <x:f>P559-Q559</x:f>
        <x:v>0</x:v>
      </x:c>
      <x:c r="S559" s="38" t="n">
        <x:v>79449</x:v>
      </x:c>
      <x:c r="T559" s="38" t="n">
        <x:v>10352</x:v>
      </x:c>
      <x:c r="U559" s="38" t="n">
        <x:v>95</x:v>
      </x:c>
      <x:c r="V559" s="38" t="n">
        <x:v>0</x:v>
      </x:c>
      <x:c r="W559" s="38" t="n">
        <x:v>0</x:v>
      </x:c>
      <x:c r="X559" s="44" t="n">
        <x:v>6.98</x:v>
      </x:c>
      <x:c r="Y559" s="38" t="n">
        <x:v>179</x:v>
      </x:c>
      <x:c r="Z559" s="38" t="n">
        <x:v>36</x:v>
      </x:c>
      <x:c r="AA559" s="38" t="n">
        <x:v>25</x:v>
      </x:c>
      <x:c r="AB559" s="38" t="n">
        <x:v>7</x:v>
      </x:c>
      <x:c r="AC559" s="38" t="n">
        <x:v>9990</x:v>
      </x:c>
      <x:c r="AD559" s="38" t="n">
        <x:v>0</x:v>
      </x:c>
      <x:c r="AE559" s="38" t="n">
        <x:f>IF(B559=1,0,F559-Q558)</x:f>
        <x:v>0</x:v>
      </x:c>
    </x:row>
    <x:row r="560" ht="27" customHeight="1">
      <x:c r="A560" s="28" t="str">
        <x:v>Light payer</x:v>
      </x:c>
      <x:c r="B560" s="38" t="n">
        <x:v>76</x:v>
      </x:c>
      <x:c r="C560" s="38" t="n">
        <x:v>36</x:v>
      </x:c>
      <x:c r="D560" s="38" t="n">
        <x:v>546217</x:v>
      </x:c>
      <x:c r="E560" s="38" t="n">
        <x:v>90</x:v>
      </x:c>
      <x:c r="F560" s="38" t="n">
        <x:v>205740</x:v>
      </x:c>
      <x:c r="G560" s="38" t="n">
        <x:v>99540</x:v>
      </x:c>
      <x:c r="H560" s="38" t="n">
        <x:v>19980</x:v>
      </x:c>
      <x:c r="I560" s="38" t="n">
        <x:v>4172</x:v>
      </x:c>
      <x:c r="J560" s="38" t="n">
        <x:v>0</x:v>
      </x:c>
      <x:c r="K560" s="38" t="n">
        <x:v>0</x:v>
      </x:c>
      <x:c r="L560" s="38" t="n">
        <x:v>0</x:v>
      </x:c>
      <x:c r="M560" s="38" t="n">
        <x:v>0</x:v>
      </x:c>
      <x:c r="N560" s="38" t="n">
        <x:v>3900</x:v>
      </x:c>
      <x:c r="O560" s="38" t="n">
        <x:v>0</x:v>
      </x:c>
      <x:c r="P560" s="38" t="n">
        <x:f>F560+G560-H560+I560+J560+K560+L560-M560-N560-O560</x:f>
        <x:v>285572</x:v>
      </x:c>
      <x:c r="Q560" s="38" t="n">
        <x:v>285572</x:v>
      </x:c>
      <x:c r="R560" s="38" t="n">
        <x:f>P560-Q560</x:f>
        <x:v>0</x:v>
      </x:c>
      <x:c r="S560" s="38" t="n">
        <x:v>79560</x:v>
      </x:c>
      <x:c r="T560" s="38" t="n">
        <x:v>10346</x:v>
      </x:c>
      <x:c r="U560" s="38" t="n">
        <x:v>95</x:v>
      </x:c>
      <x:c r="V560" s="38" t="n">
        <x:v>0</x:v>
      </x:c>
      <x:c r="W560" s="38" t="n">
        <x:v>0</x:v>
      </x:c>
      <x:c r="X560" s="44" t="n">
        <x:v>6.98</x:v>
      </x:c>
      <x:c r="Y560" s="38" t="n">
        <x:v>180</x:v>
      </x:c>
      <x:c r="Z560" s="38" t="n">
        <x:v>36</x:v>
      </x:c>
      <x:c r="AA560" s="38" t="n">
        <x:v>26</x:v>
      </x:c>
      <x:c r="AB560" s="38" t="n">
        <x:v>7</x:v>
      </x:c>
      <x:c r="AC560" s="38" t="n">
        <x:v>9990</x:v>
      </x:c>
      <x:c r="AD560" s="38" t="n">
        <x:v>0</x:v>
      </x:c>
      <x:c r="AE560" s="38" t="n">
        <x:f>IF(B560=1,0,F560-Q559)</x:f>
        <x:v>0</x:v>
      </x:c>
    </x:row>
    <x:row r="561" ht="27" customHeight="1">
      <x:c r="A561" s="28" t="str">
        <x:v>Light payer</x:v>
      </x:c>
      <x:c r="B561" s="38" t="n">
        <x:v>77</x:v>
      </x:c>
      <x:c r="C561" s="38" t="n">
        <x:v>36</x:v>
      </x:c>
      <x:c r="D561" s="38" t="n">
        <x:v>562030</x:v>
      </x:c>
      <x:c r="E561" s="38" t="n">
        <x:v>90</x:v>
      </x:c>
      <x:c r="F561" s="38" t="n">
        <x:v>285572</x:v>
      </x:c>
      <x:c r="G561" s="38" t="n">
        <x:v>99540</x:v>
      </x:c>
      <x:c r="H561" s="38" t="n">
        <x:v>19980</x:v>
      </x:c>
      <x:c r="I561" s="38" t="n">
        <x:v>23527</x:v>
      </x:c>
      <x:c r="J561" s="38" t="n">
        <x:v>0</x:v>
      </x:c>
      <x:c r="K561" s="38" t="n">
        <x:v>0</x:v>
      </x:c>
      <x:c r="L561" s="38" t="n">
        <x:v>0</x:v>
      </x:c>
      <x:c r="M561" s="38" t="n">
        <x:v>0</x:v>
      </x:c>
      <x:c r="N561" s="38" t="n">
        <x:v>0</x:v>
      </x:c>
      <x:c r="O561" s="38" t="n">
        <x:v>0</x:v>
      </x:c>
      <x:c r="P561" s="38" t="n">
        <x:f>F561+G561-H561+I561+J561+K561+L561-M561-N561-O561</x:f>
        <x:v>388659</x:v>
      </x:c>
      <x:c r="Q561" s="38" t="n">
        <x:v>388659</x:v>
      </x:c>
      <x:c r="R561" s="38" t="n">
        <x:f>P561-Q561</x:f>
        <x:v>0</x:v>
      </x:c>
      <x:c r="S561" s="38" t="n">
        <x:v>79560</x:v>
      </x:c>
      <x:c r="T561" s="38" t="n">
        <x:v>15813</x:v>
      </x:c>
      <x:c r="U561" s="38" t="n">
        <x:v>97</x:v>
      </x:c>
      <x:c r="V561" s="38" t="n">
        <x:v>2</x:v>
      </x:c>
      <x:c r="W561" s="38" t="n">
        <x:v>0</x:v>
      </x:c>
      <x:c r="X561" s="44" t="n">
        <x:v>6.98</x:v>
      </x:c>
      <x:c r="Y561" s="38" t="n">
        <x:v>180</x:v>
      </x:c>
      <x:c r="Z561" s="38" t="n">
        <x:v>36</x:v>
      </x:c>
      <x:c r="AA561" s="38" t="n">
        <x:v>26</x:v>
      </x:c>
      <x:c r="AB561" s="38" t="n">
        <x:v>7</x:v>
      </x:c>
      <x:c r="AC561" s="38" t="n">
        <x:v>9990</x:v>
      </x:c>
      <x:c r="AD561" s="38" t="n">
        <x:v>0</x:v>
      </x:c>
      <x:c r="AE561" s="38" t="n">
        <x:f>IF(B561=1,0,F561-Q560)</x:f>
        <x:v>0</x:v>
      </x:c>
    </x:row>
    <x:row r="562" ht="27" customHeight="1">
      <x:c r="A562" s="28" t="str">
        <x:v>Light payer</x:v>
      </x:c>
      <x:c r="B562" s="38" t="n">
        <x:v>78</x:v>
      </x:c>
      <x:c r="C562" s="38" t="n">
        <x:v>37</x:v>
      </x:c>
      <x:c r="D562" s="38" t="n">
        <x:v>572376</x:v>
      </x:c>
      <x:c r="E562" s="38" t="n">
        <x:v>90</x:v>
      </x:c>
      <x:c r="F562" s="38" t="n">
        <x:v>388659</x:v>
      </x:c>
      <x:c r="G562" s="38" t="n">
        <x:v>99540</x:v>
      </x:c>
      <x:c r="H562" s="38" t="n">
        <x:v>19466</x:v>
      </x:c>
      <x:c r="I562" s="38" t="n">
        <x:v>4172</x:v>
      </x:c>
      <x:c r="J562" s="38" t="n">
        <x:v>1060</x:v>
      </x:c>
      <x:c r="K562" s="38" t="n">
        <x:v>0</x:v>
      </x:c>
      <x:c r="L562" s="38" t="n">
        <x:v>0</x:v>
      </x:c>
      <x:c r="M562" s="38" t="n">
        <x:v>0</x:v>
      </x:c>
      <x:c r="N562" s="38" t="n">
        <x:v>0</x:v>
      </x:c>
      <x:c r="O562" s="38" t="n">
        <x:v>0</x:v>
      </x:c>
      <x:c r="P562" s="38" t="n">
        <x:f>F562+G562-H562+I562+J562+K562+L562-M562-N562-O562</x:f>
        <x:v>473965</x:v>
      </x:c>
      <x:c r="Q562" s="38" t="n">
        <x:v>473965</x:v>
      </x:c>
      <x:c r="R562" s="38" t="n">
        <x:f>P562-Q562</x:f>
        <x:v>0</x:v>
      </x:c>
      <x:c r="S562" s="38" t="n">
        <x:v>79560</x:v>
      </x:c>
      <x:c r="T562" s="38" t="n">
        <x:v>10346</x:v>
      </x:c>
      <x:c r="U562" s="38" t="n">
        <x:v>101</x:v>
      </x:c>
      <x:c r="V562" s="38" t="n">
        <x:v>4</x:v>
      </x:c>
      <x:c r="W562" s="38" t="n">
        <x:v>0</x:v>
      </x:c>
      <x:c r="X562" s="44" t="n">
        <x:v>6.98</x:v>
      </x:c>
      <x:c r="Y562" s="38" t="n">
        <x:v>180</x:v>
      </x:c>
      <x:c r="Z562" s="38" t="n">
        <x:v>36</x:v>
      </x:c>
      <x:c r="AA562" s="38" t="n">
        <x:v>26</x:v>
      </x:c>
      <x:c r="AB562" s="38" t="n">
        <x:v>7</x:v>
      </x:c>
      <x:c r="AC562" s="38" t="n">
        <x:v>9476</x:v>
      </x:c>
      <x:c r="AD562" s="38" t="n">
        <x:v>0</x:v>
      </x:c>
      <x:c r="AE562" s="38" t="n">
        <x:f>IF(B562=1,0,F562-Q561)</x:f>
        <x:v>0</x:v>
      </x:c>
    </x:row>
    <x:row r="563" ht="27" customHeight="1">
      <x:c r="A563" s="28" t="str">
        <x:v>Light payer</x:v>
      </x:c>
      <x:c r="B563" s="38" t="n">
        <x:v>79</x:v>
      </x:c>
      <x:c r="C563" s="38" t="n">
        <x:v>37</x:v>
      </x:c>
      <x:c r="D563" s="38" t="n">
        <x:v>583697</x:v>
      </x:c>
      <x:c r="E563" s="38" t="n">
        <x:v>90</x:v>
      </x:c>
      <x:c r="F563" s="38" t="n">
        <x:v>473965</x:v>
      </x:c>
      <x:c r="G563" s="38" t="n">
        <x:v>90958</x:v>
      </x:c>
      <x:c r="H563" s="38" t="n">
        <x:v>18156</x:v>
      </x:c>
      <x:c r="I563" s="38" t="n">
        <x:v>4244</x:v>
      </x:c>
      <x:c r="J563" s="38" t="n">
        <x:v>0</x:v>
      </x:c>
      <x:c r="K563" s="38" t="n">
        <x:v>0</x:v>
      </x:c>
      <x:c r="L563" s="38" t="n">
        <x:v>0</x:v>
      </x:c>
      <x:c r="M563" s="38" t="n">
        <x:v>0</x:v>
      </x:c>
      <x:c r="N563" s="38" t="n">
        <x:v>4005</x:v>
      </x:c>
      <x:c r="O563" s="38" t="n">
        <x:v>0</x:v>
      </x:c>
      <x:c r="P563" s="38" t="n">
        <x:f>F563+G563-H563+I563+J563+K563+L563-M563-N563-O563</x:f>
        <x:v>547006</x:v>
      </x:c>
      <x:c r="Q563" s="38" t="n">
        <x:v>547006</x:v>
      </x:c>
      <x:c r="R563" s="38" t="n">
        <x:f>P563-Q563</x:f>
        <x:v>0</x:v>
      </x:c>
      <x:c r="S563" s="38" t="n">
        <x:v>72802</x:v>
      </x:c>
      <x:c r="T563" s="38" t="n">
        <x:v>11321</x:v>
      </x:c>
      <x:c r="U563" s="38" t="n">
        <x:v>101</x:v>
      </x:c>
      <x:c r="V563" s="38" t="n">
        <x:v>0</x:v>
      </x:c>
      <x:c r="W563" s="38" t="n">
        <x:v>0</x:v>
      </x:c>
      <x:c r="X563" s="44" t="n">
        <x:v>6.98</x:v>
      </x:c>
      <x:c r="Y563" s="38" t="n">
        <x:v>178</x:v>
      </x:c>
      <x:c r="Z563" s="38" t="n">
        <x:v>36</x:v>
      </x:c>
      <x:c r="AA563" s="38" t="n">
        <x:v>27</x:v>
      </x:c>
      <x:c r="AB563" s="38" t="n">
        <x:v>7</x:v>
      </x:c>
      <x:c r="AC563" s="38" t="n">
        <x:v>9476</x:v>
      </x:c>
      <x:c r="AD563" s="38" t="n">
        <x:v>0</x:v>
      </x:c>
      <x:c r="AE563" s="38" t="n">
        <x:f>IF(B563=1,0,F563-Q562)</x:f>
        <x:v>0</x:v>
      </x:c>
    </x:row>
    <x:row r="564" ht="27" customHeight="1">
      <x:c r="A564" s="28" t="str">
        <x:v>Light payer</x:v>
      </x:c>
      <x:c r="B564" s="38" t="n">
        <x:v>80</x:v>
      </x:c>
      <x:c r="C564" s="38" t="n">
        <x:v>37</x:v>
      </x:c>
      <x:c r="D564" s="38" t="n">
        <x:v>595238</x:v>
      </x:c>
      <x:c r="E564" s="38" t="n">
        <x:v>90</x:v>
      </x:c>
      <x:c r="F564" s="38" t="n">
        <x:v>547006</x:v>
      </x:c>
      <x:c r="G564" s="38" t="n">
        <x:v>92947</x:v>
      </x:c>
      <x:c r="H564" s="38" t="n">
        <x:v>18258</x:v>
      </x:c>
      <x:c r="I564" s="38" t="n">
        <x:v>4244</x:v>
      </x:c>
      <x:c r="J564" s="38" t="n">
        <x:v>0</x:v>
      </x:c>
      <x:c r="K564" s="38" t="n">
        <x:v>0</x:v>
      </x:c>
      <x:c r="L564" s="38" t="n">
        <x:v>0</x:v>
      </x:c>
      <x:c r="M564" s="38" t="n">
        <x:v>0</x:v>
      </x:c>
      <x:c r="N564" s="38" t="n">
        <x:v>0</x:v>
      </x:c>
      <x:c r="O564" s="38" t="n">
        <x:v>0</x:v>
      </x:c>
      <x:c r="P564" s="38" t="n">
        <x:f>F564+G564-H564+I564+J564+K564+L564-M564-N564-O564</x:f>
        <x:v>625939</x:v>
      </x:c>
      <x:c r="Q564" s="38" t="n">
        <x:v>625939</x:v>
      </x:c>
      <x:c r="R564" s="38" t="n">
        <x:f>P564-Q564</x:f>
        <x:v>0</x:v>
      </x:c>
      <x:c r="S564" s="38" t="n">
        <x:v>74393</x:v>
      </x:c>
      <x:c r="T564" s="38" t="n">
        <x:v>11541</x:v>
      </x:c>
      <x:c r="U564" s="38" t="n">
        <x:v>101</x:v>
      </x:c>
      <x:c r="V564" s="38" t="n">
        <x:v>0</x:v>
      </x:c>
      <x:c r="W564" s="38" t="n">
        <x:v>0</x:v>
      </x:c>
      <x:c r="X564" s="44" t="n">
        <x:v>6.98</x:v>
      </x:c>
      <x:c r="Y564" s="38" t="n">
        <x:v>179</x:v>
      </x:c>
      <x:c r="Z564" s="38" t="n">
        <x:v>37</x:v>
      </x:c>
      <x:c r="AA564" s="38" t="n">
        <x:v>27</x:v>
      </x:c>
      <x:c r="AB564" s="38" t="n">
        <x:v>7</x:v>
      </x:c>
      <x:c r="AC564" s="38" t="n">
        <x:v>9180</x:v>
      </x:c>
      <x:c r="AD564" s="38" t="n">
        <x:v>0</x:v>
      </x:c>
      <x:c r="AE564" s="38" t="n">
        <x:f>IF(B564=1,0,F564-Q563)</x:f>
        <x:v>0</x:v>
      </x:c>
    </x:row>
    <x:row r="565" ht="27" customHeight="1">
      <x:c r="A565" s="28" t="str">
        <x:v>Light payer</x:v>
      </x:c>
      <x:c r="B565" s="38" t="n">
        <x:v>81</x:v>
      </x:c>
      <x:c r="C565" s="38" t="n">
        <x:v>37</x:v>
      </x:c>
      <x:c r="D565" s="38" t="n">
        <x:v>606673</x:v>
      </x:c>
      <x:c r="E565" s="38" t="n">
        <x:v>90</x:v>
      </x:c>
      <x:c r="F565" s="38" t="n">
        <x:v>625939</x:v>
      </x:c>
      <x:c r="G565" s="38" t="n">
        <x:v>91980</x:v>
      </x:c>
      <x:c r="H565" s="38" t="n">
        <x:v>18360</x:v>
      </x:c>
      <x:c r="I565" s="38" t="n">
        <x:v>4244</x:v>
      </x:c>
      <x:c r="J565" s="38" t="n">
        <x:v>0</x:v>
      </x:c>
      <x:c r="K565" s="38" t="n">
        <x:v>0</x:v>
      </x:c>
      <x:c r="L565" s="38" t="n">
        <x:v>0</x:v>
      </x:c>
      <x:c r="M565" s="38" t="n">
        <x:v>0</x:v>
      </x:c>
      <x:c r="N565" s="38" t="n">
        <x:v>0</x:v>
      </x:c>
      <x:c r="O565" s="38" t="n">
        <x:v>0</x:v>
      </x:c>
      <x:c r="P565" s="38" t="n">
        <x:f>F565+G565-H565+I565+J565+K565+L565-M565-N565-O565</x:f>
        <x:v>703803</x:v>
      </x:c>
      <x:c r="Q565" s="38" t="n">
        <x:v>703803</x:v>
      </x:c>
      <x:c r="R565" s="38" t="n">
        <x:f>P565-Q565</x:f>
        <x:v>0</x:v>
      </x:c>
      <x:c r="S565" s="38" t="n">
        <x:v>73620</x:v>
      </x:c>
      <x:c r="T565" s="38" t="n">
        <x:v>11435</x:v>
      </x:c>
      <x:c r="U565" s="38" t="n">
        <x:v>101</x:v>
      </x:c>
      <x:c r="V565" s="38" t="n">
        <x:v>0</x:v>
      </x:c>
      <x:c r="W565" s="38" t="n">
        <x:v>0</x:v>
      </x:c>
      <x:c r="X565" s="44" t="n">
        <x:v>6.98</x:v>
      </x:c>
      <x:c r="Y565" s="38" t="n">
        <x:v>180</x:v>
      </x:c>
      <x:c r="Z565" s="38" t="n">
        <x:v>37</x:v>
      </x:c>
      <x:c r="AA565" s="38" t="n">
        <x:v>27</x:v>
      </x:c>
      <x:c r="AB565" s="38" t="n">
        <x:v>7</x:v>
      </x:c>
      <x:c r="AC565" s="38" t="n">
        <x:v>9180</x:v>
      </x:c>
      <x:c r="AD565" s="38" t="n">
        <x:v>0</x:v>
      </x:c>
      <x:c r="AE565" s="38" t="n">
        <x:f>IF(B565=1,0,F565-Q564)</x:f>
        <x:v>0</x:v>
      </x:c>
    </x:row>
    <x:row r="566" ht="27" customHeight="1">
      <x:c r="A566" s="28" t="str">
        <x:v>Light payer</x:v>
      </x:c>
      <x:c r="B566" s="38" t="n">
        <x:v>82</x:v>
      </x:c>
      <x:c r="C566" s="38" t="n">
        <x:v>37</x:v>
      </x:c>
      <x:c r="D566" s="38" t="n">
        <x:v>618108</x:v>
      </x:c>
      <x:c r="E566" s="38" t="n">
        <x:v>90</x:v>
      </x:c>
      <x:c r="F566" s="38" t="n">
        <x:v>703803</x:v>
      </x:c>
      <x:c r="G566" s="38" t="n">
        <x:v>91980</x:v>
      </x:c>
      <x:c r="H566" s="38" t="n">
        <x:v>18360</x:v>
      </x:c>
      <x:c r="I566" s="38" t="n">
        <x:v>4244</x:v>
      </x:c>
      <x:c r="J566" s="38" t="n">
        <x:v>0</x:v>
      </x:c>
      <x:c r="K566" s="38" t="n">
        <x:v>0</x:v>
      </x:c>
      <x:c r="L566" s="38" t="n">
        <x:v>0</x:v>
      </x:c>
      <x:c r="M566" s="38" t="n">
        <x:v>0</x:v>
      </x:c>
      <x:c r="N566" s="38" t="n">
        <x:v>4565</x:v>
      </x:c>
      <x:c r="O566" s="38" t="n">
        <x:v>0</x:v>
      </x:c>
      <x:c r="P566" s="38" t="n">
        <x:f>F566+G566-H566+I566+J566+K566+L566-M566-N566-O566</x:f>
        <x:v>777102</x:v>
      </x:c>
      <x:c r="Q566" s="38" t="n">
        <x:v>777102</x:v>
      </x:c>
      <x:c r="R566" s="38" t="n">
        <x:f>P566-Q566</x:f>
        <x:v>0</x:v>
      </x:c>
      <x:c r="S566" s="38" t="n">
        <x:v>73620</x:v>
      </x:c>
      <x:c r="T566" s="38" t="n">
        <x:v>11435</x:v>
      </x:c>
      <x:c r="U566" s="38" t="n">
        <x:v>101</x:v>
      </x:c>
      <x:c r="V566" s="38" t="n">
        <x:v>0</x:v>
      </x:c>
      <x:c r="W566" s="38" t="n">
        <x:v>0</x:v>
      </x:c>
      <x:c r="X566" s="44" t="n">
        <x:v>6.98</x:v>
      </x:c>
      <x:c r="Y566" s="38" t="n">
        <x:v>180</x:v>
      </x:c>
      <x:c r="Z566" s="38" t="n">
        <x:v>37</x:v>
      </x:c>
      <x:c r="AA566" s="38" t="n">
        <x:v>28</x:v>
      </x:c>
      <x:c r="AB566" s="38" t="n">
        <x:v>7</x:v>
      </x:c>
      <x:c r="AC566" s="38" t="n">
        <x:v>9180</x:v>
      </x:c>
      <x:c r="AD566" s="38" t="n">
        <x:v>0</x:v>
      </x:c>
      <x:c r="AE566" s="38" t="n">
        <x:f>IF(B566=1,0,F566-Q565)</x:f>
        <x:v>0</x:v>
      </x:c>
    </x:row>
    <x:row r="567" ht="27" customHeight="1">
      <x:c r="A567" s="28" t="str">
        <x:v>Light payer</x:v>
      </x:c>
      <x:c r="B567" s="38" t="n">
        <x:v>83</x:v>
      </x:c>
      <x:c r="C567" s="38" t="n">
        <x:v>38</x:v>
      </x:c>
      <x:c r="D567" s="38" t="n">
        <x:v>629834</x:v>
      </x:c>
      <x:c r="E567" s="38" t="n">
        <x:v>95</x:v>
      </x:c>
      <x:c r="F567" s="38" t="n">
        <x:v>777102</x:v>
      </x:c>
      <x:c r="G567" s="38" t="n">
        <x:v>95338</x:v>
      </x:c>
      <x:c r="H567" s="38" t="n">
        <x:v>19750</x:v>
      </x:c>
      <x:c r="I567" s="38" t="n">
        <x:v>4244</x:v>
      </x:c>
      <x:c r="J567" s="38" t="n">
        <x:v>1140</x:v>
      </x:c>
      <x:c r="K567" s="38" t="n">
        <x:v>0</x:v>
      </x:c>
      <x:c r="L567" s="38" t="n">
        <x:v>0</x:v>
      </x:c>
      <x:c r="M567" s="38" t="n">
        <x:v>600000</x:v>
      </x:c>
      <x:c r="N567" s="38" t="n">
        <x:v>0</x:v>
      </x:c>
      <x:c r="O567" s="38" t="n">
        <x:v>172241</x:v>
      </x:c>
      <x:c r="P567" s="38" t="n">
        <x:f>F567+G567-H567+I567+J567+K567+L567-M567-N567-O567</x:f>
        <x:v>85833</x:v>
      </x:c>
      <x:c r="Q567" s="38" t="n">
        <x:v>85833</x:v>
      </x:c>
      <x:c r="R567" s="38" t="n">
        <x:f>P567-Q567</x:f>
        <x:v>0</x:v>
      </x:c>
      <x:c r="S567" s="38" t="n">
        <x:v>76288</x:v>
      </x:c>
      <x:c r="T567" s="38" t="n">
        <x:v>11726</x:v>
      </x:c>
      <x:c r="U567" s="38" t="n">
        <x:v>102</x:v>
      </x:c>
      <x:c r="V567" s="38" t="n">
        <x:v>1</x:v>
      </x:c>
      <x:c r="W567" s="38" t="n">
        <x:v>0</x:v>
      </x:c>
      <x:c r="X567" s="44" t="n">
        <x:v>6.98</x:v>
      </x:c>
      <x:c r="Y567" s="38" t="n">
        <x:v>185</x:v>
      </x:c>
      <x:c r="Z567" s="38" t="n">
        <x:v>38</x:v>
      </x:c>
      <x:c r="AA567" s="38" t="n">
        <x:v>28</x:v>
      </x:c>
      <x:c r="AB567" s="38" t="n">
        <x:v>7</x:v>
      </x:c>
      <x:c r="AC567" s="38" t="n">
        <x:v>9880</x:v>
      </x:c>
      <x:c r="AD567" s="38" t="n">
        <x:v>0</x:v>
      </x:c>
      <x:c r="AE567" s="38" t="n">
        <x:f>IF(B567=1,0,F567-Q566)</x:f>
        <x:v>0</x:v>
      </x:c>
    </x:row>
    <x:row r="568" ht="27" customHeight="1">
      <x:c r="A568" s="28" t="str">
        <x:v>Light payer</x:v>
      </x:c>
      <x:c r="B568" s="38" t="n">
        <x:v>84</x:v>
      </x:c>
      <x:c r="C568" s="38" t="n">
        <x:v>38</x:v>
      </x:c>
      <x:c r="D568" s="38" t="n">
        <x:v>647745</x:v>
      </x:c>
      <x:c r="E568" s="38" t="n">
        <x:v>95</x:v>
      </x:c>
      <x:c r="F568" s="38" t="n">
        <x:v>85833</x:v>
      </x:c>
      <x:c r="G568" s="38" t="n">
        <x:v>98800</x:v>
      </x:c>
      <x:c r="H568" s="38" t="n">
        <x:v>19760</x:v>
      </x:c>
      <x:c r="I568" s="38" t="n">
        <x:v>25415</x:v>
      </x:c>
      <x:c r="J568" s="38" t="n">
        <x:v>0</x:v>
      </x:c>
      <x:c r="K568" s="38" t="n">
        <x:v>0</x:v>
      </x:c>
      <x:c r="L568" s="38" t="n">
        <x:v>0</x:v>
      </x:c>
      <x:c r="M568" s="38" t="n">
        <x:v>0</x:v>
      </x:c>
      <x:c r="N568" s="38" t="n">
        <x:v>0</x:v>
      </x:c>
      <x:c r="O568" s="38" t="n">
        <x:v>104455</x:v>
      </x:c>
      <x:c r="P568" s="38" t="n">
        <x:f>F568+G568-H568+I568+J568+K568+L568-M568-N568-O568</x:f>
        <x:v>85833</x:v>
      </x:c>
      <x:c r="Q568" s="38" t="n">
        <x:v>85833</x:v>
      </x:c>
      <x:c r="R568" s="38" t="n">
        <x:f>P568-Q568</x:f>
        <x:v>0</x:v>
      </x:c>
      <x:c r="S568" s="38" t="n">
        <x:v>79040</x:v>
      </x:c>
      <x:c r="T568" s="38" t="n">
        <x:v>17911</x:v>
      </x:c>
      <x:c r="U568" s="38" t="n">
        <x:v>104</x:v>
      </x:c>
      <x:c r="V568" s="38" t="n">
        <x:v>2</x:v>
      </x:c>
      <x:c r="W568" s="38" t="n">
        <x:v>0</x:v>
      </x:c>
      <x:c r="X568" s="44" t="n">
        <x:v>6.98</x:v>
      </x:c>
      <x:c r="Y568" s="38" t="n">
        <x:v>190</x:v>
      </x:c>
      <x:c r="Z568" s="38" t="n">
        <x:v>38</x:v>
      </x:c>
      <x:c r="AA568" s="38" t="n">
        <x:v>28</x:v>
      </x:c>
      <x:c r="AB568" s="38" t="n">
        <x:v>7</x:v>
      </x:c>
      <x:c r="AC568" s="38" t="n">
        <x:v>9880</x:v>
      </x:c>
      <x:c r="AD568" s="38" t="n">
        <x:v>0</x:v>
      </x:c>
      <x:c r="AE568" s="38" t="n">
        <x:f>IF(B568=1,0,F568-Q567)</x:f>
        <x:v>0</x:v>
      </x:c>
    </x:row>
    <x:row r="569" ht="27" customHeight="1">
      <x:c r="A569" s="28" t="str">
        <x:v>Light payer</x:v>
      </x:c>
      <x:c r="B569" s="38" t="n">
        <x:v>85</x:v>
      </x:c>
      <x:c r="C569" s="38" t="n">
        <x:v>38</x:v>
      </x:c>
      <x:c r="D569" s="38" t="n">
        <x:v>659824</x:v>
      </x:c>
      <x:c r="E569" s="38" t="n">
        <x:v>95</x:v>
      </x:c>
      <x:c r="F569" s="38" t="n">
        <x:v>85833</x:v>
      </x:c>
      <x:c r="G569" s="38" t="n">
        <x:v>98800</x:v>
      </x:c>
      <x:c r="H569" s="38" t="n">
        <x:v>19760</x:v>
      </x:c>
      <x:c r="I569" s="38" t="n">
        <x:v>4557</x:v>
      </x:c>
      <x:c r="J569" s="38" t="n">
        <x:v>0</x:v>
      </x:c>
      <x:c r="K569" s="38" t="n">
        <x:v>0</x:v>
      </x:c>
      <x:c r="L569" s="38" t="n">
        <x:v>0</x:v>
      </x:c>
      <x:c r="M569" s="38" t="n">
        <x:v>0</x:v>
      </x:c>
      <x:c r="N569" s="38" t="n">
        <x:v>7940</x:v>
      </x:c>
      <x:c r="O569" s="38" t="n">
        <x:v>27114</x:v>
      </x:c>
      <x:c r="P569" s="38" t="n">
        <x:f>F569+G569-H569+I569+J569+K569+L569-M569-N569-O569</x:f>
        <x:v>134376</x:v>
      </x:c>
      <x:c r="Q569" s="38" t="n">
        <x:v>134376</x:v>
      </x:c>
      <x:c r="R569" s="38" t="n">
        <x:f>P569-Q569</x:f>
        <x:v>0</x:v>
      </x:c>
      <x:c r="S569" s="38" t="n">
        <x:v>79040</x:v>
      </x:c>
      <x:c r="T569" s="38" t="n">
        <x:v>12079</x:v>
      </x:c>
      <x:c r="U569" s="38" t="n">
        <x:v>104</x:v>
      </x:c>
      <x:c r="V569" s="38" t="n">
        <x:v>0</x:v>
      </x:c>
      <x:c r="W569" s="38" t="n">
        <x:v>0</x:v>
      </x:c>
      <x:c r="X569" s="44" t="n">
        <x:v>6.98</x:v>
      </x:c>
      <x:c r="Y569" s="38" t="n">
        <x:v>190</x:v>
      </x:c>
      <x:c r="Z569" s="38" t="n">
        <x:v>38</x:v>
      </x:c>
      <x:c r="AA569" s="38" t="n">
        <x:v>29</x:v>
      </x:c>
      <x:c r="AB569" s="38" t="n">
        <x:v>8</x:v>
      </x:c>
      <x:c r="AC569" s="38" t="n">
        <x:v>9880</x:v>
      </x:c>
      <x:c r="AD569" s="38" t="n">
        <x:v>0</x:v>
      </x:c>
      <x:c r="AE569" s="38" t="n">
        <x:f>IF(B569=1,0,F569-Q568)</x:f>
        <x:v>0</x:v>
      </x:c>
    </x:row>
    <x:row r="570" ht="27" customHeight="1">
      <x:c r="A570" s="28" t="str">
        <x:v>Light payer</x:v>
      </x:c>
      <x:c r="B570" s="38" t="n">
        <x:v>86</x:v>
      </x:c>
      <x:c r="C570" s="38" t="n">
        <x:v>38</x:v>
      </x:c>
      <x:c r="D570" s="38" t="n">
        <x:v>671903</x:v>
      </x:c>
      <x:c r="E570" s="38" t="n">
        <x:v>95</x:v>
      </x:c>
      <x:c r="F570" s="38" t="n">
        <x:v>134376</x:v>
      </x:c>
      <x:c r="G570" s="38" t="n">
        <x:v>98800</x:v>
      </x:c>
      <x:c r="H570" s="38" t="n">
        <x:v>19760</x:v>
      </x:c>
      <x:c r="I570" s="38" t="n">
        <x:v>4557</x:v>
      </x:c>
      <x:c r="J570" s="38" t="n">
        <x:v>0</x:v>
      </x:c>
      <x:c r="K570" s="38" t="n">
        <x:v>0</x:v>
      </x:c>
      <x:c r="L570" s="38" t="n">
        <x:v>0</x:v>
      </x:c>
      <x:c r="M570" s="38" t="n">
        <x:v>0</x:v>
      </x:c>
      <x:c r="N570" s="38" t="n">
        <x:v>0</x:v>
      </x:c>
      <x:c r="O570" s="38" t="n">
        <x:v>0</x:v>
      </x:c>
      <x:c r="P570" s="38" t="n">
        <x:f>F570+G570-H570+I570+J570+K570+L570-M570-N570-O570</x:f>
        <x:v>217973</x:v>
      </x:c>
      <x:c r="Q570" s="38" t="n">
        <x:v>217973</x:v>
      </x:c>
      <x:c r="R570" s="38" t="n">
        <x:f>P570-Q570</x:f>
        <x:v>0</x:v>
      </x:c>
      <x:c r="S570" s="38" t="n">
        <x:v>79040</x:v>
      </x:c>
      <x:c r="T570" s="38" t="n">
        <x:v>12079</x:v>
      </x:c>
      <x:c r="U570" s="38" t="n">
        <x:v>104</x:v>
      </x:c>
      <x:c r="V570" s="38" t="n">
        <x:v>0</x:v>
      </x:c>
      <x:c r="W570" s="38" t="n">
        <x:v>0</x:v>
      </x:c>
      <x:c r="X570" s="44" t="n">
        <x:v>6.98</x:v>
      </x:c>
      <x:c r="Y570" s="38" t="n">
        <x:v>190</x:v>
      </x:c>
      <x:c r="Z570" s="38" t="n">
        <x:v>38</x:v>
      </x:c>
      <x:c r="AA570" s="38" t="n">
        <x:v>29</x:v>
      </x:c>
      <x:c r="AB570" s="38" t="n">
        <x:v>8</x:v>
      </x:c>
      <x:c r="AC570" s="38" t="n">
        <x:v>9880</x:v>
      </x:c>
      <x:c r="AD570" s="38" t="n">
        <x:v>0</x:v>
      </x:c>
      <x:c r="AE570" s="38" t="n">
        <x:f>IF(B570=1,0,F570-Q569)</x:f>
        <x:v>0</x:v>
      </x:c>
    </x:row>
    <x:row r="571" ht="27" customHeight="1">
      <x:c r="A571" s="28" t="str">
        <x:v>Light payer</x:v>
      </x:c>
      <x:c r="B571" s="38" t="n">
        <x:v>87</x:v>
      </x:c>
      <x:c r="C571" s="38" t="n">
        <x:v>39</x:v>
      </x:c>
      <x:c r="D571" s="38" t="n">
        <x:v>683982</x:v>
      </x:c>
      <x:c r="E571" s="38" t="n">
        <x:v>95</x:v>
      </x:c>
      <x:c r="F571" s="38" t="n">
        <x:v>217973</x:v>
      </x:c>
      <x:c r="G571" s="38" t="n">
        <x:v>98800</x:v>
      </x:c>
      <x:c r="H571" s="38" t="n">
        <x:v>20813</x:v>
      </x:c>
      <x:c r="I571" s="38" t="n">
        <x:v>4557</x:v>
      </x:c>
      <x:c r="J571" s="38" t="n">
        <x:v>1160</x:v>
      </x:c>
      <x:c r="K571" s="38" t="n">
        <x:v>0</x:v>
      </x:c>
      <x:c r="L571" s="38" t="n">
        <x:v>0</x:v>
      </x:c>
      <x:c r="M571" s="38" t="n">
        <x:v>0</x:v>
      </x:c>
      <x:c r="N571" s="38" t="n">
        <x:v>0</x:v>
      </x:c>
      <x:c r="O571" s="38" t="n">
        <x:v>0</x:v>
      </x:c>
      <x:c r="P571" s="38" t="n">
        <x:f>F571+G571-H571+I571+J571+K571+L571-M571-N571-O571</x:f>
        <x:v>301677</x:v>
      </x:c>
      <x:c r="Q571" s="38" t="n">
        <x:v>301677</x:v>
      </x:c>
      <x:c r="R571" s="38" t="n">
        <x:f>P571-Q571</x:f>
        <x:v>0</x:v>
      </x:c>
      <x:c r="S571" s="38" t="n">
        <x:v>79040</x:v>
      </x:c>
      <x:c r="T571" s="38" t="n">
        <x:v>12079</x:v>
      </x:c>
      <x:c r="U571" s="38" t="n">
        <x:v>104</x:v>
      </x:c>
      <x:c r="V571" s="38" t="n">
        <x:v>0</x:v>
      </x:c>
      <x:c r="W571" s="38" t="n">
        <x:v>0</x:v>
      </x:c>
      <x:c r="X571" s="44" t="n">
        <x:v>6.98</x:v>
      </x:c>
      <x:c r="Y571" s="38" t="n">
        <x:v>190</x:v>
      </x:c>
      <x:c r="Z571" s="38" t="n">
        <x:v>38</x:v>
      </x:c>
      <x:c r="AA571" s="38" t="n">
        <x:v>29</x:v>
      </x:c>
      <x:c r="AB571" s="38" t="n">
        <x:v>8</x:v>
      </x:c>
      <x:c r="AC571" s="38" t="n">
        <x:v>10933</x:v>
      </x:c>
      <x:c r="AD571" s="38" t="n">
        <x:v>0</x:v>
      </x:c>
      <x:c r="AE571" s="38" t="n">
        <x:f>IF(B571=1,0,F571-Q570)</x:f>
        <x:v>0</x:v>
      </x:c>
    </x:row>
    <x:row r="572" ht="27" customHeight="1">
      <x:c r="A572" s="28" t="str">
        <x:v>Light payer</x:v>
      </x:c>
      <x:c r="B572" s="38" t="n">
        <x:v>88</x:v>
      </x:c>
      <x:c r="C572" s="38" t="n">
        <x:v>39</x:v>
      </x:c>
      <x:c r="D572" s="38" t="n">
        <x:v>695082</x:v>
      </x:c>
      <x:c r="E572" s="38" t="n">
        <x:v>95</x:v>
      </x:c>
      <x:c r="F572" s="38" t="n">
        <x:v>301677</x:v>
      </x:c>
      <x:c r="G572" s="38" t="n">
        <x:v>109954</x:v>
      </x:c>
      <x:c r="H572" s="38" t="n">
        <x:v>22040</x:v>
      </x:c>
      <x:c r="I572" s="38" t="n">
        <x:v>4634</x:v>
      </x:c>
      <x:c r="J572" s="38" t="n">
        <x:v>0</x:v>
      </x:c>
      <x:c r="K572" s="38" t="n">
        <x:v>0</x:v>
      </x:c>
      <x:c r="L572" s="38" t="n">
        <x:v>0</x:v>
      </x:c>
      <x:c r="M572" s="38" t="n">
        <x:v>0</x:v>
      </x:c>
      <x:c r="N572" s="38" t="n">
        <x:v>4340</x:v>
      </x:c>
      <x:c r="O572" s="38" t="n">
        <x:v>0</x:v>
      </x:c>
      <x:c r="P572" s="38" t="n">
        <x:f>F572+G572-H572+I572+J572+K572+L572-M572-N572-O572</x:f>
        <x:v>389885</x:v>
      </x:c>
      <x:c r="Q572" s="38" t="n">
        <x:v>389885</x:v>
      </x:c>
      <x:c r="R572" s="38" t="n">
        <x:f>P572-Q572</x:f>
        <x:v>0</x:v>
      </x:c>
      <x:c r="S572" s="38" t="n">
        <x:v>88001</x:v>
      </x:c>
      <x:c r="T572" s="38" t="n">
        <x:v>11100</x:v>
      </x:c>
      <x:c r="U572" s="38" t="n">
        <x:v>104</x:v>
      </x:c>
      <x:c r="V572" s="38" t="n">
        <x:v>0</x:v>
      </x:c>
      <x:c r="W572" s="38" t="n">
        <x:v>0</x:v>
      </x:c>
      <x:c r="X572" s="44" t="n">
        <x:v>6.98</x:v>
      </x:c>
      <x:c r="Y572" s="38" t="n">
        <x:v>190</x:v>
      </x:c>
      <x:c r="Z572" s="38" t="n">
        <x:v>39</x:v>
      </x:c>
      <x:c r="AA572" s="38" t="n">
        <x:v>30</x:v>
      </x:c>
      <x:c r="AB572" s="38" t="n">
        <x:v>8</x:v>
      </x:c>
      <x:c r="AC572" s="38" t="n">
        <x:v>11020</x:v>
      </x:c>
      <x:c r="AD572" s="38" t="n">
        <x:v>0</x:v>
      </x:c>
      <x:c r="AE572" s="38" t="n">
        <x:f>IF(B572=1,0,F572-Q571)</x:f>
        <x:v>0</x:v>
      </x:c>
    </x:row>
    <x:row r="573" ht="27" customHeight="1">
      <x:c r="A573" s="28" t="str">
        <x:v>Light payer</x:v>
      </x:c>
      <x:c r="B573" s="38" t="n">
        <x:v>89</x:v>
      </x:c>
      <x:c r="C573" s="38" t="n">
        <x:v>39</x:v>
      </x:c>
      <x:c r="D573" s="38" t="n">
        <x:v>706221</x:v>
      </x:c>
      <x:c r="E573" s="38" t="n">
        <x:v>95</x:v>
      </x:c>
      <x:c r="F573" s="38" t="n">
        <x:v>389885</x:v>
      </x:c>
      <x:c r="G573" s="38" t="n">
        <x:v>110390</x:v>
      </x:c>
      <x:c r="H573" s="38" t="n">
        <x:v>22040</x:v>
      </x:c>
      <x:c r="I573" s="38" t="n">
        <x:v>4634</x:v>
      </x:c>
      <x:c r="J573" s="38" t="n">
        <x:v>0</x:v>
      </x:c>
      <x:c r="K573" s="38" t="n">
        <x:v>0</x:v>
      </x:c>
      <x:c r="L573" s="38" t="n">
        <x:v>0</x:v>
      </x:c>
      <x:c r="M573" s="38" t="n">
        <x:v>0</x:v>
      </x:c>
      <x:c r="N573" s="38" t="n">
        <x:v>0</x:v>
      </x:c>
      <x:c r="O573" s="38" t="n">
        <x:v>0</x:v>
      </x:c>
      <x:c r="P573" s="38" t="n">
        <x:f>F573+G573-H573+I573+J573+K573+L573-M573-N573-O573</x:f>
        <x:v>482869</x:v>
      </x:c>
      <x:c r="Q573" s="38" t="n">
        <x:v>482869</x:v>
      </x:c>
      <x:c r="R573" s="38" t="n">
        <x:f>P573-Q573</x:f>
        <x:v>0</x:v>
      </x:c>
      <x:c r="S573" s="38" t="n">
        <x:v>88350</x:v>
      </x:c>
      <x:c r="T573" s="38" t="n">
        <x:v>11139</x:v>
      </x:c>
      <x:c r="U573" s="38" t="n">
        <x:v>104</x:v>
      </x:c>
      <x:c r="V573" s="38" t="n">
        <x:v>0</x:v>
      </x:c>
      <x:c r="W573" s="38" t="n">
        <x:v>0</x:v>
      </x:c>
      <x:c r="X573" s="44" t="n">
        <x:v>6.98</x:v>
      </x:c>
      <x:c r="Y573" s="38" t="n">
        <x:v>190</x:v>
      </x:c>
      <x:c r="Z573" s="38" t="n">
        <x:v>39</x:v>
      </x:c>
      <x:c r="AA573" s="38" t="n">
        <x:v>30</x:v>
      </x:c>
      <x:c r="AB573" s="38" t="n">
        <x:v>8</x:v>
      </x:c>
      <x:c r="AC573" s="38" t="n">
        <x:v>11020</x:v>
      </x:c>
      <x:c r="AD573" s="38" t="n">
        <x:v>0</x:v>
      </x:c>
      <x:c r="AE573" s="38" t="n">
        <x:f>IF(B573=1,0,F573-Q572)</x:f>
        <x:v>0</x:v>
      </x:c>
    </x:row>
    <x:row r="574" ht="27" customHeight="1">
      <x:c r="A574" s="28" t="str">
        <x:v>Light payer</x:v>
      </x:c>
      <x:c r="B574" s="38" t="n">
        <x:v>90</x:v>
      </x:c>
      <x:c r="C574" s="38" t="n">
        <x:v>39</x:v>
      </x:c>
      <x:c r="D574" s="38" t="n">
        <x:v>717360</x:v>
      </x:c>
      <x:c r="E574" s="38" t="n">
        <x:v>95</x:v>
      </x:c>
      <x:c r="F574" s="38" t="n">
        <x:v>482869</x:v>
      </x:c>
      <x:c r="G574" s="38" t="n">
        <x:v>110390</x:v>
      </x:c>
      <x:c r="H574" s="38" t="n">
        <x:v>22040</x:v>
      </x:c>
      <x:c r="I574" s="38" t="n">
        <x:v>4634</x:v>
      </x:c>
      <x:c r="J574" s="38" t="n">
        <x:v>0</x:v>
      </x:c>
      <x:c r="K574" s="38" t="n">
        <x:v>0</x:v>
      </x:c>
      <x:c r="L574" s="38" t="n">
        <x:v>0</x:v>
      </x:c>
      <x:c r="M574" s="38" t="n">
        <x:v>0</x:v>
      </x:c>
      <x:c r="N574" s="38" t="n">
        <x:v>0</x:v>
      </x:c>
      <x:c r="O574" s="38" t="n">
        <x:v>0</x:v>
      </x:c>
      <x:c r="P574" s="38" t="n">
        <x:f>F574+G574-H574+I574+J574+K574+L574-M574-N574-O574</x:f>
        <x:v>575853</x:v>
      </x:c>
      <x:c r="Q574" s="38" t="n">
        <x:v>575853</x:v>
      </x:c>
      <x:c r="R574" s="38" t="n">
        <x:f>P574-Q574</x:f>
        <x:v>0</x:v>
      </x:c>
      <x:c r="S574" s="38" t="n">
        <x:v>88350</x:v>
      </x:c>
      <x:c r="T574" s="38" t="n">
        <x:v>11139</x:v>
      </x:c>
      <x:c r="U574" s="38" t="n">
        <x:v>104</x:v>
      </x:c>
      <x:c r="V574" s="38" t="n">
        <x:v>0</x:v>
      </x:c>
      <x:c r="W574" s="38" t="n">
        <x:v>0</x:v>
      </x:c>
      <x:c r="X574" s="44" t="n">
        <x:v>6.98</x:v>
      </x:c>
      <x:c r="Y574" s="38" t="n">
        <x:v>190</x:v>
      </x:c>
      <x:c r="Z574" s="38" t="n">
        <x:v>39</x:v>
      </x:c>
      <x:c r="AA574" s="38" t="n">
        <x:v>30</x:v>
      </x:c>
      <x:c r="AB574" s="38" t="n">
        <x:v>8</x:v>
      </x:c>
      <x:c r="AC574" s="38" t="n">
        <x:v>11020</x:v>
      </x:c>
      <x:c r="AD574" s="38" t="n">
        <x:v>0</x:v>
      </x:c>
      <x:c r="AE574" s="38" t="n">
        <x:f>IF(B574=1,0,F574-Q573)</x:f>
        <x:v>0</x:v>
      </x:c>
    </x:row>
    <x:row r="575" ht="27" customHeight="1">
      <x:c r="A575" s="28" t="str">
        <x:v>Light payer</x:v>
      </x:c>
      <x:c r="B575" s="38" t="n">
        <x:v>91</x:v>
      </x:c>
      <x:c r="C575" s="38" t="n">
        <x:v>39</x:v>
      </x:c>
      <x:c r="D575" s="38" t="n">
        <x:v>734746</x:v>
      </x:c>
      <x:c r="E575" s="38" t="n">
        <x:v>95</x:v>
      </x:c>
      <x:c r="F575" s="38" t="n">
        <x:v>575853</x:v>
      </x:c>
      <x:c r="G575" s="38" t="n">
        <x:v>110390</x:v>
      </x:c>
      <x:c r="H575" s="38" t="n">
        <x:v>22040</x:v>
      </x:c>
      <x:c r="I575" s="38" t="n">
        <x:v>27420</x:v>
      </x:c>
      <x:c r="J575" s="38" t="n">
        <x:v>0</x:v>
      </x:c>
      <x:c r="K575" s="38" t="n">
        <x:v>0</x:v>
      </x:c>
      <x:c r="L575" s="38" t="n">
        <x:v>0</x:v>
      </x:c>
      <x:c r="M575" s="38" t="n">
        <x:v>0</x:v>
      </x:c>
      <x:c r="N575" s="38" t="n">
        <x:v>9170</x:v>
      </x:c>
      <x:c r="O575" s="38" t="n">
        <x:v>0</x:v>
      </x:c>
      <x:c r="P575" s="38" t="n">
        <x:f>F575+G575-H575+I575+J575+K575+L575-M575-N575-O575</x:f>
        <x:v>682453</x:v>
      </x:c>
      <x:c r="Q575" s="38" t="n">
        <x:v>682453</x:v>
      </x:c>
      <x:c r="R575" s="38" t="n">
        <x:f>P575-Q575</x:f>
        <x:v>0</x:v>
      </x:c>
      <x:c r="S575" s="38" t="n">
        <x:v>88350</x:v>
      </x:c>
      <x:c r="T575" s="38" t="n">
        <x:v>17386</x:v>
      </x:c>
      <x:c r="U575" s="38" t="n">
        <x:v>106</x:v>
      </x:c>
      <x:c r="V575" s="38" t="n">
        <x:v>2</x:v>
      </x:c>
      <x:c r="W575" s="38" t="n">
        <x:v>0</x:v>
      </x:c>
      <x:c r="X575" s="44" t="n">
        <x:v>6.98</x:v>
      </x:c>
      <x:c r="Y575" s="38" t="n">
        <x:v>190</x:v>
      </x:c>
      <x:c r="Z575" s="38" t="n">
        <x:v>39</x:v>
      </x:c>
      <x:c r="AA575" s="38" t="n">
        <x:v>31</x:v>
      </x:c>
      <x:c r="AB575" s="38" t="n">
        <x:v>8</x:v>
      </x:c>
      <x:c r="AC575" s="38" t="n">
        <x:v>11020</x:v>
      </x:c>
      <x:c r="AD575" s="38" t="n">
        <x:v>0</x:v>
      </x:c>
      <x:c r="AE575" s="38" t="n">
        <x:f>IF(B575=1,0,F575-Q574)</x:f>
        <x:v>0</x:v>
      </x:c>
    </x:row>
    <x:row r="576" ht="27" customHeight="1">
      <x:c r="A576" s="28" t="str">
        <x:v>Light payer</x:v>
      </x:c>
      <x:c r="B576" s="38" t="n">
        <x:v>92</x:v>
      </x:c>
      <x:c r="C576" s="38" t="n">
        <x:v>40</x:v>
      </x:c>
      <x:c r="D576" s="38" t="n">
        <x:v>742640</x:v>
      </x:c>
      <x:c r="E576" s="38" t="n">
        <x:v>100</x:v>
      </x:c>
      <x:c r="F576" s="38" t="n">
        <x:v>682453</x:v>
      </x:c>
      <x:c r="G576" s="38" t="n">
        <x:v>110390</x:v>
      </x:c>
      <x:c r="H576" s="38" t="n">
        <x:v>22130</x:v>
      </x:c>
      <x:c r="I576" s="38" t="n">
        <x:v>4634</x:v>
      </x:c>
      <x:c r="J576" s="38" t="n">
        <x:v>1240</x:v>
      </x:c>
      <x:c r="K576" s="38" t="n">
        <x:v>0</x:v>
      </x:c>
      <x:c r="L576" s="38" t="n">
        <x:v>0</x:v>
      </x:c>
      <x:c r="M576" s="38" t="n">
        <x:v>700000</x:v>
      </x:c>
      <x:c r="N576" s="38" t="n">
        <x:v>0</x:v>
      </x:c>
      <x:c r="O576" s="38" t="n">
        <x:v>65787</x:v>
      </x:c>
      <x:c r="P576" s="38" t="n">
        <x:f>F576+G576-H576+I576+J576+K576+L576-M576-N576-O576</x:f>
        <x:v>10800</x:v>
      </x:c>
      <x:c r="Q576" s="38" t="n">
        <x:v>10800</x:v>
      </x:c>
      <x:c r="R576" s="38" t="n">
        <x:f>P576-Q576</x:f>
        <x:v>0</x:v>
      </x:c>
      <x:c r="S576" s="38" t="n">
        <x:v>88350</x:v>
      </x:c>
      <x:c r="T576" s="38" t="n">
        <x:v>7894</x:v>
      </x:c>
      <x:c r="U576" s="38" t="n">
        <x:v>109</x:v>
      </x:c>
      <x:c r="V576" s="38" t="n">
        <x:v>3</x:v>
      </x:c>
      <x:c r="W576" s="38" t="n">
        <x:v>0</x:v>
      </x:c>
      <x:c r="X576" s="44" t="n">
        <x:v>6.98</x:v>
      </x:c>
      <x:c r="Y576" s="38" t="n">
        <x:v>190</x:v>
      </x:c>
      <x:c r="Z576" s="38" t="n">
        <x:v>39</x:v>
      </x:c>
      <x:c r="AA576" s="38" t="n">
        <x:v>31</x:v>
      </x:c>
      <x:c r="AB576" s="38" t="n">
        <x:v>8</x:v>
      </x:c>
      <x:c r="AC576" s="38" t="n">
        <x:v>11110</x:v>
      </x:c>
      <x:c r="AD576" s="38" t="n">
        <x:v>0</x:v>
      </x:c>
      <x:c r="AE576" s="38" t="n">
        <x:f>IF(B576=1,0,F576-Q575)</x:f>
        <x:v>0</x:v>
      </x:c>
    </x:row>
    <x:row r="577" ht="27" customHeight="1">
      <x:c r="A577" s="28" t="str">
        <x:v>Light payer</x:v>
      </x:c>
      <x:c r="B577" s="38" t="n">
        <x:v>93</x:v>
      </x:c>
      <x:c r="C577" s="38" t="n">
        <x:v>40</x:v>
      </x:c>
      <x:c r="D577" s="38" t="n">
        <x:v>742640</x:v>
      </x:c>
      <x:c r="E577" s="38" t="n">
        <x:v>100</x:v>
      </x:c>
      <x:c r="F577" s="38" t="n">
        <x:v>10800</x:v>
      </x:c>
      <x:c r="G577" s="38" t="n">
        <x:v>106524</x:v>
      </x:c>
      <x:c r="H577" s="38" t="n">
        <x:v>21384</x:v>
      </x:c>
      <x:c r="I577" s="38" t="n">
        <x:v>4959</x:v>
      </x:c>
      <x:c r="J577" s="38" t="n">
        <x:v>0</x:v>
      </x:c>
      <x:c r="K577" s="38" t="n">
        <x:v>0</x:v>
      </x:c>
      <x:c r="L577" s="38" t="n">
        <x:v>0</x:v>
      </x:c>
      <x:c r="M577" s="38" t="n">
        <x:v>0</x:v>
      </x:c>
      <x:c r="N577" s="38" t="n">
        <x:v>0</x:v>
      </x:c>
      <x:c r="O577" s="38" t="n">
        <x:v>90099</x:v>
      </x:c>
      <x:c r="P577" s="38" t="n">
        <x:f>F577+G577-H577+I577+J577+K577+L577-M577-N577-O577</x:f>
        <x:v>10800</x:v>
      </x:c>
      <x:c r="Q577" s="38" t="n">
        <x:v>10800</x:v>
      </x:c>
      <x:c r="R577" s="38" t="n">
        <x:f>P577-Q577</x:f>
        <x:v>0</x:v>
      </x:c>
      <x:c r="S577" s="38" t="n">
        <x:v>85140</x:v>
      </x:c>
      <x:c r="T577" s="38" t="n">
        <x:v>0</x:v>
      </x:c>
      <x:c r="U577" s="38" t="n">
        <x:v>109</x:v>
      </x:c>
      <x:c r="V577" s="38" t="n">
        <x:v>0</x:v>
      </x:c>
      <x:c r="W577" s="38" t="n">
        <x:v>0</x:v>
      </x:c>
      <x:c r="X577" s="44" t="n">
        <x:v>6.98</x:v>
      </x:c>
      <x:c r="Y577" s="38" t="n">
        <x:v>198</x:v>
      </x:c>
      <x:c r="Z577" s="38" t="n">
        <x:v>39</x:v>
      </x:c>
      <x:c r="AA577" s="38" t="n">
        <x:v>31</x:v>
      </x:c>
      <x:c r="AB577" s="38" t="n">
        <x:v>8</x:v>
      </x:c>
      <x:c r="AC577" s="38" t="n">
        <x:v>11110</x:v>
      </x:c>
      <x:c r="AD577" s="38" t="n">
        <x:v>0</x:v>
      </x:c>
      <x:c r="AE577" s="38" t="n">
        <x:f>IF(B577=1,0,F577-Q576)</x:f>
        <x:v>0</x:v>
      </x:c>
    </x:row>
    <x:row r="578" ht="27" customHeight="1">
      <x:c r="A578" s="28" t="str">
        <x:v>Light payer</x:v>
      </x:c>
      <x:c r="B578" s="38" t="n">
        <x:v>94</x:v>
      </x:c>
      <x:c r="C578" s="38" t="n">
        <x:v>40</x:v>
      </x:c>
      <x:c r="D578" s="38" t="n">
        <x:v>742640</x:v>
      </x:c>
      <x:c r="E578" s="38" t="n">
        <x:v>100</x:v>
      </x:c>
      <x:c r="F578" s="38" t="n">
        <x:v>10800</x:v>
      </x:c>
      <x:c r="G578" s="38" t="n">
        <x:v>108615</x:v>
      </x:c>
      <x:c r="H578" s="38" t="n">
        <x:v>21492</x:v>
      </x:c>
      <x:c r="I578" s="38" t="n">
        <x:v>4959</x:v>
      </x:c>
      <x:c r="J578" s="38" t="n">
        <x:v>0</x:v>
      </x:c>
      <x:c r="K578" s="38" t="n">
        <x:v>0</x:v>
      </x:c>
      <x:c r="L578" s="38" t="n">
        <x:v>0</x:v>
      </x:c>
      <x:c r="M578" s="38" t="n">
        <x:v>0</x:v>
      </x:c>
      <x:c r="N578" s="38" t="n">
        <x:v>5005</x:v>
      </x:c>
      <x:c r="O578" s="38" t="n">
        <x:v>87077</x:v>
      </x:c>
      <x:c r="P578" s="38" t="n">
        <x:f>F578+G578-H578+I578+J578+K578+L578-M578-N578-O578</x:f>
        <x:v>10800</x:v>
      </x:c>
      <x:c r="Q578" s="38" t="n">
        <x:v>10800</x:v>
      </x:c>
      <x:c r="R578" s="38" t="n">
        <x:f>P578-Q578</x:f>
        <x:v>0</x:v>
      </x:c>
      <x:c r="S578" s="38" t="n">
        <x:v>86813</x:v>
      </x:c>
      <x:c r="T578" s="38" t="n">
        <x:v>0</x:v>
      </x:c>
      <x:c r="U578" s="38" t="n">
        <x:v>111</x:v>
      </x:c>
      <x:c r="V578" s="38" t="n">
        <x:v>2</x:v>
      </x:c>
      <x:c r="W578" s="38" t="n">
        <x:v>0</x:v>
      </x:c>
      <x:c r="X578" s="44" t="n">
        <x:v>6.98</x:v>
      </x:c>
      <x:c r="Y578" s="38" t="n">
        <x:v>199</x:v>
      </x:c>
      <x:c r="Z578" s="38" t="n">
        <x:v>40</x:v>
      </x:c>
      <x:c r="AA578" s="38" t="n">
        <x:v>32</x:v>
      </x:c>
      <x:c r="AB578" s="38" t="n">
        <x:v>8</x:v>
      </x:c>
      <x:c r="AC578" s="38" t="n">
        <x:v>10800</x:v>
      </x:c>
      <x:c r="AD578" s="38" t="n">
        <x:v>0</x:v>
      </x:c>
      <x:c r="AE578" s="38" t="n">
        <x:f>IF(B578=1,0,F578-Q577)</x:f>
        <x:v>0</x:v>
      </x:c>
    </x:row>
    <x:row r="579" ht="27" customHeight="1">
      <x:c r="A579" s="28" t="str">
        <x:v>Light payer</x:v>
      </x:c>
      <x:c r="B579" s="38" t="n">
        <x:v>95</x:v>
      </x:c>
      <x:c r="C579" s="38" t="n">
        <x:v>40</x:v>
      </x:c>
      <x:c r="D579" s="38" t="n">
        <x:v>742640</x:v>
      </x:c>
      <x:c r="E579" s="38" t="n">
        <x:v>100</x:v>
      </x:c>
      <x:c r="F579" s="38" t="n">
        <x:v>10800</x:v>
      </x:c>
      <x:c r="G579" s="38" t="n">
        <x:v>107600</x:v>
      </x:c>
      <x:c r="H579" s="38" t="n">
        <x:v>21600</x:v>
      </x:c>
      <x:c r="I579" s="38" t="n">
        <x:v>4959</x:v>
      </x:c>
      <x:c r="J579" s="38" t="n">
        <x:v>0</x:v>
      </x:c>
      <x:c r="K579" s="38" t="n">
        <x:v>0</x:v>
      </x:c>
      <x:c r="L579" s="38" t="n">
        <x:v>0</x:v>
      </x:c>
      <x:c r="M579" s="38" t="n">
        <x:v>0</x:v>
      </x:c>
      <x:c r="N579" s="38" t="n">
        <x:v>0</x:v>
      </x:c>
      <x:c r="O579" s="38" t="n">
        <x:v>90959</x:v>
      </x:c>
      <x:c r="P579" s="38" t="n">
        <x:f>F579+G579-H579+I579+J579+K579+L579-M579-N579-O579</x:f>
        <x:v>10800</x:v>
      </x:c>
      <x:c r="Q579" s="38" t="n">
        <x:v>10800</x:v>
      </x:c>
      <x:c r="R579" s="38" t="n">
        <x:f>P579-Q579</x:f>
        <x:v>0</x:v>
      </x:c>
      <x:c r="S579" s="38" t="n">
        <x:v>86000</x:v>
      </x:c>
      <x:c r="T579" s="38" t="n">
        <x:v>0</x:v>
      </x:c>
      <x:c r="U579" s="38" t="n">
        <x:v>111</x:v>
      </x:c>
      <x:c r="V579" s="38" t="n">
        <x:v>0</x:v>
      </x:c>
      <x:c r="W579" s="38" t="n">
        <x:v>0</x:v>
      </x:c>
      <x:c r="X579" s="44" t="n">
        <x:v>6.98</x:v>
      </x:c>
      <x:c r="Y579" s="38" t="n">
        <x:v>200</x:v>
      </x:c>
      <x:c r="Z579" s="38" t="n">
        <x:v>40</x:v>
      </x:c>
      <x:c r="AA579" s="38" t="n">
        <x:v>32</x:v>
      </x:c>
      <x:c r="AB579" s="38" t="n">
        <x:v>8</x:v>
      </x:c>
      <x:c r="AC579" s="38" t="n">
        <x:v>10800</x:v>
      </x:c>
      <x:c r="AD579" s="38" t="n">
        <x:v>0</x:v>
      </x:c>
      <x:c r="AE579" s="38" t="n">
        <x:f>IF(B579=1,0,F579-Q578)</x:f>
        <x:v>0</x:v>
      </x:c>
    </x:row>
    <x:row r="580" ht="27" customHeight="1">
      <x:c r="A580" s="28" t="str">
        <x:v>Light payer</x:v>
      </x:c>
      <x:c r="B580" s="38" t="n">
        <x:v>96</x:v>
      </x:c>
      <x:c r="C580" s="38" t="n">
        <x:v>40</x:v>
      </x:c>
      <x:c r="D580" s="38" t="n">
        <x:v>742640</x:v>
      </x:c>
      <x:c r="E580" s="38" t="n">
        <x:v>100</x:v>
      </x:c>
      <x:c r="F580" s="38" t="n">
        <x:v>10800</x:v>
      </x:c>
      <x:c r="G580" s="38" t="n">
        <x:v>107600</x:v>
      </x:c>
      <x:c r="H580" s="38" t="n">
        <x:v>21600</x:v>
      </x:c>
      <x:c r="I580" s="38" t="n">
        <x:v>4959</x:v>
      </x:c>
      <x:c r="J580" s="38" t="n">
        <x:v>0</x:v>
      </x:c>
      <x:c r="K580" s="38" t="n">
        <x:v>0</x:v>
      </x:c>
      <x:c r="L580" s="38" t="n">
        <x:v>0</x:v>
      </x:c>
      <x:c r="M580" s="38" t="n">
        <x:v>0</x:v>
      </x:c>
      <x:c r="N580" s="38" t="n">
        <x:v>0</x:v>
      </x:c>
      <x:c r="O580" s="38" t="n">
        <x:v>90959</x:v>
      </x:c>
      <x:c r="P580" s="38" t="n">
        <x:f>F580+G580-H580+I580+J580+K580+L580-M580-N580-O580</x:f>
        <x:v>10800</x:v>
      </x:c>
      <x:c r="Q580" s="38" t="n">
        <x:v>10800</x:v>
      </x:c>
      <x:c r="R580" s="38" t="n">
        <x:f>P580-Q580</x:f>
        <x:v>0</x:v>
      </x:c>
      <x:c r="S580" s="38" t="n">
        <x:v>86000</x:v>
      </x:c>
      <x:c r="T580" s="38" t="n">
        <x:v>0</x:v>
      </x:c>
      <x:c r="U580" s="38" t="n">
        <x:v>111</x:v>
      </x:c>
      <x:c r="V580" s="38" t="n">
        <x:v>0</x:v>
      </x:c>
      <x:c r="W580" s="38" t="n">
        <x:v>0</x:v>
      </x:c>
      <x:c r="X580" s="44" t="n">
        <x:v>6.98</x:v>
      </x:c>
      <x:c r="Y580" s="38" t="n">
        <x:v>200</x:v>
      </x:c>
      <x:c r="Z580" s="38" t="n">
        <x:v>40</x:v>
      </x:c>
      <x:c r="AA580" s="38" t="n">
        <x:v>32</x:v>
      </x:c>
      <x:c r="AB580" s="38" t="n">
        <x:v>8</x:v>
      </x:c>
      <x:c r="AC580" s="38" t="n">
        <x:v>10800</x:v>
      </x:c>
      <x:c r="AD580" s="38" t="n">
        <x:v>0</x:v>
      </x:c>
      <x:c r="AE580" s="38" t="n">
        <x:f>IF(B580=1,0,F580-Q579)</x:f>
        <x:v>0</x:v>
      </x:c>
    </x:row>
    <x:row r="581" ht="27" customHeight="1">
      <x:c r="A581" s="28" t="str">
        <x:v>Light payer</x:v>
      </x:c>
      <x:c r="B581" s="38" t="n">
        <x:v>97</x:v>
      </x:c>
      <x:c r="C581" s="38" t="n">
        <x:v>40</x:v>
      </x:c>
      <x:c r="D581" s="38" t="n">
        <x:v>742640</x:v>
      </x:c>
      <x:c r="E581" s="38" t="n">
        <x:v>100</x:v>
      </x:c>
      <x:c r="F581" s="38" t="n">
        <x:v>10800</x:v>
      </x:c>
      <x:c r="G581" s="38" t="n">
        <x:v>107600</x:v>
      </x:c>
      <x:c r="H581" s="38" t="n">
        <x:v>21600</x:v>
      </x:c>
      <x:c r="I581" s="38" t="n">
        <x:v>4959</x:v>
      </x:c>
      <x:c r="J581" s="38" t="n">
        <x:v>0</x:v>
      </x:c>
      <x:c r="K581" s="38" t="n">
        <x:v>0</x:v>
      </x:c>
      <x:c r="L581" s="38" t="n">
        <x:v>0</x:v>
      </x:c>
      <x:c r="M581" s="38" t="n">
        <x:v>0</x:v>
      </x:c>
      <x:c r="N581" s="38" t="n">
        <x:v>5120</x:v>
      </x:c>
      <x:c r="O581" s="38" t="n">
        <x:v>71019</x:v>
      </x:c>
      <x:c r="P581" s="38" t="n">
        <x:f>F581+G581-H581+I581+J581+K581+L581-M581-N581-O581</x:f>
        <x:v>25620</x:v>
      </x:c>
      <x:c r="Q581" s="38" t="n">
        <x:v>25620</x:v>
      </x:c>
      <x:c r="R581" s="38" t="n">
        <x:f>P581-Q581</x:f>
        <x:v>0</x:v>
      </x:c>
      <x:c r="S581" s="38" t="n">
        <x:v>86000</x:v>
      </x:c>
      <x:c r="T581" s="38" t="n">
        <x:v>0</x:v>
      </x:c>
      <x:c r="U581" s="38" t="n">
        <x:v>111</x:v>
      </x:c>
      <x:c r="V581" s="38" t="n">
        <x:v>0</x:v>
      </x:c>
      <x:c r="W581" s="38" t="n">
        <x:v>0</x:v>
      </x:c>
      <x:c r="X581" s="44" t="n">
        <x:v>6.98</x:v>
      </x:c>
      <x:c r="Y581" s="38" t="n">
        <x:v>200</x:v>
      </x:c>
      <x:c r="Z581" s="38" t="n">
        <x:v>40</x:v>
      </x:c>
      <x:c r="AA581" s="38" t="n">
        <x:v>33</x:v>
      </x:c>
      <x:c r="AB581" s="38" t="n">
        <x:v>9</x:v>
      </x:c>
      <x:c r="AC581" s="38" t="n">
        <x:v>10800</x:v>
      </x:c>
      <x:c r="AD581" s="38" t="n">
        <x:v>0</x:v>
      </x:c>
      <x:c r="AE581" s="38" t="n">
        <x:f>IF(B581=1,0,F581-Q580)</x:f>
        <x:v>0</x:v>
      </x:c>
    </x:row>
    <x:row r="582" ht="27" customHeight="1">
      <x:c r="A582" s="28" t="str">
        <x:v>Light payer</x:v>
      </x:c>
      <x:c r="B582" s="38" t="n">
        <x:v>98</x:v>
      </x:c>
      <x:c r="C582" s="38" t="n">
        <x:v>40</x:v>
      </x:c>
      <x:c r="D582" s="38" t="n">
        <x:v>742640</x:v>
      </x:c>
      <x:c r="E582" s="38" t="n">
        <x:v>100</x:v>
      </x:c>
      <x:c r="F582" s="38" t="n">
        <x:v>25620</x:v>
      </x:c>
      <x:c r="G582" s="38" t="n">
        <x:v>107600</x:v>
      </x:c>
      <x:c r="H582" s="38" t="n">
        <x:v>21600</x:v>
      </x:c>
      <x:c r="I582" s="38" t="n">
        <x:v>28130</x:v>
      </x:c>
      <x:c r="J582" s="38" t="n">
        <x:v>0</x:v>
      </x:c>
      <x:c r="K582" s="38" t="n">
        <x:v>0</x:v>
      </x:c>
      <x:c r="L582" s="38" t="n">
        <x:v>0</x:v>
      </x:c>
      <x:c r="M582" s="38" t="n">
        <x:v>0</x:v>
      </x:c>
      <x:c r="N582" s="38" t="n">
        <x:v>0</x:v>
      </x:c>
      <x:c r="O582" s="38" t="n">
        <x:v>128950</x:v>
      </x:c>
      <x:c r="P582" s="38" t="n">
        <x:f>F582+G582-H582+I582+J582+K582+L582-M582-N582-O582</x:f>
        <x:v>10800</x:v>
      </x:c>
      <x:c r="Q582" s="38" t="n">
        <x:v>10800</x:v>
      </x:c>
      <x:c r="R582" s="38" t="n">
        <x:f>P582-Q582</x:f>
        <x:v>0</x:v>
      </x:c>
      <x:c r="S582" s="38" t="n">
        <x:v>86000</x:v>
      </x:c>
      <x:c r="T582" s="38" t="n">
        <x:v>0</x:v>
      </x:c>
      <x:c r="U582" s="38" t="n">
        <x:v>113</x:v>
      </x:c>
      <x:c r="V582" s="38" t="n">
        <x:v>2</x:v>
      </x:c>
      <x:c r="W582" s="38" t="n">
        <x:v>0</x:v>
      </x:c>
      <x:c r="X582" s="44" t="n">
        <x:v>6.98</x:v>
      </x:c>
      <x:c r="Y582" s="38" t="n">
        <x:v>200</x:v>
      </x:c>
      <x:c r="Z582" s="38" t="n">
        <x:v>40</x:v>
      </x:c>
      <x:c r="AA582" s="38" t="n">
        <x:v>33</x:v>
      </x:c>
      <x:c r="AB582" s="38" t="n">
        <x:v>9</x:v>
      </x:c>
      <x:c r="AC582" s="38" t="n">
        <x:v>10800</x:v>
      </x:c>
      <x:c r="AD582" s="38" t="n">
        <x:v>0</x:v>
      </x:c>
      <x:c r="AE582" s="38" t="n">
        <x:f>IF(B582=1,0,F582-Q581)</x:f>
        <x:v>0</x:v>
      </x:c>
    </x:row>
    <x:row r="583" ht="27" customHeight="1">
      <x:c r="A583" s="28" t="str">
        <x:v>Light payer</x:v>
      </x:c>
      <x:c r="B583" s="38" t="n">
        <x:v>99</x:v>
      </x:c>
      <x:c r="C583" s="38" t="n">
        <x:v>40</x:v>
      </x:c>
      <x:c r="D583" s="38" t="n">
        <x:v>742640</x:v>
      </x:c>
      <x:c r="E583" s="38" t="n">
        <x:v>100</x:v>
      </x:c>
      <x:c r="F583" s="38" t="n">
        <x:v>10800</x:v>
      </x:c>
      <x:c r="G583" s="38" t="n">
        <x:v>107600</x:v>
      </x:c>
      <x:c r="H583" s="38" t="n">
        <x:v>21600</x:v>
      </x:c>
      <x:c r="I583" s="38" t="n">
        <x:v>4959</x:v>
      </x:c>
      <x:c r="J583" s="38" t="n">
        <x:v>0</x:v>
      </x:c>
      <x:c r="K583" s="38" t="n">
        <x:v>0</x:v>
      </x:c>
      <x:c r="L583" s="38" t="n">
        <x:v>0</x:v>
      </x:c>
      <x:c r="M583" s="38" t="n">
        <x:v>0</x:v>
      </x:c>
      <x:c r="N583" s="38" t="n">
        <x:v>0</x:v>
      </x:c>
      <x:c r="O583" s="38" t="n">
        <x:v>90959</x:v>
      </x:c>
      <x:c r="P583" s="38" t="n">
        <x:f>F583+G583-H583+I583+J583+K583+L583-M583-N583-O583</x:f>
        <x:v>10800</x:v>
      </x:c>
      <x:c r="Q583" s="38" t="n">
        <x:v>10800</x:v>
      </x:c>
      <x:c r="R583" s="38" t="n">
        <x:f>P583-Q583</x:f>
        <x:v>0</x:v>
      </x:c>
      <x:c r="S583" s="38" t="n">
        <x:v>86000</x:v>
      </x:c>
      <x:c r="T583" s="38" t="n">
        <x:v>0</x:v>
      </x:c>
      <x:c r="U583" s="38" t="n">
        <x:v>113</x:v>
      </x:c>
      <x:c r="V583" s="38" t="n">
        <x:v>0</x:v>
      </x:c>
      <x:c r="W583" s="38" t="n">
        <x:v>0</x:v>
      </x:c>
      <x:c r="X583" s="44" t="n">
        <x:v>6.98</x:v>
      </x:c>
      <x:c r="Y583" s="38" t="n">
        <x:v>200</x:v>
      </x:c>
      <x:c r="Z583" s="38" t="n">
        <x:v>40</x:v>
      </x:c>
      <x:c r="AA583" s="38" t="n">
        <x:v>33</x:v>
      </x:c>
      <x:c r="AB583" s="38" t="n">
        <x:v>9</x:v>
      </x:c>
      <x:c r="AC583" s="38" t="n">
        <x:v>10800</x:v>
      </x:c>
      <x:c r="AD583" s="38" t="n">
        <x:v>0</x:v>
      </x:c>
      <x:c r="AE583" s="38" t="n">
        <x:f>IF(B583=1,0,F583-Q582)</x:f>
        <x:v>0</x:v>
      </x:c>
    </x:row>
    <x:row r="584" ht="27" customHeight="1">
      <x:c r="A584" s="28" t="str">
        <x:v>Light payer</x:v>
      </x:c>
      <x:c r="B584" s="38" t="n">
        <x:v>100</x:v>
      </x:c>
      <x:c r="C584" s="38" t="n">
        <x:v>40</x:v>
      </x:c>
      <x:c r="D584" s="38" t="n">
        <x:v>742640</x:v>
      </x:c>
      <x:c r="E584" s="38" t="n">
        <x:v>100</x:v>
      </x:c>
      <x:c r="F584" s="38" t="n">
        <x:v>10800</x:v>
      </x:c>
      <x:c r="G584" s="38" t="n">
        <x:v>107600</x:v>
      </x:c>
      <x:c r="H584" s="38" t="n">
        <x:v>21600</x:v>
      </x:c>
      <x:c r="I584" s="38" t="n">
        <x:v>4959</x:v>
      </x:c>
      <x:c r="J584" s="38" t="n">
        <x:v>0</x:v>
      </x:c>
      <x:c r="K584" s="38" t="n">
        <x:v>0</x:v>
      </x:c>
      <x:c r="L584" s="38" t="n">
        <x:v>0</x:v>
      </x:c>
      <x:c r="M584" s="38" t="n">
        <x:v>0</x:v>
      </x:c>
      <x:c r="N584" s="38" t="n">
        <x:v>9820</x:v>
      </x:c>
      <x:c r="O584" s="38" t="n">
        <x:v>81139</x:v>
      </x:c>
      <x:c r="P584" s="38" t="n">
        <x:f>F584+G584-H584+I584+J584+K584+L584-M584-N584-O584</x:f>
        <x:v>10800</x:v>
      </x:c>
      <x:c r="Q584" s="38" t="n">
        <x:v>10800</x:v>
      </x:c>
      <x:c r="R584" s="38" t="n">
        <x:f>P584-Q584</x:f>
        <x:v>0</x:v>
      </x:c>
      <x:c r="S584" s="38" t="n">
        <x:v>86000</x:v>
      </x:c>
      <x:c r="T584" s="38" t="n">
        <x:v>0</x:v>
      </x:c>
      <x:c r="U584" s="38" t="n">
        <x:v>113</x:v>
      </x:c>
      <x:c r="V584" s="38" t="n">
        <x:v>0</x:v>
      </x:c>
      <x:c r="W584" s="38" t="n">
        <x:v>0</x:v>
      </x:c>
      <x:c r="X584" s="44" t="n">
        <x:v>6.98</x:v>
      </x:c>
      <x:c r="Y584" s="38" t="n">
        <x:v>200</x:v>
      </x:c>
      <x:c r="Z584" s="38" t="n">
        <x:v>40</x:v>
      </x:c>
      <x:c r="AA584" s="38" t="n">
        <x:v>34</x:v>
      </x:c>
      <x:c r="AB584" s="38" t="n">
        <x:v>9</x:v>
      </x:c>
      <x:c r="AC584" s="38" t="n">
        <x:v>10800</x:v>
      </x:c>
      <x:c r="AD584" s="38" t="n">
        <x:v>0</x:v>
      </x:c>
      <x:c r="AE584" s="38" t="n">
        <x:f>IF(B584=1,0,F584-Q583)</x:f>
        <x:v>0</x:v>
      </x:c>
    </x:row>
    <x:row r="585" ht="27" customHeight="1">
      <x:c r="A585" s="28" t="str">
        <x:v>Light payer</x:v>
      </x:c>
      <x:c r="B585" s="38" t="n">
        <x:v>101</x:v>
      </x:c>
      <x:c r="C585" s="38" t="n">
        <x:v>40</x:v>
      </x:c>
      <x:c r="D585" s="38" t="n">
        <x:v>742640</x:v>
      </x:c>
      <x:c r="E585" s="38" t="n">
        <x:v>100</x:v>
      </x:c>
      <x:c r="F585" s="38" t="n">
        <x:v>10800</x:v>
      </x:c>
      <x:c r="G585" s="38" t="n">
        <x:v>107600</x:v>
      </x:c>
      <x:c r="H585" s="38" t="n">
        <x:v>21600</x:v>
      </x:c>
      <x:c r="I585" s="38" t="n">
        <x:v>4959</x:v>
      </x:c>
      <x:c r="J585" s="38" t="n">
        <x:v>0</x:v>
      </x:c>
      <x:c r="K585" s="38" t="n">
        <x:v>0</x:v>
      </x:c>
      <x:c r="L585" s="38" t="n">
        <x:v>0</x:v>
      </x:c>
      <x:c r="M585" s="38" t="n">
        <x:v>0</x:v>
      </x:c>
      <x:c r="N585" s="38" t="n">
        <x:v>0</x:v>
      </x:c>
      <x:c r="O585" s="38" t="n">
        <x:v>90959</x:v>
      </x:c>
      <x:c r="P585" s="38" t="n">
        <x:f>F585+G585-H585+I585+J585+K585+L585-M585-N585-O585</x:f>
        <x:v>10800</x:v>
      </x:c>
      <x:c r="Q585" s="38" t="n">
        <x:v>10800</x:v>
      </x:c>
      <x:c r="R585" s="38" t="n">
        <x:f>P585-Q585</x:f>
        <x:v>0</x:v>
      </x:c>
      <x:c r="S585" s="38" t="n">
        <x:v>86000</x:v>
      </x:c>
      <x:c r="T585" s="38" t="n">
        <x:v>0</x:v>
      </x:c>
      <x:c r="U585" s="38" t="n">
        <x:v>113</x:v>
      </x:c>
      <x:c r="V585" s="38" t="n">
        <x:v>0</x:v>
      </x:c>
      <x:c r="W585" s="38" t="n">
        <x:v>0</x:v>
      </x:c>
      <x:c r="X585" s="44" t="n">
        <x:v>6.98</x:v>
      </x:c>
      <x:c r="Y585" s="38" t="n">
        <x:v>200</x:v>
      </x:c>
      <x:c r="Z585" s="38" t="n">
        <x:v>40</x:v>
      </x:c>
      <x:c r="AA585" s="38" t="n">
        <x:v>34</x:v>
      </x:c>
      <x:c r="AB585" s="38" t="n">
        <x:v>9</x:v>
      </x:c>
      <x:c r="AC585" s="38" t="n">
        <x:v>10800</x:v>
      </x:c>
      <x:c r="AD585" s="38" t="n">
        <x:v>0</x:v>
      </x:c>
      <x:c r="AE585" s="38" t="n">
        <x:f>IF(B585=1,0,F585-Q584)</x:f>
        <x:v>0</x:v>
      </x:c>
    </x:row>
    <x:row r="586" ht="27" customHeight="1">
      <x:c r="A586" s="28" t="str">
        <x:v>Light payer</x:v>
      </x:c>
      <x:c r="B586" s="38" t="n">
        <x:v>102</x:v>
      </x:c>
      <x:c r="C586" s="38" t="n">
        <x:v>40</x:v>
      </x:c>
      <x:c r="D586" s="38" t="n">
        <x:v>742640</x:v>
      </x:c>
      <x:c r="E586" s="38" t="n">
        <x:v>100</x:v>
      </x:c>
      <x:c r="F586" s="38" t="n">
        <x:v>10800</x:v>
      </x:c>
      <x:c r="G586" s="38" t="n">
        <x:v>107600</x:v>
      </x:c>
      <x:c r="H586" s="38" t="n">
        <x:v>21600</x:v>
      </x:c>
      <x:c r="I586" s="38" t="n">
        <x:v>4959</x:v>
      </x:c>
      <x:c r="J586" s="38" t="n">
        <x:v>0</x:v>
      </x:c>
      <x:c r="K586" s="38" t="n">
        <x:v>0</x:v>
      </x:c>
      <x:c r="L586" s="38" t="n">
        <x:v>0</x:v>
      </x:c>
      <x:c r="M586" s="38" t="n">
        <x:v>0</x:v>
      </x:c>
      <x:c r="N586" s="38" t="n">
        <x:v>0</x:v>
      </x:c>
      <x:c r="O586" s="38" t="n">
        <x:v>90959</x:v>
      </x:c>
      <x:c r="P586" s="38" t="n">
        <x:f>F586+G586-H586+I586+J586+K586+L586-M586-N586-O586</x:f>
        <x:v>10800</x:v>
      </x:c>
      <x:c r="Q586" s="38" t="n">
        <x:v>10800</x:v>
      </x:c>
      <x:c r="R586" s="38" t="n">
        <x:f>P586-Q586</x:f>
        <x:v>0</x:v>
      </x:c>
      <x:c r="S586" s="38" t="n">
        <x:v>86000</x:v>
      </x:c>
      <x:c r="T586" s="38" t="n">
        <x:v>0</x:v>
      </x:c>
      <x:c r="U586" s="38" t="n">
        <x:v>113</x:v>
      </x:c>
      <x:c r="V586" s="38" t="n">
        <x:v>0</x:v>
      </x:c>
      <x:c r="W586" s="38" t="n">
        <x:v>0</x:v>
      </x:c>
      <x:c r="X586" s="44" t="n">
        <x:v>6.98</x:v>
      </x:c>
      <x:c r="Y586" s="38" t="n">
        <x:v>200</x:v>
      </x:c>
      <x:c r="Z586" s="38" t="n">
        <x:v>40</x:v>
      </x:c>
      <x:c r="AA586" s="38" t="n">
        <x:v>34</x:v>
      </x:c>
      <x:c r="AB586" s="38" t="n">
        <x:v>9</x:v>
      </x:c>
      <x:c r="AC586" s="38" t="n">
        <x:v>10800</x:v>
      </x:c>
      <x:c r="AD586" s="38" t="n">
        <x:v>0</x:v>
      </x:c>
      <x:c r="AE586" s="38" t="n">
        <x:f>IF(B586=1,0,F586-Q585)</x:f>
        <x:v>0</x:v>
      </x:c>
    </x:row>
    <x:row r="587" ht="27" customHeight="1">
      <x:c r="A587" s="28" t="str">
        <x:v>Light payer</x:v>
      </x:c>
      <x:c r="B587" s="38" t="n">
        <x:v>103</x:v>
      </x:c>
      <x:c r="C587" s="38" t="n">
        <x:v>40</x:v>
      </x:c>
      <x:c r="D587" s="38" t="n">
        <x:v>742640</x:v>
      </x:c>
      <x:c r="E587" s="38" t="n">
        <x:v>100</x:v>
      </x:c>
      <x:c r="F587" s="38" t="n">
        <x:v>10800</x:v>
      </x:c>
      <x:c r="G587" s="38" t="n">
        <x:v>107600</x:v>
      </x:c>
      <x:c r="H587" s="38" t="n">
        <x:v>21600</x:v>
      </x:c>
      <x:c r="I587" s="38" t="n">
        <x:v>4959</x:v>
      </x:c>
      <x:c r="J587" s="38" t="n">
        <x:v>0</x:v>
      </x:c>
      <x:c r="K587" s="38" t="n">
        <x:v>0</x:v>
      </x:c>
      <x:c r="L587" s="38" t="n">
        <x:v>0</x:v>
      </x:c>
      <x:c r="M587" s="38" t="n">
        <x:v>0</x:v>
      </x:c>
      <x:c r="N587" s="38" t="n">
        <x:v>11865</x:v>
      </x:c>
      <x:c r="O587" s="38" t="n">
        <x:v>65996</x:v>
      </x:c>
      <x:c r="P587" s="38" t="n">
        <x:f>F587+G587-H587+I587+J587+K587+L587-M587-N587-O587</x:f>
        <x:v>23898</x:v>
      </x:c>
      <x:c r="Q587" s="38" t="n">
        <x:v>23898</x:v>
      </x:c>
      <x:c r="R587" s="38" t="n">
        <x:f>P587-Q587</x:f>
        <x:v>0</x:v>
      </x:c>
      <x:c r="S587" s="38" t="n">
        <x:v>86000</x:v>
      </x:c>
      <x:c r="T587" s="38" t="n">
        <x:v>0</x:v>
      </x:c>
      <x:c r="U587" s="38" t="n">
        <x:v>113</x:v>
      </x:c>
      <x:c r="V587" s="38" t="n">
        <x:v>0</x:v>
      </x:c>
      <x:c r="W587" s="38" t="n">
        <x:v>0</x:v>
      </x:c>
      <x:c r="X587" s="44" t="n">
        <x:v>6.98</x:v>
      </x:c>
      <x:c r="Y587" s="38" t="n">
        <x:v>200</x:v>
      </x:c>
      <x:c r="Z587" s="38" t="n">
        <x:v>40</x:v>
      </x:c>
      <x:c r="AA587" s="38" t="n">
        <x:v>35</x:v>
      </x:c>
      <x:c r="AB587" s="38" t="n">
        <x:v>9</x:v>
      </x:c>
      <x:c r="AC587" s="38" t="n">
        <x:v>10800</x:v>
      </x:c>
      <x:c r="AD587" s="38" t="n">
        <x:v>0</x:v>
      </x:c>
      <x:c r="AE587" s="38" t="n">
        <x:f>IF(B587=1,0,F587-Q586)</x:f>
        <x:v>0</x:v>
      </x:c>
    </x:row>
    <x:row r="588" ht="27" customHeight="1">
      <x:c r="A588" s="28" t="str">
        <x:v>Light payer</x:v>
      </x:c>
      <x:c r="B588" s="38" t="n">
        <x:v>104</x:v>
      </x:c>
      <x:c r="C588" s="38" t="n">
        <x:v>40</x:v>
      </x:c>
      <x:c r="D588" s="38" t="n">
        <x:v>742640</x:v>
      </x:c>
      <x:c r="E588" s="38" t="n">
        <x:v>100</x:v>
      </x:c>
      <x:c r="F588" s="38" t="n">
        <x:v>23898</x:v>
      </x:c>
      <x:c r="G588" s="38" t="n">
        <x:v>107600</x:v>
      </x:c>
      <x:c r="H588" s="38" t="n">
        <x:v>21600</x:v>
      </x:c>
      <x:c r="I588" s="38" t="n">
        <x:v>4959</x:v>
      </x:c>
      <x:c r="J588" s="38" t="n">
        <x:v>0</x:v>
      </x:c>
      <x:c r="K588" s="38" t="n">
        <x:v>0</x:v>
      </x:c>
      <x:c r="L588" s="38" t="n">
        <x:v>0</x:v>
      </x:c>
      <x:c r="M588" s="38" t="n">
        <x:v>0</x:v>
      </x:c>
      <x:c r="N588" s="38" t="n">
        <x:v>0</x:v>
      </x:c>
      <x:c r="O588" s="38" t="n">
        <x:v>30100</x:v>
      </x:c>
      <x:c r="P588" s="38" t="n">
        <x:f>F588+G588-H588+I588+J588+K588+L588-M588-N588-O588</x:f>
        <x:v>84757</x:v>
      </x:c>
      <x:c r="Q588" s="38" t="n">
        <x:v>84757</x:v>
      </x:c>
      <x:c r="R588" s="38" t="n">
        <x:f>P588-Q588</x:f>
        <x:v>0</x:v>
      </x:c>
      <x:c r="S588" s="38" t="n">
        <x:v>86000</x:v>
      </x:c>
      <x:c r="T588" s="38" t="n">
        <x:v>0</x:v>
      </x:c>
      <x:c r="U588" s="38" t="n">
        <x:v>113</x:v>
      </x:c>
      <x:c r="V588" s="38" t="n">
        <x:v>0</x:v>
      </x:c>
      <x:c r="W588" s="38" t="n">
        <x:v>0</x:v>
      </x:c>
      <x:c r="X588" s="44" t="n">
        <x:v>6.98</x:v>
      </x:c>
      <x:c r="Y588" s="38" t="n">
        <x:v>200</x:v>
      </x:c>
      <x:c r="Z588" s="38" t="n">
        <x:v>40</x:v>
      </x:c>
      <x:c r="AA588" s="38" t="n">
        <x:v>35</x:v>
      </x:c>
      <x:c r="AB588" s="38" t="n">
        <x:v>9</x:v>
      </x:c>
      <x:c r="AC588" s="38" t="n">
        <x:v>10800</x:v>
      </x:c>
      <x:c r="AD588" s="38" t="n">
        <x:v>0</x:v>
      </x:c>
      <x:c r="AE588" s="38" t="n">
        <x:f>IF(B588=1,0,F588-Q587)</x:f>
        <x:v>0</x:v>
      </x:c>
    </x:row>
    <x:row r="589" ht="27" customHeight="1">
      <x:c r="A589" s="28" t="str">
        <x:v>Light payer</x:v>
      </x:c>
      <x:c r="B589" s="38" t="n">
        <x:v>105</x:v>
      </x:c>
      <x:c r="C589" s="38" t="n">
        <x:v>40</x:v>
      </x:c>
      <x:c r="D589" s="38" t="n">
        <x:v>742640</x:v>
      </x:c>
      <x:c r="E589" s="38" t="n">
        <x:v>100</x:v>
      </x:c>
      <x:c r="F589" s="38" t="n">
        <x:v>84757</x:v>
      </x:c>
      <x:c r="G589" s="38" t="n">
        <x:v>107600</x:v>
      </x:c>
      <x:c r="H589" s="38" t="n">
        <x:v>21600</x:v>
      </x:c>
      <x:c r="I589" s="38" t="n">
        <x:v>29754</x:v>
      </x:c>
      <x:c r="J589" s="38" t="n">
        <x:v>0</x:v>
      </x:c>
      <x:c r="K589" s="38" t="n">
        <x:v>0</x:v>
      </x:c>
      <x:c r="L589" s="38" t="n">
        <x:v>0</x:v>
      </x:c>
      <x:c r="M589" s="38" t="n">
        <x:v>0</x:v>
      </x:c>
      <x:c r="N589" s="38" t="n">
        <x:v>0</x:v>
      </x:c>
      <x:c r="O589" s="38" t="n">
        <x:v>30100</x:v>
      </x:c>
      <x:c r="P589" s="38" t="n">
        <x:f>F589+G589-H589+I589+J589+K589+L589-M589-N589-O589</x:f>
        <x:v>170411</x:v>
      </x:c>
      <x:c r="Q589" s="38" t="n">
        <x:v>170411</x:v>
      </x:c>
      <x:c r="R589" s="38" t="n">
        <x:f>P589-Q589</x:f>
        <x:v>0</x:v>
      </x:c>
      <x:c r="S589" s="38" t="n">
        <x:v>86000</x:v>
      </x:c>
      <x:c r="T589" s="38" t="n">
        <x:v>0</x:v>
      </x:c>
      <x:c r="U589" s="38" t="n">
        <x:v>115</x:v>
      </x:c>
      <x:c r="V589" s="38" t="n">
        <x:v>2</x:v>
      </x:c>
      <x:c r="W589" s="38" t="n">
        <x:v>0</x:v>
      </x:c>
      <x:c r="X589" s="44" t="n">
        <x:v>6.98</x:v>
      </x:c>
      <x:c r="Y589" s="38" t="n">
        <x:v>200</x:v>
      </x:c>
      <x:c r="Z589" s="38" t="n">
        <x:v>40</x:v>
      </x:c>
      <x:c r="AA589" s="38" t="n">
        <x:v>35</x:v>
      </x:c>
      <x:c r="AB589" s="38" t="n">
        <x:v>9</x:v>
      </x:c>
      <x:c r="AC589" s="38" t="n">
        <x:v>10800</x:v>
      </x:c>
      <x:c r="AD589" s="38" t="n">
        <x:v>0</x:v>
      </x:c>
      <x:c r="AE589" s="38" t="n">
        <x:f>IF(B589=1,0,F589-Q588)</x:f>
        <x:v>0</x:v>
      </x:c>
    </x:row>
    <x:row r="590" ht="27" customHeight="1">
      <x:c r="A590" s="28" t="str">
        <x:v>Light payer</x:v>
      </x:c>
      <x:c r="B590" s="38" t="n">
        <x:v>106</x:v>
      </x:c>
      <x:c r="C590" s="38" t="n">
        <x:v>40</x:v>
      </x:c>
      <x:c r="D590" s="38" t="n">
        <x:v>742640</x:v>
      </x:c>
      <x:c r="E590" s="38" t="n">
        <x:v>100</x:v>
      </x:c>
      <x:c r="F590" s="38" t="n">
        <x:v>170411</x:v>
      </x:c>
      <x:c r="G590" s="38" t="n">
        <x:v>107600</x:v>
      </x:c>
      <x:c r="H590" s="38" t="n">
        <x:v>21600</x:v>
      </x:c>
      <x:c r="I590" s="38" t="n">
        <x:v>4959</x:v>
      </x:c>
      <x:c r="J590" s="38" t="n">
        <x:v>0</x:v>
      </x:c>
      <x:c r="K590" s="38" t="n">
        <x:v>0</x:v>
      </x:c>
      <x:c r="L590" s="38" t="n">
        <x:v>0</x:v>
      </x:c>
      <x:c r="M590" s="38" t="n">
        <x:v>0</x:v>
      </x:c>
      <x:c r="N590" s="38" t="n">
        <x:v>12120</x:v>
      </x:c>
      <x:c r="O590" s="38" t="n">
        <x:v>30100</x:v>
      </x:c>
      <x:c r="P590" s="38" t="n">
        <x:f>F590+G590-H590+I590+J590+K590+L590-M590-N590-O590</x:f>
        <x:v>219150</x:v>
      </x:c>
      <x:c r="Q590" s="38" t="n">
        <x:v>219150</x:v>
      </x:c>
      <x:c r="R590" s="38" t="n">
        <x:f>P590-Q590</x:f>
        <x:v>0</x:v>
      </x:c>
      <x:c r="S590" s="38" t="n">
        <x:v>86000</x:v>
      </x:c>
      <x:c r="T590" s="38" t="n">
        <x:v>0</x:v>
      </x:c>
      <x:c r="U590" s="38" t="n">
        <x:v>119</x:v>
      </x:c>
      <x:c r="V590" s="38" t="n">
        <x:v>4</x:v>
      </x:c>
      <x:c r="W590" s="38" t="n">
        <x:v>0</x:v>
      </x:c>
      <x:c r="X590" s="44" t="n">
        <x:v>6.98</x:v>
      </x:c>
      <x:c r="Y590" s="38" t="n">
        <x:v>200</x:v>
      </x:c>
      <x:c r="Z590" s="38" t="n">
        <x:v>40</x:v>
      </x:c>
      <x:c r="AA590" s="38" t="n">
        <x:v>36</x:v>
      </x:c>
      <x:c r="AB590" s="38" t="n">
        <x:v>9</x:v>
      </x:c>
      <x:c r="AC590" s="38" t="n">
        <x:v>10800</x:v>
      </x:c>
      <x:c r="AD590" s="38" t="n">
        <x:v>0</x:v>
      </x:c>
      <x:c r="AE590" s="38" t="n">
        <x:f>IF(B590=1,0,F590-Q589)</x:f>
        <x:v>0</x:v>
      </x:c>
    </x:row>
    <x:row r="591" ht="27" customHeight="1">
      <x:c r="A591" s="28" t="str">
        <x:v>Light payer</x:v>
      </x:c>
      <x:c r="B591" s="38" t="n">
        <x:v>107</x:v>
      </x:c>
      <x:c r="C591" s="38" t="n">
        <x:v>40</x:v>
      </x:c>
      <x:c r="D591" s="38" t="n">
        <x:v>742640</x:v>
      </x:c>
      <x:c r="E591" s="38" t="n">
        <x:v>100</x:v>
      </x:c>
      <x:c r="F591" s="38" t="n">
        <x:v>219150</x:v>
      </x:c>
      <x:c r="G591" s="38" t="n">
        <x:v>107600</x:v>
      </x:c>
      <x:c r="H591" s="38" t="n">
        <x:v>21600</x:v>
      </x:c>
      <x:c r="I591" s="38" t="n">
        <x:v>4959</x:v>
      </x:c>
      <x:c r="J591" s="38" t="n">
        <x:v>0</x:v>
      </x:c>
      <x:c r="K591" s="38" t="n">
        <x:v>0</x:v>
      </x:c>
      <x:c r="L591" s="38" t="n">
        <x:v>0</x:v>
      </x:c>
      <x:c r="M591" s="38" t="n">
        <x:v>0</x:v>
      </x:c>
      <x:c r="N591" s="38" t="n">
        <x:v>0</x:v>
      </x:c>
      <x:c r="O591" s="38" t="n">
        <x:v>30100</x:v>
      </x:c>
      <x:c r="P591" s="38" t="n">
        <x:f>F591+G591-H591+I591+J591+K591+L591-M591-N591-O591</x:f>
        <x:v>280009</x:v>
      </x:c>
      <x:c r="Q591" s="38" t="n">
        <x:v>280009</x:v>
      </x:c>
      <x:c r="R591" s="38" t="n">
        <x:f>P591-Q591</x:f>
        <x:v>0</x:v>
      </x:c>
      <x:c r="S591" s="38" t="n">
        <x:v>86000</x:v>
      </x:c>
      <x:c r="T591" s="38" t="n">
        <x:v>0</x:v>
      </x:c>
      <x:c r="U591" s="38" t="n">
        <x:v>119</x:v>
      </x:c>
      <x:c r="V591" s="38" t="n">
        <x:v>0</x:v>
      </x:c>
      <x:c r="W591" s="38" t="n">
        <x:v>0</x:v>
      </x:c>
      <x:c r="X591" s="44" t="n">
        <x:v>6.98</x:v>
      </x:c>
      <x:c r="Y591" s="38" t="n">
        <x:v>200</x:v>
      </x:c>
      <x:c r="Z591" s="38" t="n">
        <x:v>40</x:v>
      </x:c>
      <x:c r="AA591" s="38" t="n">
        <x:v>36</x:v>
      </x:c>
      <x:c r="AB591" s="38" t="n">
        <x:v>9</x:v>
      </x:c>
      <x:c r="AC591" s="38" t="n">
        <x:v>10800</x:v>
      </x:c>
      <x:c r="AD591" s="38" t="n">
        <x:v>0</x:v>
      </x:c>
      <x:c r="AE591" s="38" t="n">
        <x:f>IF(B591=1,0,F591-Q590)</x:f>
        <x:v>0</x:v>
      </x:c>
    </x:row>
    <x:row r="592" ht="27" customHeight="1">
      <x:c r="A592" s="28" t="str">
        <x:v>Light payer</x:v>
      </x:c>
      <x:c r="B592" s="38" t="n">
        <x:v>108</x:v>
      </x:c>
      <x:c r="C592" s="38" t="n">
        <x:v>40</x:v>
      </x:c>
      <x:c r="D592" s="38" t="n">
        <x:v>742640</x:v>
      </x:c>
      <x:c r="E592" s="38" t="n">
        <x:v>100</x:v>
      </x:c>
      <x:c r="F592" s="38" t="n">
        <x:v>280009</x:v>
      </x:c>
      <x:c r="G592" s="38" t="n">
        <x:v>107600</x:v>
      </x:c>
      <x:c r="H592" s="38" t="n">
        <x:v>21600</x:v>
      </x:c>
      <x:c r="I592" s="38" t="n">
        <x:v>4959</x:v>
      </x:c>
      <x:c r="J592" s="38" t="n">
        <x:v>0</x:v>
      </x:c>
      <x:c r="K592" s="38" t="n">
        <x:v>0</x:v>
      </x:c>
      <x:c r="L592" s="38" t="n">
        <x:v>0</x:v>
      </x:c>
      <x:c r="M592" s="38" t="n">
        <x:v>0</x:v>
      </x:c>
      <x:c r="N592" s="38" t="n">
        <x:v>0</x:v>
      </x:c>
      <x:c r="O592" s="38" t="n">
        <x:v>30100</x:v>
      </x:c>
      <x:c r="P592" s="38" t="n">
        <x:f>F592+G592-H592+I592+J592+K592+L592-M592-N592-O592</x:f>
        <x:v>340868</x:v>
      </x:c>
      <x:c r="Q592" s="38" t="n">
        <x:v>340868</x:v>
      </x:c>
      <x:c r="R592" s="38" t="n">
        <x:f>P592-Q592</x:f>
        <x:v>0</x:v>
      </x:c>
      <x:c r="S592" s="38" t="n">
        <x:v>86000</x:v>
      </x:c>
      <x:c r="T592" s="38" t="n">
        <x:v>0</x:v>
      </x:c>
      <x:c r="U592" s="38" t="n">
        <x:v>119</x:v>
      </x:c>
      <x:c r="V592" s="38" t="n">
        <x:v>0</x:v>
      </x:c>
      <x:c r="W592" s="38" t="n">
        <x:v>0</x:v>
      </x:c>
      <x:c r="X592" s="44" t="n">
        <x:v>6.98</x:v>
      </x:c>
      <x:c r="Y592" s="38" t="n">
        <x:v>200</x:v>
      </x:c>
      <x:c r="Z592" s="38" t="n">
        <x:v>40</x:v>
      </x:c>
      <x:c r="AA592" s="38" t="n">
        <x:v>36</x:v>
      </x:c>
      <x:c r="AB592" s="38" t="n">
        <x:v>9</x:v>
      </x:c>
      <x:c r="AC592" s="38" t="n">
        <x:v>10800</x:v>
      </x:c>
      <x:c r="AD592" s="38" t="n">
        <x:v>0</x:v>
      </x:c>
      <x:c r="AE592" s="38" t="n">
        <x:f>IF(B592=1,0,F592-Q591)</x:f>
        <x:v>0</x:v>
      </x:c>
    </x:row>
    <x:row r="593" ht="27" customHeight="1">
      <x:c r="A593" s="28" t="str">
        <x:v>Light payer</x:v>
      </x:c>
      <x:c r="B593" s="38" t="n">
        <x:v>109</x:v>
      </x:c>
      <x:c r="C593" s="38" t="n">
        <x:v>40</x:v>
      </x:c>
      <x:c r="D593" s="38" t="n">
        <x:v>742640</x:v>
      </x:c>
      <x:c r="E593" s="38" t="n">
        <x:v>100</x:v>
      </x:c>
      <x:c r="F593" s="38" t="n">
        <x:v>340868</x:v>
      </x:c>
      <x:c r="G593" s="38" t="n">
        <x:v>107600</x:v>
      </x:c>
      <x:c r="H593" s="38" t="n">
        <x:v>21600</x:v>
      </x:c>
      <x:c r="I593" s="38" t="n">
        <x:v>4959</x:v>
      </x:c>
      <x:c r="J593" s="38" t="n">
        <x:v>0</x:v>
      </x:c>
      <x:c r="K593" s="38" t="n">
        <x:v>0</x:v>
      </x:c>
      <x:c r="L593" s="38" t="n">
        <x:v>0</x:v>
      </x:c>
      <x:c r="M593" s="38" t="n">
        <x:v>0</x:v>
      </x:c>
      <x:c r="N593" s="38" t="n">
        <x:v>12375</x:v>
      </x:c>
      <x:c r="O593" s="38" t="n">
        <x:v>30100</x:v>
      </x:c>
      <x:c r="P593" s="38" t="n">
        <x:f>F593+G593-H593+I593+J593+K593+L593-M593-N593-O593</x:f>
        <x:v>389352</x:v>
      </x:c>
      <x:c r="Q593" s="38" t="n">
        <x:v>389352</x:v>
      </x:c>
      <x:c r="R593" s="38" t="n">
        <x:f>P593-Q593</x:f>
        <x:v>0</x:v>
      </x:c>
      <x:c r="S593" s="38" t="n">
        <x:v>86000</x:v>
      </x:c>
      <x:c r="T593" s="38" t="n">
        <x:v>0</x:v>
      </x:c>
      <x:c r="U593" s="38" t="n">
        <x:v>119</x:v>
      </x:c>
      <x:c r="V593" s="38" t="n">
        <x:v>0</x:v>
      </x:c>
      <x:c r="W593" s="38" t="n">
        <x:v>0</x:v>
      </x:c>
      <x:c r="X593" s="44" t="n">
        <x:v>6.98</x:v>
      </x:c>
      <x:c r="Y593" s="38" t="n">
        <x:v>200</x:v>
      </x:c>
      <x:c r="Z593" s="38" t="n">
        <x:v>40</x:v>
      </x:c>
      <x:c r="AA593" s="38" t="n">
        <x:v>37</x:v>
      </x:c>
      <x:c r="AB593" s="38" t="n">
        <x:v>9</x:v>
      </x:c>
      <x:c r="AC593" s="38" t="n">
        <x:v>10800</x:v>
      </x:c>
      <x:c r="AD593" s="38" t="n">
        <x:v>0</x:v>
      </x:c>
      <x:c r="AE593" s="38" t="n">
        <x:f>IF(B593=1,0,F593-Q592)</x:f>
        <x:v>0</x:v>
      </x:c>
    </x:row>
    <x:row r="594" ht="27" customHeight="1">
      <x:c r="A594" s="28" t="str">
        <x:v>Light payer</x:v>
      </x:c>
      <x:c r="B594" s="38" t="n">
        <x:v>110</x:v>
      </x:c>
      <x:c r="C594" s="38" t="n">
        <x:v>40</x:v>
      </x:c>
      <x:c r="D594" s="38" t="n">
        <x:v>742640</x:v>
      </x:c>
      <x:c r="E594" s="38" t="n">
        <x:v>100</x:v>
      </x:c>
      <x:c r="F594" s="38" t="n">
        <x:v>389352</x:v>
      </x:c>
      <x:c r="G594" s="38" t="n">
        <x:v>107600</x:v>
      </x:c>
      <x:c r="H594" s="38" t="n">
        <x:v>21600</x:v>
      </x:c>
      <x:c r="I594" s="38" t="n">
        <x:v>4959</x:v>
      </x:c>
      <x:c r="J594" s="38" t="n">
        <x:v>0</x:v>
      </x:c>
      <x:c r="K594" s="38" t="n">
        <x:v>0</x:v>
      </x:c>
      <x:c r="L594" s="38" t="n">
        <x:v>0</x:v>
      </x:c>
      <x:c r="M594" s="38" t="n">
        <x:v>0</x:v>
      </x:c>
      <x:c r="N594" s="38" t="n">
        <x:v>0</x:v>
      </x:c>
      <x:c r="O594" s="38" t="n">
        <x:v>30100</x:v>
      </x:c>
      <x:c r="P594" s="38" t="n">
        <x:f>F594+G594-H594+I594+J594+K594+L594-M594-N594-O594</x:f>
        <x:v>450211</x:v>
      </x:c>
      <x:c r="Q594" s="38" t="n">
        <x:v>450211</x:v>
      </x:c>
      <x:c r="R594" s="38" t="n">
        <x:f>P594-Q594</x:f>
        <x:v>0</x:v>
      </x:c>
      <x:c r="S594" s="38" t="n">
        <x:v>86000</x:v>
      </x:c>
      <x:c r="T594" s="38" t="n">
        <x:v>0</x:v>
      </x:c>
      <x:c r="U594" s="38" t="n">
        <x:v>119</x:v>
      </x:c>
      <x:c r="V594" s="38" t="n">
        <x:v>0</x:v>
      </x:c>
      <x:c r="W594" s="38" t="n">
        <x:v>0</x:v>
      </x:c>
      <x:c r="X594" s="44" t="n">
        <x:v>6.98</x:v>
      </x:c>
      <x:c r="Y594" s="38" t="n">
        <x:v>200</x:v>
      </x:c>
      <x:c r="Z594" s="38" t="n">
        <x:v>40</x:v>
      </x:c>
      <x:c r="AA594" s="38" t="n">
        <x:v>37</x:v>
      </x:c>
      <x:c r="AB594" s="38" t="n">
        <x:v>9</x:v>
      </x:c>
      <x:c r="AC594" s="38" t="n">
        <x:v>10800</x:v>
      </x:c>
      <x:c r="AD594" s="38" t="n">
        <x:v>0</x:v>
      </x:c>
      <x:c r="AE594" s="38" t="n">
        <x:f>IF(B594=1,0,F594-Q593)</x:f>
        <x:v>0</x:v>
      </x:c>
    </x:row>
    <x:row r="595" ht="27" customHeight="1">
      <x:c r="A595" s="28" t="str">
        <x:v>Light payer</x:v>
      </x:c>
      <x:c r="B595" s="38" t="n">
        <x:v>111</x:v>
      </x:c>
      <x:c r="C595" s="38" t="n">
        <x:v>40</x:v>
      </x:c>
      <x:c r="D595" s="38" t="n">
        <x:v>742640</x:v>
      </x:c>
      <x:c r="E595" s="38" t="n">
        <x:v>100</x:v>
      </x:c>
      <x:c r="F595" s="38" t="n">
        <x:v>450211</x:v>
      </x:c>
      <x:c r="G595" s="38" t="n">
        <x:v>107600</x:v>
      </x:c>
      <x:c r="H595" s="38" t="n">
        <x:v>21600</x:v>
      </x:c>
      <x:c r="I595" s="38" t="n">
        <x:v>4959</x:v>
      </x:c>
      <x:c r="J595" s="38" t="n">
        <x:v>0</x:v>
      </x:c>
      <x:c r="K595" s="38" t="n">
        <x:v>0</x:v>
      </x:c>
      <x:c r="L595" s="38" t="n">
        <x:v>0</x:v>
      </x:c>
      <x:c r="M595" s="38" t="n">
        <x:v>0</x:v>
      </x:c>
      <x:c r="N595" s="38" t="n">
        <x:v>0</x:v>
      </x:c>
      <x:c r="O595" s="38" t="n">
        <x:v>30100</x:v>
      </x:c>
      <x:c r="P595" s="38" t="n">
        <x:f>F595+G595-H595+I595+J595+K595+L595-M595-N595-O595</x:f>
        <x:v>511070</x:v>
      </x:c>
      <x:c r="Q595" s="38" t="n">
        <x:v>511070</x:v>
      </x:c>
      <x:c r="R595" s="38" t="n">
        <x:f>P595-Q595</x:f>
        <x:v>0</x:v>
      </x:c>
      <x:c r="S595" s="38" t="n">
        <x:v>86000</x:v>
      </x:c>
      <x:c r="T595" s="38" t="n">
        <x:v>0</x:v>
      </x:c>
      <x:c r="U595" s="38" t="n">
        <x:v>119</x:v>
      </x:c>
      <x:c r="V595" s="38" t="n">
        <x:v>0</x:v>
      </x:c>
      <x:c r="W595" s="38" t="n">
        <x:v>0</x:v>
      </x:c>
      <x:c r="X595" s="44" t="n">
        <x:v>6.98</x:v>
      </x:c>
      <x:c r="Y595" s="38" t="n">
        <x:v>200</x:v>
      </x:c>
      <x:c r="Z595" s="38" t="n">
        <x:v>40</x:v>
      </x:c>
      <x:c r="AA595" s="38" t="n">
        <x:v>37</x:v>
      </x:c>
      <x:c r="AB595" s="38" t="n">
        <x:v>9</x:v>
      </x:c>
      <x:c r="AC595" s="38" t="n">
        <x:v>10800</x:v>
      </x:c>
      <x:c r="AD595" s="38" t="n">
        <x:v>0</x:v>
      </x:c>
      <x:c r="AE595" s="38" t="n">
        <x:f>IF(B595=1,0,F595-Q594)</x:f>
        <x:v>0</x:v>
      </x:c>
    </x:row>
    <x:row r="596" ht="27" customHeight="1">
      <x:c r="A596" s="28" t="str">
        <x:v>Light payer</x:v>
      </x:c>
      <x:c r="B596" s="38" t="n">
        <x:v>112</x:v>
      </x:c>
      <x:c r="C596" s="38" t="n">
        <x:v>40</x:v>
      </x:c>
      <x:c r="D596" s="38" t="n">
        <x:v>742640</x:v>
      </x:c>
      <x:c r="E596" s="38" t="n">
        <x:v>100</x:v>
      </x:c>
      <x:c r="F596" s="38" t="n">
        <x:v>511070</x:v>
      </x:c>
      <x:c r="G596" s="38" t="n">
        <x:v>107600</x:v>
      </x:c>
      <x:c r="H596" s="38" t="n">
        <x:v>21600</x:v>
      </x:c>
      <x:c r="I596" s="38" t="n">
        <x:v>29754</x:v>
      </x:c>
      <x:c r="J596" s="38" t="n">
        <x:v>0</x:v>
      </x:c>
      <x:c r="K596" s="38" t="n">
        <x:v>0</x:v>
      </x:c>
      <x:c r="L596" s="38" t="n">
        <x:v>0</x:v>
      </x:c>
      <x:c r="M596" s="38" t="n">
        <x:v>0</x:v>
      </x:c>
      <x:c r="N596" s="38" t="n">
        <x:v>13605</x:v>
      </x:c>
      <x:c r="O596" s="38" t="n">
        <x:v>30100</x:v>
      </x:c>
      <x:c r="P596" s="38" t="n">
        <x:f>F596+G596-H596+I596+J596+K596+L596-M596-N596-O596</x:f>
        <x:v>583119</x:v>
      </x:c>
      <x:c r="Q596" s="38" t="n">
        <x:v>583119</x:v>
      </x:c>
      <x:c r="R596" s="38" t="n">
        <x:f>P596-Q596</x:f>
        <x:v>0</x:v>
      </x:c>
      <x:c r="S596" s="38" t="n">
        <x:v>86000</x:v>
      </x:c>
      <x:c r="T596" s="38" t="n">
        <x:v>0</x:v>
      </x:c>
      <x:c r="U596" s="38" t="n">
        <x:v>121</x:v>
      </x:c>
      <x:c r="V596" s="38" t="n">
        <x:v>2</x:v>
      </x:c>
      <x:c r="W596" s="38" t="n">
        <x:v>0</x:v>
      </x:c>
      <x:c r="X596" s="44" t="n">
        <x:v>6.98</x:v>
      </x:c>
      <x:c r="Y596" s="38" t="n">
        <x:v>200</x:v>
      </x:c>
      <x:c r="Z596" s="38" t="n">
        <x:v>40</x:v>
      </x:c>
      <x:c r="AA596" s="38" t="n">
        <x:v>38</x:v>
      </x:c>
      <x:c r="AB596" s="38" t="n">
        <x:v>9</x:v>
      </x:c>
      <x:c r="AC596" s="38" t="n">
        <x:v>10800</x:v>
      </x:c>
      <x:c r="AD596" s="38" t="n">
        <x:v>0</x:v>
      </x:c>
      <x:c r="AE596" s="38" t="n">
        <x:f>IF(B596=1,0,F596-Q595)</x:f>
        <x:v>0</x:v>
      </x:c>
    </x:row>
    <x:row r="597" ht="27" customHeight="1">
      <x:c r="A597" s="28" t="str">
        <x:v>Light payer</x:v>
      </x:c>
      <x:c r="B597" s="38" t="n">
        <x:v>113</x:v>
      </x:c>
      <x:c r="C597" s="38" t="n">
        <x:v>40</x:v>
      </x:c>
      <x:c r="D597" s="38" t="n">
        <x:v>742640</x:v>
      </x:c>
      <x:c r="E597" s="38" t="n">
        <x:v>100</x:v>
      </x:c>
      <x:c r="F597" s="38" t="n">
        <x:v>583119</x:v>
      </x:c>
      <x:c r="G597" s="38" t="n">
        <x:v>107600</x:v>
      </x:c>
      <x:c r="H597" s="38" t="n">
        <x:v>21600</x:v>
      </x:c>
      <x:c r="I597" s="38" t="n">
        <x:v>4959</x:v>
      </x:c>
      <x:c r="J597" s="38" t="n">
        <x:v>0</x:v>
      </x:c>
      <x:c r="K597" s="38" t="n">
        <x:v>0</x:v>
      </x:c>
      <x:c r="L597" s="38" t="n">
        <x:v>0</x:v>
      </x:c>
      <x:c r="M597" s="38" t="n">
        <x:v>0</x:v>
      </x:c>
      <x:c r="N597" s="38" t="n">
        <x:v>0</x:v>
      </x:c>
      <x:c r="O597" s="38" t="n">
        <x:v>30100</x:v>
      </x:c>
      <x:c r="P597" s="38" t="n">
        <x:f>F597+G597-H597+I597+J597+K597+L597-M597-N597-O597</x:f>
        <x:v>643978</x:v>
      </x:c>
      <x:c r="Q597" s="38" t="n">
        <x:v>643978</x:v>
      </x:c>
      <x:c r="R597" s="38" t="n">
        <x:f>P597-Q597</x:f>
        <x:v>0</x:v>
      </x:c>
      <x:c r="S597" s="38" t="n">
        <x:v>86000</x:v>
      </x:c>
      <x:c r="T597" s="38" t="n">
        <x:v>0</x:v>
      </x:c>
      <x:c r="U597" s="38" t="n">
        <x:v>121</x:v>
      </x:c>
      <x:c r="V597" s="38" t="n">
        <x:v>0</x:v>
      </x:c>
      <x:c r="W597" s="38" t="n">
        <x:v>0</x:v>
      </x:c>
      <x:c r="X597" s="44" t="n">
        <x:v>6.98</x:v>
      </x:c>
      <x:c r="Y597" s="38" t="n">
        <x:v>200</x:v>
      </x:c>
      <x:c r="Z597" s="38" t="n">
        <x:v>40</x:v>
      </x:c>
      <x:c r="AA597" s="38" t="n">
        <x:v>38</x:v>
      </x:c>
      <x:c r="AB597" s="38" t="n">
        <x:v>9</x:v>
      </x:c>
      <x:c r="AC597" s="38" t="n">
        <x:v>10800</x:v>
      </x:c>
      <x:c r="AD597" s="38" t="n">
        <x:v>0</x:v>
      </x:c>
      <x:c r="AE597" s="38" t="n">
        <x:f>IF(B597=1,0,F597-Q596)</x:f>
        <x:v>0</x:v>
      </x:c>
    </x:row>
    <x:row r="598" ht="27" customHeight="1">
      <x:c r="A598" s="28" t="str">
        <x:v>Light payer</x:v>
      </x:c>
      <x:c r="B598" s="38" t="n">
        <x:v>114</x:v>
      </x:c>
      <x:c r="C598" s="38" t="n">
        <x:v>40</x:v>
      </x:c>
      <x:c r="D598" s="38" t="n">
        <x:v>742640</x:v>
      </x:c>
      <x:c r="E598" s="38" t="n">
        <x:v>100</x:v>
      </x:c>
      <x:c r="F598" s="38" t="n">
        <x:v>643978</x:v>
      </x:c>
      <x:c r="G598" s="38" t="n">
        <x:v>107600</x:v>
      </x:c>
      <x:c r="H598" s="38" t="n">
        <x:v>21600</x:v>
      </x:c>
      <x:c r="I598" s="38" t="n">
        <x:v>4959</x:v>
      </x:c>
      <x:c r="J598" s="38" t="n">
        <x:v>0</x:v>
      </x:c>
      <x:c r="K598" s="38" t="n">
        <x:v>0</x:v>
      </x:c>
      <x:c r="L598" s="38" t="n">
        <x:v>0</x:v>
      </x:c>
      <x:c r="M598" s="38" t="n">
        <x:v>0</x:v>
      </x:c>
      <x:c r="N598" s="38" t="n">
        <x:v>0</x:v>
      </x:c>
      <x:c r="O598" s="38" t="n">
        <x:v>30100</x:v>
      </x:c>
      <x:c r="P598" s="38" t="n">
        <x:f>F598+G598-H598+I598+J598+K598+L598-M598-N598-O598</x:f>
        <x:v>704837</x:v>
      </x:c>
      <x:c r="Q598" s="38" t="n">
        <x:v>704837</x:v>
      </x:c>
      <x:c r="R598" s="38" t="n">
        <x:f>P598-Q598</x:f>
        <x:v>0</x:v>
      </x:c>
      <x:c r="S598" s="38" t="n">
        <x:v>86000</x:v>
      </x:c>
      <x:c r="T598" s="38" t="n">
        <x:v>0</x:v>
      </x:c>
      <x:c r="U598" s="38" t="n">
        <x:v>121</x:v>
      </x:c>
      <x:c r="V598" s="38" t="n">
        <x:v>0</x:v>
      </x:c>
      <x:c r="W598" s="38" t="n">
        <x:v>0</x:v>
      </x:c>
      <x:c r="X598" s="44" t="n">
        <x:v>6.98</x:v>
      </x:c>
      <x:c r="Y598" s="38" t="n">
        <x:v>200</x:v>
      </x:c>
      <x:c r="Z598" s="38" t="n">
        <x:v>40</x:v>
      </x:c>
      <x:c r="AA598" s="38" t="n">
        <x:v>38</x:v>
      </x:c>
      <x:c r="AB598" s="38" t="n">
        <x:v>9</x:v>
      </x:c>
      <x:c r="AC598" s="38" t="n">
        <x:v>10800</x:v>
      </x:c>
      <x:c r="AD598" s="38" t="n">
        <x:v>0</x:v>
      </x:c>
      <x:c r="AE598" s="38" t="n">
        <x:f>IF(B598=1,0,F598-Q597)</x:f>
        <x:v>0</x:v>
      </x:c>
    </x:row>
    <x:row r="599" ht="27" customHeight="1">
      <x:c r="A599" s="28" t="str">
        <x:v>Light payer</x:v>
      </x:c>
      <x:c r="B599" s="38" t="n">
        <x:v>115</x:v>
      </x:c>
      <x:c r="C599" s="38" t="n">
        <x:v>40</x:v>
      </x:c>
      <x:c r="D599" s="38" t="n">
        <x:v>742640</x:v>
      </x:c>
      <x:c r="E599" s="38" t="n">
        <x:v>100</x:v>
      </x:c>
      <x:c r="F599" s="38" t="n">
        <x:v>704837</x:v>
      </x:c>
      <x:c r="G599" s="38" t="n">
        <x:v>107600</x:v>
      </x:c>
      <x:c r="H599" s="38" t="n">
        <x:v>21600</x:v>
      </x:c>
      <x:c r="I599" s="38" t="n">
        <x:v>4959</x:v>
      </x:c>
      <x:c r="J599" s="38" t="n">
        <x:v>0</x:v>
      </x:c>
      <x:c r="K599" s="38" t="n">
        <x:v>0</x:v>
      </x:c>
      <x:c r="L599" s="38" t="n">
        <x:v>0</x:v>
      </x:c>
      <x:c r="M599" s="38" t="n">
        <x:v>0</x:v>
      </x:c>
      <x:c r="N599" s="38" t="n">
        <x:v>13880</x:v>
      </x:c>
      <x:c r="O599" s="38" t="n">
        <x:v>30100</x:v>
      </x:c>
      <x:c r="P599" s="38" t="n">
        <x:f>F599+G599-H599+I599+J599+K599+L599-M599-N599-O599</x:f>
        <x:v>751816</x:v>
      </x:c>
      <x:c r="Q599" s="38" t="n">
        <x:v>751816</x:v>
      </x:c>
      <x:c r="R599" s="38" t="n">
        <x:f>P599-Q599</x:f>
        <x:v>0</x:v>
      </x:c>
      <x:c r="S599" s="38" t="n">
        <x:v>86000</x:v>
      </x:c>
      <x:c r="T599" s="38" t="n">
        <x:v>0</x:v>
      </x:c>
      <x:c r="U599" s="38" t="n">
        <x:v>121</x:v>
      </x:c>
      <x:c r="V599" s="38" t="n">
        <x:v>0</x:v>
      </x:c>
      <x:c r="W599" s="38" t="n">
        <x:v>0</x:v>
      </x:c>
      <x:c r="X599" s="44" t="n">
        <x:v>6.98</x:v>
      </x:c>
      <x:c r="Y599" s="38" t="n">
        <x:v>200</x:v>
      </x:c>
      <x:c r="Z599" s="38" t="n">
        <x:v>40</x:v>
      </x:c>
      <x:c r="AA599" s="38" t="n">
        <x:v>39</x:v>
      </x:c>
      <x:c r="AB599" s="38" t="n">
        <x:v>9</x:v>
      </x:c>
      <x:c r="AC599" s="38" t="n">
        <x:v>10800</x:v>
      </x:c>
      <x:c r="AD599" s="38" t="n">
        <x:v>0</x:v>
      </x:c>
      <x:c r="AE599" s="38" t="n">
        <x:f>IF(B599=1,0,F599-Q598)</x:f>
        <x:v>0</x:v>
      </x:c>
    </x:row>
    <x:row r="600" ht="27" customHeight="1">
      <x:c r="A600" s="28" t="str">
        <x:v>Light payer</x:v>
      </x:c>
      <x:c r="B600" s="38" t="n">
        <x:v>116</x:v>
      </x:c>
      <x:c r="C600" s="38" t="n">
        <x:v>40</x:v>
      </x:c>
      <x:c r="D600" s="38" t="n">
        <x:v>742640</x:v>
      </x:c>
      <x:c r="E600" s="38" t="n">
        <x:v>100</x:v>
      </x:c>
      <x:c r="F600" s="38" t="n">
        <x:v>751816</x:v>
      </x:c>
      <x:c r="G600" s="38" t="n">
        <x:v>107600</x:v>
      </x:c>
      <x:c r="H600" s="38" t="n">
        <x:v>21600</x:v>
      </x:c>
      <x:c r="I600" s="38" t="n">
        <x:v>4959</x:v>
      </x:c>
      <x:c r="J600" s="38" t="n">
        <x:v>0</x:v>
      </x:c>
      <x:c r="K600" s="38" t="n">
        <x:v>0</x:v>
      </x:c>
      <x:c r="L600" s="38" t="n">
        <x:v>0</x:v>
      </x:c>
      <x:c r="M600" s="38" t="n">
        <x:v>0</x:v>
      </x:c>
      <x:c r="N600" s="38" t="n">
        <x:v>0</x:v>
      </x:c>
      <x:c r="O600" s="38" t="n">
        <x:v>30100</x:v>
      </x:c>
      <x:c r="P600" s="38" t="n">
        <x:f>F600+G600-H600+I600+J600+K600+L600-M600-N600-O600</x:f>
        <x:v>812675</x:v>
      </x:c>
      <x:c r="Q600" s="38" t="n">
        <x:v>812675</x:v>
      </x:c>
      <x:c r="R600" s="38" t="n">
        <x:f>P600-Q600</x:f>
        <x:v>0</x:v>
      </x:c>
      <x:c r="S600" s="38" t="n">
        <x:v>86000</x:v>
      </x:c>
      <x:c r="T600" s="38" t="n">
        <x:v>0</x:v>
      </x:c>
      <x:c r="U600" s="38" t="n">
        <x:v>121</x:v>
      </x:c>
      <x:c r="V600" s="38" t="n">
        <x:v>0</x:v>
      </x:c>
      <x:c r="W600" s="38" t="n">
        <x:v>0</x:v>
      </x:c>
      <x:c r="X600" s="44" t="n">
        <x:v>6.98</x:v>
      </x:c>
      <x:c r="Y600" s="38" t="n">
        <x:v>200</x:v>
      </x:c>
      <x:c r="Z600" s="38" t="n">
        <x:v>40</x:v>
      </x:c>
      <x:c r="AA600" s="38" t="n">
        <x:v>39</x:v>
      </x:c>
      <x:c r="AB600" s="38" t="n">
        <x:v>9</x:v>
      </x:c>
      <x:c r="AC600" s="38" t="n">
        <x:v>10800</x:v>
      </x:c>
      <x:c r="AD600" s="38" t="n">
        <x:v>0</x:v>
      </x:c>
      <x:c r="AE600" s="38" t="n">
        <x:f>IF(B600=1,0,F600-Q599)</x:f>
        <x:v>0</x:v>
      </x:c>
    </x:row>
    <x:row r="601" ht="27" customHeight="1">
      <x:c r="A601" s="28" t="str">
        <x:v>Light payer</x:v>
      </x:c>
      <x:c r="B601" s="38" t="n">
        <x:v>117</x:v>
      </x:c>
      <x:c r="C601" s="38" t="n">
        <x:v>40</x:v>
      </x:c>
      <x:c r="D601" s="38" t="n">
        <x:v>742640</x:v>
      </x:c>
      <x:c r="E601" s="38" t="n">
        <x:v>100</x:v>
      </x:c>
      <x:c r="F601" s="38" t="n">
        <x:v>812675</x:v>
      </x:c>
      <x:c r="G601" s="38" t="n">
        <x:v>107600</x:v>
      </x:c>
      <x:c r="H601" s="38" t="n">
        <x:v>21600</x:v>
      </x:c>
      <x:c r="I601" s="38" t="n">
        <x:v>4959</x:v>
      </x:c>
      <x:c r="J601" s="38" t="n">
        <x:v>0</x:v>
      </x:c>
      <x:c r="K601" s="38" t="n">
        <x:v>0</x:v>
      </x:c>
      <x:c r="L601" s="38" t="n">
        <x:v>0</x:v>
      </x:c>
      <x:c r="M601" s="38" t="n">
        <x:v>0</x:v>
      </x:c>
      <x:c r="N601" s="38" t="n">
        <x:v>0</x:v>
      </x:c>
      <x:c r="O601" s="38" t="n">
        <x:v>30100</x:v>
      </x:c>
      <x:c r="P601" s="38" t="n">
        <x:f>F601+G601-H601+I601+J601+K601+L601-M601-N601-O601</x:f>
        <x:v>873534</x:v>
      </x:c>
      <x:c r="Q601" s="38" t="n">
        <x:v>873534</x:v>
      </x:c>
      <x:c r="R601" s="38" t="n">
        <x:f>P601-Q601</x:f>
        <x:v>0</x:v>
      </x:c>
      <x:c r="S601" s="38" t="n">
        <x:v>86000</x:v>
      </x:c>
      <x:c r="T601" s="38" t="n">
        <x:v>0</x:v>
      </x:c>
      <x:c r="U601" s="38" t="n">
        <x:v>121</x:v>
      </x:c>
      <x:c r="V601" s="38" t="n">
        <x:v>0</x:v>
      </x:c>
      <x:c r="W601" s="38" t="n">
        <x:v>0</x:v>
      </x:c>
      <x:c r="X601" s="44" t="n">
        <x:v>6.98</x:v>
      </x:c>
      <x:c r="Y601" s="38" t="n">
        <x:v>200</x:v>
      </x:c>
      <x:c r="Z601" s="38" t="n">
        <x:v>40</x:v>
      </x:c>
      <x:c r="AA601" s="38" t="n">
        <x:v>39</x:v>
      </x:c>
      <x:c r="AB601" s="38" t="n">
        <x:v>9</x:v>
      </x:c>
      <x:c r="AC601" s="38" t="n">
        <x:v>10800</x:v>
      </x:c>
      <x:c r="AD601" s="38" t="n">
        <x:v>0</x:v>
      </x:c>
      <x:c r="AE601" s="38" t="n">
        <x:f>IF(B601=1,0,F601-Q600)</x:f>
        <x:v>0</x:v>
      </x:c>
    </x:row>
    <x:row r="602" ht="27" customHeight="1">
      <x:c r="A602" s="28" t="str">
        <x:v>Light payer</x:v>
      </x:c>
      <x:c r="B602" s="38" t="n">
        <x:v>118</x:v>
      </x:c>
      <x:c r="C602" s="38" t="n">
        <x:v>40</x:v>
      </x:c>
      <x:c r="D602" s="38" t="n">
        <x:v>742640</x:v>
      </x:c>
      <x:c r="E602" s="38" t="n">
        <x:v>100</x:v>
      </x:c>
      <x:c r="F602" s="38" t="n">
        <x:v>873534</x:v>
      </x:c>
      <x:c r="G602" s="38" t="n">
        <x:v>107600</x:v>
      </x:c>
      <x:c r="H602" s="38" t="n">
        <x:v>21600</x:v>
      </x:c>
      <x:c r="I602" s="38" t="n">
        <x:v>4959</x:v>
      </x:c>
      <x:c r="J602" s="38" t="n">
        <x:v>0</x:v>
      </x:c>
      <x:c r="K602" s="38" t="n">
        <x:v>0</x:v>
      </x:c>
      <x:c r="L602" s="38" t="n">
        <x:v>0</x:v>
      </x:c>
      <x:c r="M602" s="38" t="n">
        <x:v>0</x:v>
      </x:c>
      <x:c r="N602" s="38" t="n">
        <x:v>15170</x:v>
      </x:c>
      <x:c r="O602" s="38" t="n">
        <x:v>21438</x:v>
      </x:c>
      <x:c r="P602" s="38" t="n">
        <x:f>F602+G602-H602+I602+J602+K602+L602-M602-N602-O602</x:f>
        <x:v>927885</x:v>
      </x:c>
      <x:c r="Q602" s="38" t="n">
        <x:v>927885</x:v>
      </x:c>
      <x:c r="R602" s="38" t="n">
        <x:f>P602-Q602</x:f>
        <x:v>0</x:v>
      </x:c>
      <x:c r="S602" s="38" t="n">
        <x:v>86000</x:v>
      </x:c>
      <x:c r="T602" s="38" t="n">
        <x:v>0</x:v>
      </x:c>
      <x:c r="U602" s="38" t="n">
        <x:v>121</x:v>
      </x:c>
      <x:c r="V602" s="38" t="n">
        <x:v>0</x:v>
      </x:c>
      <x:c r="W602" s="38" t="n">
        <x:v>0</x:v>
      </x:c>
      <x:c r="X602" s="44" t="n">
        <x:v>6.98</x:v>
      </x:c>
      <x:c r="Y602" s="38" t="n">
        <x:v>200</x:v>
      </x:c>
      <x:c r="Z602" s="38" t="n">
        <x:v>40</x:v>
      </x:c>
      <x:c r="AA602" s="38" t="n">
        <x:v>40</x:v>
      </x:c>
      <x:c r="AB602" s="38" t="n">
        <x:v>10</x:v>
      </x:c>
      <x:c r="AC602" s="38" t="n">
        <x:v>10800</x:v>
      </x:c>
      <x:c r="AD602" s="38" t="n">
        <x:v>0</x:v>
      </x:c>
      <x:c r="AE602" s="38" t="n">
        <x:f>IF(B602=1,0,F602-Q601)</x:f>
        <x:v>0</x:v>
      </x:c>
    </x:row>
    <x:row r="603" ht="27" customHeight="1">
      <x:c r="A603" s="28" t="str">
        <x:v>Light payer</x:v>
      </x:c>
      <x:c r="B603" s="38" t="n">
        <x:v>119</x:v>
      </x:c>
      <x:c r="C603" s="38" t="n">
        <x:v>40</x:v>
      </x:c>
      <x:c r="D603" s="38" t="n">
        <x:v>742640</x:v>
      </x:c>
      <x:c r="E603" s="38" t="n">
        <x:v>100</x:v>
      </x:c>
      <x:c r="F603" s="38" t="n">
        <x:v>927885</x:v>
      </x:c>
      <x:c r="G603" s="38" t="n">
        <x:v>107600</x:v>
      </x:c>
      <x:c r="H603" s="38" t="n">
        <x:v>21600</x:v>
      </x:c>
      <x:c r="I603" s="38" t="n">
        <x:v>29754</x:v>
      </x:c>
      <x:c r="J603" s="38" t="n">
        <x:v>0</x:v>
      </x:c>
      <x:c r="K603" s="38" t="n">
        <x:v>0</x:v>
      </x:c>
      <x:c r="L603" s="38" t="n">
        <x:v>0</x:v>
      </x:c>
      <x:c r="M603" s="38" t="n">
        <x:v>0</x:v>
      </x:c>
      <x:c r="N603" s="38" t="n">
        <x:v>0</x:v>
      </x:c>
      <x:c r="O603" s="38" t="n">
        <x:v>0</x:v>
      </x:c>
      <x:c r="P603" s="38" t="n">
        <x:f>F603+G603-H603+I603+J603+K603+L603-M603-N603-O603</x:f>
        <x:v>1043639</x:v>
      </x:c>
      <x:c r="Q603" s="38" t="n">
        <x:v>1043639</x:v>
      </x:c>
      <x:c r="R603" s="38" t="n">
        <x:f>P603-Q603</x:f>
        <x:v>0</x:v>
      </x:c>
      <x:c r="S603" s="38" t="n">
        <x:v>86000</x:v>
      </x:c>
      <x:c r="T603" s="38" t="n">
        <x:v>0</x:v>
      </x:c>
      <x:c r="U603" s="38" t="n">
        <x:v>123</x:v>
      </x:c>
      <x:c r="V603" s="38" t="n">
        <x:v>2</x:v>
      </x:c>
      <x:c r="W603" s="38" t="n">
        <x:v>0</x:v>
      </x:c>
      <x:c r="X603" s="44" t="n">
        <x:v>6.98</x:v>
      </x:c>
      <x:c r="Y603" s="38" t="n">
        <x:v>200</x:v>
      </x:c>
      <x:c r="Z603" s="38" t="n">
        <x:v>40</x:v>
      </x:c>
      <x:c r="AA603" s="38" t="n">
        <x:v>40</x:v>
      </x:c>
      <x:c r="AB603" s="38" t="n">
        <x:v>10</x:v>
      </x:c>
      <x:c r="AC603" s="38" t="n">
        <x:v>10800</x:v>
      </x:c>
      <x:c r="AD603" s="38" t="n">
        <x:v>0</x:v>
      </x:c>
      <x:c r="AE603" s="38" t="n">
        <x:f>IF(B603=1,0,F603-Q602)</x:f>
        <x:v>0</x:v>
      </x:c>
    </x:row>
    <x:row r="604" ht="27" customHeight="1">
      <x:c r="A604" s="28" t="str">
        <x:v>Light payer</x:v>
      </x:c>
      <x:c r="B604" s="38" t="n">
        <x:v>120</x:v>
      </x:c>
      <x:c r="C604" s="38" t="n">
        <x:v>40</x:v>
      </x:c>
      <x:c r="D604" s="38" t="n">
        <x:v>742640</x:v>
      </x:c>
      <x:c r="E604" s="38" t="n">
        <x:v>100</x:v>
      </x:c>
      <x:c r="F604" s="38" t="n">
        <x:v>1043639</x:v>
      </x:c>
      <x:c r="G604" s="38" t="n">
        <x:v>107600</x:v>
      </x:c>
      <x:c r="H604" s="38" t="n">
        <x:v>21600</x:v>
      </x:c>
      <x:c r="I604" s="38" t="n">
        <x:v>4959</x:v>
      </x:c>
      <x:c r="J604" s="38" t="n">
        <x:v>0</x:v>
      </x:c>
      <x:c r="K604" s="38" t="n">
        <x:v>0</x:v>
      </x:c>
      <x:c r="L604" s="38" t="n">
        <x:v>0</x:v>
      </x:c>
      <x:c r="M604" s="38" t="n">
        <x:v>0</x:v>
      </x:c>
      <x:c r="N604" s="38" t="n">
        <x:v>0</x:v>
      </x:c>
      <x:c r="O604" s="38" t="n">
        <x:v>0</x:v>
      </x:c>
      <x:c r="P604" s="38" t="n">
        <x:f>F604+G604-H604+I604+J604+K604+L604-M604-N604-O604</x:f>
        <x:v>1134598</x:v>
      </x:c>
      <x:c r="Q604" s="38" t="n">
        <x:v>1134598</x:v>
      </x:c>
      <x:c r="R604" s="38" t="n">
        <x:f>P604-Q604</x:f>
        <x:v>0</x:v>
      </x:c>
      <x:c r="S604" s="38" t="n">
        <x:v>86000</x:v>
      </x:c>
      <x:c r="T604" s="38" t="n">
        <x:v>0</x:v>
      </x:c>
      <x:c r="U604" s="38" t="n">
        <x:v>123</x:v>
      </x:c>
      <x:c r="V604" s="38" t="n">
        <x:v>0</x:v>
      </x:c>
      <x:c r="W604" s="38" t="n">
        <x:v>0</x:v>
      </x:c>
      <x:c r="X604" s="44" t="n">
        <x:v>6.98</x:v>
      </x:c>
      <x:c r="Y604" s="38" t="n">
        <x:v>200</x:v>
      </x:c>
      <x:c r="Z604" s="38" t="n">
        <x:v>40</x:v>
      </x:c>
      <x:c r="AA604" s="38" t="n">
        <x:v>40</x:v>
      </x:c>
      <x:c r="AB604" s="38" t="n">
        <x:v>10</x:v>
      </x:c>
      <x:c r="AC604" s="38" t="n">
        <x:v>10800</x:v>
      </x:c>
      <x:c r="AD604" s="38" t="n">
        <x:v>0</x:v>
      </x:c>
      <x:c r="AE604" s="38" t="n">
        <x:f>IF(B604=1,0,F604-Q603)</x:f>
        <x:v>0</x:v>
      </x:c>
    </x:row>
    <x:row r="605" ht="27" customHeight="1">
      <x:c r="A605" s="28" t="str">
        <x:v>Ad-supported</x:v>
      </x:c>
      <x:c r="B605" s="38" t="n">
        <x:v>1</x:v>
      </x:c>
      <x:c r="C605" s="38" t="n">
        <x:v>3</x:v>
      </x:c>
      <x:c r="D605" s="38" t="n">
        <x:v>370</x:v>
      </x:c>
      <x:c r="E605" s="38" t="n">
        <x:v>15</x:v>
      </x:c>
      <x:c r="F605" s="38" t="n">
        <x:v>731</x:v>
      </x:c>
      <x:c r="G605" s="38" t="n">
        <x:v>1155</x:v>
      </x:c>
      <x:c r="H605" s="38" t="n">
        <x:v>759</x:v>
      </x:c>
      <x:c r="I605" s="38" t="n">
        <x:v>0</x:v>
      </x:c>
      <x:c r="J605" s="38" t="n">
        <x:v>75</x:v>
      </x:c>
      <x:c r="K605" s="38" t="n">
        <x:v>0</x:v>
      </x:c>
      <x:c r="L605" s="38" t="n">
        <x:v>0</x:v>
      </x:c>
      <x:c r="M605" s="38" t="n">
        <x:v>300</x:v>
      </x:c>
      <x:c r="N605" s="38" t="n">
        <x:v>0</x:v>
      </x:c>
      <x:c r="O605" s="38" t="n">
        <x:v>0</x:v>
      </x:c>
      <x:c r="P605" s="38" t="n">
        <x:f>F605+G605-H605+I605+J605+K605+L605-M605-N605-O605</x:f>
        <x:v>902</x:v>
      </x:c>
      <x:c r="Q605" s="38" t="n">
        <x:v>902</x:v>
      </x:c>
      <x:c r="R605" s="38" t="n">
        <x:f>P605-Q605</x:f>
        <x:v>0</x:v>
      </x:c>
      <x:c r="S605" s="38" t="n">
        <x:v>933</x:v>
      </x:c>
      <x:c r="T605" s="38" t="n">
        <x:v>290</x:v>
      </x:c>
      <x:c r="U605" s="38" t="n">
        <x:v>1</x:v>
      </x:c>
      <x:c r="V605" s="38" t="n">
        <x:v>0</x:v>
      </x:c>
      <x:c r="W605" s="38" t="n">
        <x:v>0</x:v>
      </x:c>
      <x:c r="X605" s="44" t="n">
        <x:v>0</x:v>
      </x:c>
      <x:c r="Y605" s="38" t="n">
        <x:v>9</x:v>
      </x:c>
      <x:c r="Z605" s="38" t="n">
        <x:v>3</x:v>
      </x:c>
      <x:c r="AA605" s="38" t="n">
        <x:v>1</x:v>
      </x:c>
      <x:c r="AB605" s="38" t="n">
        <x:v>0</x:v>
      </x:c>
      <x:c r="AC605" s="38" t="n">
        <x:v>537</x:v>
      </x:c>
      <x:c r="AD605" s="38" t="n">
        <x:v>0</x:v>
      </x:c>
      <x:c r="AE605" s="38" t="n">
        <x:f>IF(B605=1,0,F605-Q604)</x:f>
        <x:v>0</x:v>
      </x:c>
    </x:row>
    <x:row r="606" ht="27" customHeight="1">
      <x:c r="A606" s="28" t="str">
        <x:v>Ad-supported</x:v>
      </x:c>
      <x:c r="B606" s="38" t="n">
        <x:v>2</x:v>
      </x:c>
      <x:c r="C606" s="38" t="n">
        <x:v>5</x:v>
      </x:c>
      <x:c r="D606" s="38" t="n">
        <x:v>1828</x:v>
      </x:c>
      <x:c r="E606" s="38" t="n">
        <x:v>15</x:v>
      </x:c>
      <x:c r="F606" s="38" t="n">
        <x:v>902</x:v>
      </x:c>
      <x:c r="G606" s="38" t="n">
        <x:v>5505</x:v>
      </x:c>
      <x:c r="H606" s="38" t="n">
        <x:v>1323</x:v>
      </x:c>
      <x:c r="I606" s="38" t="n">
        <x:v>294</x:v>
      </x:c>
      <x:c r="J606" s="38" t="n">
        <x:v>155</x:v>
      </x:c>
      <x:c r="K606" s="38" t="n">
        <x:v>0</x:v>
      </x:c>
      <x:c r="L606" s="38" t="n">
        <x:v>0</x:v>
      </x:c>
      <x:c r="M606" s="38" t="n">
        <x:v>0</x:v>
      </x:c>
      <x:c r="N606" s="38" t="n">
        <x:v>0</x:v>
      </x:c>
      <x:c r="O606" s="38" t="n">
        <x:v>0</x:v>
      </x:c>
      <x:c r="P606" s="38" t="n">
        <x:f>F606+G606-H606+I606+J606+K606+L606-M606-N606-O606</x:f>
        <x:v>5533</x:v>
      </x:c>
      <x:c r="Q606" s="38" t="n">
        <x:v>5533</x:v>
      </x:c>
      <x:c r="R606" s="38" t="n">
        <x:f>P606-Q606</x:f>
        <x:v>0</x:v>
      </x:c>
      <x:c r="S606" s="38" t="n">
        <x:v>4459</x:v>
      </x:c>
      <x:c r="T606" s="38" t="n">
        <x:v>1458</x:v>
      </x:c>
      <x:c r="U606" s="38" t="n">
        <x:v>5</x:v>
      </x:c>
      <x:c r="V606" s="38" t="n">
        <x:v>4</x:v>
      </x:c>
      <x:c r="W606" s="38" t="n">
        <x:v>0</x:v>
      </x:c>
      <x:c r="X606" s="44" t="n">
        <x:v>0</x:v>
      </x:c>
      <x:c r="Y606" s="38" t="n">
        <x:v>28</x:v>
      </x:c>
      <x:c r="Z606" s="38" t="n">
        <x:v>6</x:v>
      </x:c>
      <x:c r="AA606" s="38" t="n">
        <x:v>1</x:v>
      </x:c>
      <x:c r="AB606" s="38" t="n">
        <x:v>0</x:v>
      </x:c>
      <x:c r="AC606" s="38" t="n">
        <x:v>814</x:v>
      </x:c>
      <x:c r="AD606" s="38" t="n">
        <x:v>0</x:v>
      </x:c>
      <x:c r="AE606" s="38" t="n">
        <x:f>IF(B606=1,0,F606-Q605)</x:f>
        <x:v>0</x:v>
      </x:c>
    </x:row>
    <x:row r="607" ht="27" customHeight="1">
      <x:c r="A607" s="28" t="str">
        <x:v>Ad-supported</x:v>
      </x:c>
      <x:c r="B607" s="38" t="n">
        <x:v>3</x:v>
      </x:c>
      <x:c r="C607" s="38" t="n">
        <x:v>7</x:v>
      </x:c>
      <x:c r="D607" s="38" t="n">
        <x:v>3301</x:v>
      </x:c>
      <x:c r="E607" s="38" t="n">
        <x:v>25</x:v>
      </x:c>
      <x:c r="F607" s="38" t="n">
        <x:v>5533</x:v>
      </x:c>
      <x:c r="G607" s="38" t="n">
        <x:v>6493</x:v>
      </x:c>
      <x:c r="H607" s="38" t="n">
        <x:v>1752</x:v>
      </x:c>
      <x:c r="I607" s="38" t="n">
        <x:v>319</x:v>
      </x:c>
      <x:c r="J607" s="38" t="n">
        <x:v>230</x:v>
      </x:c>
      <x:c r="K607" s="38" t="n">
        <x:v>0</x:v>
      </x:c>
      <x:c r="L607" s="38" t="n">
        <x:v>318</x:v>
      </x:c>
      <x:c r="M607" s="38" t="n">
        <x:v>6500</x:v>
      </x:c>
      <x:c r="N607" s="38" t="n">
        <x:v>0</x:v>
      </x:c>
      <x:c r="O607" s="38" t="n">
        <x:v>0</x:v>
      </x:c>
      <x:c r="P607" s="38" t="n">
        <x:f>F607+G607-H607+I607+J607+K607+L607-M607-N607-O607</x:f>
        <x:v>4641</x:v>
      </x:c>
      <x:c r="Q607" s="38" t="n">
        <x:v>4641</x:v>
      </x:c>
      <x:c r="R607" s="38" t="n">
        <x:f>P607-Q607</x:f>
        <x:v>0</x:v>
      </x:c>
      <x:c r="S607" s="38" t="n">
        <x:v>5186</x:v>
      </x:c>
      <x:c r="T607" s="38" t="n">
        <x:v>1473</x:v>
      </x:c>
      <x:c r="U607" s="38" t="n">
        <x:v>6</x:v>
      </x:c>
      <x:c r="V607" s="38" t="n">
        <x:v>1</x:v>
      </x:c>
      <x:c r="W607" s="38" t="n">
        <x:v>0</x:v>
      </x:c>
      <x:c r="X607" s="44" t="n">
        <x:v>0</x:v>
      </x:c>
      <x:c r="Y607" s="38" t="n">
        <x:v>28</x:v>
      </x:c>
      <x:c r="Z607" s="38" t="n">
        <x:v>8</x:v>
      </x:c>
      <x:c r="AA607" s="38" t="n">
        <x:v>1</x:v>
      </x:c>
      <x:c r="AB607" s="38" t="n">
        <x:v>0</x:v>
      </x:c>
      <x:c r="AC607" s="38" t="n">
        <x:v>1259</x:v>
      </x:c>
      <x:c r="AD607" s="38" t="n">
        <x:v>0</x:v>
      </x:c>
      <x:c r="AE607" s="38" t="n">
        <x:f>IF(B607=1,0,F607-Q606)</x:f>
        <x:v>0</x:v>
      </x:c>
    </x:row>
    <x:row r="608" ht="27" customHeight="1">
      <x:c r="A608" s="28" t="str">
        <x:v>Ad-supported</x:v>
      </x:c>
      <x:c r="B608" s="38" t="n">
        <x:v>4</x:v>
      </x:c>
      <x:c r="C608" s="38" t="n">
        <x:v>8</x:v>
      </x:c>
      <x:c r="D608" s="38" t="n">
        <x:v>6124</x:v>
      </x:c>
      <x:c r="E608" s="38" t="n">
        <x:v>25</x:v>
      </x:c>
      <x:c r="F608" s="38" t="n">
        <x:v>4641</x:v>
      </x:c>
      <x:c r="G608" s="38" t="n">
        <x:v>11822</x:v>
      </x:c>
      <x:c r="H608" s="38" t="n">
        <x:v>2448</x:v>
      </x:c>
      <x:c r="I608" s="38" t="n">
        <x:v>572</x:v>
      </x:c>
      <x:c r="J608" s="38" t="n">
        <x:v>150</x:v>
      </x:c>
      <x:c r="K608" s="38" t="n">
        <x:v>0</x:v>
      </x:c>
      <x:c r="L608" s="38" t="n">
        <x:v>573</x:v>
      </x:c>
      <x:c r="M608" s="38" t="n">
        <x:v>0</x:v>
      </x:c>
      <x:c r="N608" s="38" t="n">
        <x:v>70</x:v>
      </x:c>
      <x:c r="O608" s="38" t="n">
        <x:v>0</x:v>
      </x:c>
      <x:c r="P608" s="38" t="n">
        <x:f>F608+G608-H608+I608+J608+K608+L608-M608-N608-O608</x:f>
        <x:v>15240</x:v>
      </x:c>
      <x:c r="Q608" s="38" t="n">
        <x:v>15240</x:v>
      </x:c>
      <x:c r="R608" s="38" t="n">
        <x:f>P608-Q608</x:f>
        <x:v>0</x:v>
      </x:c>
      <x:c r="S608" s="38" t="n">
        <x:v>9438</x:v>
      </x:c>
      <x:c r="T608" s="38" t="n">
        <x:v>2823</x:v>
      </x:c>
      <x:c r="U608" s="38" t="n">
        <x:v>9</x:v>
      </x:c>
      <x:c r="V608" s="38" t="n">
        <x:v>3</x:v>
      </x:c>
      <x:c r="W608" s="38" t="n">
        <x:v>0</x:v>
      </x:c>
      <x:c r="X608" s="44" t="n">
        <x:v>0</x:v>
      </x:c>
      <x:c r="Y608" s="38" t="n">
        <x:v>50</x:v>
      </x:c>
      <x:c r="Z608" s="38" t="n">
        <x:v>9</x:v>
      </x:c>
      <x:c r="AA608" s="38" t="n">
        <x:v>2</x:v>
      </x:c>
      <x:c r="AB608" s="38" t="n">
        <x:v>0</x:v>
      </x:c>
      <x:c r="AC608" s="38" t="n">
        <x:v>1323</x:v>
      </x:c>
      <x:c r="AD608" s="38" t="n">
        <x:v>0</x:v>
      </x:c>
      <x:c r="AE608" s="38" t="n">
        <x:f>IF(B608=1,0,F608-Q607)</x:f>
        <x:v>0</x:v>
      </x:c>
    </x:row>
    <x:row r="609" ht="27" customHeight="1">
      <x:c r="A609" s="28" t="str">
        <x:v>Ad-supported</x:v>
      </x:c>
      <x:c r="B609" s="38" t="n">
        <x:v>5</x:v>
      </x:c>
      <x:c r="C609" s="38" t="n">
        <x:v>9</x:v>
      </x:c>
      <x:c r="D609" s="38" t="n">
        <x:v>8627</x:v>
      </x:c>
      <x:c r="E609" s="38" t="n">
        <x:v>30</x:v>
      </x:c>
      <x:c r="F609" s="38" t="n">
        <x:v>15240</x:v>
      </x:c>
      <x:c r="G609" s="38" t="n">
        <x:v>12782</x:v>
      </x:c>
      <x:c r="H609" s="38" t="n">
        <x:v>2774</x:v>
      </x:c>
      <x:c r="I609" s="38" t="n">
        <x:v>592</x:v>
      </x:c>
      <x:c r="J609" s="38" t="n">
        <x:v>185</x:v>
      </x:c>
      <x:c r="K609" s="38" t="n">
        <x:v>0</x:v>
      </x:c>
      <x:c r="L609" s="38" t="n">
        <x:v>591</x:v>
      </x:c>
      <x:c r="M609" s="38" t="n">
        <x:v>15000</x:v>
      </x:c>
      <x:c r="N609" s="38" t="n">
        <x:v>0</x:v>
      </x:c>
      <x:c r="O609" s="38" t="n">
        <x:v>0</x:v>
      </x:c>
      <x:c r="P609" s="38" t="n">
        <x:f>F609+G609-H609+I609+J609+K609+L609-M609-N609-O609</x:f>
        <x:v>11616</x:v>
      </x:c>
      <x:c r="Q609" s="38" t="n">
        <x:v>11616</x:v>
      </x:c>
      <x:c r="R609" s="38" t="n">
        <x:f>P609-Q609</x:f>
        <x:v>0</x:v>
      </x:c>
      <x:c r="S609" s="38" t="n">
        <x:v>10235</x:v>
      </x:c>
      <x:c r="T609" s="38" t="n">
        <x:v>2503</x:v>
      </x:c>
      <x:c r="U609" s="38" t="n">
        <x:v>11</x:v>
      </x:c>
      <x:c r="V609" s="38" t="n">
        <x:v>2</x:v>
      </x:c>
      <x:c r="W609" s="38" t="n">
        <x:v>0</x:v>
      </x:c>
      <x:c r="X609" s="44" t="n">
        <x:v>0</x:v>
      </x:c>
      <x:c r="Y609" s="38" t="n">
        <x:v>49</x:v>
      </x:c>
      <x:c r="Z609" s="38" t="n">
        <x:v>10</x:v>
      </x:c>
      <x:c r="AA609" s="38" t="n">
        <x:v>2</x:v>
      </x:c>
      <x:c r="AB609" s="38" t="n">
        <x:v>0</x:v>
      </x:c>
      <x:c r="AC609" s="38" t="n">
        <x:v>1550</x:v>
      </x:c>
      <x:c r="AD609" s="38" t="n">
        <x:v>0</x:v>
      </x:c>
      <x:c r="AE609" s="38" t="n">
        <x:f>IF(B609=1,0,F609-Q608)</x:f>
        <x:v>0</x:v>
      </x:c>
    </x:row>
    <x:row r="610" ht="27" customHeight="1">
      <x:c r="A610" s="28" t="str">
        <x:v>Ad-supported</x:v>
      </x:c>
      <x:c r="B610" s="38" t="n">
        <x:v>6</x:v>
      </x:c>
      <x:c r="C610" s="38" t="n">
        <x:v>10</x:v>
      </x:c>
      <x:c r="D610" s="38" t="n">
        <x:v>11604</x:v>
      </x:c>
      <x:c r="E610" s="38" t="n">
        <x:v>30</x:v>
      </x:c>
      <x:c r="F610" s="38" t="n">
        <x:v>11616</x:v>
      </x:c>
      <x:c r="G610" s="38" t="n">
        <x:v>15701</x:v>
      </x:c>
      <x:c r="H610" s="38" t="n">
        <x:v>3398</x:v>
      </x:c>
      <x:c r="I610" s="38" t="n">
        <x:v>734</x:v>
      </x:c>
      <x:c r="J610" s="38" t="n">
        <x:v>190</x:v>
      </x:c>
      <x:c r="K610" s="38" t="n">
        <x:v>0</x:v>
      </x:c>
      <x:c r="L610" s="38" t="n">
        <x:v>735</x:v>
      </x:c>
      <x:c r="M610" s="38" t="n">
        <x:v>0</x:v>
      </x:c>
      <x:c r="N610" s="38" t="n">
        <x:v>0</x:v>
      </x:c>
      <x:c r="O610" s="38" t="n">
        <x:v>0</x:v>
      </x:c>
      <x:c r="P610" s="38" t="n">
        <x:f>F610+G610-H610+I610+J610+K610+L610-M610-N610-O610</x:f>
        <x:v>25578</x:v>
      </x:c>
      <x:c r="Q610" s="38" t="n">
        <x:v>25578</x:v>
      </x:c>
      <x:c r="R610" s="38" t="n">
        <x:f>P610-Q610</x:f>
        <x:v>0</x:v>
      </x:c>
      <x:c r="S610" s="38" t="n">
        <x:v>12561</x:v>
      </x:c>
      <x:c r="T610" s="38" t="n">
        <x:v>2977</x:v>
      </x:c>
      <x:c r="U610" s="38" t="n">
        <x:v>14</x:v>
      </x:c>
      <x:c r="V610" s="38" t="n">
        <x:v>3</x:v>
      </x:c>
      <x:c r="W610" s="38" t="n">
        <x:v>0</x:v>
      </x:c>
      <x:c r="X610" s="44" t="n">
        <x:v>0</x:v>
      </x:c>
      <x:c r="Y610" s="38" t="n">
        <x:v>60</x:v>
      </x:c>
      <x:c r="Z610" s="38" t="n">
        <x:v>11</x:v>
      </x:c>
      <x:c r="AA610" s="38" t="n">
        <x:v>2</x:v>
      </x:c>
      <x:c r="AB610" s="38" t="n">
        <x:v>0</x:v>
      </x:c>
      <x:c r="AC610" s="38" t="n">
        <x:v>1808</x:v>
      </x:c>
      <x:c r="AD610" s="38" t="n">
        <x:v>0</x:v>
      </x:c>
      <x:c r="AE610" s="38" t="n">
        <x:f>IF(B610=1,0,F610-Q609)</x:f>
        <x:v>0</x:v>
      </x:c>
    </x:row>
    <x:row r="611" ht="27" customHeight="1">
      <x:c r="A611" s="28" t="str">
        <x:v>Ad-supported</x:v>
      </x:c>
      <x:c r="B611" s="38" t="n">
        <x:v>7</x:v>
      </x:c>
      <x:c r="C611" s="38" t="n">
        <x:v>10</x:v>
      </x:c>
      <x:c r="D611" s="38" t="n">
        <x:v>15277</x:v>
      </x:c>
      <x:c r="E611" s="38" t="n">
        <x:v>30</x:v>
      </x:c>
      <x:c r="F611" s="38" t="n">
        <x:v>25578</x:v>
      </x:c>
      <x:c r="G611" s="38" t="n">
        <x:v>15892</x:v>
      </x:c>
      <x:c r="H611" s="38" t="n">
        <x:v>3190</x:v>
      </x:c>
      <x:c r="I611" s="38" t="n">
        <x:v>2352</x:v>
      </x:c>
      <x:c r="J611" s="38" t="n">
        <x:v>0</x:v>
      </x:c>
      <x:c r="K611" s="38" t="n">
        <x:v>0</x:v>
      </x:c>
      <x:c r="L611" s="38" t="n">
        <x:v>759</x:v>
      </x:c>
      <x:c r="M611" s="38" t="n">
        <x:v>0</x:v>
      </x:c>
      <x:c r="N611" s="38" t="n">
        <x:v>70</x:v>
      </x:c>
      <x:c r="O611" s="38" t="n">
        <x:v>0</x:v>
      </x:c>
      <x:c r="P611" s="38" t="n">
        <x:f>F611+G611-H611+I611+J611+K611+L611-M611-N611-O611</x:f>
        <x:v>41321</x:v>
      </x:c>
      <x:c r="Q611" s="38" t="n">
        <x:v>41321</x:v>
      </x:c>
      <x:c r="R611" s="38" t="n">
        <x:f>P611-Q611</x:f>
        <x:v>0</x:v>
      </x:c>
      <x:c r="S611" s="38" t="n">
        <x:v>12702</x:v>
      </x:c>
      <x:c r="T611" s="38" t="n">
        <x:v>3673</x:v>
      </x:c>
      <x:c r="U611" s="38" t="n">
        <x:v>16</x:v>
      </x:c>
      <x:c r="V611" s="38" t="n">
        <x:v>2</x:v>
      </x:c>
      <x:c r="W611" s="38" t="n">
        <x:v>0</x:v>
      </x:c>
      <x:c r="X611" s="44" t="n">
        <x:v>0</x:v>
      </x:c>
      <x:c r="Y611" s="38" t="n">
        <x:v>58</x:v>
      </x:c>
      <x:c r="Z611" s="38" t="n">
        <x:v>11</x:v>
      </x:c>
      <x:c r="AA611" s="38" t="n">
        <x:v>3</x:v>
      </x:c>
      <x:c r="AB611" s="38" t="n">
        <x:v>0</x:v>
      </x:c>
      <x:c r="AC611" s="38" t="n">
        <x:v>1808</x:v>
      </x:c>
      <x:c r="AD611" s="38" t="n">
        <x:v>0</x:v>
      </x:c>
      <x:c r="AE611" s="38" t="n">
        <x:f>IF(B611=1,0,F611-Q610)</x:f>
        <x:v>0</x:v>
      </x:c>
    </x:row>
    <x:row r="612" ht="27" customHeight="1">
      <x:c r="A612" s="28" t="str">
        <x:v>Ad-supported</x:v>
      </x:c>
      <x:c r="B612" s="38" t="n">
        <x:v>8</x:v>
      </x:c>
      <x:c r="C612" s="38" t="n">
        <x:v>11</x:v>
      </x:c>
      <x:c r="D612" s="38" t="n">
        <x:v>18410</x:v>
      </x:c>
      <x:c r="E612" s="38" t="n">
        <x:v>30</x:v>
      </x:c>
      <x:c r="F612" s="38" t="n">
        <x:v>41321</x:v>
      </x:c>
      <x:c r="G612" s="38" t="n">
        <x:v>17191</x:v>
      </x:c>
      <x:c r="H612" s="38" t="n">
        <x:v>3357</x:v>
      </x:c>
      <x:c r="I612" s="38" t="n">
        <x:v>759</x:v>
      </x:c>
      <x:c r="J612" s="38" t="n">
        <x:v>195</x:v>
      </x:c>
      <x:c r="K612" s="38" t="n">
        <x:v>0</x:v>
      </x:c>
      <x:c r="L612" s="38" t="n">
        <x:v>759</x:v>
      </x:c>
      <x:c r="M612" s="38" t="n">
        <x:v>0</x:v>
      </x:c>
      <x:c r="N612" s="38" t="n">
        <x:v>0</x:v>
      </x:c>
      <x:c r="O612" s="38" t="n">
        <x:v>1325</x:v>
      </x:c>
      <x:c r="P612" s="38" t="n">
        <x:f>F612+G612-H612+I612+J612+K612+L612-M612-N612-O612</x:f>
        <x:v>55543</x:v>
      </x:c>
      <x:c r="Q612" s="38" t="n">
        <x:v>55543</x:v>
      </x:c>
      <x:c r="R612" s="38" t="n">
        <x:f>P612-Q612</x:f>
        <x:v>0</x:v>
      </x:c>
      <x:c r="S612" s="38" t="n">
        <x:v>13736</x:v>
      </x:c>
      <x:c r="T612" s="38" t="n">
        <x:v>3133</x:v>
      </x:c>
      <x:c r="U612" s="38" t="n">
        <x:v>16</x:v>
      </x:c>
      <x:c r="V612" s="38" t="n">
        <x:v>0</x:v>
      </x:c>
      <x:c r="W612" s="38" t="n">
        <x:v>0</x:v>
      </x:c>
      <x:c r="X612" s="44" t="n">
        <x:v>0</x:v>
      </x:c>
      <x:c r="Y612" s="38" t="n">
        <x:v>59</x:v>
      </x:c>
      <x:c r="Z612" s="38" t="n">
        <x:v>13</x:v>
      </x:c>
      <x:c r="AA612" s="38" t="n">
        <x:v>3</x:v>
      </x:c>
      <x:c r="AB612" s="38" t="n">
        <x:v>1</x:v>
      </x:c>
      <x:c r="AC612" s="38" t="n">
        <x:v>1710</x:v>
      </x:c>
      <x:c r="AD612" s="38" t="n">
        <x:v>0</x:v>
      </x:c>
      <x:c r="AE612" s="38" t="n">
        <x:f>IF(B612=1,0,F612-Q611)</x:f>
        <x:v>0</x:v>
      </x:c>
    </x:row>
    <x:row r="613" ht="27" customHeight="1">
      <x:c r="A613" s="28" t="str">
        <x:v>Ad-supported</x:v>
      </x:c>
      <x:c r="B613" s="38" t="n">
        <x:v>9</x:v>
      </x:c>
      <x:c r="C613" s="38" t="n">
        <x:v>12</x:v>
      </x:c>
      <x:c r="D613" s="38" t="n">
        <x:v>21671</x:v>
      </x:c>
      <x:c r="E613" s="38" t="n">
        <x:v>35</x:v>
      </x:c>
      <x:c r="F613" s="38" t="n">
        <x:v>55543</x:v>
      </x:c>
      <x:c r="G613" s="38" t="n">
        <x:v>18384</x:v>
      </x:c>
      <x:c r="H613" s="38" t="n">
        <x:v>4171</x:v>
      </x:c>
      <x:c r="I613" s="38" t="n">
        <x:v>783</x:v>
      </x:c>
      <x:c r="J613" s="38" t="n">
        <x:v>235</x:v>
      </x:c>
      <x:c r="K613" s="38" t="n">
        <x:v>0</x:v>
      </x:c>
      <x:c r="L613" s="38" t="n">
        <x:v>783</x:v>
      </x:c>
      <x:c r="M613" s="38" t="n">
        <x:v>40000</x:v>
      </x:c>
      <x:c r="N613" s="38" t="n">
        <x:v>0</x:v>
      </x:c>
      <x:c r="O613" s="38" t="n">
        <x:v>6325</x:v>
      </x:c>
      <x:c r="P613" s="38" t="n">
        <x:f>F613+G613-H613+I613+J613+K613+L613-M613-N613-O613</x:f>
        <x:v>25232</x:v>
      </x:c>
      <x:c r="Q613" s="38" t="n">
        <x:v>25232</x:v>
      </x:c>
      <x:c r="R613" s="38" t="n">
        <x:f>P613-Q613</x:f>
        <x:v>0</x:v>
      </x:c>
      <x:c r="S613" s="38" t="n">
        <x:v>14702</x:v>
      </x:c>
      <x:c r="T613" s="38" t="n">
        <x:v>3261</x:v>
      </x:c>
      <x:c r="U613" s="38" t="n">
        <x:v>17</x:v>
      </x:c>
      <x:c r="V613" s="38" t="n">
        <x:v>1</x:v>
      </x:c>
      <x:c r="W613" s="38" t="n">
        <x:v>0</x:v>
      </x:c>
      <x:c r="X613" s="44" t="n">
        <x:v>0</x:v>
      </x:c>
      <x:c r="Y613" s="38" t="n">
        <x:v>64</x:v>
      </x:c>
      <x:c r="Z613" s="38" t="n">
        <x:v>13</x:v>
      </x:c>
      <x:c r="AA613" s="38" t="n">
        <x:v>3</x:v>
      </x:c>
      <x:c r="AB613" s="38" t="n">
        <x:v>2</x:v>
      </x:c>
      <x:c r="AC613" s="38" t="n">
        <x:v>2199</x:v>
      </x:c>
      <x:c r="AD613" s="38" t="n">
        <x:v>0</x:v>
      </x:c>
      <x:c r="AE613" s="38" t="n">
        <x:f>IF(B613=1,0,F613-Q612)</x:f>
        <x:v>0</x:v>
      </x:c>
    </x:row>
    <x:row r="614" ht="27" customHeight="1">
      <x:c r="A614" s="28" t="str">
        <x:v>Ad-supported</x:v>
      </x:c>
      <x:c r="B614" s="38" t="n">
        <x:v>10</x:v>
      </x:c>
      <x:c r="C614" s="38" t="n">
        <x:v>12</x:v>
      </x:c>
      <x:c r="D614" s="38" t="n">
        <x:v>25172</x:v>
      </x:c>
      <x:c r="E614" s="38" t="n">
        <x:v>35</x:v>
      </x:c>
      <x:c r="F614" s="38" t="n">
        <x:v>25232</x:v>
      </x:c>
      <x:c r="G614" s="38" t="n">
        <x:v>19788</x:v>
      </x:c>
      <x:c r="H614" s="38" t="n">
        <x:v>3944</x:v>
      </x:c>
      <x:c r="I614" s="38" t="n">
        <x:v>942</x:v>
      </x:c>
      <x:c r="J614" s="38" t="n">
        <x:v>0</x:v>
      </x:c>
      <x:c r="K614" s="38" t="n">
        <x:v>0</x:v>
      </x:c>
      <x:c r="L614" s="38" t="n">
        <x:v>942</x:v>
      </x:c>
      <x:c r="M614" s="38" t="n">
        <x:v>0</x:v>
      </x:c>
      <x:c r="N614" s="38" t="n">
        <x:v>70</x:v>
      </x:c>
      <x:c r="O614" s="38" t="n">
        <x:v>0</x:v>
      </x:c>
      <x:c r="P614" s="38" t="n">
        <x:f>F614+G614-H614+I614+J614+K614+L614-M614-N614-O614</x:f>
        <x:v>42890</x:v>
      </x:c>
      <x:c r="Q614" s="38" t="n">
        <x:v>42890</x:v>
      </x:c>
      <x:c r="R614" s="38" t="n">
        <x:f>P614-Q614</x:f>
        <x:v>0</x:v>
      </x:c>
      <x:c r="S614" s="38" t="n">
        <x:v>15844</x:v>
      </x:c>
      <x:c r="T614" s="38" t="n">
        <x:v>3501</x:v>
      </x:c>
      <x:c r="U614" s="38" t="n">
        <x:v>17</x:v>
      </x:c>
      <x:c r="V614" s="38" t="n">
        <x:v>0</x:v>
      </x:c>
      <x:c r="W614" s="38" t="n">
        <x:v>0</x:v>
      </x:c>
      <x:c r="X614" s="44" t="n">
        <x:v>0</x:v>
      </x:c>
      <x:c r="Y614" s="38" t="n">
        <x:v>68</x:v>
      </x:c>
      <x:c r="Z614" s="38" t="n">
        <x:v>13</x:v>
      </x:c>
      <x:c r="AA614" s="38" t="n">
        <x:v>4</x:v>
      </x:c>
      <x:c r="AB614" s="38" t="n">
        <x:v>2</x:v>
      </x:c>
      <x:c r="AC614" s="38" t="n">
        <x:v>2199</x:v>
      </x:c>
      <x:c r="AD614" s="38" t="n">
        <x:v>0</x:v>
      </x:c>
      <x:c r="AE614" s="38" t="n">
        <x:f>IF(B614=1,0,F614-Q613)</x:f>
        <x:v>0</x:v>
      </x:c>
    </x:row>
    <x:row r="615" ht="27" customHeight="1">
      <x:c r="A615" s="28" t="str">
        <x:v>Ad-supported</x:v>
      </x:c>
      <x:c r="B615" s="38" t="n">
        <x:v>11</x:v>
      </x:c>
      <x:c r="C615" s="38" t="n">
        <x:v>13</x:v>
      </x:c>
      <x:c r="D615" s="38" t="n">
        <x:v>28887</x:v>
      </x:c>
      <x:c r="E615" s="38" t="n">
        <x:v>35</x:v>
      </x:c>
      <x:c r="F615" s="38" t="n">
        <x:v>42890</x:v>
      </x:c>
      <x:c r="G615" s="38" t="n">
        <x:v>21229</x:v>
      </x:c>
      <x:c r="H615" s="38" t="n">
        <x:v>4196</x:v>
      </x:c>
      <x:c r="I615" s="38" t="n">
        <x:v>942</x:v>
      </x:c>
      <x:c r="J615" s="38" t="n">
        <x:v>245</x:v>
      </x:c>
      <x:c r="K615" s="38" t="n">
        <x:v>0</x:v>
      </x:c>
      <x:c r="L615" s="38" t="n">
        <x:v>942</x:v>
      </x:c>
      <x:c r="M615" s="38" t="n">
        <x:v>0</x:v>
      </x:c>
      <x:c r="N615" s="38" t="n">
        <x:v>0</x:v>
      </x:c>
      <x:c r="O615" s="38" t="n">
        <x:v>0</x:v>
      </x:c>
      <x:c r="P615" s="38" t="n">
        <x:f>F615+G615-H615+I615+J615+K615+L615-M615-N615-O615</x:f>
        <x:v>62052</x:v>
      </x:c>
      <x:c r="Q615" s="38" t="n">
        <x:v>62052</x:v>
      </x:c>
      <x:c r="R615" s="38" t="n">
        <x:f>P615-Q615</x:f>
        <x:v>0</x:v>
      </x:c>
      <x:c r="S615" s="38" t="n">
        <x:v>16990</x:v>
      </x:c>
      <x:c r="T615" s="38" t="n">
        <x:v>3715</x:v>
      </x:c>
      <x:c r="U615" s="38" t="n">
        <x:v>17</x:v>
      </x:c>
      <x:c r="V615" s="38" t="n">
        <x:v>0</x:v>
      </x:c>
      <x:c r="W615" s="38" t="n">
        <x:v>0</x:v>
      </x:c>
      <x:c r="X615" s="44" t="n">
        <x:v>0</x:v>
      </x:c>
      <x:c r="Y615" s="38" t="n">
        <x:v>69</x:v>
      </x:c>
      <x:c r="Z615" s="38" t="n">
        <x:v>14</x:v>
      </x:c>
      <x:c r="AA615" s="38" t="n">
        <x:v>4</x:v>
      </x:c>
      <x:c r="AB615" s="38" t="n">
        <x:v>2</x:v>
      </x:c>
      <x:c r="AC615" s="38" t="n">
        <x:v>2156</x:v>
      </x:c>
      <x:c r="AD615" s="38" t="n">
        <x:v>0</x:v>
      </x:c>
      <x:c r="AE615" s="38" t="n">
        <x:f>IF(B615=1,0,F615-Q614)</x:f>
        <x:v>0</x:v>
      </x:c>
    </x:row>
    <x:row r="616" ht="27" customHeight="1">
      <x:c r="A616" s="28" t="str">
        <x:v>Ad-supported</x:v>
      </x:c>
      <x:c r="B616" s="38" t="n">
        <x:v>12</x:v>
      </x:c>
      <x:c r="C616" s="38" t="n">
        <x:v>14</x:v>
      </x:c>
      <x:c r="D616" s="38" t="n">
        <x:v>32596</x:v>
      </x:c>
      <x:c r="E616" s="38" t="n">
        <x:v>35</x:v>
      </x:c>
      <x:c r="F616" s="38" t="n">
        <x:v>62052</x:v>
      </x:c>
      <x:c r="G616" s="38" t="n">
        <x:v>21278</x:v>
      </x:c>
      <x:c r="H616" s="38" t="n">
        <x:v>4222</x:v>
      </x:c>
      <x:c r="I616" s="38" t="n">
        <x:v>970</x:v>
      </x:c>
      <x:c r="J616" s="38" t="n">
        <x:v>250</x:v>
      </x:c>
      <x:c r="K616" s="38" t="n">
        <x:v>0</x:v>
      </x:c>
      <x:c r="L616" s="38" t="n">
        <x:v>969</x:v>
      </x:c>
      <x:c r="M616" s="38" t="n">
        <x:v>0</x:v>
      </x:c>
      <x:c r="N616" s="38" t="n">
        <x:v>0</x:v>
      </x:c>
      <x:c r="O616" s="38" t="n">
        <x:v>0</x:v>
      </x:c>
      <x:c r="P616" s="38" t="n">
        <x:f>F616+G616-H616+I616+J616+K616+L616-M616-N616-O616</x:f>
        <x:v>81297</x:v>
      </x:c>
      <x:c r="Q616" s="38" t="n">
        <x:v>81297</x:v>
      </x:c>
      <x:c r="R616" s="38" t="n">
        <x:f>P616-Q616</x:f>
        <x:v>0</x:v>
      </x:c>
      <x:c r="S616" s="38" t="n">
        <x:v>17022</x:v>
      </x:c>
      <x:c r="T616" s="38" t="n">
        <x:v>3709</x:v>
      </x:c>
      <x:c r="U616" s="38" t="n">
        <x:v>20</x:v>
      </x:c>
      <x:c r="V616" s="38" t="n">
        <x:v>3</x:v>
      </x:c>
      <x:c r="W616" s="38" t="n">
        <x:v>0</x:v>
      </x:c>
      <x:c r="X616" s="44" t="n">
        <x:v>0</x:v>
      </x:c>
      <x:c r="Y616" s="38" t="n">
        <x:v>70</x:v>
      </x:c>
      <x:c r="Z616" s="38" t="n">
        <x:v>15</x:v>
      </x:c>
      <x:c r="AA616" s="38" t="n">
        <x:v>4</x:v>
      </x:c>
      <x:c r="AB616" s="38" t="n">
        <x:v>2</x:v>
      </x:c>
      <x:c r="AC616" s="38" t="n">
        <x:v>2122</x:v>
      </x:c>
      <x:c r="AD616" s="38" t="n">
        <x:v>0</x:v>
      </x:c>
      <x:c r="AE616" s="38" t="n">
        <x:f>IF(B616=1,0,F616-Q615)</x:f>
        <x:v>0</x:v>
      </x:c>
    </x:row>
    <x:row r="617" ht="27" customHeight="1">
      <x:c r="A617" s="28" t="str">
        <x:v>Ad-supported</x:v>
      </x:c>
      <x:c r="B617" s="38" t="n">
        <x:v>13</x:v>
      </x:c>
      <x:c r="C617" s="38" t="n">
        <x:v>14</x:v>
      </x:c>
      <x:c r="D617" s="38" t="n">
        <x:v>36232</x:v>
      </x:c>
      <x:c r="E617" s="38" t="n">
        <x:v>35</x:v>
      </x:c>
      <x:c r="F617" s="38" t="n">
        <x:v>81297</x:v>
      </x:c>
      <x:c r="G617" s="38" t="n">
        <x:v>21391</x:v>
      </x:c>
      <x:c r="H617" s="38" t="n">
        <x:v>4340</x:v>
      </x:c>
      <x:c r="I617" s="38" t="n">
        <x:v>999</x:v>
      </x:c>
      <x:c r="J617" s="38" t="n">
        <x:v>0</x:v>
      </x:c>
      <x:c r="K617" s="38" t="n">
        <x:v>0</x:v>
      </x:c>
      <x:c r="L617" s="38" t="n">
        <x:v>999</x:v>
      </x:c>
      <x:c r="M617" s="38" t="n">
        <x:v>0</x:v>
      </x:c>
      <x:c r="N617" s="38" t="n">
        <x:v>110</x:v>
      </x:c>
      <x:c r="O617" s="38" t="n">
        <x:v>0</x:v>
      </x:c>
      <x:c r="P617" s="38" t="n">
        <x:f>F617+G617-H617+I617+J617+K617+L617-M617-N617-O617</x:f>
        <x:v>100236</x:v>
      </x:c>
      <x:c r="Q617" s="38" t="n">
        <x:v>100236</x:v>
      </x:c>
      <x:c r="R617" s="38" t="n">
        <x:f>P617-Q617</x:f>
        <x:v>0</x:v>
      </x:c>
      <x:c r="S617" s="38" t="n">
        <x:v>17099</x:v>
      </x:c>
      <x:c r="T617" s="38" t="n">
        <x:v>3636</x:v>
      </x:c>
      <x:c r="U617" s="38" t="n">
        <x:v>20</x:v>
      </x:c>
      <x:c r="V617" s="38" t="n">
        <x:v>0</x:v>
      </x:c>
      <x:c r="W617" s="38" t="n">
        <x:v>0</x:v>
      </x:c>
      <x:c r="X617" s="44" t="n">
        <x:v>0</x:v>
      </x:c>
      <x:c r="Y617" s="38" t="n">
        <x:v>70</x:v>
      </x:c>
      <x:c r="Z617" s="38" t="n">
        <x:v>16</x:v>
      </x:c>
      <x:c r="AA617" s="38" t="n">
        <x:v>5</x:v>
      </x:c>
      <x:c r="AB617" s="38" t="n">
        <x:v>2</x:v>
      </x:c>
      <x:c r="AC617" s="38" t="n">
        <x:v>2170</x:v>
      </x:c>
      <x:c r="AD617" s="38" t="n">
        <x:v>0</x:v>
      </x:c>
      <x:c r="AE617" s="38" t="n">
        <x:f>IF(B617=1,0,F617-Q616)</x:f>
        <x:v>0</x:v>
      </x:c>
    </x:row>
    <x:row r="618" ht="27" customHeight="1">
      <x:c r="A618" s="28" t="str">
        <x:v>Ad-supported</x:v>
      </x:c>
      <x:c r="B618" s="38" t="n">
        <x:v>14</x:v>
      </x:c>
      <x:c r="C618" s="38" t="n">
        <x:v>15</x:v>
      </x:c>
      <x:c r="D618" s="38" t="n">
        <x:v>41332</x:v>
      </x:c>
      <x:c r="E618" s="38" t="n">
        <x:v>35</x:v>
      </x:c>
      <x:c r="F618" s="38" t="n">
        <x:v>100236</x:v>
      </x:c>
      <x:c r="G618" s="38" t="n">
        <x:v>23065</x:v>
      </x:c>
      <x:c r="H618" s="38" t="n">
        <x:v>4900</x:v>
      </x:c>
      <x:c r="I618" s="38" t="n">
        <x:v>4793</x:v>
      </x:c>
      <x:c r="J618" s="38" t="n">
        <x:v>255</x:v>
      </x:c>
      <x:c r="K618" s="38" t="n">
        <x:v>0</x:v>
      </x:c>
      <x:c r="L618" s="38" t="n">
        <x:v>999</x:v>
      </x:c>
      <x:c r="M618" s="38" t="n">
        <x:v>0</x:v>
      </x:c>
      <x:c r="N618" s="38" t="n">
        <x:v>0</x:v>
      </x:c>
      <x:c r="O618" s="38" t="n">
        <x:v>17115</x:v>
      </x:c>
      <x:c r="P618" s="38" t="n">
        <x:f>F618+G618-H618+I618+J618+K618+L618-M618-N618-O618</x:f>
        <x:v>107333</x:v>
      </x:c>
      <x:c r="Q618" s="38" t="n">
        <x:v>107333</x:v>
      </x:c>
      <x:c r="R618" s="38" t="n">
        <x:f>P618-Q618</x:f>
        <x:v>0</x:v>
      </x:c>
      <x:c r="S618" s="38" t="n">
        <x:v>18445</x:v>
      </x:c>
      <x:c r="T618" s="38" t="n">
        <x:v>5100</x:v>
      </x:c>
      <x:c r="U618" s="38" t="n">
        <x:v>25</x:v>
      </x:c>
      <x:c r="V618" s="38" t="n">
        <x:v>5</x:v>
      </x:c>
      <x:c r="W618" s="38" t="n">
        <x:v>0</x:v>
      </x:c>
      <x:c r="X618" s="44" t="n">
        <x:v>0</x:v>
      </x:c>
      <x:c r="Y618" s="38" t="n">
        <x:v>70</x:v>
      </x:c>
      <x:c r="Z618" s="38" t="n">
        <x:v>17</x:v>
      </x:c>
      <x:c r="AA618" s="38" t="n">
        <x:v>5</x:v>
      </x:c>
      <x:c r="AB618" s="38" t="n">
        <x:v>3</x:v>
      </x:c>
      <x:c r="AC618" s="38" t="n">
        <x:v>2450</x:v>
      </x:c>
      <x:c r="AD618" s="38" t="n">
        <x:v>0</x:v>
      </x:c>
      <x:c r="AE618" s="38" t="n">
        <x:f>IF(B618=1,0,F618-Q617)</x:f>
        <x:v>0</x:v>
      </x:c>
    </x:row>
    <x:row r="619" ht="27" customHeight="1">
      <x:c r="A619" s="28" t="str">
        <x:v>Ad-supported</x:v>
      </x:c>
      <x:c r="B619" s="38" t="n">
        <x:v>15</x:v>
      </x:c>
      <x:c r="C619" s="38" t="n">
        <x:v>15</x:v>
      </x:c>
      <x:c r="D619" s="38" t="n">
        <x:v>44725</x:v>
      </x:c>
      <x:c r="E619" s="38" t="n">
        <x:v>35</x:v>
      </x:c>
      <x:c r="F619" s="38" t="n">
        <x:v>107333</x:v>
      </x:c>
      <x:c r="G619" s="38" t="n">
        <x:v>24500</x:v>
      </x:c>
      <x:c r="H619" s="38" t="n">
        <x:v>4900</x:v>
      </x:c>
      <x:c r="I619" s="38" t="n">
        <x:v>1027</x:v>
      </x:c>
      <x:c r="J619" s="38" t="n">
        <x:v>0</x:v>
      </x:c>
      <x:c r="K619" s="38" t="n">
        <x:v>0</x:v>
      </x:c>
      <x:c r="L619" s="38" t="n">
        <x:v>1026</x:v>
      </x:c>
      <x:c r="M619" s="38" t="n">
        <x:v>0</x:v>
      </x:c>
      <x:c r="N619" s="38" t="n">
        <x:v>0</x:v>
      </x:c>
      <x:c r="O619" s="38" t="n">
        <x:v>0</x:v>
      </x:c>
      <x:c r="P619" s="38" t="n">
        <x:f>F619+G619-H619+I619+J619+K619+L619-M619-N619-O619</x:f>
        <x:v>128986</x:v>
      </x:c>
      <x:c r="Q619" s="38" t="n">
        <x:v>128986</x:v>
      </x:c>
      <x:c r="R619" s="38" t="n">
        <x:f>P619-Q619</x:f>
        <x:v>0</x:v>
      </x:c>
      <x:c r="S619" s="38" t="n">
        <x:v>19600</x:v>
      </x:c>
      <x:c r="T619" s="38" t="n">
        <x:v>3393</x:v>
      </x:c>
      <x:c r="U619" s="38" t="n">
        <x:v>25</x:v>
      </x:c>
      <x:c r="V619" s="38" t="n">
        <x:v>0</x:v>
      </x:c>
      <x:c r="W619" s="38" t="n">
        <x:v>0</x:v>
      </x:c>
      <x:c r="X619" s="44" t="n">
        <x:v>0</x:v>
      </x:c>
      <x:c r="Y619" s="38" t="n">
        <x:v>70</x:v>
      </x:c>
      <x:c r="Z619" s="38" t="n">
        <x:v>17</x:v>
      </x:c>
      <x:c r="AA619" s="38" t="n">
        <x:v>5</x:v>
      </x:c>
      <x:c r="AB619" s="38" t="n">
        <x:v>3</x:v>
      </x:c>
      <x:c r="AC619" s="38" t="n">
        <x:v>2450</x:v>
      </x:c>
      <x:c r="AD619" s="38" t="n">
        <x:v>0</x:v>
      </x:c>
      <x:c r="AE619" s="38" t="n">
        <x:f>IF(B619=1,0,F619-Q618)</x:f>
        <x:v>0</x:v>
      </x:c>
    </x:row>
    <x:row r="620" ht="27" customHeight="1">
      <x:c r="A620" s="28" t="str">
        <x:v>Ad-supported</x:v>
      </x:c>
      <x:c r="B620" s="38" t="n">
        <x:v>16</x:v>
      </x:c>
      <x:c r="C620" s="38" t="n">
        <x:v>16</x:v>
      </x:c>
      <x:c r="D620" s="38" t="n">
        <x:v>48725</x:v>
      </x:c>
      <x:c r="E620" s="38" t="n">
        <x:v>45</x:v>
      </x:c>
      <x:c r="F620" s="38" t="n">
        <x:v>128986</x:v>
      </x:c>
      <x:c r="G620" s="38" t="n">
        <x:v>26594</x:v>
      </x:c>
      <x:c r="H620" s="38" t="n">
        <x:v>5846</x:v>
      </x:c>
      <x:c r="I620" s="38" t="n">
        <x:v>1027</x:v>
      </x:c>
      <x:c r="J620" s="38" t="n">
        <x:v>340</x:v>
      </x:c>
      <x:c r="K620" s="38" t="n">
        <x:v>0</x:v>
      </x:c>
      <x:c r="L620" s="38" t="n">
        <x:v>1026</x:v>
      </x:c>
      <x:c r="M620" s="38" t="n">
        <x:v>120000</x:v>
      </x:c>
      <x:c r="N620" s="38" t="n">
        <x:v>110</x:v>
      </x:c>
      <x:c r="O620" s="38" t="n">
        <x:v>0</x:v>
      </x:c>
      <x:c r="P620" s="38" t="n">
        <x:f>F620+G620-H620+I620+J620+K620+L620-M620-N620-O620</x:f>
        <x:v>32017</x:v>
      </x:c>
      <x:c r="Q620" s="38" t="n">
        <x:v>32017</x:v>
      </x:c>
      <x:c r="R620" s="38" t="n">
        <x:f>P620-Q620</x:f>
        <x:v>0</x:v>
      </x:c>
      <x:c r="S620" s="38" t="n">
        <x:v>21284</x:v>
      </x:c>
      <x:c r="T620" s="38" t="n">
        <x:v>4000</x:v>
      </x:c>
      <x:c r="U620" s="38" t="n">
        <x:v>26</x:v>
      </x:c>
      <x:c r="V620" s="38" t="n">
        <x:v>1</x:v>
      </x:c>
      <x:c r="W620" s="38" t="n">
        <x:v>0</x:v>
      </x:c>
      <x:c r="X620" s="44" t="n">
        <x:v>0</x:v>
      </x:c>
      <x:c r="Y620" s="38" t="n">
        <x:v>79</x:v>
      </x:c>
      <x:c r="Z620" s="38" t="n">
        <x:v>17</x:v>
      </x:c>
      <x:c r="AA620" s="38" t="n">
        <x:v>6</x:v>
      </x:c>
      <x:c r="AB620" s="38" t="n">
        <x:v>3</x:v>
      </x:c>
      <x:c r="AC620" s="38" t="n">
        <x:v>2986</x:v>
      </x:c>
      <x:c r="AD620" s="38" t="n">
        <x:v>0</x:v>
      </x:c>
      <x:c r="AE620" s="38" t="n">
        <x:f>IF(B620=1,0,F620-Q619)</x:f>
        <x:v>0</x:v>
      </x:c>
    </x:row>
    <x:row r="621" ht="27" customHeight="1">
      <x:c r="A621" s="28" t="str">
        <x:v>Ad-supported</x:v>
      </x:c>
      <x:c r="B621" s="38" t="n">
        <x:v>17</x:v>
      </x:c>
      <x:c r="C621" s="38" t="n">
        <x:v>16</x:v>
      </x:c>
      <x:c r="D621" s="38" t="n">
        <x:v>53586</x:v>
      </x:c>
      <x:c r="E621" s="38" t="n">
        <x:v>45</x:v>
      </x:c>
      <x:c r="F621" s="38" t="n">
        <x:v>32017</x:v>
      </x:c>
      <x:c r="G621" s="38" t="n">
        <x:v>29642</x:v>
      </x:c>
      <x:c r="H621" s="38" t="n">
        <x:v>5850</x:v>
      </x:c>
      <x:c r="I621" s="38" t="n">
        <x:v>1357</x:v>
      </x:c>
      <x:c r="J621" s="38" t="n">
        <x:v>0</x:v>
      </x:c>
      <x:c r="K621" s="38" t="n">
        <x:v>0</x:v>
      </x:c>
      <x:c r="L621" s="38" t="n">
        <x:v>1356</x:v>
      </x:c>
      <x:c r="M621" s="38" t="n">
        <x:v>0</x:v>
      </x:c>
      <x:c r="N621" s="38" t="n">
        <x:v>0</x:v>
      </x:c>
      <x:c r="O621" s="38" t="n">
        <x:v>0</x:v>
      </x:c>
      <x:c r="P621" s="38" t="n">
        <x:f>F621+G621-H621+I621+J621+K621+L621-M621-N621-O621</x:f>
        <x:v>58522</x:v>
      </x:c>
      <x:c r="Q621" s="38" t="n">
        <x:v>58522</x:v>
      </x:c>
      <x:c r="R621" s="38" t="n">
        <x:f>P621-Q621</x:f>
        <x:v>0</x:v>
      </x:c>
      <x:c r="S621" s="38" t="n">
        <x:v>23731</x:v>
      </x:c>
      <x:c r="T621" s="38" t="n">
        <x:v>4861</x:v>
      </x:c>
      <x:c r="U621" s="38" t="n">
        <x:v>26</x:v>
      </x:c>
      <x:c r="V621" s="38" t="n">
        <x:v>0</x:v>
      </x:c>
      <x:c r="W621" s="38" t="n">
        <x:v>0</x:v>
      </x:c>
      <x:c r="X621" s="44" t="n">
        <x:v>0</x:v>
      </x:c>
      <x:c r="Y621" s="38" t="n">
        <x:v>90</x:v>
      </x:c>
      <x:c r="Z621" s="38" t="n">
        <x:v>18</x:v>
      </x:c>
      <x:c r="AA621" s="38" t="n">
        <x:v>6</x:v>
      </x:c>
      <x:c r="AB621" s="38" t="n">
        <x:v>3</x:v>
      </x:c>
      <x:c r="AC621" s="38" t="n">
        <x:v>2925</x:v>
      </x:c>
      <x:c r="AD621" s="38" t="n">
        <x:v>0</x:v>
      </x:c>
      <x:c r="AE621" s="38" t="n">
        <x:f>IF(B621=1,0,F621-Q620)</x:f>
        <x:v>0</x:v>
      </x:c>
    </x:row>
    <x:row r="622" ht="27" customHeight="1">
      <x:c r="A622" s="28" t="str">
        <x:v>Ad-supported</x:v>
      </x:c>
      <x:c r="B622" s="38" t="n">
        <x:v>18</x:v>
      </x:c>
      <x:c r="C622" s="38" t="n">
        <x:v>17</x:v>
      </x:c>
      <x:c r="D622" s="38" t="n">
        <x:v>58403</x:v>
      </x:c>
      <x:c r="E622" s="38" t="n">
        <x:v>45</x:v>
      </x:c>
      <x:c r="F622" s="38" t="n">
        <x:v>58522</x:v>
      </x:c>
      <x:c r="G622" s="38" t="n">
        <x:v>29340</x:v>
      </x:c>
      <x:c r="H622" s="38" t="n">
        <x:v>6134</x:v>
      </x:c>
      <x:c r="I622" s="38" t="n">
        <x:v>1357</x:v>
      </x:c>
      <x:c r="J622" s="38" t="n">
        <x:v>350</x:v>
      </x:c>
      <x:c r="K622" s="38" t="n">
        <x:v>0</x:v>
      </x:c>
      <x:c r="L622" s="38" t="n">
        <x:v>1356</x:v>
      </x:c>
      <x:c r="M622" s="38" t="n">
        <x:v>0</x:v>
      </x:c>
      <x:c r="N622" s="38" t="n">
        <x:v>0</x:v>
      </x:c>
      <x:c r="O622" s="38" t="n">
        <x:v>0</x:v>
      </x:c>
      <x:c r="P622" s="38" t="n">
        <x:f>F622+G622-H622+I622+J622+K622+L622-M622-N622-O622</x:f>
        <x:v>84791</x:v>
      </x:c>
      <x:c r="Q622" s="38" t="n">
        <x:v>84791</x:v>
      </x:c>
      <x:c r="R622" s="38" t="n">
        <x:f>P622-Q622</x:f>
        <x:v>0</x:v>
      </x:c>
      <x:c r="S622" s="38" t="n">
        <x:v>23490</x:v>
      </x:c>
      <x:c r="T622" s="38" t="n">
        <x:v>4817</x:v>
      </x:c>
      <x:c r="U622" s="38" t="n">
        <x:v>26</x:v>
      </x:c>
      <x:c r="V622" s="38" t="n">
        <x:v>0</x:v>
      </x:c>
      <x:c r="W622" s="38" t="n">
        <x:v>0</x:v>
      </x:c>
      <x:c r="X622" s="44" t="n">
        <x:v>0</x:v>
      </x:c>
      <x:c r="Y622" s="38" t="n">
        <x:v>90</x:v>
      </x:c>
      <x:c r="Z622" s="38" t="n">
        <x:v>18</x:v>
      </x:c>
      <x:c r="AA622" s="38" t="n">
        <x:v>6</x:v>
      </x:c>
      <x:c r="AB622" s="38" t="n">
        <x:v>3</x:v>
      </x:c>
      <x:c r="AC622" s="38" t="n">
        <x:v>3209</x:v>
      </x:c>
      <x:c r="AD622" s="38" t="n">
        <x:v>0</x:v>
      </x:c>
      <x:c r="AE622" s="38" t="n">
        <x:f>IF(B622=1,0,F622-Q621)</x:f>
        <x:v>0</x:v>
      </x:c>
    </x:row>
    <x:row r="623" ht="27" customHeight="1">
      <x:c r="A623" s="28" t="str">
        <x:v>Ad-supported</x:v>
      </x:c>
      <x:c r="B623" s="38" t="n">
        <x:v>19</x:v>
      </x:c>
      <x:c r="C623" s="38" t="n">
        <x:v>17</x:v>
      </x:c>
      <x:c r="D623" s="38" t="n">
        <x:v>63128</x:v>
      </x:c>
      <x:c r="E623" s="38" t="n">
        <x:v>45</x:v>
      </x:c>
      <x:c r="F623" s="38" t="n">
        <x:v>84791</x:v>
      </x:c>
      <x:c r="G623" s="38" t="n">
        <x:v>29480</x:v>
      </x:c>
      <x:c r="H623" s="38" t="n">
        <x:v>5896</x:v>
      </x:c>
      <x:c r="I623" s="38" t="n">
        <x:v>1393</x:v>
      </x:c>
      <x:c r="J623" s="38" t="n">
        <x:v>0</x:v>
      </x:c>
      <x:c r="K623" s="38" t="n">
        <x:v>0</x:v>
      </x:c>
      <x:c r="L623" s="38" t="n">
        <x:v>1392</x:v>
      </x:c>
      <x:c r="M623" s="38" t="n">
        <x:v>0</x:v>
      </x:c>
      <x:c r="N623" s="38" t="n">
        <x:v>305</x:v>
      </x:c>
      <x:c r="O623" s="38" t="n">
        <x:v>0</x:v>
      </x:c>
      <x:c r="P623" s="38" t="n">
        <x:f>F623+G623-H623+I623+J623+K623+L623-M623-N623-O623</x:f>
        <x:v>110855</x:v>
      </x:c>
      <x:c r="Q623" s="38" t="n">
        <x:v>110855</x:v>
      </x:c>
      <x:c r="R623" s="38" t="n">
        <x:f>P623-Q623</x:f>
        <x:v>0</x:v>
      </x:c>
      <x:c r="S623" s="38" t="n">
        <x:v>23584</x:v>
      </x:c>
      <x:c r="T623" s="38" t="n">
        <x:v>4725</x:v>
      </x:c>
      <x:c r="U623" s="38" t="n">
        <x:v>26</x:v>
      </x:c>
      <x:c r="V623" s="38" t="n">
        <x:v>0</x:v>
      </x:c>
      <x:c r="W623" s="38" t="n">
        <x:v>0</x:v>
      </x:c>
      <x:c r="X623" s="44" t="n">
        <x:v>0</x:v>
      </x:c>
      <x:c r="Y623" s="38" t="n">
        <x:v>88</x:v>
      </x:c>
      <x:c r="Z623" s="38" t="n">
        <x:v>18</x:v>
      </x:c>
      <x:c r="AA623" s="38" t="n">
        <x:v>7</x:v>
      </x:c>
      <x:c r="AB623" s="38" t="n">
        <x:v>3</x:v>
      </x:c>
      <x:c r="AC623" s="38" t="n">
        <x:v>3209</x:v>
      </x:c>
      <x:c r="AD623" s="38" t="n">
        <x:v>0</x:v>
      </x:c>
      <x:c r="AE623" s="38" t="n">
        <x:f>IF(B623=1,0,F623-Q622)</x:f>
        <x:v>0</x:v>
      </x:c>
    </x:row>
    <x:row r="624" ht="27" customHeight="1">
      <x:c r="A624" s="28" t="str">
        <x:v>Ad-supported</x:v>
      </x:c>
      <x:c r="B624" s="38" t="n">
        <x:v>20</x:v>
      </x:c>
      <x:c r="C624" s="38" t="n">
        <x:v>17</x:v>
      </x:c>
      <x:c r="D624" s="38" t="n">
        <x:v>68041</x:v>
      </x:c>
      <x:c r="E624" s="38" t="n">
        <x:v>45</x:v>
      </x:c>
      <x:c r="F624" s="38" t="n">
        <x:v>110855</x:v>
      </x:c>
      <x:c r="G624" s="38" t="n">
        <x:v>30785</x:v>
      </x:c>
      <x:c r="H624" s="38" t="n">
        <x:v>5963</x:v>
      </x:c>
      <x:c r="I624" s="38" t="n">
        <x:v>1393</x:v>
      </x:c>
      <x:c r="J624" s="38" t="n">
        <x:v>0</x:v>
      </x:c>
      <x:c r="K624" s="38" t="n">
        <x:v>0</x:v>
      </x:c>
      <x:c r="L624" s="38" t="n">
        <x:v>1392</x:v>
      </x:c>
      <x:c r="M624" s="38" t="n">
        <x:v>0</x:v>
      </x:c>
      <x:c r="N624" s="38" t="n">
        <x:v>0</x:v>
      </x:c>
      <x:c r="O624" s="38" t="n">
        <x:v>0</x:v>
      </x:c>
      <x:c r="P624" s="38" t="n">
        <x:f>F624+G624-H624+I624+J624+K624+L624-M624-N624-O624</x:f>
        <x:v>138462</x:v>
      </x:c>
      <x:c r="Q624" s="38" t="n">
        <x:v>138462</x:v>
      </x:c>
      <x:c r="R624" s="38" t="n">
        <x:f>P624-Q624</x:f>
        <x:v>0</x:v>
      </x:c>
      <x:c r="S624" s="38" t="n">
        <x:v>24628</x:v>
      </x:c>
      <x:c r="T624" s="38" t="n">
        <x:v>4913</x:v>
      </x:c>
      <x:c r="U624" s="38" t="n">
        <x:v>26</x:v>
      </x:c>
      <x:c r="V624" s="38" t="n">
        <x:v>0</x:v>
      </x:c>
      <x:c r="W624" s="38" t="n">
        <x:v>0</x:v>
      </x:c>
      <x:c r="X624" s="44" t="n">
        <x:v>0</x:v>
      </x:c>
      <x:c r="Y624" s="38" t="n">
        <x:v>89</x:v>
      </x:c>
      <x:c r="Z624" s="38" t="n">
        <x:v>19</x:v>
      </x:c>
      <x:c r="AA624" s="38" t="n">
        <x:v>7</x:v>
      </x:c>
      <x:c r="AB624" s="38" t="n">
        <x:v>3</x:v>
      </x:c>
      <x:c r="AC624" s="38" t="n">
        <x:v>3015</x:v>
      </x:c>
      <x:c r="AD624" s="38" t="n">
        <x:v>0</x:v>
      </x:c>
      <x:c r="AE624" s="38" t="n">
        <x:f>IF(B624=1,0,F624-Q623)</x:f>
        <x:v>0</x:v>
      </x:c>
    </x:row>
    <x:row r="625" ht="27" customHeight="1">
      <x:c r="A625" s="28" t="str">
        <x:v>Ad-supported</x:v>
      </x:c>
      <x:c r="B625" s="38" t="n">
        <x:v>21</x:v>
      </x:c>
      <x:c r="C625" s="38" t="n">
        <x:v>18</x:v>
      </x:c>
      <x:c r="D625" s="38" t="n">
        <x:v>75020</x:v>
      </x:c>
      <x:c r="E625" s="38" t="n">
        <x:v>50</x:v>
      </x:c>
      <x:c r="F625" s="38" t="n">
        <x:v>138462</x:v>
      </x:c>
      <x:c r="G625" s="38" t="n">
        <x:v>31948</x:v>
      </x:c>
      <x:c r="H625" s="38" t="n">
        <x:v>6836</x:v>
      </x:c>
      <x:c r="I625" s="38" t="n">
        <x:v>6528</x:v>
      </x:c>
      <x:c r="J625" s="38" t="n">
        <x:v>395</x:v>
      </x:c>
      <x:c r="K625" s="38" t="n">
        <x:v>0</x:v>
      </x:c>
      <x:c r="L625" s="38" t="n">
        <x:v>1392</x:v>
      </x:c>
      <x:c r="M625" s="38" t="n">
        <x:v>105000</x:v>
      </x:c>
      <x:c r="N625" s="38" t="n">
        <x:v>0</x:v>
      </x:c>
      <x:c r="O625" s="38" t="n">
        <x:v>0</x:v>
      </x:c>
      <x:c r="P625" s="38" t="n">
        <x:f>F625+G625-H625+I625+J625+K625+L625-M625-N625-O625</x:f>
        <x:v>66889</x:v>
      </x:c>
      <x:c r="Q625" s="38" t="n">
        <x:v>66889</x:v>
      </x:c>
      <x:c r="R625" s="38" t="n">
        <x:f>P625-Q625</x:f>
        <x:v>0</x:v>
      </x:c>
      <x:c r="S625" s="38" t="n">
        <x:v>25547</x:v>
      </x:c>
      <x:c r="T625" s="38" t="n">
        <x:v>6979</x:v>
      </x:c>
      <x:c r="U625" s="38" t="n">
        <x:v>31</x:v>
      </x:c>
      <x:c r="V625" s="38" t="n">
        <x:v>5</x:v>
      </x:c>
      <x:c r="W625" s="38" t="n">
        <x:v>0</x:v>
      </x:c>
      <x:c r="X625" s="44" t="n">
        <x:v>0</x:v>
      </x:c>
      <x:c r="Y625" s="38" t="n">
        <x:v>95</x:v>
      </x:c>
      <x:c r="Z625" s="38" t="n">
        <x:v>20</x:v>
      </x:c>
      <x:c r="AA625" s="38" t="n">
        <x:v>7</x:v>
      </x:c>
      <x:c r="AB625" s="38" t="n">
        <x:v>3</x:v>
      </x:c>
      <x:c r="AC625" s="38" t="n">
        <x:v>3450</x:v>
      </x:c>
      <x:c r="AD625" s="38" t="n">
        <x:v>0</x:v>
      </x:c>
      <x:c r="AE625" s="38" t="n">
        <x:f>IF(B625=1,0,F625-Q624)</x:f>
        <x:v>0</x:v>
      </x:c>
    </x:row>
    <x:row r="626" ht="27" customHeight="1">
      <x:c r="A626" s="28" t="str">
        <x:v>Ad-supported</x:v>
      </x:c>
      <x:c r="B626" s="38" t="n">
        <x:v>22</x:v>
      </x:c>
      <x:c r="C626" s="38" t="n">
        <x:v>18</x:v>
      </x:c>
      <x:c r="D626" s="38" t="n">
        <x:v>80482</x:v>
      </x:c>
      <x:c r="E626" s="38" t="n">
        <x:v>50</x:v>
      </x:c>
      <x:c r="F626" s="38" t="n">
        <x:v>66889</x:v>
      </x:c>
      <x:c r="G626" s="38" t="n">
        <x:v>34400</x:v>
      </x:c>
      <x:c r="H626" s="38" t="n">
        <x:v>6900</x:v>
      </x:c>
      <x:c r="I626" s="38" t="n">
        <x:v>1589</x:v>
      </x:c>
      <x:c r="J626" s="38" t="n">
        <x:v>0</x:v>
      </x:c>
      <x:c r="K626" s="38" t="n">
        <x:v>0</x:v>
      </x:c>
      <x:c r="L626" s="38" t="n">
        <x:v>1590</x:v>
      </x:c>
      <x:c r="M626" s="38" t="n">
        <x:v>0</x:v>
      </x:c>
      <x:c r="N626" s="38" t="n">
        <x:v>305</x:v>
      </x:c>
      <x:c r="O626" s="38" t="n">
        <x:v>0</x:v>
      </x:c>
      <x:c r="P626" s="38" t="n">
        <x:f>F626+G626-H626+I626+J626+K626+L626-M626-N626-O626</x:f>
        <x:v>97263</x:v>
      </x:c>
      <x:c r="Q626" s="38" t="n">
        <x:v>97263</x:v>
      </x:c>
      <x:c r="R626" s="38" t="n">
        <x:f>P626-Q626</x:f>
        <x:v>0</x:v>
      </x:c>
      <x:c r="S626" s="38" t="n">
        <x:v>27500</x:v>
      </x:c>
      <x:c r="T626" s="38" t="n">
        <x:v>5462</x:v>
      </x:c>
      <x:c r="U626" s="38" t="n">
        <x:v>35</x:v>
      </x:c>
      <x:c r="V626" s="38" t="n">
        <x:v>4</x:v>
      </x:c>
      <x:c r="W626" s="38" t="n">
        <x:v>0</x:v>
      </x:c>
      <x:c r="X626" s="44" t="n">
        <x:v>0</x:v>
      </x:c>
      <x:c r="Y626" s="38" t="n">
        <x:v>100</x:v>
      </x:c>
      <x:c r="Z626" s="38" t="n">
        <x:v>20</x:v>
      </x:c>
      <x:c r="AA626" s="38" t="n">
        <x:v>8</x:v>
      </x:c>
      <x:c r="AB626" s="38" t="n">
        <x:v>3</x:v>
      </x:c>
      <x:c r="AC626" s="38" t="n">
        <x:v>3450</x:v>
      </x:c>
      <x:c r="AD626" s="38" t="n">
        <x:v>0</x:v>
      </x:c>
      <x:c r="AE626" s="38" t="n">
        <x:f>IF(B626=1,0,F626-Q625)</x:f>
        <x:v>0</x:v>
      </x:c>
    </x:row>
    <x:row r="627" ht="27" customHeight="1">
      <x:c r="A627" s="28" t="str">
        <x:v>Ad-supported</x:v>
      </x:c>
      <x:c r="B627" s="38" t="n">
        <x:v>23</x:v>
      </x:c>
      <x:c r="C627" s="38" t="n">
        <x:v>19</x:v>
      </x:c>
      <x:c r="D627" s="38" t="n">
        <x:v>85944</x:v>
      </x:c>
      <x:c r="E627" s="38" t="n">
        <x:v>50</x:v>
      </x:c>
      <x:c r="F627" s="38" t="n">
        <x:v>97263</x:v>
      </x:c>
      <x:c r="G627" s="38" t="n">
        <x:v>34850</x:v>
      </x:c>
      <x:c r="H627" s="38" t="n">
        <x:v>7100</x:v>
      </x:c>
      <x:c r="I627" s="38" t="n">
        <x:v>1589</x:v>
      </x:c>
      <x:c r="J627" s="38" t="n">
        <x:v>405</x:v>
      </x:c>
      <x:c r="K627" s="38" t="n">
        <x:v>0</x:v>
      </x:c>
      <x:c r="L627" s="38" t="n">
        <x:v>1590</x:v>
      </x:c>
      <x:c r="M627" s="38" t="n">
        <x:v>0</x:v>
      </x:c>
      <x:c r="N627" s="38" t="n">
        <x:v>0</x:v>
      </x:c>
      <x:c r="O627" s="38" t="n">
        <x:v>0</x:v>
      </x:c>
      <x:c r="P627" s="38" t="n">
        <x:f>F627+G627-H627+I627+J627+K627+L627-M627-N627-O627</x:f>
        <x:v>128597</x:v>
      </x:c>
      <x:c r="Q627" s="38" t="n">
        <x:v>128597</x:v>
      </x:c>
      <x:c r="R627" s="38" t="n">
        <x:f>P627-Q627</x:f>
        <x:v>0</x:v>
      </x:c>
      <x:c r="S627" s="38" t="n">
        <x:v>27850</x:v>
      </x:c>
      <x:c r="T627" s="38" t="n">
        <x:v>5462</x:v>
      </x:c>
      <x:c r="U627" s="38" t="n">
        <x:v>35</x:v>
      </x:c>
      <x:c r="V627" s="38" t="n">
        <x:v>0</x:v>
      </x:c>
      <x:c r="W627" s="38" t="n">
        <x:v>0</x:v>
      </x:c>
      <x:c r="X627" s="44" t="n">
        <x:v>0</x:v>
      </x:c>
      <x:c r="Y627" s="38" t="n">
        <x:v>100</x:v>
      </x:c>
      <x:c r="Z627" s="38" t="n">
        <x:v>21</x:v>
      </x:c>
      <x:c r="AA627" s="38" t="n">
        <x:v>8</x:v>
      </x:c>
      <x:c r="AB627" s="38" t="n">
        <x:v>3</x:v>
      </x:c>
      <x:c r="AC627" s="38" t="n">
        <x:v>3550</x:v>
      </x:c>
      <x:c r="AD627" s="38" t="n">
        <x:v>0</x:v>
      </x:c>
      <x:c r="AE627" s="38" t="n">
        <x:f>IF(B627=1,0,F627-Q626)</x:f>
        <x:v>0</x:v>
      </x:c>
    </x:row>
    <x:row r="628" ht="27" customHeight="1">
      <x:c r="A628" s="28" t="str">
        <x:v>Ad-supported</x:v>
      </x:c>
      <x:c r="B628" s="38" t="n">
        <x:v>24</x:v>
      </x:c>
      <x:c r="C628" s="38" t="n">
        <x:v>19</x:v>
      </x:c>
      <x:c r="D628" s="38" t="n">
        <x:v>91410</x:v>
      </x:c>
      <x:c r="E628" s="38" t="n">
        <x:v>50</x:v>
      </x:c>
      <x:c r="F628" s="38" t="n">
        <x:v>128597</x:v>
      </x:c>
      <x:c r="G628" s="38" t="n">
        <x:v>35300</x:v>
      </x:c>
      <x:c r="H628" s="38" t="n">
        <x:v>7100</x:v>
      </x:c>
      <x:c r="I628" s="38" t="n">
        <x:v>1629</x:v>
      </x:c>
      <x:c r="J628" s="38" t="n">
        <x:v>0</x:v>
      </x:c>
      <x:c r="K628" s="38" t="n">
        <x:v>0</x:v>
      </x:c>
      <x:c r="L628" s="38" t="n">
        <x:v>1629</x:v>
      </x:c>
      <x:c r="M628" s="38" t="n">
        <x:v>0</x:v>
      </x:c>
      <x:c r="N628" s="38" t="n">
        <x:v>0</x:v>
      </x:c>
      <x:c r="O628" s="38" t="n">
        <x:v>0</x:v>
      </x:c>
      <x:c r="P628" s="38" t="n">
        <x:f>F628+G628-H628+I628+J628+K628+L628-M628-N628-O628</x:f>
        <x:v>160055</x:v>
      </x:c>
      <x:c r="Q628" s="38" t="n">
        <x:v>160055</x:v>
      </x:c>
      <x:c r="R628" s="38" t="n">
        <x:f>P628-Q628</x:f>
        <x:v>0</x:v>
      </x:c>
      <x:c r="S628" s="38" t="n">
        <x:v>28200</x:v>
      </x:c>
      <x:c r="T628" s="38" t="n">
        <x:v>5466</x:v>
      </x:c>
      <x:c r="U628" s="38" t="n">
        <x:v>35</x:v>
      </x:c>
      <x:c r="V628" s="38" t="n">
        <x:v>0</x:v>
      </x:c>
      <x:c r="W628" s="38" t="n">
        <x:v>0</x:v>
      </x:c>
      <x:c r="X628" s="44" t="n">
        <x:v>0</x:v>
      </x:c>
      <x:c r="Y628" s="38" t="n">
        <x:v>100</x:v>
      </x:c>
      <x:c r="Z628" s="38" t="n">
        <x:v>21</x:v>
      </x:c>
      <x:c r="AA628" s="38" t="n">
        <x:v>8</x:v>
      </x:c>
      <x:c r="AB628" s="38" t="n">
        <x:v>3</x:v>
      </x:c>
      <x:c r="AC628" s="38" t="n">
        <x:v>3550</x:v>
      </x:c>
      <x:c r="AD628" s="38" t="n">
        <x:v>0</x:v>
      </x:c>
      <x:c r="AE628" s="38" t="n">
        <x:f>IF(B628=1,0,F628-Q627)</x:f>
        <x:v>0</x:v>
      </x:c>
    </x:row>
    <x:row r="629" ht="27" customHeight="1">
      <x:c r="A629" s="28" t="str">
        <x:v>Ad-supported</x:v>
      </x:c>
      <x:c r="B629" s="38" t="n">
        <x:v>25</x:v>
      </x:c>
      <x:c r="C629" s="38" t="n">
        <x:v>19</x:v>
      </x:c>
      <x:c r="D629" s="38" t="n">
        <x:v>96876</x:v>
      </x:c>
      <x:c r="E629" s="38" t="n">
        <x:v>50</x:v>
      </x:c>
      <x:c r="F629" s="38" t="n">
        <x:v>160055</x:v>
      </x:c>
      <x:c r="G629" s="38" t="n">
        <x:v>35300</x:v>
      </x:c>
      <x:c r="H629" s="38" t="n">
        <x:v>7100</x:v>
      </x:c>
      <x:c r="I629" s="38" t="n">
        <x:v>1629</x:v>
      </x:c>
      <x:c r="J629" s="38" t="n">
        <x:v>0</x:v>
      </x:c>
      <x:c r="K629" s="38" t="n">
        <x:v>0</x:v>
      </x:c>
      <x:c r="L629" s="38" t="n">
        <x:v>1629</x:v>
      </x:c>
      <x:c r="M629" s="38" t="n">
        <x:v>0</x:v>
      </x:c>
      <x:c r="N629" s="38" t="n">
        <x:v>320</x:v>
      </x:c>
      <x:c r="O629" s="38" t="n">
        <x:v>0</x:v>
      </x:c>
      <x:c r="P629" s="38" t="n">
        <x:f>F629+G629-H629+I629+J629+K629+L629-M629-N629-O629</x:f>
        <x:v>191193</x:v>
      </x:c>
      <x:c r="Q629" s="38" t="n">
        <x:v>191193</x:v>
      </x:c>
      <x:c r="R629" s="38" t="n">
        <x:f>P629-Q629</x:f>
        <x:v>0</x:v>
      </x:c>
      <x:c r="S629" s="38" t="n">
        <x:v>28200</x:v>
      </x:c>
      <x:c r="T629" s="38" t="n">
        <x:v>5466</x:v>
      </x:c>
      <x:c r="U629" s="38" t="n">
        <x:v>35</x:v>
      </x:c>
      <x:c r="V629" s="38" t="n">
        <x:v>0</x:v>
      </x:c>
      <x:c r="W629" s="38" t="n">
        <x:v>0</x:v>
      </x:c>
      <x:c r="X629" s="44" t="n">
        <x:v>0</x:v>
      </x:c>
      <x:c r="Y629" s="38" t="n">
        <x:v>100</x:v>
      </x:c>
      <x:c r="Z629" s="38" t="n">
        <x:v>21</x:v>
      </x:c>
      <x:c r="AA629" s="38" t="n">
        <x:v>9</x:v>
      </x:c>
      <x:c r="AB629" s="38" t="n">
        <x:v>3</x:v>
      </x:c>
      <x:c r="AC629" s="38" t="n">
        <x:v>3550</x:v>
      </x:c>
      <x:c r="AD629" s="38" t="n">
        <x:v>0</x:v>
      </x:c>
      <x:c r="AE629" s="38" t="n">
        <x:f>IF(B629=1,0,F629-Q628)</x:f>
        <x:v>0</x:v>
      </x:c>
    </x:row>
    <x:row r="630" ht="27" customHeight="1">
      <x:c r="A630" s="28" t="str">
        <x:v>Ad-supported</x:v>
      </x:c>
      <x:c r="B630" s="38" t="n">
        <x:v>26</x:v>
      </x:c>
      <x:c r="C630" s="38" t="n">
        <x:v>20</x:v>
      </x:c>
      <x:c r="D630" s="38" t="n">
        <x:v>102342</x:v>
      </x:c>
      <x:c r="E630" s="38" t="n">
        <x:v>50</x:v>
      </x:c>
      <x:c r="F630" s="38" t="n">
        <x:v>191193</x:v>
      </x:c>
      <x:c r="G630" s="38" t="n">
        <x:v>35339</x:v>
      </x:c>
      <x:c r="H630" s="38" t="n">
        <x:v>7195</x:v>
      </x:c>
      <x:c r="I630" s="38" t="n">
        <x:v>1629</x:v>
      </x:c>
      <x:c r="J630" s="38" t="n">
        <x:v>415</x:v>
      </x:c>
      <x:c r="K630" s="38" t="n">
        <x:v>0</x:v>
      </x:c>
      <x:c r="L630" s="38" t="n">
        <x:v>1629</x:v>
      </x:c>
      <x:c r="M630" s="38" t="n">
        <x:v>0</x:v>
      </x:c>
      <x:c r="N630" s="38" t="n">
        <x:v>0</x:v>
      </x:c>
      <x:c r="O630" s="38" t="n">
        <x:v>41740</x:v>
      </x:c>
      <x:c r="P630" s="38" t="n">
        <x:f>F630+G630-H630+I630+J630+K630+L630-M630-N630-O630</x:f>
        <x:v>181270</x:v>
      </x:c>
      <x:c r="Q630" s="38" t="n">
        <x:v>181270</x:v>
      </x:c>
      <x:c r="R630" s="38" t="n">
        <x:f>P630-Q630</x:f>
        <x:v>0</x:v>
      </x:c>
      <x:c r="S630" s="38" t="n">
        <x:v>28261</x:v>
      </x:c>
      <x:c r="T630" s="38" t="n">
        <x:v>5466</x:v>
      </x:c>
      <x:c r="U630" s="38" t="n">
        <x:v>38</x:v>
      </x:c>
      <x:c r="V630" s="38" t="n">
        <x:v>3</x:v>
      </x:c>
      <x:c r="W630" s="38" t="n">
        <x:v>0</x:v>
      </x:c>
      <x:c r="X630" s="44" t="n">
        <x:v>0</x:v>
      </x:c>
      <x:c r="Y630" s="38" t="n">
        <x:v>99</x:v>
      </x:c>
      <x:c r="Z630" s="38" t="n">
        <x:v>21</x:v>
      </x:c>
      <x:c r="AA630" s="38" t="n">
        <x:v>9</x:v>
      </x:c>
      <x:c r="AB630" s="38" t="n">
        <x:v>4</x:v>
      </x:c>
      <x:c r="AC630" s="38" t="n">
        <x:v>3667</x:v>
      </x:c>
      <x:c r="AD630" s="38" t="n">
        <x:v>0</x:v>
      </x:c>
      <x:c r="AE630" s="38" t="n">
        <x:f>IF(B630=1,0,F630-Q629)</x:f>
        <x:v>0</x:v>
      </x:c>
    </x:row>
    <x:row r="631" ht="27" customHeight="1">
      <x:c r="A631" s="28" t="str">
        <x:v>Ad-supported</x:v>
      </x:c>
      <x:c r="B631" s="38" t="n">
        <x:v>27</x:v>
      </x:c>
      <x:c r="C631" s="38" t="n">
        <x:v>20</x:v>
      </x:c>
      <x:c r="D631" s="38" t="n">
        <x:v>107958</x:v>
      </x:c>
      <x:c r="E631" s="38" t="n">
        <x:v>50</x:v>
      </x:c>
      <x:c r="F631" s="38" t="n">
        <x:v>181270</x:v>
      </x:c>
      <x:c r="G631" s="38" t="n">
        <x:v>36435</x:v>
      </x:c>
      <x:c r="H631" s="38" t="n">
        <x:v>7200</x:v>
      </x:c>
      <x:c r="I631" s="38" t="n">
        <x:v>1670</x:v>
      </x:c>
      <x:c r="J631" s="38" t="n">
        <x:v>0</x:v>
      </x:c>
      <x:c r="K631" s="38" t="n">
        <x:v>0</x:v>
      </x:c>
      <x:c r="L631" s="38" t="n">
        <x:v>1671</x:v>
      </x:c>
      <x:c r="M631" s="38" t="n">
        <x:v>0</x:v>
      </x:c>
      <x:c r="N631" s="38" t="n">
        <x:v>0</x:v>
      </x:c>
      <x:c r="O631" s="38" t="n">
        <x:v>0</x:v>
      </x:c>
      <x:c r="P631" s="38" t="n">
        <x:f>F631+G631-H631+I631+J631+K631+L631-M631-N631-O631</x:f>
        <x:v>213846</x:v>
      </x:c>
      <x:c r="Q631" s="38" t="n">
        <x:v>213846</x:v>
      </x:c>
      <x:c r="R631" s="38" t="n">
        <x:f>P631-Q631</x:f>
        <x:v>0</x:v>
      </x:c>
      <x:c r="S631" s="38" t="n">
        <x:v>29168</x:v>
      </x:c>
      <x:c r="T631" s="38" t="n">
        <x:v>5616</x:v>
      </x:c>
      <x:c r="U631" s="38" t="n">
        <x:v>38</x:v>
      </x:c>
      <x:c r="V631" s="38" t="n">
        <x:v>0</x:v>
      </x:c>
      <x:c r="W631" s="38" t="n">
        <x:v>0</x:v>
      </x:c>
      <x:c r="X631" s="44" t="n">
        <x:v>0</x:v>
      </x:c>
      <x:c r="Y631" s="38" t="n">
        <x:v>100</x:v>
      </x:c>
      <x:c r="Z631" s="38" t="n">
        <x:v>22</x:v>
      </x:c>
      <x:c r="AA631" s="38" t="n">
        <x:v>9</x:v>
      </x:c>
      <x:c r="AB631" s="38" t="n">
        <x:v>4</x:v>
      </x:c>
      <x:c r="AC631" s="38" t="n">
        <x:v>3600</x:v>
      </x:c>
      <x:c r="AD631" s="38" t="n">
        <x:v>0</x:v>
      </x:c>
      <x:c r="AE631" s="38" t="n">
        <x:f>IF(B631=1,0,F631-Q630)</x:f>
        <x:v>0</x:v>
      </x:c>
    </x:row>
    <x:row r="632" ht="27" customHeight="1">
      <x:c r="A632" s="28" t="str">
        <x:v>Ad-supported</x:v>
      </x:c>
      <x:c r="B632" s="38" t="n">
        <x:v>28</x:v>
      </x:c>
      <x:c r="C632" s="38" t="n">
        <x:v>21</x:v>
      </x:c>
      <x:c r="D632" s="38" t="n">
        <x:v>116587</x:v>
      </x:c>
      <x:c r="E632" s="38" t="n">
        <x:v>55</x:v>
      </x:c>
      <x:c r="F632" s="38" t="n">
        <x:v>213846</x:v>
      </x:c>
      <x:c r="G632" s="38" t="n">
        <x:v>38400</x:v>
      </x:c>
      <x:c r="H632" s="38" t="n">
        <x:v>8140</x:v>
      </x:c>
      <x:c r="I632" s="38" t="n">
        <x:v>9613</x:v>
      </x:c>
      <x:c r="J632" s="38" t="n">
        <x:v>470</x:v>
      </x:c>
      <x:c r="K632" s="38" t="n">
        <x:v>0</x:v>
      </x:c>
      <x:c r="L632" s="38" t="n">
        <x:v>1671</x:v>
      </x:c>
      <x:c r="M632" s="38" t="n">
        <x:v>200000</x:v>
      </x:c>
      <x:c r="N632" s="38" t="n">
        <x:v>320</x:v>
      </x:c>
      <x:c r="O632" s="38" t="n">
        <x:v>0</x:v>
      </x:c>
      <x:c r="P632" s="38" t="n">
        <x:f>F632+G632-H632+I632+J632+K632+L632-M632-N632-O632</x:f>
        <x:v>55540</x:v>
      </x:c>
      <x:c r="Q632" s="38" t="n">
        <x:v>55540</x:v>
      </x:c>
      <x:c r="R632" s="38" t="n">
        <x:f>P632-Q632</x:f>
        <x:v>0</x:v>
      </x:c>
      <x:c r="S632" s="38" t="n">
        <x:v>30730</x:v>
      </x:c>
      <x:c r="T632" s="38" t="n">
        <x:v>8629</x:v>
      </x:c>
      <x:c r="U632" s="38" t="n">
        <x:v>40</x:v>
      </x:c>
      <x:c r="V632" s="38" t="n">
        <x:v>2</x:v>
      </x:c>
      <x:c r="W632" s="38" t="n">
        <x:v>0</x:v>
      </x:c>
      <x:c r="X632" s="44" t="n">
        <x:v>0</x:v>
      </x:c>
      <x:c r="Y632" s="38" t="n">
        <x:v>105</x:v>
      </x:c>
      <x:c r="Z632" s="38" t="n">
        <x:v>22</x:v>
      </x:c>
      <x:c r="AA632" s="38" t="n">
        <x:v>10</x:v>
      </x:c>
      <x:c r="AB632" s="38" t="n">
        <x:v>4</x:v>
      </x:c>
      <x:c r="AC632" s="38" t="n">
        <x:v>4070</x:v>
      </x:c>
      <x:c r="AD632" s="38" t="n">
        <x:v>0</x:v>
      </x:c>
      <x:c r="AE632" s="38" t="n">
        <x:f>IF(B632=1,0,F632-Q631)</x:f>
        <x:v>0</x:v>
      </x:c>
    </x:row>
    <x:row r="633" ht="27" customHeight="1">
      <x:c r="A633" s="28" t="str">
        <x:v>Ad-supported</x:v>
      </x:c>
      <x:c r="B633" s="38" t="n">
        <x:v>29</x:v>
      </x:c>
      <x:c r="C633" s="38" t="n">
        <x:v>21</x:v>
      </x:c>
      <x:c r="D633" s="38" t="n">
        <x:v>122721</x:v>
      </x:c>
      <x:c r="E633" s="38" t="n">
        <x:v>55</x:v>
      </x:c>
      <x:c r="F633" s="38" t="n">
        <x:v>55540</x:v>
      </x:c>
      <x:c r="G633" s="38" t="n">
        <x:v>40700</x:v>
      </x:c>
      <x:c r="H633" s="38" t="n">
        <x:v>8140</x:v>
      </x:c>
      <x:c r="I633" s="38" t="n">
        <x:v>1881</x:v>
      </x:c>
      <x:c r="J633" s="38" t="n">
        <x:v>0</x:v>
      </x:c>
      <x:c r="K633" s="38" t="n">
        <x:v>0</x:v>
      </x:c>
      <x:c r="L633" s="38" t="n">
        <x:v>1881</x:v>
      </x:c>
      <x:c r="M633" s="38" t="n">
        <x:v>0</x:v>
      </x:c>
      <x:c r="N633" s="38" t="n">
        <x:v>0</x:v>
      </x:c>
      <x:c r="O633" s="38" t="n">
        <x:v>0</x:v>
      </x:c>
      <x:c r="P633" s="38" t="n">
        <x:f>F633+G633-H633+I633+J633+K633+L633-M633-N633-O633</x:f>
        <x:v>91862</x:v>
      </x:c>
      <x:c r="Q633" s="38" t="n">
        <x:v>91862</x:v>
      </x:c>
      <x:c r="R633" s="38" t="n">
        <x:f>P633-Q633</x:f>
        <x:v>0</x:v>
      </x:c>
      <x:c r="S633" s="38" t="n">
        <x:v>32560</x:v>
      </x:c>
      <x:c r="T633" s="38" t="n">
        <x:v>6134</x:v>
      </x:c>
      <x:c r="U633" s="38" t="n">
        <x:v>40</x:v>
      </x:c>
      <x:c r="V633" s="38" t="n">
        <x:v>0</x:v>
      </x:c>
      <x:c r="W633" s="38" t="n">
        <x:v>0</x:v>
      </x:c>
      <x:c r="X633" s="44" t="n">
        <x:v>0</x:v>
      </x:c>
      <x:c r="Y633" s="38" t="n">
        <x:v>110</x:v>
      </x:c>
      <x:c r="Z633" s="38" t="n">
        <x:v>22</x:v>
      </x:c>
      <x:c r="AA633" s="38" t="n">
        <x:v>10</x:v>
      </x:c>
      <x:c r="AB633" s="38" t="n">
        <x:v>4</x:v>
      </x:c>
      <x:c r="AC633" s="38" t="n">
        <x:v>4070</x:v>
      </x:c>
      <x:c r="AD633" s="38" t="n">
        <x:v>0</x:v>
      </x:c>
      <x:c r="AE633" s="38" t="n">
        <x:f>IF(B633=1,0,F633-Q632)</x:f>
        <x:v>0</x:v>
      </x:c>
    </x:row>
    <x:row r="634" ht="27" customHeight="1">
      <x:c r="A634" s="28" t="str">
        <x:v>Ad-supported</x:v>
      </x:c>
      <x:c r="B634" s="38" t="n">
        <x:v>30</x:v>
      </x:c>
      <x:c r="C634" s="38" t="n">
        <x:v>22</x:v>
      </x:c>
      <x:c r="D634" s="38" t="n">
        <x:v>128805</x:v>
      </x:c>
      <x:c r="E634" s="38" t="n">
        <x:v>55</x:v>
      </x:c>
      <x:c r="F634" s="38" t="n">
        <x:v>91862</x:v>
      </x:c>
      <x:c r="G634" s="38" t="n">
        <x:v>40816</x:v>
      </x:c>
      <x:c r="H634" s="38" t="n">
        <x:v>8369</x:v>
      </x:c>
      <x:c r="I634" s="38" t="n">
        <x:v>1881</x:v>
      </x:c>
      <x:c r="J634" s="38" t="n">
        <x:v>480</x:v>
      </x:c>
      <x:c r="K634" s="38" t="n">
        <x:v>0</x:v>
      </x:c>
      <x:c r="L634" s="38" t="n">
        <x:v>1881</x:v>
      </x:c>
      <x:c r="M634" s="38" t="n">
        <x:v>0</x:v>
      </x:c>
      <x:c r="N634" s="38" t="n">
        <x:v>0</x:v>
      </x:c>
      <x:c r="O634" s="38" t="n">
        <x:v>0</x:v>
      </x:c>
      <x:c r="P634" s="38" t="n">
        <x:f>F634+G634-H634+I634+J634+K634+L634-M634-N634-O634</x:f>
        <x:v>128551</x:v>
      </x:c>
      <x:c r="Q634" s="38" t="n">
        <x:v>128551</x:v>
      </x:c>
      <x:c r="R634" s="38" t="n">
        <x:f>P634-Q634</x:f>
        <x:v>0</x:v>
      </x:c>
      <x:c r="S634" s="38" t="n">
        <x:v>32642</x:v>
      </x:c>
      <x:c r="T634" s="38" t="n">
        <x:v>6084</x:v>
      </x:c>
      <x:c r="U634" s="38" t="n">
        <x:v>41</x:v>
      </x:c>
      <x:c r="V634" s="38" t="n">
        <x:v>1</x:v>
      </x:c>
      <x:c r="W634" s="38" t="n">
        <x:v>0</x:v>
      </x:c>
      <x:c r="X634" s="44" t="n">
        <x:v>0</x:v>
      </x:c>
      <x:c r="Y634" s="38" t="n">
        <x:v>109</x:v>
      </x:c>
      <x:c r="Z634" s="38" t="n">
        <x:v>22</x:v>
      </x:c>
      <x:c r="AA634" s="38" t="n">
        <x:v>10</x:v>
      </x:c>
      <x:c r="AB634" s="38" t="n">
        <x:v>4</x:v>
      </x:c>
      <x:c r="AC634" s="38" t="n">
        <x:v>4265</x:v>
      </x:c>
      <x:c r="AD634" s="38" t="n">
        <x:v>0</x:v>
      </x:c>
      <x:c r="AE634" s="38" t="n">
        <x:f>IF(B634=1,0,F634-Q633)</x:f>
        <x:v>0</x:v>
      </x:c>
    </x:row>
    <x:row r="635" ht="27" customHeight="1">
      <x:c r="A635" s="28" t="str">
        <x:v>Ad-supported</x:v>
      </x:c>
      <x:c r="B635" s="38" t="n">
        <x:v>31</x:v>
      </x:c>
      <x:c r="C635" s="38" t="n">
        <x:v>22</x:v>
      </x:c>
      <x:c r="D635" s="38" t="n">
        <x:v>134981</x:v>
      </x:c>
      <x:c r="E635" s="38" t="n">
        <x:v>55</x:v>
      </x:c>
      <x:c r="F635" s="38" t="n">
        <x:v>128551</x:v>
      </x:c>
      <x:c r="G635" s="38" t="n">
        <x:v>42114</x:v>
      </x:c>
      <x:c r="H635" s="38" t="n">
        <x:v>8360</x:v>
      </x:c>
      <x:c r="I635" s="38" t="n">
        <x:v>1926</x:v>
      </x:c>
      <x:c r="J635" s="38" t="n">
        <x:v>0</x:v>
      </x:c>
      <x:c r="K635" s="38" t="n">
        <x:v>0</x:v>
      </x:c>
      <x:c r="L635" s="38" t="n">
        <x:v>1926</x:v>
      </x:c>
      <x:c r="M635" s="38" t="n">
        <x:v>0</x:v>
      </x:c>
      <x:c r="N635" s="38" t="n">
        <x:v>330</x:v>
      </x:c>
      <x:c r="O635" s="38" t="n">
        <x:v>0</x:v>
      </x:c>
      <x:c r="P635" s="38" t="n">
        <x:f>F635+G635-H635+I635+J635+K635+L635-M635-N635-O635</x:f>
        <x:v>165827</x:v>
      </x:c>
      <x:c r="Q635" s="38" t="n">
        <x:v>165827</x:v>
      </x:c>
      <x:c r="R635" s="38" t="n">
        <x:f>P635-Q635</x:f>
        <x:v>0</x:v>
      </x:c>
      <x:c r="S635" s="38" t="n">
        <x:v>33669</x:v>
      </x:c>
      <x:c r="T635" s="38" t="n">
        <x:v>6176</x:v>
      </x:c>
      <x:c r="U635" s="38" t="n">
        <x:v>41</x:v>
      </x:c>
      <x:c r="V635" s="38" t="n">
        <x:v>0</x:v>
      </x:c>
      <x:c r="W635" s="38" t="n">
        <x:v>0</x:v>
      </x:c>
      <x:c r="X635" s="44" t="n">
        <x:v>0</x:v>
      </x:c>
      <x:c r="Y635" s="38" t="n">
        <x:v>110</x:v>
      </x:c>
      <x:c r="Z635" s="38" t="n">
        <x:v>23</x:v>
      </x:c>
      <x:c r="AA635" s="38" t="n">
        <x:v>11</x:v>
      </x:c>
      <x:c r="AB635" s="38" t="n">
        <x:v>4</x:v>
      </x:c>
      <x:c r="AC635" s="38" t="n">
        <x:v>4180</x:v>
      </x:c>
      <x:c r="AD635" s="38" t="n">
        <x:v>0</x:v>
      </x:c>
      <x:c r="AE635" s="38" t="n">
        <x:f>IF(B635=1,0,F635-Q634)</x:f>
        <x:v>0</x:v>
      </x:c>
    </x:row>
    <x:row r="636" ht="27" customHeight="1">
      <x:c r="A636" s="28" t="str">
        <x:v>Ad-supported</x:v>
      </x:c>
      <x:c r="B636" s="38" t="n">
        <x:v>32</x:v>
      </x:c>
      <x:c r="C636" s="38" t="n">
        <x:v>23</x:v>
      </x:c>
      <x:c r="D636" s="38" t="n">
        <x:v>141120</x:v>
      </x:c>
      <x:c r="E636" s="38" t="n">
        <x:v>55</x:v>
      </x:c>
      <x:c r="F636" s="38" t="n">
        <x:v>165827</x:v>
      </x:c>
      <x:c r="G636" s="38" t="n">
        <x:v>41690</x:v>
      </x:c>
      <x:c r="H636" s="38" t="n">
        <x:v>8541</x:v>
      </x:c>
      <x:c r="I636" s="38" t="n">
        <x:v>1926</x:v>
      </x:c>
      <x:c r="J636" s="38" t="n">
        <x:v>495</x:v>
      </x:c>
      <x:c r="K636" s="38" t="n">
        <x:v>0</x:v>
      </x:c>
      <x:c r="L636" s="38" t="n">
        <x:v>1926</x:v>
      </x:c>
      <x:c r="M636" s="38" t="n">
        <x:v>0</x:v>
      </x:c>
      <x:c r="N636" s="38" t="n">
        <x:v>0</x:v>
      </x:c>
      <x:c r="O636" s="38" t="n">
        <x:v>0</x:v>
      </x:c>
      <x:c r="P636" s="38" t="n">
        <x:f>F636+G636-H636+I636+J636+K636+L636-M636-N636-O636</x:f>
        <x:v>203323</x:v>
      </x:c>
      <x:c r="Q636" s="38" t="n">
        <x:v>203323</x:v>
      </x:c>
      <x:c r="R636" s="38" t="n">
        <x:f>P636-Q636</x:f>
        <x:v>0</x:v>
      </x:c>
      <x:c r="S636" s="38" t="n">
        <x:v>33330</x:v>
      </x:c>
      <x:c r="T636" s="38" t="n">
        <x:v>6139</x:v>
      </x:c>
      <x:c r="U636" s="38" t="n">
        <x:v>41</x:v>
      </x:c>
      <x:c r="V636" s="38" t="n">
        <x:v>0</x:v>
      </x:c>
      <x:c r="W636" s="38" t="n">
        <x:v>0</x:v>
      </x:c>
      <x:c r="X636" s="44" t="n">
        <x:v>0</x:v>
      </x:c>
      <x:c r="Y636" s="38" t="n">
        <x:v>110</x:v>
      </x:c>
      <x:c r="Z636" s="38" t="n">
        <x:v>23</x:v>
      </x:c>
      <x:c r="AA636" s="38" t="n">
        <x:v>11</x:v>
      </x:c>
      <x:c r="AB636" s="38" t="n">
        <x:v>4</x:v>
      </x:c>
      <x:c r="AC636" s="38" t="n">
        <x:v>4361</x:v>
      </x:c>
      <x:c r="AD636" s="38" t="n">
        <x:v>0</x:v>
      </x:c>
      <x:c r="AE636" s="38" t="n">
        <x:f>IF(B636=1,0,F636-Q635)</x:f>
        <x:v>0</x:v>
      </x:c>
    </x:row>
    <x:row r="637" ht="27" customHeight="1">
      <x:c r="A637" s="28" t="str">
        <x:v>Ad-supported</x:v>
      </x:c>
      <x:c r="B637" s="38" t="n">
        <x:v>33</x:v>
      </x:c>
      <x:c r="C637" s="38" t="n">
        <x:v>23</x:v>
      </x:c>
      <x:c r="D637" s="38" t="n">
        <x:v>147370</x:v>
      </x:c>
      <x:c r="E637" s="38" t="n">
        <x:v>55</x:v>
      </x:c>
      <x:c r="F637" s="38" t="n">
        <x:v>203323</x:v>
      </x:c>
      <x:c r="G637" s="38" t="n">
        <x:v>42650</x:v>
      </x:c>
      <x:c r="H637" s="38" t="n">
        <x:v>8502</x:v>
      </x:c>
      <x:c r="I637" s="38" t="n">
        <x:v>1970</x:v>
      </x:c>
      <x:c r="J637" s="38" t="n">
        <x:v>0</x:v>
      </x:c>
      <x:c r="K637" s="38" t="n">
        <x:v>0</x:v>
      </x:c>
      <x:c r="L637" s="38" t="n">
        <x:v>1971</x:v>
      </x:c>
      <x:c r="M637" s="38" t="n">
        <x:v>0</x:v>
      </x:c>
      <x:c r="N637" s="38" t="n">
        <x:v>0</x:v>
      </x:c>
      <x:c r="O637" s="38" t="n">
        <x:v>0</x:v>
      </x:c>
      <x:c r="P637" s="38" t="n">
        <x:f>F637+G637-H637+I637+J637+K637+L637-M637-N637-O637</x:f>
        <x:v>241412</x:v>
      </x:c>
      <x:c r="Q637" s="38" t="n">
        <x:v>241412</x:v>
      </x:c>
      <x:c r="R637" s="38" t="n">
        <x:f>P637-Q637</x:f>
        <x:v>0</x:v>
      </x:c>
      <x:c r="S637" s="38" t="n">
        <x:v>34077</x:v>
      </x:c>
      <x:c r="T637" s="38" t="n">
        <x:v>6250</x:v>
      </x:c>
      <x:c r="U637" s="38" t="n">
        <x:v>41</x:v>
      </x:c>
      <x:c r="V637" s="38" t="n">
        <x:v>0</x:v>
      </x:c>
      <x:c r="W637" s="38" t="n">
        <x:v>0</x:v>
      </x:c>
      <x:c r="X637" s="44" t="n">
        <x:v>0</x:v>
      </x:c>
      <x:c r="Y637" s="38" t="n">
        <x:v>109</x:v>
      </x:c>
      <x:c r="Z637" s="38" t="n">
        <x:v>24</x:v>
      </x:c>
      <x:c r="AA637" s="38" t="n">
        <x:v>11</x:v>
      </x:c>
      <x:c r="AB637" s="38" t="n">
        <x:v>4</x:v>
      </x:c>
      <x:c r="AC637" s="38" t="n">
        <x:v>4290</x:v>
      </x:c>
      <x:c r="AD637" s="38" t="n">
        <x:v>0</x:v>
      </x:c>
      <x:c r="AE637" s="38" t="n">
        <x:f>IF(B637=1,0,F637-Q636)</x:f>
        <x:v>0</x:v>
      </x:c>
    </x:row>
    <x:row r="638" ht="27" customHeight="1">
      <x:c r="A638" s="28" t="str">
        <x:v>Ad-supported</x:v>
      </x:c>
      <x:c r="B638" s="38" t="n">
        <x:v>34</x:v>
      </x:c>
      <x:c r="C638" s="38" t="n">
        <x:v>23</x:v>
      </x:c>
      <x:c r="D638" s="38" t="n">
        <x:v>153624</x:v>
      </x:c>
      <x:c r="E638" s="38" t="n">
        <x:v>55</x:v>
      </x:c>
      <x:c r="F638" s="38" t="n">
        <x:v>241412</x:v>
      </x:c>
      <x:c r="G638" s="38" t="n">
        <x:v>42680</x:v>
      </x:c>
      <x:c r="H638" s="38" t="n">
        <x:v>8580</x:v>
      </x:c>
      <x:c r="I638" s="38" t="n">
        <x:v>1970</x:v>
      </x:c>
      <x:c r="J638" s="38" t="n">
        <x:v>0</x:v>
      </x:c>
      <x:c r="K638" s="38" t="n">
        <x:v>0</x:v>
      </x:c>
      <x:c r="L638" s="38" t="n">
        <x:v>1971</x:v>
      </x:c>
      <x:c r="M638" s="38" t="n">
        <x:v>0</x:v>
      </x:c>
      <x:c r="N638" s="38" t="n">
        <x:v>330</x:v>
      </x:c>
      <x:c r="O638" s="38" t="n">
        <x:v>0</x:v>
      </x:c>
      <x:c r="P638" s="38" t="n">
        <x:f>F638+G638-H638+I638+J638+K638+L638-M638-N638-O638</x:f>
        <x:v>279123</x:v>
      </x:c>
      <x:c r="Q638" s="38" t="n">
        <x:v>279123</x:v>
      </x:c>
      <x:c r="R638" s="38" t="n">
        <x:f>P638-Q638</x:f>
        <x:v>0</x:v>
      </x:c>
      <x:c r="S638" s="38" t="n">
        <x:v>34100</x:v>
      </x:c>
      <x:c r="T638" s="38" t="n">
        <x:v>6254</x:v>
      </x:c>
      <x:c r="U638" s="38" t="n">
        <x:v>41</x:v>
      </x:c>
      <x:c r="V638" s="38" t="n">
        <x:v>0</x:v>
      </x:c>
      <x:c r="W638" s="38" t="n">
        <x:v>0</x:v>
      </x:c>
      <x:c r="X638" s="44" t="n">
        <x:v>0</x:v>
      </x:c>
      <x:c r="Y638" s="38" t="n">
        <x:v>110</x:v>
      </x:c>
      <x:c r="Z638" s="38" t="n">
        <x:v>24</x:v>
      </x:c>
      <x:c r="AA638" s="38" t="n">
        <x:v>12</x:v>
      </x:c>
      <x:c r="AB638" s="38" t="n">
        <x:v>4</x:v>
      </x:c>
      <x:c r="AC638" s="38" t="n">
        <x:v>4290</x:v>
      </x:c>
      <x:c r="AD638" s="38" t="n">
        <x:v>0</x:v>
      </x:c>
      <x:c r="AE638" s="38" t="n">
        <x:f>IF(B638=1,0,F638-Q637)</x:f>
        <x:v>0</x:v>
      </x:c>
    </x:row>
    <x:row r="639" ht="27" customHeight="1">
      <x:c r="A639" s="28" t="str">
        <x:v>Ad-supported</x:v>
      </x:c>
      <x:c r="B639" s="38" t="n">
        <x:v>35</x:v>
      </x:c>
      <x:c r="C639" s="38" t="n">
        <x:v>24</x:v>
      </x:c>
      <x:c r="D639" s="38" t="n">
        <x:v>162995</x:v>
      </x:c>
      <x:c r="E639" s="38" t="n">
        <x:v>55</x:v>
      </x:c>
      <x:c r="F639" s="38" t="n">
        <x:v>279123</x:v>
      </x:c>
      <x:c r="G639" s="38" t="n">
        <x:v>42724</x:v>
      </x:c>
      <x:c r="H639" s="38" t="n">
        <x:v>8841</x:v>
      </x:c>
      <x:c r="I639" s="38" t="n">
        <x:v>11375</x:v>
      </x:c>
      <x:c r="J639" s="38" t="n">
        <x:v>505</x:v>
      </x:c>
      <x:c r="K639" s="38" t="n">
        <x:v>0</x:v>
      </x:c>
      <x:c r="L639" s="38" t="n">
        <x:v>1971</x:v>
      </x:c>
      <x:c r="M639" s="38" t="n">
        <x:v>0</x:v>
      </x:c>
      <x:c r="N639" s="38" t="n">
        <x:v>0</x:v>
      </x:c>
      <x:c r="O639" s="38" t="n">
        <x:v>0</x:v>
      </x:c>
      <x:c r="P639" s="38" t="n">
        <x:f>F639+G639-H639+I639+J639+K639+L639-M639-N639-O639</x:f>
        <x:v>326857</x:v>
      </x:c>
      <x:c r="Q639" s="38" t="n">
        <x:v>326857</x:v>
      </x:c>
      <x:c r="R639" s="38" t="n">
        <x:f>P639-Q639</x:f>
        <x:v>0</x:v>
      </x:c>
      <x:c r="S639" s="38" t="n">
        <x:v>34168</x:v>
      </x:c>
      <x:c r="T639" s="38" t="n">
        <x:v>9371</x:v>
      </x:c>
      <x:c r="U639" s="38" t="n">
        <x:v>44</x:v>
      </x:c>
      <x:c r="V639" s="38" t="n">
        <x:v>3</x:v>
      </x:c>
      <x:c r="W639" s="38" t="n">
        <x:v>0</x:v>
      </x:c>
      <x:c r="X639" s="44" t="n">
        <x:v>0</x:v>
      </x:c>
      <x:c r="Y639" s="38" t="n">
        <x:v>109</x:v>
      </x:c>
      <x:c r="Z639" s="38" t="n">
        <x:v>24</x:v>
      </x:c>
      <x:c r="AA639" s="38" t="n">
        <x:v>12</x:v>
      </x:c>
      <x:c r="AB639" s="38" t="n">
        <x:v>4</x:v>
      </x:c>
      <x:c r="AC639" s="38" t="n">
        <x:v>4575</x:v>
      </x:c>
      <x:c r="AD639" s="38" t="n">
        <x:v>0</x:v>
      </x:c>
      <x:c r="AE639" s="38" t="n">
        <x:f>IF(B639=1,0,F639-Q638)</x:f>
        <x:v>0</x:v>
      </x:c>
    </x:row>
    <x:row r="640" ht="27" customHeight="1">
      <x:c r="A640" s="28" t="str">
        <x:v>Ad-supported</x:v>
      </x:c>
      <x:c r="B640" s="38" t="n">
        <x:v>36</x:v>
      </x:c>
      <x:c r="C640" s="38" t="n">
        <x:v>24</x:v>
      </x:c>
      <x:c r="D640" s="38" t="n">
        <x:v>169152</x:v>
      </x:c>
      <x:c r="E640" s="38" t="n">
        <x:v>55</x:v>
      </x:c>
      <x:c r="F640" s="38" t="n">
        <x:v>326857</x:v>
      </x:c>
      <x:c r="G640" s="38" t="n">
        <x:v>42768</x:v>
      </x:c>
      <x:c r="H640" s="38" t="n">
        <x:v>8532</x:v>
      </x:c>
      <x:c r="I640" s="38" t="n">
        <x:v>2015</x:v>
      </x:c>
      <x:c r="J640" s="38" t="n">
        <x:v>0</x:v>
      </x:c>
      <x:c r="K640" s="38" t="n">
        <x:v>0</x:v>
      </x:c>
      <x:c r="L640" s="38" t="n">
        <x:v>2016</x:v>
      </x:c>
      <x:c r="M640" s="38" t="n">
        <x:v>0</x:v>
      </x:c>
      <x:c r="N640" s="38" t="n">
        <x:v>0</x:v>
      </x:c>
      <x:c r="O640" s="38" t="n">
        <x:v>0</x:v>
      </x:c>
      <x:c r="P640" s="38" t="n">
        <x:f>F640+G640-H640+I640+J640+K640+L640-M640-N640-O640</x:f>
        <x:v>365124</x:v>
      </x:c>
      <x:c r="Q640" s="38" t="n">
        <x:v>365124</x:v>
      </x:c>
      <x:c r="R640" s="38" t="n">
        <x:f>P640-Q640</x:f>
        <x:v>0</x:v>
      </x:c>
      <x:c r="S640" s="38" t="n">
        <x:v>34236</x:v>
      </x:c>
      <x:c r="T640" s="38" t="n">
        <x:v>6157</x:v>
      </x:c>
      <x:c r="U640" s="38" t="n">
        <x:v>44</x:v>
      </x:c>
      <x:c r="V640" s="38" t="n">
        <x:v>0</x:v>
      </x:c>
      <x:c r="W640" s="38" t="n">
        <x:v>0</x:v>
      </x:c>
      <x:c r="X640" s="44" t="n">
        <x:v>0</x:v>
      </x:c>
      <x:c r="Y640" s="38" t="n">
        <x:v>108</x:v>
      </x:c>
      <x:c r="Z640" s="38" t="n">
        <x:v>24</x:v>
      </x:c>
      <x:c r="AA640" s="38" t="n">
        <x:v>12</x:v>
      </x:c>
      <x:c r="AB640" s="38" t="n">
        <x:v>4</x:v>
      </x:c>
      <x:c r="AC640" s="38" t="n">
        <x:v>4575</x:v>
      </x:c>
      <x:c r="AD640" s="38" t="n">
        <x:v>0</x:v>
      </x:c>
      <x:c r="AE640" s="38" t="n">
        <x:f>IF(B640=1,0,F640-Q639)</x:f>
        <x:v>0</x:v>
      </x:c>
    </x:row>
    <x:row r="641" ht="27" customHeight="1">
      <x:c r="A641" s="28" t="str">
        <x:v>Ad-supported</x:v>
      </x:c>
      <x:c r="B641" s="38" t="n">
        <x:v>37</x:v>
      </x:c>
      <x:c r="C641" s="38" t="n">
        <x:v>25</x:v>
      </x:c>
      <x:c r="D641" s="38" t="n">
        <x:v>175559</x:v>
      </x:c>
      <x:c r="E641" s="38" t="n">
        <x:v>65</x:v>
      </x:c>
      <x:c r="F641" s="38" t="n">
        <x:v>365124</x:v>
      </x:c>
      <x:c r="G641" s="38" t="n">
        <x:v>44709</x:v>
      </x:c>
      <x:c r="H641" s="38" t="n">
        <x:v>9549</x:v>
      </x:c>
      <x:c r="I641" s="38" t="n">
        <x:v>2015</x:v>
      </x:c>
      <x:c r="J641" s="38" t="n">
        <x:v>610</x:v>
      </x:c>
      <x:c r="K641" s="38" t="n">
        <x:v>0</x:v>
      </x:c>
      <x:c r="L641" s="38" t="n">
        <x:v>2016</x:v>
      </x:c>
      <x:c r="M641" s="38" t="n">
        <x:v>300000</x:v>
      </x:c>
      <x:c r="N641" s="38" t="n">
        <x:v>570</x:v>
      </x:c>
      <x:c r="O641" s="38" t="n">
        <x:v>58529</x:v>
      </x:c>
      <x:c r="P641" s="38" t="n">
        <x:f>F641+G641-H641+I641+J641+K641+L641-M641-N641-O641</x:f>
        <x:v>45826</x:v>
      </x:c>
      <x:c r="Q641" s="38" t="n">
        <x:v>45826</x:v>
      </x:c>
      <x:c r="R641" s="38" t="n">
        <x:f>P641-Q641</x:f>
        <x:v>0</x:v>
      </x:c>
      <x:c r="S641" s="38" t="n">
        <x:v>35789</x:v>
      </x:c>
      <x:c r="T641" s="38" t="n">
        <x:v>6407</x:v>
      </x:c>
      <x:c r="U641" s="38" t="n">
        <x:v>49</x:v>
      </x:c>
      <x:c r="V641" s="38" t="n">
        <x:v>5</x:v>
      </x:c>
      <x:c r="W641" s="38" t="n">
        <x:v>0</x:v>
      </x:c>
      <x:c r="X641" s="44" t="n">
        <x:v>0</x:v>
      </x:c>
      <x:c r="Y641" s="38" t="n">
        <x:v>110</x:v>
      </x:c>
      <x:c r="Z641" s="38" t="n">
        <x:v>25</x:v>
      </x:c>
      <x:c r="AA641" s="38" t="n">
        <x:v>13</x:v>
      </x:c>
      <x:c r="AB641" s="38" t="n">
        <x:v>4</x:v>
      </x:c>
      <x:c r="AC641" s="38" t="n">
        <x:v>5204</x:v>
      </x:c>
      <x:c r="AD641" s="38" t="n">
        <x:v>0</x:v>
      </x:c>
      <x:c r="AE641" s="38" t="n">
        <x:f>IF(B641=1,0,F641-Q640)</x:f>
        <x:v>0</x:v>
      </x:c>
    </x:row>
    <x:row r="642" ht="27" customHeight="1">
      <x:c r="A642" s="28" t="str">
        <x:v>Ad-supported</x:v>
      </x:c>
      <x:c r="B642" s="38" t="n">
        <x:v>38</x:v>
      </x:c>
      <x:c r="C642" s="38" t="n">
        <x:v>25</x:v>
      </x:c>
      <x:c r="D642" s="38" t="n">
        <x:v>183054</x:v>
      </x:c>
      <x:c r="E642" s="38" t="n">
        <x:v>65</x:v>
      </x:c>
      <x:c r="F642" s="38" t="n">
        <x:v>45826</x:v>
      </x:c>
      <x:c r="G642" s="38" t="n">
        <x:v>52346</x:v>
      </x:c>
      <x:c r="H642" s="38" t="n">
        <x:v>10530</x:v>
      </x:c>
      <x:c r="I642" s="38" t="n">
        <x:v>2434</x:v>
      </x:c>
      <x:c r="J642" s="38" t="n">
        <x:v>0</x:v>
      </x:c>
      <x:c r="K642" s="38" t="n">
        <x:v>0</x:v>
      </x:c>
      <x:c r="L642" s="38" t="n">
        <x:v>2433</x:v>
      </x:c>
      <x:c r="M642" s="38" t="n">
        <x:v>0</x:v>
      </x:c>
      <x:c r="N642" s="38" t="n">
        <x:v>0</x:v>
      </x:c>
      <x:c r="O642" s="38" t="n">
        <x:v>22591</x:v>
      </x:c>
      <x:c r="P642" s="38" t="n">
        <x:f>F642+G642-H642+I642+J642+K642+L642-M642-N642-O642</x:f>
        <x:v>69918</x:v>
      </x:c>
      <x:c r="Q642" s="38" t="n">
        <x:v>69918</x:v>
      </x:c>
      <x:c r="R642" s="38" t="n">
        <x:f>P642-Q642</x:f>
        <x:v>0</x:v>
      </x:c>
      <x:c r="S642" s="38" t="n">
        <x:v>41877</x:v>
      </x:c>
      <x:c r="T642" s="38" t="n">
        <x:v>7495</x:v>
      </x:c>
      <x:c r="U642" s="38" t="n">
        <x:v>49</x:v>
      </x:c>
      <x:c r="V642" s="38" t="n">
        <x:v>0</x:v>
      </x:c>
      <x:c r="W642" s="38" t="n">
        <x:v>0</x:v>
      </x:c>
      <x:c r="X642" s="44" t="n">
        <x:v>0</x:v>
      </x:c>
      <x:c r="Y642" s="38" t="n">
        <x:v>130</x:v>
      </x:c>
      <x:c r="Z642" s="38" t="n">
        <x:v>26</x:v>
      </x:c>
      <x:c r="AA642" s="38" t="n">
        <x:v>13</x:v>
      </x:c>
      <x:c r="AB642" s="38" t="n">
        <x:v>5</x:v>
      </x:c>
      <x:c r="AC642" s="38" t="n">
        <x:v>5265</x:v>
      </x:c>
      <x:c r="AD642" s="38" t="n">
        <x:v>0</x:v>
      </x:c>
      <x:c r="AE642" s="38" t="n">
        <x:f>IF(B642=1,0,F642-Q641)</x:f>
        <x:v>0</x:v>
      </x:c>
    </x:row>
    <x:row r="643" ht="27" customHeight="1">
      <x:c r="A643" s="28" t="str">
        <x:v>Ad-supported</x:v>
      </x:c>
      <x:c r="B643" s="38" t="n">
        <x:v>39</x:v>
      </x:c>
      <x:c r="C643" s="38" t="n">
        <x:v>25</x:v>
      </x:c>
      <x:c r="D643" s="38" t="n">
        <x:v>190588</x:v>
      </x:c>
      <x:c r="E643" s="38" t="n">
        <x:v>65</x:v>
      </x:c>
      <x:c r="F643" s="38" t="n">
        <x:v>69918</x:v>
      </x:c>
      <x:c r="G643" s="38" t="n">
        <x:v>52650</x:v>
      </x:c>
      <x:c r="H643" s="38" t="n">
        <x:v>10530</x:v>
      </x:c>
      <x:c r="I643" s="38" t="n">
        <x:v>2434</x:v>
      </x:c>
      <x:c r="J643" s="38" t="n">
        <x:v>0</x:v>
      </x:c>
      <x:c r="K643" s="38" t="n">
        <x:v>0</x:v>
      </x:c>
      <x:c r="L643" s="38" t="n">
        <x:v>2433</x:v>
      </x:c>
      <x:c r="M643" s="38" t="n">
        <x:v>0</x:v>
      </x:c>
      <x:c r="N643" s="38" t="n">
        <x:v>0</x:v>
      </x:c>
      <x:c r="O643" s="38" t="n">
        <x:v>0</x:v>
      </x:c>
      <x:c r="P643" s="38" t="n">
        <x:f>F643+G643-H643+I643+J643+K643+L643-M643-N643-O643</x:f>
        <x:v>116905</x:v>
      </x:c>
      <x:c r="Q643" s="38" t="n">
        <x:v>116905</x:v>
      </x:c>
      <x:c r="R643" s="38" t="n">
        <x:f>P643-Q643</x:f>
        <x:v>0</x:v>
      </x:c>
      <x:c r="S643" s="38" t="n">
        <x:v>42120</x:v>
      </x:c>
      <x:c r="T643" s="38" t="n">
        <x:v>7534</x:v>
      </x:c>
      <x:c r="U643" s="38" t="n">
        <x:v>49</x:v>
      </x:c>
      <x:c r="V643" s="38" t="n">
        <x:v>0</x:v>
      </x:c>
      <x:c r="W643" s="38" t="n">
        <x:v>0</x:v>
      </x:c>
      <x:c r="X643" s="44" t="n">
        <x:v>0</x:v>
      </x:c>
      <x:c r="Y643" s="38" t="n">
        <x:v>130</x:v>
      </x:c>
      <x:c r="Z643" s="38" t="n">
        <x:v>26</x:v>
      </x:c>
      <x:c r="AA643" s="38" t="n">
        <x:v>13</x:v>
      </x:c>
      <x:c r="AB643" s="38" t="n">
        <x:v>5</x:v>
      </x:c>
      <x:c r="AC643" s="38" t="n">
        <x:v>5265</x:v>
      </x:c>
      <x:c r="AD643" s="38" t="n">
        <x:v>0</x:v>
      </x:c>
      <x:c r="AE643" s="38" t="n">
        <x:f>IF(B643=1,0,F643-Q642)</x:f>
        <x:v>0</x:v>
      </x:c>
    </x:row>
    <x:row r="644" ht="27" customHeight="1">
      <x:c r="A644" s="28" t="str">
        <x:v>Ad-supported</x:v>
      </x:c>
      <x:c r="B644" s="38" t="n">
        <x:v>40</x:v>
      </x:c>
      <x:c r="C644" s="38" t="n">
        <x:v>26</x:v>
      </x:c>
      <x:c r="D644" s="38" t="n">
        <x:v>198122</x:v>
      </x:c>
      <x:c r="E644" s="38" t="n">
        <x:v>65</x:v>
      </x:c>
      <x:c r="F644" s="38" t="n">
        <x:v>116905</x:v>
      </x:c>
      <x:c r="G644" s="38" t="n">
        <x:v>52650</x:v>
      </x:c>
      <x:c r="H644" s="38" t="n">
        <x:v>10600</x:v>
      </x:c>
      <x:c r="I644" s="38" t="n">
        <x:v>2434</x:v>
      </x:c>
      <x:c r="J644" s="38" t="n">
        <x:v>620</x:v>
      </x:c>
      <x:c r="K644" s="38" t="n">
        <x:v>0</x:v>
      </x:c>
      <x:c r="L644" s="38" t="n">
        <x:v>2433</x:v>
      </x:c>
      <x:c r="M644" s="38" t="n">
        <x:v>0</x:v>
      </x:c>
      <x:c r="N644" s="38" t="n">
        <x:v>570</x:v>
      </x:c>
      <x:c r="O644" s="38" t="n">
        <x:v>0</x:v>
      </x:c>
      <x:c r="P644" s="38" t="n">
        <x:f>F644+G644-H644+I644+J644+K644+L644-M644-N644-O644</x:f>
        <x:v>163872</x:v>
      </x:c>
      <x:c r="Q644" s="38" t="n">
        <x:v>163872</x:v>
      </x:c>
      <x:c r="R644" s="38" t="n">
        <x:f>P644-Q644</x:f>
        <x:v>0</x:v>
      </x:c>
      <x:c r="S644" s="38" t="n">
        <x:v>42120</x:v>
      </x:c>
      <x:c r="T644" s="38" t="n">
        <x:v>7534</x:v>
      </x:c>
      <x:c r="U644" s="38" t="n">
        <x:v>50</x:v>
      </x:c>
      <x:c r="V644" s="38" t="n">
        <x:v>1</x:v>
      </x:c>
      <x:c r="W644" s="38" t="n">
        <x:v>0</x:v>
      </x:c>
      <x:c r="X644" s="44" t="n">
        <x:v>0</x:v>
      </x:c>
      <x:c r="Y644" s="38" t="n">
        <x:v>130</x:v>
      </x:c>
      <x:c r="Z644" s="38" t="n">
        <x:v>26</x:v>
      </x:c>
      <x:c r="AA644" s="38" t="n">
        <x:v>14</x:v>
      </x:c>
      <x:c r="AB644" s="38" t="n">
        <x:v>5</x:v>
      </x:c>
      <x:c r="AC644" s="38" t="n">
        <x:v>5335</x:v>
      </x:c>
      <x:c r="AD644" s="38" t="n">
        <x:v>0</x:v>
      </x:c>
      <x:c r="AE644" s="38" t="n">
        <x:f>IF(B644=1,0,F644-Q643)</x:f>
        <x:v>0</x:v>
      </x:c>
    </x:row>
    <x:row r="645" ht="27" customHeight="1">
      <x:c r="A645" s="28" t="str">
        <x:v>Ad-supported</x:v>
      </x:c>
      <x:c r="B645" s="38" t="n">
        <x:v>41</x:v>
      </x:c>
      <x:c r="C645" s="38" t="n">
        <x:v>26</x:v>
      </x:c>
      <x:c r="D645" s="38" t="n">
        <x:v>205622</x:v>
      </x:c>
      <x:c r="E645" s="38" t="n">
        <x:v>65</x:v>
      </x:c>
      <x:c r="F645" s="38" t="n">
        <x:v>163872</x:v>
      </x:c>
      <x:c r="G645" s="38" t="n">
        <x:v>53649</x:v>
      </x:c>
      <x:c r="H645" s="38" t="n">
        <x:v>10790</x:v>
      </x:c>
      <x:c r="I645" s="38" t="n">
        <x:v>2486</x:v>
      </x:c>
      <x:c r="J645" s="38" t="n">
        <x:v>0</x:v>
      </x:c>
      <x:c r="K645" s="38" t="n">
        <x:v>0</x:v>
      </x:c>
      <x:c r="L645" s="38" t="n">
        <x:v>2487</x:v>
      </x:c>
      <x:c r="M645" s="38" t="n">
        <x:v>0</x:v>
      </x:c>
      <x:c r="N645" s="38" t="n">
        <x:v>0</x:v>
      </x:c>
      <x:c r="O645" s="38" t="n">
        <x:v>0</x:v>
      </x:c>
      <x:c r="P645" s="38" t="n">
        <x:f>F645+G645-H645+I645+J645+K645+L645-M645-N645-O645</x:f>
        <x:v>211704</x:v>
      </x:c>
      <x:c r="Q645" s="38" t="n">
        <x:v>211704</x:v>
      </x:c>
      <x:c r="R645" s="38" t="n">
        <x:f>P645-Q645</x:f>
        <x:v>0</x:v>
      </x:c>
      <x:c r="S645" s="38" t="n">
        <x:v>42919</x:v>
      </x:c>
      <x:c r="T645" s="38" t="n">
        <x:v>7500</x:v>
      </x:c>
      <x:c r="U645" s="38" t="n">
        <x:v>50</x:v>
      </x:c>
      <x:c r="V645" s="38" t="n">
        <x:v>0</x:v>
      </x:c>
      <x:c r="W645" s="38" t="n">
        <x:v>0</x:v>
      </x:c>
      <x:c r="X645" s="44" t="n">
        <x:v>0</x:v>
      </x:c>
      <x:c r="Y645" s="38" t="n">
        <x:v>130</x:v>
      </x:c>
      <x:c r="Z645" s="38" t="n">
        <x:v>27</x:v>
      </x:c>
      <x:c r="AA645" s="38" t="n">
        <x:v>14</x:v>
      </x:c>
      <x:c r="AB645" s="38" t="n">
        <x:v>5</x:v>
      </x:c>
      <x:c r="AC645" s="38" t="n">
        <x:v>5395</x:v>
      </x:c>
      <x:c r="AD645" s="38" t="n">
        <x:v>0</x:v>
      </x:c>
      <x:c r="AE645" s="38" t="n">
        <x:f>IF(B645=1,0,F645-Q644)</x:f>
        <x:v>0</x:v>
      </x:c>
    </x:row>
    <x:row r="646" ht="27" customHeight="1">
      <x:c r="A646" s="28" t="str">
        <x:v>Ad-supported</x:v>
      </x:c>
      <x:c r="B646" s="38" t="n">
        <x:v>42</x:v>
      </x:c>
      <x:c r="C646" s="38" t="n">
        <x:v>26</x:v>
      </x:c>
      <x:c r="D646" s="38" t="n">
        <x:v>216409</x:v>
      </x:c>
      <x:c r="E646" s="38" t="n">
        <x:v>65</x:v>
      </x:c>
      <x:c r="F646" s="38" t="n">
        <x:v>211704</x:v>
      </x:c>
      <x:c r="G646" s="38" t="n">
        <x:v>53950</x:v>
      </x:c>
      <x:c r="H646" s="38" t="n">
        <x:v>10790</x:v>
      </x:c>
      <x:c r="I646" s="38" t="n">
        <x:v>12559</x:v>
      </x:c>
      <x:c r="J646" s="38" t="n">
        <x:v>0</x:v>
      </x:c>
      <x:c r="K646" s="38" t="n">
        <x:v>0</x:v>
      </x:c>
      <x:c r="L646" s="38" t="n">
        <x:v>2487</x:v>
      </x:c>
      <x:c r="M646" s="38" t="n">
        <x:v>0</x:v>
      </x:c>
      <x:c r="N646" s="38" t="n">
        <x:v>0</x:v>
      </x:c>
      <x:c r="O646" s="38" t="n">
        <x:v>0</x:v>
      </x:c>
      <x:c r="P646" s="38" t="n">
        <x:f>F646+G646-H646+I646+J646+K646+L646-M646-N646-O646</x:f>
        <x:v>269910</x:v>
      </x:c>
      <x:c r="Q646" s="38" t="n">
        <x:v>269910</x:v>
      </x:c>
      <x:c r="R646" s="38" t="n">
        <x:f>P646-Q646</x:f>
        <x:v>0</x:v>
      </x:c>
      <x:c r="S646" s="38" t="n">
        <x:v>43160</x:v>
      </x:c>
      <x:c r="T646" s="38" t="n">
        <x:v>10787</x:v>
      </x:c>
      <x:c r="U646" s="38" t="n">
        <x:v>52</x:v>
      </x:c>
      <x:c r="V646" s="38" t="n">
        <x:v>2</x:v>
      </x:c>
      <x:c r="W646" s="38" t="n">
        <x:v>0</x:v>
      </x:c>
      <x:c r="X646" s="44" t="n">
        <x:v>0</x:v>
      </x:c>
      <x:c r="Y646" s="38" t="n">
        <x:v>130</x:v>
      </x:c>
      <x:c r="Z646" s="38" t="n">
        <x:v>27</x:v>
      </x:c>
      <x:c r="AA646" s="38" t="n">
        <x:v>14</x:v>
      </x:c>
      <x:c r="AB646" s="38" t="n">
        <x:v>5</x:v>
      </x:c>
      <x:c r="AC646" s="38" t="n">
        <x:v>5395</x:v>
      </x:c>
      <x:c r="AD646" s="38" t="n">
        <x:v>0</x:v>
      </x:c>
      <x:c r="AE646" s="38" t="n">
        <x:f>IF(B646=1,0,F646-Q645)</x:f>
        <x:v>0</x:v>
      </x:c>
    </x:row>
    <x:row r="647" ht="27" customHeight="1">
      <x:c r="A647" s="28" t="str">
        <x:v>Ad-supported</x:v>
      </x:c>
      <x:c r="B647" s="38" t="n">
        <x:v>43</x:v>
      </x:c>
      <x:c r="C647" s="38" t="n">
        <x:v>27</x:v>
      </x:c>
      <x:c r="D647" s="38" t="n">
        <x:v>223949</x:v>
      </x:c>
      <x:c r="E647" s="38" t="n">
        <x:v>65</x:v>
      </x:c>
      <x:c r="F647" s="38" t="n">
        <x:v>269910</x:v>
      </x:c>
      <x:c r="G647" s="38" t="n">
        <x:v>53950</x:v>
      </x:c>
      <x:c r="H647" s="38" t="n">
        <x:v>10344</x:v>
      </x:c>
      <x:c r="I647" s="38" t="n">
        <x:v>2486</x:v>
      </x:c>
      <x:c r="J647" s="38" t="n">
        <x:v>635</x:v>
      </x:c>
      <x:c r="K647" s="38" t="n">
        <x:v>0</x:v>
      </x:c>
      <x:c r="L647" s="38" t="n">
        <x:v>2487</x:v>
      </x:c>
      <x:c r="M647" s="38" t="n">
        <x:v>0</x:v>
      </x:c>
      <x:c r="N647" s="38" t="n">
        <x:v>905</x:v>
      </x:c>
      <x:c r="O647" s="38" t="n">
        <x:v>0</x:v>
      </x:c>
      <x:c r="P647" s="38" t="n">
        <x:f>F647+G647-H647+I647+J647+K647+L647-M647-N647-O647</x:f>
        <x:v>318219</x:v>
      </x:c>
      <x:c r="Q647" s="38" t="n">
        <x:v>318219</x:v>
      </x:c>
      <x:c r="R647" s="38" t="n">
        <x:f>P647-Q647</x:f>
        <x:v>0</x:v>
      </x:c>
      <x:c r="S647" s="38" t="n">
        <x:v>43160</x:v>
      </x:c>
      <x:c r="T647" s="38" t="n">
        <x:v>7540</x:v>
      </x:c>
      <x:c r="U647" s="38" t="n">
        <x:v>52</x:v>
      </x:c>
      <x:c r="V647" s="38" t="n">
        <x:v>0</x:v>
      </x:c>
      <x:c r="W647" s="38" t="n">
        <x:v>0</x:v>
      </x:c>
      <x:c r="X647" s="44" t="n">
        <x:v>0</x:v>
      </x:c>
      <x:c r="Y647" s="38" t="n">
        <x:v>130</x:v>
      </x:c>
      <x:c r="Z647" s="38" t="n">
        <x:v>27</x:v>
      </x:c>
      <x:c r="AA647" s="38" t="n">
        <x:v>15</x:v>
      </x:c>
      <x:c r="AB647" s="38" t="n">
        <x:v>5</x:v>
      </x:c>
      <x:c r="AC647" s="38" t="n">
        <x:v>4949</x:v>
      </x:c>
      <x:c r="AD647" s="38" t="n">
        <x:v>0</x:v>
      </x:c>
      <x:c r="AE647" s="38" t="n">
        <x:f>IF(B647=1,0,F647-Q646)</x:f>
        <x:v>0</x:v>
      </x:c>
    </x:row>
    <x:row r="648" ht="27" customHeight="1">
      <x:c r="A648" s="28" t="str">
        <x:v>Ad-supported</x:v>
      </x:c>
      <x:c r="B648" s="38" t="n">
        <x:v>44</x:v>
      </x:c>
      <x:c r="C648" s="38" t="n">
        <x:v>27</x:v>
      </x:c>
      <x:c r="D648" s="38" t="n">
        <x:v>232269</x:v>
      </x:c>
      <x:c r="E648" s="38" t="n">
        <x:v>65</x:v>
      </x:c>
      <x:c r="F648" s="38" t="n">
        <x:v>318219</x:v>
      </x:c>
      <x:c r="G648" s="38" t="n">
        <x:v>49573</x:v>
      </x:c>
      <x:c r="H648" s="38" t="n">
        <x:v>9880</x:v>
      </x:c>
      <x:c r="I648" s="38" t="n">
        <x:v>2539</x:v>
      </x:c>
      <x:c r="J648" s="38" t="n">
        <x:v>0</x:v>
      </x:c>
      <x:c r="K648" s="38" t="n">
        <x:v>0</x:v>
      </x:c>
      <x:c r="L648" s="38" t="n">
        <x:v>2538</x:v>
      </x:c>
      <x:c r="M648" s="38" t="n">
        <x:v>0</x:v>
      </x:c>
      <x:c r="N648" s="38" t="n">
        <x:v>0</x:v>
      </x:c>
      <x:c r="O648" s="38" t="n">
        <x:v>0</x:v>
      </x:c>
      <x:c r="P648" s="38" t="n">
        <x:f>F648+G648-H648+I648+J648+K648+L648-M648-N648-O648</x:f>
        <x:v>362989</x:v>
      </x:c>
      <x:c r="Q648" s="38" t="n">
        <x:v>362989</x:v>
      </x:c>
      <x:c r="R648" s="38" t="n">
        <x:f>P648-Q648</x:f>
        <x:v>0</x:v>
      </x:c>
      <x:c r="S648" s="38" t="n">
        <x:v>39684</x:v>
      </x:c>
      <x:c r="T648" s="38" t="n">
        <x:v>8320</x:v>
      </x:c>
      <x:c r="U648" s="38" t="n">
        <x:v>52</x:v>
      </x:c>
      <x:c r="V648" s="38" t="n">
        <x:v>0</x:v>
      </x:c>
      <x:c r="W648" s="38" t="n">
        <x:v>0</x:v>
      </x:c>
      <x:c r="X648" s="44" t="n">
        <x:v>0</x:v>
      </x:c>
      <x:c r="Y648" s="38" t="n">
        <x:v>130</x:v>
      </x:c>
      <x:c r="Z648" s="38" t="n">
        <x:v>28</x:v>
      </x:c>
      <x:c r="AA648" s="38" t="n">
        <x:v>15</x:v>
      </x:c>
      <x:c r="AB648" s="38" t="n">
        <x:v>5</x:v>
      </x:c>
      <x:c r="AC648" s="38" t="n">
        <x:v>4940</x:v>
      </x:c>
      <x:c r="AD648" s="38" t="n">
        <x:v>0</x:v>
      </x:c>
      <x:c r="AE648" s="38" t="n">
        <x:f>IF(B648=1,0,F648-Q647)</x:f>
        <x:v>0</x:v>
      </x:c>
    </x:row>
    <x:row r="649" ht="27" customHeight="1">
      <x:c r="A649" s="28" t="str">
        <x:v>Ad-supported</x:v>
      </x:c>
      <x:c r="B649" s="38" t="n">
        <x:v>45</x:v>
      </x:c>
      <x:c r="C649" s="38" t="n">
        <x:v>27</x:v>
      </x:c>
      <x:c r="D649" s="38" t="n">
        <x:v>240595</x:v>
      </x:c>
      <x:c r="E649" s="38" t="n">
        <x:v>65</x:v>
      </x:c>
      <x:c r="F649" s="38" t="n">
        <x:v>362989</x:v>
      </x:c>
      <x:c r="G649" s="38" t="n">
        <x:v>49530</x:v>
      </x:c>
      <x:c r="H649" s="38" t="n">
        <x:v>9880</x:v>
      </x:c>
      <x:c r="I649" s="38" t="n">
        <x:v>2539</x:v>
      </x:c>
      <x:c r="J649" s="38" t="n">
        <x:v>0</x:v>
      </x:c>
      <x:c r="K649" s="38" t="n">
        <x:v>0</x:v>
      </x:c>
      <x:c r="L649" s="38" t="n">
        <x:v>2538</x:v>
      </x:c>
      <x:c r="M649" s="38" t="n">
        <x:v>0</x:v>
      </x:c>
      <x:c r="N649" s="38" t="n">
        <x:v>0</x:v>
      </x:c>
      <x:c r="O649" s="38" t="n">
        <x:v>0</x:v>
      </x:c>
      <x:c r="P649" s="38" t="n">
        <x:f>F649+G649-H649+I649+J649+K649+L649-M649-N649-O649</x:f>
        <x:v>407716</x:v>
      </x:c>
      <x:c r="Q649" s="38" t="n">
        <x:v>407716</x:v>
      </x:c>
      <x:c r="R649" s="38" t="n">
        <x:f>P649-Q649</x:f>
        <x:v>0</x:v>
      </x:c>
      <x:c r="S649" s="38" t="n">
        <x:v>39650</x:v>
      </x:c>
      <x:c r="T649" s="38" t="n">
        <x:v>8326</x:v>
      </x:c>
      <x:c r="U649" s="38" t="n">
        <x:v>52</x:v>
      </x:c>
      <x:c r="V649" s="38" t="n">
        <x:v>0</x:v>
      </x:c>
      <x:c r="W649" s="38" t="n">
        <x:v>0</x:v>
      </x:c>
      <x:c r="X649" s="44" t="n">
        <x:v>0</x:v>
      </x:c>
      <x:c r="Y649" s="38" t="n">
        <x:v>130</x:v>
      </x:c>
      <x:c r="Z649" s="38" t="n">
        <x:v>28</x:v>
      </x:c>
      <x:c r="AA649" s="38" t="n">
        <x:v>15</x:v>
      </x:c>
      <x:c r="AB649" s="38" t="n">
        <x:v>5</x:v>
      </x:c>
      <x:c r="AC649" s="38" t="n">
        <x:v>4940</x:v>
      </x:c>
      <x:c r="AD649" s="38" t="n">
        <x:v>0</x:v>
      </x:c>
      <x:c r="AE649" s="38" t="n">
        <x:f>IF(B649=1,0,F649-Q648)</x:f>
        <x:v>0</x:v>
      </x:c>
    </x:row>
    <x:row r="650" ht="27" customHeight="1">
      <x:c r="A650" s="28" t="str">
        <x:v>Ad-supported</x:v>
      </x:c>
      <x:c r="B650" s="38" t="n">
        <x:v>46</x:v>
      </x:c>
      <x:c r="C650" s="38" t="n">
        <x:v>27</x:v>
      </x:c>
      <x:c r="D650" s="38" t="n">
        <x:v>248921</x:v>
      </x:c>
      <x:c r="E650" s="38" t="n">
        <x:v>65</x:v>
      </x:c>
      <x:c r="F650" s="38" t="n">
        <x:v>407716</x:v>
      </x:c>
      <x:c r="G650" s="38" t="n">
        <x:v>49530</x:v>
      </x:c>
      <x:c r="H650" s="38" t="n">
        <x:v>9880</x:v>
      </x:c>
      <x:c r="I650" s="38" t="n">
        <x:v>2539</x:v>
      </x:c>
      <x:c r="J650" s="38" t="n">
        <x:v>0</x:v>
      </x:c>
      <x:c r="K650" s="38" t="n">
        <x:v>0</x:v>
      </x:c>
      <x:c r="L650" s="38" t="n">
        <x:v>2538</x:v>
      </x:c>
      <x:c r="M650" s="38" t="n">
        <x:v>0</x:v>
      </x:c>
      <x:c r="N650" s="38" t="n">
        <x:v>1700</x:v>
      </x:c>
      <x:c r="O650" s="38" t="n">
        <x:v>0</x:v>
      </x:c>
      <x:c r="P650" s="38" t="n">
        <x:f>F650+G650-H650+I650+J650+K650+L650-M650-N650-O650</x:f>
        <x:v>450743</x:v>
      </x:c>
      <x:c r="Q650" s="38" t="n">
        <x:v>450743</x:v>
      </x:c>
      <x:c r="R650" s="38" t="n">
        <x:f>P650-Q650</x:f>
        <x:v>0</x:v>
      </x:c>
      <x:c r="S650" s="38" t="n">
        <x:v>39650</x:v>
      </x:c>
      <x:c r="T650" s="38" t="n">
        <x:v>8326</x:v>
      </x:c>
      <x:c r="U650" s="38" t="n">
        <x:v>52</x:v>
      </x:c>
      <x:c r="V650" s="38" t="n">
        <x:v>0</x:v>
      </x:c>
      <x:c r="W650" s="38" t="n">
        <x:v>0</x:v>
      </x:c>
      <x:c r="X650" s="44" t="n">
        <x:v>0</x:v>
      </x:c>
      <x:c r="Y650" s="38" t="n">
        <x:v>130</x:v>
      </x:c>
      <x:c r="Z650" s="38" t="n">
        <x:v>28</x:v>
      </x:c>
      <x:c r="AA650" s="38" t="n">
        <x:v>16</x:v>
      </x:c>
      <x:c r="AB650" s="38" t="n">
        <x:v>5</x:v>
      </x:c>
      <x:c r="AC650" s="38" t="n">
        <x:v>4940</x:v>
      </x:c>
      <x:c r="AD650" s="38" t="n">
        <x:v>0</x:v>
      </x:c>
      <x:c r="AE650" s="38" t="n">
        <x:f>IF(B650=1,0,F650-Q649)</x:f>
        <x:v>0</x:v>
      </x:c>
    </x:row>
    <x:row r="651" ht="27" customHeight="1">
      <x:c r="A651" s="28" t="str">
        <x:v>Ad-supported</x:v>
      </x:c>
      <x:c r="B651" s="38" t="n">
        <x:v>47</x:v>
      </x:c>
      <x:c r="C651" s="38" t="n">
        <x:v>28</x:v>
      </x:c>
      <x:c r="D651" s="38" t="n">
        <x:v>257187</x:v>
      </x:c>
      <x:c r="E651" s="38" t="n">
        <x:v>70</x:v>
      </x:c>
      <x:c r="F651" s="38" t="n">
        <x:v>450743</x:v>
      </x:c>
      <x:c r="G651" s="38" t="n">
        <x:v>55075</x:v>
      </x:c>
      <x:c r="H651" s="38" t="n">
        <x:v>12180</x:v>
      </x:c>
      <x:c r="I651" s="38" t="n">
        <x:v>2539</x:v>
      </x:c>
      <x:c r="J651" s="38" t="n">
        <x:v>700</x:v>
      </x:c>
      <x:c r="K651" s="38" t="n">
        <x:v>0</x:v>
      </x:c>
      <x:c r="L651" s="38" t="n">
        <x:v>2538</x:v>
      </x:c>
      <x:c r="M651" s="38" t="n">
        <x:v>350000</x:v>
      </x:c>
      <x:c r="N651" s="38" t="n">
        <x:v>0</x:v>
      </x:c>
      <x:c r="O651" s="38" t="n">
        <x:v>0</x:v>
      </x:c>
      <x:c r="P651" s="38" t="n">
        <x:f>F651+G651-H651+I651+J651+K651+L651-M651-N651-O651</x:f>
        <x:v>149415</x:v>
      </x:c>
      <x:c r="Q651" s="38" t="n">
        <x:v>149415</x:v>
      </x:c>
      <x:c r="R651" s="38" t="n">
        <x:f>P651-Q651</x:f>
        <x:v>0</x:v>
      </x:c>
      <x:c r="S651" s="38" t="n">
        <x:v>44045</x:v>
      </x:c>
      <x:c r="T651" s="38" t="n">
        <x:v>8266</x:v>
      </x:c>
      <x:c r="U651" s="38" t="n">
        <x:v>53</x:v>
      </x:c>
      <x:c r="V651" s="38" t="n">
        <x:v>1</x:v>
      </x:c>
      <x:c r="W651" s="38" t="n">
        <x:v>0</x:v>
      </x:c>
      <x:c r="X651" s="44" t="n">
        <x:v>0</x:v>
      </x:c>
      <x:c r="Y651" s="38" t="n">
        <x:v>135</x:v>
      </x:c>
      <x:c r="Z651" s="38" t="n">
        <x:v>29</x:v>
      </x:c>
      <x:c r="AA651" s="38" t="n">
        <x:v>16</x:v>
      </x:c>
      <x:c r="AB651" s="38" t="n">
        <x:v>5</x:v>
      </x:c>
      <x:c r="AC651" s="38" t="n">
        <x:v>6090</x:v>
      </x:c>
      <x:c r="AD651" s="38" t="n">
        <x:v>0</x:v>
      </x:c>
      <x:c r="AE651" s="38" t="n">
        <x:f>IF(B651=1,0,F651-Q650)</x:f>
        <x:v>0</x:v>
      </x:c>
    </x:row>
    <x:row r="652" ht="27" customHeight="1">
      <x:c r="A652" s="28" t="str">
        <x:v>Ad-supported</x:v>
      </x:c>
      <x:c r="B652" s="38" t="n">
        <x:v>48</x:v>
      </x:c>
      <x:c r="C652" s="38" t="n">
        <x:v>28</x:v>
      </x:c>
      <x:c r="D652" s="38" t="n">
        <x:v>265460</x:v>
      </x:c>
      <x:c r="E652" s="38" t="n">
        <x:v>70</x:v>
      </x:c>
      <x:c r="F652" s="38" t="n">
        <x:v>149415</x:v>
      </x:c>
      <x:c r="G652" s="38" t="n">
        <x:v>60620</x:v>
      </x:c>
      <x:c r="H652" s="38" t="n">
        <x:v>12180</x:v>
      </x:c>
      <x:c r="I652" s="38" t="n">
        <x:v>2791</x:v>
      </x:c>
      <x:c r="J652" s="38" t="n">
        <x:v>0</x:v>
      </x:c>
      <x:c r="K652" s="38" t="n">
        <x:v>0</x:v>
      </x:c>
      <x:c r="L652" s="38" t="n">
        <x:v>2790</x:v>
      </x:c>
      <x:c r="M652" s="38" t="n">
        <x:v>0</x:v>
      </x:c>
      <x:c r="N652" s="38" t="n">
        <x:v>0</x:v>
      </x:c>
      <x:c r="O652" s="38" t="n">
        <x:v>0</x:v>
      </x:c>
      <x:c r="P652" s="38" t="n">
        <x:f>F652+G652-H652+I652+J652+K652+L652-M652-N652-O652</x:f>
        <x:v>203436</x:v>
      </x:c>
      <x:c r="Q652" s="38" t="n">
        <x:v>203436</x:v>
      </x:c>
      <x:c r="R652" s="38" t="n">
        <x:f>P652-Q652</x:f>
        <x:v>0</x:v>
      </x:c>
      <x:c r="S652" s="38" t="n">
        <x:v>48440</x:v>
      </x:c>
      <x:c r="T652" s="38" t="n">
        <x:v>8273</x:v>
      </x:c>
      <x:c r="U652" s="38" t="n">
        <x:v>53</x:v>
      </x:c>
      <x:c r="V652" s="38" t="n">
        <x:v>0</x:v>
      </x:c>
      <x:c r="W652" s="38" t="n">
        <x:v>0</x:v>
      </x:c>
      <x:c r="X652" s="44" t="n">
        <x:v>0</x:v>
      </x:c>
      <x:c r="Y652" s="38" t="n">
        <x:v>140</x:v>
      </x:c>
      <x:c r="Z652" s="38" t="n">
        <x:v>29</x:v>
      </x:c>
      <x:c r="AA652" s="38" t="n">
        <x:v>16</x:v>
      </x:c>
      <x:c r="AB652" s="38" t="n">
        <x:v>5</x:v>
      </x:c>
      <x:c r="AC652" s="38" t="n">
        <x:v>6090</x:v>
      </x:c>
      <x:c r="AD652" s="38" t="n">
        <x:v>0</x:v>
      </x:c>
      <x:c r="AE652" s="38" t="n">
        <x:f>IF(B652=1,0,F652-Q651)</x:f>
        <x:v>0</x:v>
      </x:c>
    </x:row>
    <x:row r="653" ht="27" customHeight="1">
      <x:c r="A653" s="28" t="str">
        <x:v>Ad-supported</x:v>
      </x:c>
      <x:c r="B653" s="38" t="n">
        <x:v>49</x:v>
      </x:c>
      <x:c r="C653" s="38" t="n">
        <x:v>28</x:v>
      </x:c>
      <x:c r="D653" s="38" t="n">
        <x:v>277633</x:v>
      </x:c>
      <x:c r="E653" s="38" t="n">
        <x:v>70</x:v>
      </x:c>
      <x:c r="F653" s="38" t="n">
        <x:v>203436</x:v>
      </x:c>
      <x:c r="G653" s="38" t="n">
        <x:v>60620</x:v>
      </x:c>
      <x:c r="H653" s="38" t="n">
        <x:v>12180</x:v>
      </x:c>
      <x:c r="I653" s="38" t="n">
        <x:v>15222</x:v>
      </x:c>
      <x:c r="J653" s="38" t="n">
        <x:v>0</x:v>
      </x:c>
      <x:c r="K653" s="38" t="n">
        <x:v>0</x:v>
      </x:c>
      <x:c r="L653" s="38" t="n">
        <x:v>2790</x:v>
      </x:c>
      <x:c r="M653" s="38" t="n">
        <x:v>0</x:v>
      </x:c>
      <x:c r="N653" s="38" t="n">
        <x:v>1125</x:v>
      </x:c>
      <x:c r="O653" s="38" t="n">
        <x:v>0</x:v>
      </x:c>
      <x:c r="P653" s="38" t="n">
        <x:f>F653+G653-H653+I653+J653+K653+L653-M653-N653-O653</x:f>
        <x:v>268763</x:v>
      </x:c>
      <x:c r="Q653" s="38" t="n">
        <x:v>268763</x:v>
      </x:c>
      <x:c r="R653" s="38" t="n">
        <x:f>P653-Q653</x:f>
        <x:v>0</x:v>
      </x:c>
      <x:c r="S653" s="38" t="n">
        <x:v>48440</x:v>
      </x:c>
      <x:c r="T653" s="38" t="n">
        <x:v>12173</x:v>
      </x:c>
      <x:c r="U653" s="38" t="n">
        <x:v>55</x:v>
      </x:c>
      <x:c r="V653" s="38" t="n">
        <x:v>2</x:v>
      </x:c>
      <x:c r="W653" s="38" t="n">
        <x:v>0</x:v>
      </x:c>
      <x:c r="X653" s="44" t="n">
        <x:v>0</x:v>
      </x:c>
      <x:c r="Y653" s="38" t="n">
        <x:v>140</x:v>
      </x:c>
      <x:c r="Z653" s="38" t="n">
        <x:v>29</x:v>
      </x:c>
      <x:c r="AA653" s="38" t="n">
        <x:v>17</x:v>
      </x:c>
      <x:c r="AB653" s="38" t="n">
        <x:v>5</x:v>
      </x:c>
      <x:c r="AC653" s="38" t="n">
        <x:v>6090</x:v>
      </x:c>
      <x:c r="AD653" s="38" t="n">
        <x:v>0</x:v>
      </x:c>
      <x:c r="AE653" s="38" t="n">
        <x:f>IF(B653=1,0,F653-Q652)</x:f>
        <x:v>0</x:v>
      </x:c>
    </x:row>
    <x:row r="654" ht="27" customHeight="1">
      <x:c r="A654" s="28" t="str">
        <x:v>Ad-supported</x:v>
      </x:c>
      <x:c r="B654" s="38" t="n">
        <x:v>50</x:v>
      </x:c>
      <x:c r="C654" s="38" t="n">
        <x:v>29</x:v>
      </x:c>
      <x:c r="D654" s="38" t="n">
        <x:v>285853</x:v>
      </x:c>
      <x:c r="E654" s="38" t="n">
        <x:v>70</x:v>
      </x:c>
      <x:c r="F654" s="38" t="n">
        <x:v>268763</x:v>
      </x:c>
      <x:c r="G654" s="38" t="n">
        <x:v>60739</x:v>
      </x:c>
      <x:c r="H654" s="38" t="n">
        <x:v>12331</x:v>
      </x:c>
      <x:c r="I654" s="38" t="n">
        <x:v>2791</x:v>
      </x:c>
      <x:c r="J654" s="38" t="n">
        <x:v>710</x:v>
      </x:c>
      <x:c r="K654" s="38" t="n">
        <x:v>0</x:v>
      </x:c>
      <x:c r="L654" s="38" t="n">
        <x:v>2790</x:v>
      </x:c>
      <x:c r="M654" s="38" t="n">
        <x:v>0</x:v>
      </x:c>
      <x:c r="N654" s="38" t="n">
        <x:v>0</x:v>
      </x:c>
      <x:c r="O654" s="38" t="n">
        <x:v>0</x:v>
      </x:c>
      <x:c r="P654" s="38" t="n">
        <x:f>F654+G654-H654+I654+J654+K654+L654-M654-N654-O654</x:f>
        <x:v>323462</x:v>
      </x:c>
      <x:c r="Q654" s="38" t="n">
        <x:v>323462</x:v>
      </x:c>
      <x:c r="R654" s="38" t="n">
        <x:f>P654-Q654</x:f>
        <x:v>0</x:v>
      </x:c>
      <x:c r="S654" s="38" t="n">
        <x:v>48577</x:v>
      </x:c>
      <x:c r="T654" s="38" t="n">
        <x:v>8220</x:v>
      </x:c>
      <x:c r="U654" s="38" t="n">
        <x:v>59</x:v>
      </x:c>
      <x:c r="V654" s="38" t="n">
        <x:v>4</x:v>
      </x:c>
      <x:c r="W654" s="38" t="n">
        <x:v>0</x:v>
      </x:c>
      <x:c r="X654" s="44" t="n">
        <x:v>0</x:v>
      </x:c>
      <x:c r="Y654" s="38" t="n">
        <x:v>139</x:v>
      </x:c>
      <x:c r="Z654" s="38" t="n">
        <x:v>29</x:v>
      </x:c>
      <x:c r="AA654" s="38" t="n">
        <x:v>17</x:v>
      </x:c>
      <x:c r="AB654" s="38" t="n">
        <x:v>5</x:v>
      </x:c>
      <x:c r="AC654" s="38" t="n">
        <x:v>6259</x:v>
      </x:c>
      <x:c r="AD654" s="38" t="n">
        <x:v>0</x:v>
      </x:c>
      <x:c r="AE654" s="38" t="n">
        <x:f>IF(B654=1,0,F654-Q653)</x:f>
        <x:v>0</x:v>
      </x:c>
    </x:row>
    <x:row r="655" ht="27" customHeight="1">
      <x:c r="A655" s="28" t="str">
        <x:v>Ad-supported</x:v>
      </x:c>
      <x:c r="B655" s="38" t="n">
        <x:v>51</x:v>
      </x:c>
      <x:c r="C655" s="38" t="n">
        <x:v>29</x:v>
      </x:c>
      <x:c r="D655" s="38" t="n">
        <x:v>294172</x:v>
      </x:c>
      <x:c r="E655" s="38" t="n">
        <x:v>70</x:v>
      </x:c>
      <x:c r="F655" s="38" t="n">
        <x:v>323462</x:v>
      </x:c>
      <x:c r="G655" s="38" t="n">
        <x:v>62232</x:v>
      </x:c>
      <x:c r="H655" s="38" t="n">
        <x:v>12320</x:v>
      </x:c>
      <x:c r="I655" s="38" t="n">
        <x:v>2848</x:v>
      </x:c>
      <x:c r="J655" s="38" t="n">
        <x:v>0</x:v>
      </x:c>
      <x:c r="K655" s="38" t="n">
        <x:v>0</x:v>
      </x:c>
      <x:c r="L655" s="38" t="n">
        <x:v>2847</x:v>
      </x:c>
      <x:c r="M655" s="38" t="n">
        <x:v>0</x:v>
      </x:c>
      <x:c r="N655" s="38" t="n">
        <x:v>0</x:v>
      </x:c>
      <x:c r="O655" s="38" t="n">
        <x:v>0</x:v>
      </x:c>
      <x:c r="P655" s="38" t="n">
        <x:f>F655+G655-H655+I655+J655+K655+L655-M655-N655-O655</x:f>
        <x:v>379069</x:v>
      </x:c>
      <x:c r="Q655" s="38" t="n">
        <x:v>379069</x:v>
      </x:c>
      <x:c r="R655" s="38" t="n">
        <x:f>P655-Q655</x:f>
        <x:v>0</x:v>
      </x:c>
      <x:c r="S655" s="38" t="n">
        <x:v>49813</x:v>
      </x:c>
      <x:c r="T655" s="38" t="n">
        <x:v>8319</x:v>
      </x:c>
      <x:c r="U655" s="38" t="n">
        <x:v>61</x:v>
      </x:c>
      <x:c r="V655" s="38" t="n">
        <x:v>2</x:v>
      </x:c>
      <x:c r="W655" s="38" t="n">
        <x:v>0</x:v>
      </x:c>
      <x:c r="X655" s="44" t="n">
        <x:v>0</x:v>
      </x:c>
      <x:c r="Y655" s="38" t="n">
        <x:v>140</x:v>
      </x:c>
      <x:c r="Z655" s="38" t="n">
        <x:v>30</x:v>
      </x:c>
      <x:c r="AA655" s="38" t="n">
        <x:v>17</x:v>
      </x:c>
      <x:c r="AB655" s="38" t="n">
        <x:v>5</x:v>
      </x:c>
      <x:c r="AC655" s="38" t="n">
        <x:v>6160</x:v>
      </x:c>
      <x:c r="AD655" s="38" t="n">
        <x:v>0</x:v>
      </x:c>
      <x:c r="AE655" s="38" t="n">
        <x:f>IF(B655=1,0,F655-Q654)</x:f>
        <x:v>0</x:v>
      </x:c>
    </x:row>
    <x:row r="656" ht="27" customHeight="1">
      <x:c r="A656" s="28" t="str">
        <x:v>Ad-supported</x:v>
      </x:c>
      <x:c r="B656" s="38" t="n">
        <x:v>52</x:v>
      </x:c>
      <x:c r="C656" s="38" t="n">
        <x:v>29</x:v>
      </x:c>
      <x:c r="D656" s="38" t="n">
        <x:v>302452</x:v>
      </x:c>
      <x:c r="E656" s="38" t="n">
        <x:v>70</x:v>
      </x:c>
      <x:c r="F656" s="38" t="n">
        <x:v>379069</x:v>
      </x:c>
      <x:c r="G656" s="38" t="n">
        <x:v>61740</x:v>
      </x:c>
      <x:c r="H656" s="38" t="n">
        <x:v>12320</x:v>
      </x:c>
      <x:c r="I656" s="38" t="n">
        <x:v>2848</x:v>
      </x:c>
      <x:c r="J656" s="38" t="n">
        <x:v>0</x:v>
      </x:c>
      <x:c r="K656" s="38" t="n">
        <x:v>0</x:v>
      </x:c>
      <x:c r="L656" s="38" t="n">
        <x:v>2847</x:v>
      </x:c>
      <x:c r="M656" s="38" t="n">
        <x:v>0</x:v>
      </x:c>
      <x:c r="N656" s="38" t="n">
        <x:v>2110</x:v>
      </x:c>
      <x:c r="O656" s="38" t="n">
        <x:v>0</x:v>
      </x:c>
      <x:c r="P656" s="38" t="n">
        <x:f>F656+G656-H656+I656+J656+K656+L656-M656-N656-O656</x:f>
        <x:v>432074</x:v>
      </x:c>
      <x:c r="Q656" s="38" t="n">
        <x:v>432074</x:v>
      </x:c>
      <x:c r="R656" s="38" t="n">
        <x:f>P656-Q656</x:f>
        <x:v>0</x:v>
      </x:c>
      <x:c r="S656" s="38" t="n">
        <x:v>49420</x:v>
      </x:c>
      <x:c r="T656" s="38" t="n">
        <x:v>8280</x:v>
      </x:c>
      <x:c r="U656" s="38" t="n">
        <x:v>61</x:v>
      </x:c>
      <x:c r="V656" s="38" t="n">
        <x:v>0</x:v>
      </x:c>
      <x:c r="W656" s="38" t="n">
        <x:v>0</x:v>
      </x:c>
      <x:c r="X656" s="44" t="n">
        <x:v>0</x:v>
      </x:c>
      <x:c r="Y656" s="38" t="n">
        <x:v>140</x:v>
      </x:c>
      <x:c r="Z656" s="38" t="n">
        <x:v>30</x:v>
      </x:c>
      <x:c r="AA656" s="38" t="n">
        <x:v>18</x:v>
      </x:c>
      <x:c r="AB656" s="38" t="n">
        <x:v>5</x:v>
      </x:c>
      <x:c r="AC656" s="38" t="n">
        <x:v>6160</x:v>
      </x:c>
      <x:c r="AD656" s="38" t="n">
        <x:v>0</x:v>
      </x:c>
      <x:c r="AE656" s="38" t="n">
        <x:f>IF(B656=1,0,F656-Q655)</x:f>
        <x:v>0</x:v>
      </x:c>
    </x:row>
    <x:row r="657" ht="27" customHeight="1">
      <x:c r="A657" s="28" t="str">
        <x:v>Ad-supported</x:v>
      </x:c>
      <x:c r="B657" s="38" t="n">
        <x:v>53</x:v>
      </x:c>
      <x:c r="C657" s="38" t="n">
        <x:v>29</x:v>
      </x:c>
      <x:c r="D657" s="38" t="n">
        <x:v>310732</x:v>
      </x:c>
      <x:c r="E657" s="38" t="n">
        <x:v>70</x:v>
      </x:c>
      <x:c r="F657" s="38" t="n">
        <x:v>432074</x:v>
      </x:c>
      <x:c r="G657" s="38" t="n">
        <x:v>61740</x:v>
      </x:c>
      <x:c r="H657" s="38" t="n">
        <x:v>12320</x:v>
      </x:c>
      <x:c r="I657" s="38" t="n">
        <x:v>2848</x:v>
      </x:c>
      <x:c r="J657" s="38" t="n">
        <x:v>0</x:v>
      </x:c>
      <x:c r="K657" s="38" t="n">
        <x:v>0</x:v>
      </x:c>
      <x:c r="L657" s="38" t="n">
        <x:v>2847</x:v>
      </x:c>
      <x:c r="M657" s="38" t="n">
        <x:v>0</x:v>
      </x:c>
      <x:c r="N657" s="38" t="n">
        <x:v>0</x:v>
      </x:c>
      <x:c r="O657" s="38" t="n">
        <x:v>0</x:v>
      </x:c>
      <x:c r="P657" s="38" t="n">
        <x:f>F657+G657-H657+I657+J657+K657+L657-M657-N657-O657</x:f>
        <x:v>487189</x:v>
      </x:c>
      <x:c r="Q657" s="38" t="n">
        <x:v>487189</x:v>
      </x:c>
      <x:c r="R657" s="38" t="n">
        <x:f>P657-Q657</x:f>
        <x:v>0</x:v>
      </x:c>
      <x:c r="S657" s="38" t="n">
        <x:v>49420</x:v>
      </x:c>
      <x:c r="T657" s="38" t="n">
        <x:v>8280</x:v>
      </x:c>
      <x:c r="U657" s="38" t="n">
        <x:v>61</x:v>
      </x:c>
      <x:c r="V657" s="38" t="n">
        <x:v>0</x:v>
      </x:c>
      <x:c r="W657" s="38" t="n">
        <x:v>0</x:v>
      </x:c>
      <x:c r="X657" s="44" t="n">
        <x:v>0</x:v>
      </x:c>
      <x:c r="Y657" s="38" t="n">
        <x:v>140</x:v>
      </x:c>
      <x:c r="Z657" s="38" t="n">
        <x:v>30</x:v>
      </x:c>
      <x:c r="AA657" s="38" t="n">
        <x:v>18</x:v>
      </x:c>
      <x:c r="AB657" s="38" t="n">
        <x:v>5</x:v>
      </x:c>
      <x:c r="AC657" s="38" t="n">
        <x:v>6160</x:v>
      </x:c>
      <x:c r="AD657" s="38" t="n">
        <x:v>0</x:v>
      </x:c>
      <x:c r="AE657" s="38" t="n">
        <x:f>IF(B657=1,0,F657-Q656)</x:f>
        <x:v>0</x:v>
      </x:c>
    </x:row>
    <x:row r="658" ht="27" customHeight="1">
      <x:c r="A658" s="28" t="str">
        <x:v>Ad-supported</x:v>
      </x:c>
      <x:c r="B658" s="38" t="n">
        <x:v>54</x:v>
      </x:c>
      <x:c r="C658" s="38" t="n">
        <x:v>30</x:v>
      </x:c>
      <x:c r="D658" s="38" t="n">
        <x:v>319298</x:v>
      </x:c>
      <x:c r="E658" s="38" t="n">
        <x:v>75</x:v>
      </x:c>
      <x:c r="F658" s="38" t="n">
        <x:v>487189</x:v>
      </x:c>
      <x:c r="G658" s="38" t="n">
        <x:v>64170</x:v>
      </x:c>
      <x:c r="H658" s="38" t="n">
        <x:v>13635</x:v>
      </x:c>
      <x:c r="I658" s="38" t="n">
        <x:v>2848</x:v>
      </x:c>
      <x:c r="J658" s="38" t="n">
        <x:v>780</x:v>
      </x:c>
      <x:c r="K658" s="38" t="n">
        <x:v>0</x:v>
      </x:c>
      <x:c r="L658" s="38" t="n">
        <x:v>2847</x:v>
      </x:c>
      <x:c r="M658" s="38" t="n">
        <x:v>300000</x:v>
      </x:c>
      <x:c r="N658" s="38" t="n">
        <x:v>0</x:v>
      </x:c>
      <x:c r="O658" s="38" t="n">
        <x:v>129655</x:v>
      </x:c>
      <x:c r="P658" s="38" t="n">
        <x:f>F658+G658-H658+I658+J658+K658+L658-M658-N658-O658</x:f>
        <x:v>114544</x:v>
      </x:c>
      <x:c r="Q658" s="38" t="n">
        <x:v>114544</x:v>
      </x:c>
      <x:c r="R658" s="38" t="n">
        <x:f>P658-Q658</x:f>
        <x:v>0</x:v>
      </x:c>
      <x:c r="S658" s="38" t="n">
        <x:v>51350</x:v>
      </x:c>
      <x:c r="T658" s="38" t="n">
        <x:v>8566</x:v>
      </x:c>
      <x:c r="U658" s="38" t="n">
        <x:v>64</x:v>
      </x:c>
      <x:c r="V658" s="38" t="n">
        <x:v>3</x:v>
      </x:c>
      <x:c r="W658" s="38" t="n">
        <x:v>0</x:v>
      </x:c>
      <x:c r="X658" s="44" t="n">
        <x:v>0</x:v>
      </x:c>
      <x:c r="Y658" s="38" t="n">
        <x:v>144</x:v>
      </x:c>
      <x:c r="Z658" s="38" t="n">
        <x:v>30</x:v>
      </x:c>
      <x:c r="AA658" s="38" t="n">
        <x:v>18</x:v>
      </x:c>
      <x:c r="AB658" s="38" t="n">
        <x:v>6</x:v>
      </x:c>
      <x:c r="AC658" s="38" t="n">
        <x:v>6975</x:v>
      </x:c>
      <x:c r="AD658" s="38" t="n">
        <x:v>0</x:v>
      </x:c>
      <x:c r="AE658" s="38" t="n">
        <x:f>IF(B658=1,0,F658-Q657)</x:f>
        <x:v>0</x:v>
      </x:c>
    </x:row>
    <x:row r="659" ht="27" customHeight="1">
      <x:c r="A659" s="28" t="str">
        <x:v>Ad-supported</x:v>
      </x:c>
      <x:c r="B659" s="38" t="n">
        <x:v>55</x:v>
      </x:c>
      <x:c r="C659" s="38" t="n">
        <x:v>30</x:v>
      </x:c>
      <x:c r="D659" s="38" t="n">
        <x:v>328219</x:v>
      </x:c>
      <x:c r="E659" s="38" t="n">
        <x:v>75</x:v>
      </x:c>
      <x:c r="F659" s="38" t="n">
        <x:v>114544</x:v>
      </x:c>
      <x:c r="G659" s="38" t="n">
        <x:v>66600</x:v>
      </x:c>
      <x:c r="H659" s="38" t="n">
        <x:v>13320</x:v>
      </x:c>
      <x:c r="I659" s="38" t="n">
        <x:v>3112</x:v>
      </x:c>
      <x:c r="J659" s="38" t="n">
        <x:v>0</x:v>
      </x:c>
      <x:c r="K659" s="38" t="n">
        <x:v>0</x:v>
      </x:c>
      <x:c r="L659" s="38" t="n">
        <x:v>3111</x:v>
      </x:c>
      <x:c r="M659" s="38" t="n">
        <x:v>0</x:v>
      </x:c>
      <x:c r="N659" s="38" t="n">
        <x:v>2180</x:v>
      </x:c>
      <x:c r="O659" s="38" t="n">
        <x:v>0</x:v>
      </x:c>
      <x:c r="P659" s="38" t="n">
        <x:f>F659+G659-H659+I659+J659+K659+L659-M659-N659-O659</x:f>
        <x:v>171867</x:v>
      </x:c>
      <x:c r="Q659" s="38" t="n">
        <x:v>171867</x:v>
      </x:c>
      <x:c r="R659" s="38" t="n">
        <x:f>P659-Q659</x:f>
        <x:v>0</x:v>
      </x:c>
      <x:c r="S659" s="38" t="n">
        <x:v>53280</x:v>
      </x:c>
      <x:c r="T659" s="38" t="n">
        <x:v>8921</x:v>
      </x:c>
      <x:c r="U659" s="38" t="n">
        <x:v>64</x:v>
      </x:c>
      <x:c r="V659" s="38" t="n">
        <x:v>0</x:v>
      </x:c>
      <x:c r="W659" s="38" t="n">
        <x:v>0</x:v>
      </x:c>
      <x:c r="X659" s="44" t="n">
        <x:v>0</x:v>
      </x:c>
      <x:c r="Y659" s="38" t="n">
        <x:v>148</x:v>
      </x:c>
      <x:c r="Z659" s="38" t="n">
        <x:v>30</x:v>
      </x:c>
      <x:c r="AA659" s="38" t="n">
        <x:v>19</x:v>
      </x:c>
      <x:c r="AB659" s="38" t="n">
        <x:v>6</x:v>
      </x:c>
      <x:c r="AC659" s="38" t="n">
        <x:v>6975</x:v>
      </x:c>
      <x:c r="AD659" s="38" t="n">
        <x:v>0</x:v>
      </x:c>
      <x:c r="AE659" s="38" t="n">
        <x:f>IF(B659=1,0,F659-Q658)</x:f>
        <x:v>0</x:v>
      </x:c>
    </x:row>
    <x:row r="660" ht="27" customHeight="1">
      <x:c r="A660" s="28" t="str">
        <x:v>Ad-supported</x:v>
      </x:c>
      <x:c r="B660" s="38" t="n">
        <x:v>56</x:v>
      </x:c>
      <x:c r="C660" s="38" t="n">
        <x:v>31</x:v>
      </x:c>
      <x:c r="D660" s="38" t="n">
        <x:v>341691</x:v>
      </x:c>
      <x:c r="E660" s="38" t="n">
        <x:v>75</x:v>
      </x:c>
      <x:c r="F660" s="38" t="n">
        <x:v>171867</x:v>
      </x:c>
      <x:c r="G660" s="38" t="n">
        <x:v>68625</x:v>
      </x:c>
      <x:c r="H660" s="38" t="n">
        <x:v>13650</x:v>
      </x:c>
      <x:c r="I660" s="38" t="n">
        <x:v>17067</x:v>
      </x:c>
      <x:c r="J660" s="38" t="n">
        <x:v>795</x:v>
      </x:c>
      <x:c r="K660" s="38" t="n">
        <x:v>0</x:v>
      </x:c>
      <x:c r="L660" s="38" t="n">
        <x:v>3111</x:v>
      </x:c>
      <x:c r="M660" s="38" t="n">
        <x:v>0</x:v>
      </x:c>
      <x:c r="N660" s="38" t="n">
        <x:v>0</x:v>
      </x:c>
      <x:c r="O660" s="38" t="n">
        <x:v>0</x:v>
      </x:c>
      <x:c r="P660" s="38" t="n">
        <x:f>F660+G660-H660+I660+J660+K660+L660-M660-N660-O660</x:f>
        <x:v>247815</x:v>
      </x:c>
      <x:c r="Q660" s="38" t="n">
        <x:v>247815</x:v>
      </x:c>
      <x:c r="R660" s="38" t="n">
        <x:f>P660-Q660</x:f>
        <x:v>0</x:v>
      </x:c>
      <x:c r="S660" s="38" t="n">
        <x:v>54900</x:v>
      </x:c>
      <x:c r="T660" s="38" t="n">
        <x:v>13472</x:v>
      </x:c>
      <x:c r="U660" s="38" t="n">
        <x:v>66</x:v>
      </x:c>
      <x:c r="V660" s="38" t="n">
        <x:v>2</x:v>
      </x:c>
      <x:c r="W660" s="38" t="n">
        <x:v>0</x:v>
      </x:c>
      <x:c r="X660" s="44" t="n">
        <x:v>0</x:v>
      </x:c>
      <x:c r="Y660" s="38" t="n">
        <x:v>150</x:v>
      </x:c>
      <x:c r="Z660" s="38" t="n">
        <x:v>31</x:v>
      </x:c>
      <x:c r="AA660" s="38" t="n">
        <x:v>19</x:v>
      </x:c>
      <x:c r="AB660" s="38" t="n">
        <x:v>6</x:v>
      </x:c>
      <x:c r="AC660" s="38" t="n">
        <x:v>6900</x:v>
      </x:c>
      <x:c r="AD660" s="38" t="n">
        <x:v>0</x:v>
      </x:c>
      <x:c r="AE660" s="38" t="n">
        <x:f>IF(B660=1,0,F660-Q659)</x:f>
        <x:v>0</x:v>
      </x:c>
    </x:row>
    <x:row r="661" ht="27" customHeight="1">
      <x:c r="A661" s="28" t="str">
        <x:v>Ad-supported</x:v>
      </x:c>
      <x:c r="B661" s="38" t="n">
        <x:v>57</x:v>
      </x:c>
      <x:c r="C661" s="38" t="n">
        <x:v>31</x:v>
      </x:c>
      <x:c r="D661" s="38" t="n">
        <x:v>350727</x:v>
      </x:c>
      <x:c r="E661" s="38" t="n">
        <x:v>75</x:v>
      </x:c>
      <x:c r="F661" s="38" t="n">
        <x:v>247815</x:v>
      </x:c>
      <x:c r="G661" s="38" t="n">
        <x:v>68850</x:v>
      </x:c>
      <x:c r="H661" s="38" t="n">
        <x:v>13800</x:v>
      </x:c>
      <x:c r="I661" s="38" t="n">
        <x:v>3172</x:v>
      </x:c>
      <x:c r="J661" s="38" t="n">
        <x:v>0</x:v>
      </x:c>
      <x:c r="K661" s="38" t="n">
        <x:v>0</x:v>
      </x:c>
      <x:c r="L661" s="38" t="n">
        <x:v>3171</x:v>
      </x:c>
      <x:c r="M661" s="38" t="n">
        <x:v>0</x:v>
      </x:c>
      <x:c r="N661" s="38" t="n">
        <x:v>0</x:v>
      </x:c>
      <x:c r="O661" s="38" t="n">
        <x:v>0</x:v>
      </x:c>
      <x:c r="P661" s="38" t="n">
        <x:f>F661+G661-H661+I661+J661+K661+L661-M661-N661-O661</x:f>
        <x:v>309208</x:v>
      </x:c>
      <x:c r="Q661" s="38" t="n">
        <x:v>309208</x:v>
      </x:c>
      <x:c r="R661" s="38" t="n">
        <x:f>P661-Q661</x:f>
        <x:v>0</x:v>
      </x:c>
      <x:c r="S661" s="38" t="n">
        <x:v>55050</x:v>
      </x:c>
      <x:c r="T661" s="38" t="n">
        <x:v>9036</x:v>
      </x:c>
      <x:c r="U661" s="38" t="n">
        <x:v>66</x:v>
      </x:c>
      <x:c r="V661" s="38" t="n">
        <x:v>0</x:v>
      </x:c>
      <x:c r="W661" s="38" t="n">
        <x:v>0</x:v>
      </x:c>
      <x:c r="X661" s="44" t="n">
        <x:v>0</x:v>
      </x:c>
      <x:c r="Y661" s="38" t="n">
        <x:v>150</x:v>
      </x:c>
      <x:c r="Z661" s="38" t="n">
        <x:v>31</x:v>
      </x:c>
      <x:c r="AA661" s="38" t="n">
        <x:v>19</x:v>
      </x:c>
      <x:c r="AB661" s="38" t="n">
        <x:v>6</x:v>
      </x:c>
      <x:c r="AC661" s="38" t="n">
        <x:v>6900</x:v>
      </x:c>
      <x:c r="AD661" s="38" t="n">
        <x:v>0</x:v>
      </x:c>
      <x:c r="AE661" s="38" t="n">
        <x:f>IF(B661=1,0,F661-Q660)</x:f>
        <x:v>0</x:v>
      </x:c>
    </x:row>
    <x:row r="662" ht="27" customHeight="1">
      <x:c r="A662" s="28" t="str">
        <x:v>Ad-supported</x:v>
      </x:c>
      <x:c r="B662" s="38" t="n">
        <x:v>58</x:v>
      </x:c>
      <x:c r="C662" s="38" t="n">
        <x:v>31</x:v>
      </x:c>
      <x:c r="D662" s="38" t="n">
        <x:v>359763</x:v>
      </x:c>
      <x:c r="E662" s="38" t="n">
        <x:v>75</x:v>
      </x:c>
      <x:c r="F662" s="38" t="n">
        <x:v>309208</x:v>
      </x:c>
      <x:c r="G662" s="38" t="n">
        <x:v>68850</x:v>
      </x:c>
      <x:c r="H662" s="38" t="n">
        <x:v>13800</x:v>
      </x:c>
      <x:c r="I662" s="38" t="n">
        <x:v>3172</x:v>
      </x:c>
      <x:c r="J662" s="38" t="n">
        <x:v>0</x:v>
      </x:c>
      <x:c r="K662" s="38" t="n">
        <x:v>0</x:v>
      </x:c>
      <x:c r="L662" s="38" t="n">
        <x:v>3171</x:v>
      </x:c>
      <x:c r="M662" s="38" t="n">
        <x:v>0</x:v>
      </x:c>
      <x:c r="N662" s="38" t="n">
        <x:v>2180</x:v>
      </x:c>
      <x:c r="O662" s="38" t="n">
        <x:v>0</x:v>
      </x:c>
      <x:c r="P662" s="38" t="n">
        <x:f>F662+G662-H662+I662+J662+K662+L662-M662-N662-O662</x:f>
        <x:v>368421</x:v>
      </x:c>
      <x:c r="Q662" s="38" t="n">
        <x:v>368421</x:v>
      </x:c>
      <x:c r="R662" s="38" t="n">
        <x:f>P662-Q662</x:f>
        <x:v>0</x:v>
      </x:c>
      <x:c r="S662" s="38" t="n">
        <x:v>55050</x:v>
      </x:c>
      <x:c r="T662" s="38" t="n">
        <x:v>9036</x:v>
      </x:c>
      <x:c r="U662" s="38" t="n">
        <x:v>66</x:v>
      </x:c>
      <x:c r="V662" s="38" t="n">
        <x:v>0</x:v>
      </x:c>
      <x:c r="W662" s="38" t="n">
        <x:v>0</x:v>
      </x:c>
      <x:c r="X662" s="44" t="n">
        <x:v>0</x:v>
      </x:c>
      <x:c r="Y662" s="38" t="n">
        <x:v>150</x:v>
      </x:c>
      <x:c r="Z662" s="38" t="n">
        <x:v>31</x:v>
      </x:c>
      <x:c r="AA662" s="38" t="n">
        <x:v>20</x:v>
      </x:c>
      <x:c r="AB662" s="38" t="n">
        <x:v>6</x:v>
      </x:c>
      <x:c r="AC662" s="38" t="n">
        <x:v>6900</x:v>
      </x:c>
      <x:c r="AD662" s="38" t="n">
        <x:v>0</x:v>
      </x:c>
      <x:c r="AE662" s="38" t="n">
        <x:f>IF(B662=1,0,F662-Q661)</x:f>
        <x:v>0</x:v>
      </x:c>
    </x:row>
    <x:row r="663" ht="27" customHeight="1">
      <x:c r="A663" s="28" t="str">
        <x:v>Ad-supported</x:v>
      </x:c>
      <x:c r="B663" s="38" t="n">
        <x:v>59</x:v>
      </x:c>
      <x:c r="C663" s="38" t="n">
        <x:v>31</x:v>
      </x:c>
      <x:c r="D663" s="38" t="n">
        <x:v>368799</x:v>
      </x:c>
      <x:c r="E663" s="38" t="n">
        <x:v>75</x:v>
      </x:c>
      <x:c r="F663" s="38" t="n">
        <x:v>368421</x:v>
      </x:c>
      <x:c r="G663" s="38" t="n">
        <x:v>68850</x:v>
      </x:c>
      <x:c r="H663" s="38" t="n">
        <x:v>13800</x:v>
      </x:c>
      <x:c r="I663" s="38" t="n">
        <x:v>3172</x:v>
      </x:c>
      <x:c r="J663" s="38" t="n">
        <x:v>0</x:v>
      </x:c>
      <x:c r="K663" s="38" t="n">
        <x:v>0</x:v>
      </x:c>
      <x:c r="L663" s="38" t="n">
        <x:v>3171</x:v>
      </x:c>
      <x:c r="M663" s="38" t="n">
        <x:v>0</x:v>
      </x:c>
      <x:c r="N663" s="38" t="n">
        <x:v>0</x:v>
      </x:c>
      <x:c r="O663" s="38" t="n">
        <x:v>0</x:v>
      </x:c>
      <x:c r="P663" s="38" t="n">
        <x:f>F663+G663-H663+I663+J663+K663+L663-M663-N663-O663</x:f>
        <x:v>429814</x:v>
      </x:c>
      <x:c r="Q663" s="38" t="n">
        <x:v>429814</x:v>
      </x:c>
      <x:c r="R663" s="38" t="n">
        <x:f>P663-Q663</x:f>
        <x:v>0</x:v>
      </x:c>
      <x:c r="S663" s="38" t="n">
        <x:v>55050</x:v>
      </x:c>
      <x:c r="T663" s="38" t="n">
        <x:v>9036</x:v>
      </x:c>
      <x:c r="U663" s="38" t="n">
        <x:v>66</x:v>
      </x:c>
      <x:c r="V663" s="38" t="n">
        <x:v>0</x:v>
      </x:c>
      <x:c r="W663" s="38" t="n">
        <x:v>0</x:v>
      </x:c>
      <x:c r="X663" s="44" t="n">
        <x:v>0</x:v>
      </x:c>
      <x:c r="Y663" s="38" t="n">
        <x:v>150</x:v>
      </x:c>
      <x:c r="Z663" s="38" t="n">
        <x:v>31</x:v>
      </x:c>
      <x:c r="AA663" s="38" t="n">
        <x:v>20</x:v>
      </x:c>
      <x:c r="AB663" s="38" t="n">
        <x:v>6</x:v>
      </x:c>
      <x:c r="AC663" s="38" t="n">
        <x:v>6900</x:v>
      </x:c>
      <x:c r="AD663" s="38" t="n">
        <x:v>0</x:v>
      </x:c>
      <x:c r="AE663" s="38" t="n">
        <x:f>IF(B663=1,0,F663-Q662)</x:f>
        <x:v>0</x:v>
      </x:c>
    </x:row>
    <x:row r="664" ht="27" customHeight="1">
      <x:c r="A664" s="28" t="str">
        <x:v>Ad-supported</x:v>
      </x:c>
      <x:c r="B664" s="38" t="n">
        <x:v>60</x:v>
      </x:c>
      <x:c r="C664" s="38" t="n">
        <x:v>32</x:v>
      </x:c>
      <x:c r="D664" s="38" t="n">
        <x:v>377783</x:v>
      </x:c>
      <x:c r="E664" s="38" t="n">
        <x:v>75</x:v>
      </x:c>
      <x:c r="F664" s="38" t="n">
        <x:v>429814</x:v>
      </x:c>
      <x:c r="G664" s="38" t="n">
        <x:v>69078</x:v>
      </x:c>
      <x:c r="H664" s="38" t="n">
        <x:v>14011</x:v>
      </x:c>
      <x:c r="I664" s="38" t="n">
        <x:v>3172</x:v>
      </x:c>
      <x:c r="J664" s="38" t="n">
        <x:v>810</x:v>
      </x:c>
      <x:c r="K664" s="38" t="n">
        <x:v>0</x:v>
      </x:c>
      <x:c r="L664" s="38" t="n">
        <x:v>3171</x:v>
      </x:c>
      <x:c r="M664" s="38" t="n">
        <x:v>0</x:v>
      </x:c>
      <x:c r="N664" s="38" t="n">
        <x:v>0</x:v>
      </x:c>
      <x:c r="O664" s="38" t="n">
        <x:v>0</x:v>
      </x:c>
      <x:c r="P664" s="38" t="n">
        <x:f>F664+G664-H664+I664+J664+K664+L664-M664-N664-O664</x:f>
        <x:v>492034</x:v>
      </x:c>
      <x:c r="Q664" s="38" t="n">
        <x:v>492034</x:v>
      </x:c>
      <x:c r="R664" s="38" t="n">
        <x:f>P664-Q664</x:f>
        <x:v>0</x:v>
      </x:c>
      <x:c r="S664" s="38" t="n">
        <x:v>55217</x:v>
      </x:c>
      <x:c r="T664" s="38" t="n">
        <x:v>8984</x:v>
      </x:c>
      <x:c r="U664" s="38" t="n">
        <x:v>67</x:v>
      </x:c>
      <x:c r="V664" s="38" t="n">
        <x:v>1</x:v>
      </x:c>
      <x:c r="W664" s="38" t="n">
        <x:v>0</x:v>
      </x:c>
      <x:c r="X664" s="44" t="n">
        <x:v>0</x:v>
      </x:c>
      <x:c r="Y664" s="38" t="n">
        <x:v>150</x:v>
      </x:c>
      <x:c r="Z664" s="38" t="n">
        <x:v>32</x:v>
      </x:c>
      <x:c r="AA664" s="38" t="n">
        <x:v>20</x:v>
      </x:c>
      <x:c r="AB664" s="38" t="n">
        <x:v>6</x:v>
      </x:c>
      <x:c r="AC664" s="38" t="n">
        <x:v>7050</x:v>
      </x:c>
      <x:c r="AD664" s="38" t="n">
        <x:v>0</x:v>
      </x:c>
      <x:c r="AE664" s="38" t="n">
        <x:f>IF(B664=1,0,F664-Q663)</x:f>
        <x:v>0</x:v>
      </x:c>
    </x:row>
    <x:row r="665" ht="27" customHeight="1">
      <x:c r="A665" s="28" t="str">
        <x:v>Ad-supported</x:v>
      </x:c>
      <x:c r="B665" s="38" t="n">
        <x:v>61</x:v>
      </x:c>
      <x:c r="C665" s="38" t="n">
        <x:v>32</x:v>
      </x:c>
      <x:c r="D665" s="38" t="n">
        <x:v>386826</x:v>
      </x:c>
      <x:c r="E665" s="38" t="n">
        <x:v>75</x:v>
      </x:c>
      <x:c r="F665" s="38" t="n">
        <x:v>492034</x:v>
      </x:c>
      <x:c r="G665" s="38" t="n">
        <x:v>70200</x:v>
      </x:c>
      <x:c r="H665" s="38" t="n">
        <x:v>14100</x:v>
      </x:c>
      <x:c r="I665" s="38" t="n">
        <x:v>3233</x:v>
      </x:c>
      <x:c r="J665" s="38" t="n">
        <x:v>0</x:v>
      </x:c>
      <x:c r="K665" s="38" t="n">
        <x:v>0</x:v>
      </x:c>
      <x:c r="L665" s="38" t="n">
        <x:v>3234</x:v>
      </x:c>
      <x:c r="M665" s="38" t="n">
        <x:v>0</x:v>
      </x:c>
      <x:c r="N665" s="38" t="n">
        <x:v>1200</x:v>
      </x:c>
      <x:c r="O665" s="38" t="n">
        <x:v>0</x:v>
      </x:c>
      <x:c r="P665" s="38" t="n">
        <x:f>F665+G665-H665+I665+J665+K665+L665-M665-N665-O665</x:f>
        <x:v>553401</x:v>
      </x:c>
      <x:c r="Q665" s="38" t="n">
        <x:v>553401</x:v>
      </x:c>
      <x:c r="R665" s="38" t="n">
        <x:f>P665-Q665</x:f>
        <x:v>0</x:v>
      </x:c>
      <x:c r="S665" s="38" t="n">
        <x:v>56100</x:v>
      </x:c>
      <x:c r="T665" s="38" t="n">
        <x:v>9043</x:v>
      </x:c>
      <x:c r="U665" s="38" t="n">
        <x:v>67</x:v>
      </x:c>
      <x:c r="V665" s="38" t="n">
        <x:v>0</x:v>
      </x:c>
      <x:c r="W665" s="38" t="n">
        <x:v>0</x:v>
      </x:c>
      <x:c r="X665" s="44" t="n">
        <x:v>0</x:v>
      </x:c>
      <x:c r="Y665" s="38" t="n">
        <x:v>150</x:v>
      </x:c>
      <x:c r="Z665" s="38" t="n">
        <x:v>32</x:v>
      </x:c>
      <x:c r="AA665" s="38" t="n">
        <x:v>21</x:v>
      </x:c>
      <x:c r="AB665" s="38" t="n">
        <x:v>6</x:v>
      </x:c>
      <x:c r="AC665" s="38" t="n">
        <x:v>7050</x:v>
      </x:c>
      <x:c r="AD665" s="38" t="n">
        <x:v>0</x:v>
      </x:c>
      <x:c r="AE665" s="38" t="n">
        <x:f>IF(B665=1,0,F665-Q664)</x:f>
        <x:v>0</x:v>
      </x:c>
    </x:row>
    <x:row r="666" ht="27" customHeight="1">
      <x:c r="A666" s="28" t="str">
        <x:v>Ad-supported</x:v>
      </x:c>
      <x:c r="B666" s="38" t="n">
        <x:v>62</x:v>
      </x:c>
      <x:c r="C666" s="38" t="n">
        <x:v>32</x:v>
      </x:c>
      <x:c r="D666" s="38" t="n">
        <x:v>395869</x:v>
      </x:c>
      <x:c r="E666" s="38" t="n">
        <x:v>75</x:v>
      </x:c>
      <x:c r="F666" s="38" t="n">
        <x:v>553401</x:v>
      </x:c>
      <x:c r="G666" s="38" t="n">
        <x:v>70200</x:v>
      </x:c>
      <x:c r="H666" s="38" t="n">
        <x:v>14100</x:v>
      </x:c>
      <x:c r="I666" s="38" t="n">
        <x:v>3233</x:v>
      </x:c>
      <x:c r="J666" s="38" t="n">
        <x:v>0</x:v>
      </x:c>
      <x:c r="K666" s="38" t="n">
        <x:v>0</x:v>
      </x:c>
      <x:c r="L666" s="38" t="n">
        <x:v>3234</x:v>
      </x:c>
      <x:c r="M666" s="38" t="n">
        <x:v>0</x:v>
      </x:c>
      <x:c r="N666" s="38" t="n">
        <x:v>0</x:v>
      </x:c>
      <x:c r="O666" s="38" t="n">
        <x:v>0</x:v>
      </x:c>
      <x:c r="P666" s="38" t="n">
        <x:f>F666+G666-H666+I666+J666+K666+L666-M666-N666-O666</x:f>
        <x:v>615968</x:v>
      </x:c>
      <x:c r="Q666" s="38" t="n">
        <x:v>615968</x:v>
      </x:c>
      <x:c r="R666" s="38" t="n">
        <x:f>P666-Q666</x:f>
        <x:v>0</x:v>
      </x:c>
      <x:c r="S666" s="38" t="n">
        <x:v>56100</x:v>
      </x:c>
      <x:c r="T666" s="38" t="n">
        <x:v>9043</x:v>
      </x:c>
      <x:c r="U666" s="38" t="n">
        <x:v>67</x:v>
      </x:c>
      <x:c r="V666" s="38" t="n">
        <x:v>0</x:v>
      </x:c>
      <x:c r="W666" s="38" t="n">
        <x:v>0</x:v>
      </x:c>
      <x:c r="X666" s="44" t="n">
        <x:v>0</x:v>
      </x:c>
      <x:c r="Y666" s="38" t="n">
        <x:v>150</x:v>
      </x:c>
      <x:c r="Z666" s="38" t="n">
        <x:v>32</x:v>
      </x:c>
      <x:c r="AA666" s="38" t="n">
        <x:v>21</x:v>
      </x:c>
      <x:c r="AB666" s="38" t="n">
        <x:v>6</x:v>
      </x:c>
      <x:c r="AC666" s="38" t="n">
        <x:v>7050</x:v>
      </x:c>
      <x:c r="AD666" s="38" t="n">
        <x:v>0</x:v>
      </x:c>
      <x:c r="AE666" s="38" t="n">
        <x:f>IF(B666=1,0,F666-Q665)</x:f>
        <x:v>0</x:v>
      </x:c>
    </x:row>
    <x:row r="667" ht="27" customHeight="1">
      <x:c r="A667" s="28" t="str">
        <x:v>Ad-supported</x:v>
      </x:c>
      <x:c r="B667" s="38" t="n">
        <x:v>63</x:v>
      </x:c>
      <x:c r="C667" s="38" t="n">
        <x:v>33</x:v>
      </x:c>
      <x:c r="D667" s="38" t="n">
        <x:v>409667</x:v>
      </x:c>
      <x:c r="E667" s="38" t="n">
        <x:v>75</x:v>
      </x:c>
      <x:c r="F667" s="38" t="n">
        <x:v>615968</x:v>
      </x:c>
      <x:c r="G667" s="38" t="n">
        <x:v>70800</x:v>
      </x:c>
      <x:c r="H667" s="38" t="n">
        <x:v>14250</x:v>
      </x:c>
      <x:c r="I667" s="38" t="n">
        <x:v>19095</x:v>
      </x:c>
      <x:c r="J667" s="38" t="n">
        <x:v>825</x:v>
      </x:c>
      <x:c r="K667" s="38" t="n">
        <x:v>0</x:v>
      </x:c>
      <x:c r="L667" s="38" t="n">
        <x:v>3234</x:v>
      </x:c>
      <x:c r="M667" s="38" t="n">
        <x:v>0</x:v>
      </x:c>
      <x:c r="N667" s="38" t="n">
        <x:v>0</x:v>
      </x:c>
      <x:c r="O667" s="38" t="n">
        <x:v>0</x:v>
      </x:c>
      <x:c r="P667" s="38" t="n">
        <x:f>F667+G667-H667+I667+J667+K667+L667-M667-N667-O667</x:f>
        <x:v>695672</x:v>
      </x:c>
      <x:c r="Q667" s="38" t="n">
        <x:v>695672</x:v>
      </x:c>
      <x:c r="R667" s="38" t="n">
        <x:f>P667-Q667</x:f>
        <x:v>0</x:v>
      </x:c>
      <x:c r="S667" s="38" t="n">
        <x:v>56625</x:v>
      </x:c>
      <x:c r="T667" s="38" t="n">
        <x:v>13798</x:v>
      </x:c>
      <x:c r="U667" s="38" t="n">
        <x:v>69</x:v>
      </x:c>
      <x:c r="V667" s="38" t="n">
        <x:v>2</x:v>
      </x:c>
      <x:c r="W667" s="38" t="n">
        <x:v>0</x:v>
      </x:c>
      <x:c r="X667" s="44" t="n">
        <x:v>0</x:v>
      </x:c>
      <x:c r="Y667" s="38" t="n">
        <x:v>150</x:v>
      </x:c>
      <x:c r="Z667" s="38" t="n">
        <x:v>33</x:v>
      </x:c>
      <x:c r="AA667" s="38" t="n">
        <x:v>21</x:v>
      </x:c>
      <x:c r="AB667" s="38" t="n">
        <x:v>6</x:v>
      </x:c>
      <x:c r="AC667" s="38" t="n">
        <x:v>7125</x:v>
      </x:c>
      <x:c r="AD667" s="38" t="n">
        <x:v>0</x:v>
      </x:c>
      <x:c r="AE667" s="38" t="n">
        <x:f>IF(B667=1,0,F667-Q666)</x:f>
        <x:v>0</x:v>
      </x:c>
    </x:row>
    <x:row r="668" ht="27" customHeight="1">
      <x:c r="A668" s="28" t="str">
        <x:v>Ad-supported</x:v>
      </x:c>
      <x:c r="B668" s="38" t="n">
        <x:v>64</x:v>
      </x:c>
      <x:c r="C668" s="38" t="n">
        <x:v>33</x:v>
      </x:c>
      <x:c r="D668" s="38" t="n">
        <x:v>418867</x:v>
      </x:c>
      <x:c r="E668" s="38" t="n">
        <x:v>75</x:v>
      </x:c>
      <x:c r="F668" s="38" t="n">
        <x:v>695672</x:v>
      </x:c>
      <x:c r="G668" s="38" t="n">
        <x:v>71400</x:v>
      </x:c>
      <x:c r="H668" s="38" t="n">
        <x:v>14250</x:v>
      </x:c>
      <x:c r="I668" s="38" t="n">
        <x:v>3294</x:v>
      </x:c>
      <x:c r="J668" s="38" t="n">
        <x:v>0</x:v>
      </x:c>
      <x:c r="K668" s="38" t="n">
        <x:v>0</x:v>
      </x:c>
      <x:c r="L668" s="38" t="n">
        <x:v>3294</x:v>
      </x:c>
      <x:c r="M668" s="38" t="n">
        <x:v>0</x:v>
      </x:c>
      <x:c r="N668" s="38" t="n">
        <x:v>2710</x:v>
      </x:c>
      <x:c r="O668" s="38" t="n">
        <x:v>0</x:v>
      </x:c>
      <x:c r="P668" s="38" t="n">
        <x:f>F668+G668-H668+I668+J668+K668+L668-M668-N668-O668</x:f>
        <x:v>756700</x:v>
      </x:c>
      <x:c r="Q668" s="38" t="n">
        <x:v>756700</x:v>
      </x:c>
      <x:c r="R668" s="38" t="n">
        <x:f>P668-Q668</x:f>
        <x:v>0</x:v>
      </x:c>
      <x:c r="S668" s="38" t="n">
        <x:v>57150</x:v>
      </x:c>
      <x:c r="T668" s="38" t="n">
        <x:v>9200</x:v>
      </x:c>
      <x:c r="U668" s="38" t="n">
        <x:v>69</x:v>
      </x:c>
      <x:c r="V668" s="38" t="n">
        <x:v>0</x:v>
      </x:c>
      <x:c r="W668" s="38" t="n">
        <x:v>0</x:v>
      </x:c>
      <x:c r="X668" s="44" t="n">
        <x:v>0</x:v>
      </x:c>
      <x:c r="Y668" s="38" t="n">
        <x:v>150</x:v>
      </x:c>
      <x:c r="Z668" s="38" t="n">
        <x:v>33</x:v>
      </x:c>
      <x:c r="AA668" s="38" t="n">
        <x:v>22</x:v>
      </x:c>
      <x:c r="AB668" s="38" t="n">
        <x:v>6</x:v>
      </x:c>
      <x:c r="AC668" s="38" t="n">
        <x:v>7125</x:v>
      </x:c>
      <x:c r="AD668" s="38" t="n">
        <x:v>0</x:v>
      </x:c>
      <x:c r="AE668" s="38" t="n">
        <x:f>IF(B668=1,0,F668-Q667)</x:f>
        <x:v>0</x:v>
      </x:c>
    </x:row>
    <x:row r="669" ht="27" customHeight="1">
      <x:c r="A669" s="28" t="str">
        <x:v>Ad-supported</x:v>
      </x:c>
      <x:c r="B669" s="38" t="n">
        <x:v>65</x:v>
      </x:c>
      <x:c r="C669" s="38" t="n">
        <x:v>33</x:v>
      </x:c>
      <x:c r="D669" s="38" t="n">
        <x:v>428067</x:v>
      </x:c>
      <x:c r="E669" s="38" t="n">
        <x:v>75</x:v>
      </x:c>
      <x:c r="F669" s="38" t="n">
        <x:v>756700</x:v>
      </x:c>
      <x:c r="G669" s="38" t="n">
        <x:v>71400</x:v>
      </x:c>
      <x:c r="H669" s="38" t="n">
        <x:v>14250</x:v>
      </x:c>
      <x:c r="I669" s="38" t="n">
        <x:v>3294</x:v>
      </x:c>
      <x:c r="J669" s="38" t="n">
        <x:v>0</x:v>
      </x:c>
      <x:c r="K669" s="38" t="n">
        <x:v>0</x:v>
      </x:c>
      <x:c r="L669" s="38" t="n">
        <x:v>3294</x:v>
      </x:c>
      <x:c r="M669" s="38" t="n">
        <x:v>0</x:v>
      </x:c>
      <x:c r="N669" s="38" t="n">
        <x:v>0</x:v>
      </x:c>
      <x:c r="O669" s="38" t="n">
        <x:v>0</x:v>
      </x:c>
      <x:c r="P669" s="38" t="n">
        <x:f>F669+G669-H669+I669+J669+K669+L669-M669-N669-O669</x:f>
        <x:v>820438</x:v>
      </x:c>
      <x:c r="Q669" s="38" t="n">
        <x:v>820438</x:v>
      </x:c>
      <x:c r="R669" s="38" t="n">
        <x:f>P669-Q669</x:f>
        <x:v>0</x:v>
      </x:c>
      <x:c r="S669" s="38" t="n">
        <x:v>57150</x:v>
      </x:c>
      <x:c r="T669" s="38" t="n">
        <x:v>9200</x:v>
      </x:c>
      <x:c r="U669" s="38" t="n">
        <x:v>69</x:v>
      </x:c>
      <x:c r="V669" s="38" t="n">
        <x:v>0</x:v>
      </x:c>
      <x:c r="W669" s="38" t="n">
        <x:v>0</x:v>
      </x:c>
      <x:c r="X669" s="44" t="n">
        <x:v>0</x:v>
      </x:c>
      <x:c r="Y669" s="38" t="n">
        <x:v>150</x:v>
      </x:c>
      <x:c r="Z669" s="38" t="n">
        <x:v>33</x:v>
      </x:c>
      <x:c r="AA669" s="38" t="n">
        <x:v>22</x:v>
      </x:c>
      <x:c r="AB669" s="38" t="n">
        <x:v>6</x:v>
      </x:c>
      <x:c r="AC669" s="38" t="n">
        <x:v>7125</x:v>
      </x:c>
      <x:c r="AD669" s="38" t="n">
        <x:v>0</x:v>
      </x:c>
      <x:c r="AE669" s="38" t="n">
        <x:f>IF(B669=1,0,F669-Q668)</x:f>
        <x:v>0</x:v>
      </x:c>
    </x:row>
    <x:row r="670" ht="27" customHeight="1">
      <x:c r="A670" s="28" t="str">
        <x:v>Ad-supported</x:v>
      </x:c>
      <x:c r="B670" s="38" t="n">
        <x:v>66</x:v>
      </x:c>
      <x:c r="C670" s="38" t="n">
        <x:v>33</x:v>
      </x:c>
      <x:c r="D670" s="38" t="n">
        <x:v>437267</x:v>
      </x:c>
      <x:c r="E670" s="38" t="n">
        <x:v>75</x:v>
      </x:c>
      <x:c r="F670" s="38" t="n">
        <x:v>820438</x:v>
      </x:c>
      <x:c r="G670" s="38" t="n">
        <x:v>71400</x:v>
      </x:c>
      <x:c r="H670" s="38" t="n">
        <x:v>14250</x:v>
      </x:c>
      <x:c r="I670" s="38" t="n">
        <x:v>3294</x:v>
      </x:c>
      <x:c r="J670" s="38" t="n">
        <x:v>0</x:v>
      </x:c>
      <x:c r="K670" s="38" t="n">
        <x:v>0</x:v>
      </x:c>
      <x:c r="L670" s="38" t="n">
        <x:v>3294</x:v>
      </x:c>
      <x:c r="M670" s="38" t="n">
        <x:v>0</x:v>
      </x:c>
      <x:c r="N670" s="38" t="n">
        <x:v>0</x:v>
      </x:c>
      <x:c r="O670" s="38" t="n">
        <x:v>0</x:v>
      </x:c>
      <x:c r="P670" s="38" t="n">
        <x:f>F670+G670-H670+I670+J670+K670+L670-M670-N670-O670</x:f>
        <x:v>884176</x:v>
      </x:c>
      <x:c r="Q670" s="38" t="n">
        <x:v>884176</x:v>
      </x:c>
      <x:c r="R670" s="38" t="n">
        <x:f>P670-Q670</x:f>
        <x:v>0</x:v>
      </x:c>
      <x:c r="S670" s="38" t="n">
        <x:v>57150</x:v>
      </x:c>
      <x:c r="T670" s="38" t="n">
        <x:v>9200</x:v>
      </x:c>
      <x:c r="U670" s="38" t="n">
        <x:v>69</x:v>
      </x:c>
      <x:c r="V670" s="38" t="n">
        <x:v>0</x:v>
      </x:c>
      <x:c r="W670" s="38" t="n">
        <x:v>0</x:v>
      </x:c>
      <x:c r="X670" s="44" t="n">
        <x:v>0</x:v>
      </x:c>
      <x:c r="Y670" s="38" t="n">
        <x:v>150</x:v>
      </x:c>
      <x:c r="Z670" s="38" t="n">
        <x:v>33</x:v>
      </x:c>
      <x:c r="AA670" s="38" t="n">
        <x:v>22</x:v>
      </x:c>
      <x:c r="AB670" s="38" t="n">
        <x:v>6</x:v>
      </x:c>
      <x:c r="AC670" s="38" t="n">
        <x:v>7125</x:v>
      </x:c>
      <x:c r="AD670" s="38" t="n">
        <x:v>0</x:v>
      </x:c>
      <x:c r="AE670" s="38" t="n">
        <x:f>IF(B670=1,0,F670-Q669)</x:f>
        <x:v>0</x:v>
      </x:c>
    </x:row>
    <x:row r="671" ht="27" customHeight="1">
      <x:c r="A671" s="28" t="str">
        <x:v>Ad-supported</x:v>
      </x:c>
      <x:c r="B671" s="38" t="n">
        <x:v>67</x:v>
      </x:c>
      <x:c r="C671" s="38" t="n">
        <x:v>34</x:v>
      </x:c>
      <x:c r="D671" s="38" t="n">
        <x:v>447017</x:v>
      </x:c>
      <x:c r="E671" s="38" t="n">
        <x:v>85</x:v>
      </x:c>
      <x:c r="F671" s="38" t="n">
        <x:v>884176</x:v>
      </x:c>
      <x:c r="G671" s="38" t="n">
        <x:v>76925</x:v>
      </x:c>
      <x:c r="H671" s="38" t="n">
        <x:v>16490</x:v>
      </x:c>
      <x:c r="I671" s="38" t="n">
        <x:v>3294</x:v>
      </x:c>
      <x:c r="J671" s="38" t="n">
        <x:v>950</x:v>
      </x:c>
      <x:c r="K671" s="38" t="n">
        <x:v>0</x:v>
      </x:c>
      <x:c r="L671" s="38" t="n">
        <x:v>3294</x:v>
      </x:c>
      <x:c r="M671" s="38" t="n">
        <x:v>600000</x:v>
      </x:c>
      <x:c r="N671" s="38" t="n">
        <x:v>1490</x:v>
      </x:c>
      <x:c r="O671" s="38" t="n">
        <x:v>190100</x:v>
      </x:c>
      <x:c r="P671" s="38" t="n">
        <x:f>F671+G671-H671+I671+J671+K671+L671-M671-N671-O671</x:f>
        <x:v>160559</x:v>
      </x:c>
      <x:c r="Q671" s="38" t="n">
        <x:v>160559</x:v>
      </x:c>
      <x:c r="R671" s="38" t="n">
        <x:f>P671-Q671</x:f>
        <x:v>0</x:v>
      </x:c>
      <x:c r="S671" s="38" t="n">
        <x:v>61555</x:v>
      </x:c>
      <x:c r="T671" s="38" t="n">
        <x:v>9750</x:v>
      </x:c>
      <x:c r="U671" s="38" t="n">
        <x:v>70</x:v>
      </x:c>
      <x:c r="V671" s="38" t="n">
        <x:v>1</x:v>
      </x:c>
      <x:c r="W671" s="38" t="n">
        <x:v>0</x:v>
      </x:c>
      <x:c r="X671" s="44" t="n">
        <x:v>0</x:v>
      </x:c>
      <x:c r="Y671" s="38" t="n">
        <x:v>160</x:v>
      </x:c>
      <x:c r="Z671" s="38" t="n">
        <x:v>34</x:v>
      </x:c>
      <x:c r="AA671" s="38" t="n">
        <x:v>23</x:v>
      </x:c>
      <x:c r="AB671" s="38" t="n">
        <x:v>7</x:v>
      </x:c>
      <x:c r="AC671" s="38" t="n">
        <x:v>8245</x:v>
      </x:c>
      <x:c r="AD671" s="38" t="n">
        <x:v>0</x:v>
      </x:c>
      <x:c r="AE671" s="38" t="n">
        <x:f>IF(B671=1,0,F671-Q670)</x:f>
        <x:v>0</x:v>
      </x:c>
    </x:row>
    <x:row r="672" ht="27" customHeight="1">
      <x:c r="A672" s="28" t="str">
        <x:v>Ad-supported</x:v>
      </x:c>
      <x:c r="B672" s="38" t="n">
        <x:v>68</x:v>
      </x:c>
      <x:c r="C672" s="38" t="n">
        <x:v>34</x:v>
      </x:c>
      <x:c r="D672" s="38" t="n">
        <x:v>457452</x:v>
      </x:c>
      <x:c r="E672" s="38" t="n">
        <x:v>85</x:v>
      </x:c>
      <x:c r="F672" s="38" t="n">
        <x:v>160559</x:v>
      </x:c>
      <x:c r="G672" s="38" t="n">
        <x:v>82450</x:v>
      </x:c>
      <x:c r="H672" s="38" t="n">
        <x:v>16490</x:v>
      </x:c>
      <x:c r="I672" s="38" t="n">
        <x:v>3802</x:v>
      </x:c>
      <x:c r="J672" s="38" t="n">
        <x:v>0</x:v>
      </x:c>
      <x:c r="K672" s="38" t="n">
        <x:v>0</x:v>
      </x:c>
      <x:c r="L672" s="38" t="n">
        <x:v>3801</x:v>
      </x:c>
      <x:c r="M672" s="38" t="n">
        <x:v>0</x:v>
      </x:c>
      <x:c r="N672" s="38" t="n">
        <x:v>0</x:v>
      </x:c>
      <x:c r="O672" s="38" t="n">
        <x:v>0</x:v>
      </x:c>
      <x:c r="P672" s="38" t="n">
        <x:f>F672+G672-H672+I672+J672+K672+L672-M672-N672-O672</x:f>
        <x:v>234122</x:v>
      </x:c>
      <x:c r="Q672" s="38" t="n">
        <x:v>234122</x:v>
      </x:c>
      <x:c r="R672" s="38" t="n">
        <x:f>P672-Q672</x:f>
        <x:v>0</x:v>
      </x:c>
      <x:c r="S672" s="38" t="n">
        <x:v>65960</x:v>
      </x:c>
      <x:c r="T672" s="38" t="n">
        <x:v>10435</x:v>
      </x:c>
      <x:c r="U672" s="38" t="n">
        <x:v>70</x:v>
      </x:c>
      <x:c r="V672" s="38" t="n">
        <x:v>0</x:v>
      </x:c>
      <x:c r="W672" s="38" t="n">
        <x:v>0</x:v>
      </x:c>
      <x:c r="X672" s="44" t="n">
        <x:v>0</x:v>
      </x:c>
      <x:c r="Y672" s="38" t="n">
        <x:v>170</x:v>
      </x:c>
      <x:c r="Z672" s="38" t="n">
        <x:v>34</x:v>
      </x:c>
      <x:c r="AA672" s="38" t="n">
        <x:v>23</x:v>
      </x:c>
      <x:c r="AB672" s="38" t="n">
        <x:v>7</x:v>
      </x:c>
      <x:c r="AC672" s="38" t="n">
        <x:v>8245</x:v>
      </x:c>
      <x:c r="AD672" s="38" t="n">
        <x:v>0</x:v>
      </x:c>
      <x:c r="AE672" s="38" t="n">
        <x:f>IF(B672=1,0,F672-Q671)</x:f>
        <x:v>0</x:v>
      </x:c>
    </x:row>
    <x:row r="673" ht="27" customHeight="1">
      <x:c r="A673" s="28" t="str">
        <x:v>Ad-supported</x:v>
      </x:c>
      <x:c r="B673" s="38" t="n">
        <x:v>69</x:v>
      </x:c>
      <x:c r="C673" s="38" t="n">
        <x:v>34</x:v>
      </x:c>
      <x:c r="D673" s="38" t="n">
        <x:v>467887</x:v>
      </x:c>
      <x:c r="E673" s="38" t="n">
        <x:v>85</x:v>
      </x:c>
      <x:c r="F673" s="38" t="n">
        <x:v>234122</x:v>
      </x:c>
      <x:c r="G673" s="38" t="n">
        <x:v>82450</x:v>
      </x:c>
      <x:c r="H673" s="38" t="n">
        <x:v>16490</x:v>
      </x:c>
      <x:c r="I673" s="38" t="n">
        <x:v>3802</x:v>
      </x:c>
      <x:c r="J673" s="38" t="n">
        <x:v>0</x:v>
      </x:c>
      <x:c r="K673" s="38" t="n">
        <x:v>0</x:v>
      </x:c>
      <x:c r="L673" s="38" t="n">
        <x:v>3801</x:v>
      </x:c>
      <x:c r="M673" s="38" t="n">
        <x:v>0</x:v>
      </x:c>
      <x:c r="N673" s="38" t="n">
        <x:v>0</x:v>
      </x:c>
      <x:c r="O673" s="38" t="n">
        <x:v>0</x:v>
      </x:c>
      <x:c r="P673" s="38" t="n">
        <x:f>F673+G673-H673+I673+J673+K673+L673-M673-N673-O673</x:f>
        <x:v>307685</x:v>
      </x:c>
      <x:c r="Q673" s="38" t="n">
        <x:v>307685</x:v>
      </x:c>
      <x:c r="R673" s="38" t="n">
        <x:f>P673-Q673</x:f>
        <x:v>0</x:v>
      </x:c>
      <x:c r="S673" s="38" t="n">
        <x:v>65960</x:v>
      </x:c>
      <x:c r="T673" s="38" t="n">
        <x:v>10435</x:v>
      </x:c>
      <x:c r="U673" s="38" t="n">
        <x:v>70</x:v>
      </x:c>
      <x:c r="V673" s="38" t="n">
        <x:v>0</x:v>
      </x:c>
      <x:c r="W673" s="38" t="n">
        <x:v>0</x:v>
      </x:c>
      <x:c r="X673" s="44" t="n">
        <x:v>0</x:v>
      </x:c>
      <x:c r="Y673" s="38" t="n">
        <x:v>170</x:v>
      </x:c>
      <x:c r="Z673" s="38" t="n">
        <x:v>34</x:v>
      </x:c>
      <x:c r="AA673" s="38" t="n">
        <x:v>23</x:v>
      </x:c>
      <x:c r="AB673" s="38" t="n">
        <x:v>7</x:v>
      </x:c>
      <x:c r="AC673" s="38" t="n">
        <x:v>8245</x:v>
      </x:c>
      <x:c r="AD673" s="38" t="n">
        <x:v>0</x:v>
      </x:c>
      <x:c r="AE673" s="38" t="n">
        <x:f>IF(B673=1,0,F673-Q672)</x:f>
        <x:v>0</x:v>
      </x:c>
    </x:row>
    <x:row r="674" ht="27" customHeight="1">
      <x:c r="A674" s="28" t="str">
        <x:v>Ad-supported</x:v>
      </x:c>
      <x:c r="B674" s="38" t="n">
        <x:v>70</x:v>
      </x:c>
      <x:c r="C674" s="38" t="n">
        <x:v>35</x:v>
      </x:c>
      <x:c r="D674" s="38" t="n">
        <x:v>483074</x:v>
      </x:c>
      <x:c r="E674" s="38" t="n">
        <x:v>85</x:v>
      </x:c>
      <x:c r="F674" s="38" t="n">
        <x:v>307685</x:v>
      </x:c>
      <x:c r="G674" s="38" t="n">
        <x:v>82450</x:v>
      </x:c>
      <x:c r="H674" s="38" t="n">
        <x:v>16945</x:v>
      </x:c>
      <x:c r="I674" s="38" t="n">
        <x:v>20272</x:v>
      </x:c>
      <x:c r="J674" s="38" t="n">
        <x:v>970</x:v>
      </x:c>
      <x:c r="K674" s="38" t="n">
        <x:v>0</x:v>
      </x:c>
      <x:c r="L674" s="38" t="n">
        <x:v>3801</x:v>
      </x:c>
      <x:c r="M674" s="38" t="n">
        <x:v>0</x:v>
      </x:c>
      <x:c r="N674" s="38" t="n">
        <x:v>2870</x:v>
      </x:c>
      <x:c r="O674" s="38" t="n">
        <x:v>0</x:v>
      </x:c>
      <x:c r="P674" s="38" t="n">
        <x:f>F674+G674-H674+I674+J674+K674+L674-M674-N674-O674</x:f>
        <x:v>395363</x:v>
      </x:c>
      <x:c r="Q674" s="38" t="n">
        <x:v>395363</x:v>
      </x:c>
      <x:c r="R674" s="38" t="n">
        <x:f>P674-Q674</x:f>
        <x:v>0</x:v>
      </x:c>
      <x:c r="S674" s="38" t="n">
        <x:v>65960</x:v>
      </x:c>
      <x:c r="T674" s="38" t="n">
        <x:v>15187</x:v>
      </x:c>
      <x:c r="U674" s="38" t="n">
        <x:v>75</x:v>
      </x:c>
      <x:c r="V674" s="38" t="n">
        <x:v>5</x:v>
      </x:c>
      <x:c r="W674" s="38" t="n">
        <x:v>0</x:v>
      </x:c>
      <x:c r="X674" s="44" t="n">
        <x:v>0</x:v>
      </x:c>
      <x:c r="Y674" s="38" t="n">
        <x:v>170</x:v>
      </x:c>
      <x:c r="Z674" s="38" t="n">
        <x:v>34</x:v>
      </x:c>
      <x:c r="AA674" s="38" t="n">
        <x:v>24</x:v>
      </x:c>
      <x:c r="AB674" s="38" t="n">
        <x:v>7</x:v>
      </x:c>
      <x:c r="AC674" s="38" t="n">
        <x:v>8700</x:v>
      </x:c>
      <x:c r="AD674" s="38" t="n">
        <x:v>0</x:v>
      </x:c>
      <x:c r="AE674" s="38" t="n">
        <x:f>IF(B674=1,0,F674-Q673)</x:f>
        <x:v>0</x:v>
      </x:c>
    </x:row>
    <x:row r="675" ht="27" customHeight="1">
      <x:c r="A675" s="28" t="str">
        <x:v>Ad-supported</x:v>
      </x:c>
      <x:c r="B675" s="38" t="n">
        <x:v>71</x:v>
      </x:c>
      <x:c r="C675" s="38" t="n">
        <x:v>35</x:v>
      </x:c>
      <x:c r="D675" s="38" t="n">
        <x:v>493575</x:v>
      </x:c>
      <x:c r="E675" s="38" t="n">
        <x:v>85</x:v>
      </x:c>
      <x:c r="F675" s="38" t="n">
        <x:v>395363</x:v>
      </x:c>
      <x:c r="G675" s="38" t="n">
        <x:v>82992</x:v>
      </x:c>
      <x:c r="H675" s="38" t="n">
        <x:v>16632</x:v>
      </x:c>
      <x:c r="I675" s="38" t="n">
        <x:v>3871</x:v>
      </x:c>
      <x:c r="J675" s="38" t="n">
        <x:v>0</x:v>
      </x:c>
      <x:c r="K675" s="38" t="n">
        <x:v>0</x:v>
      </x:c>
      <x:c r="L675" s="38" t="n">
        <x:v>3870</x:v>
      </x:c>
      <x:c r="M675" s="38" t="n">
        <x:v>0</x:v>
      </x:c>
      <x:c r="N675" s="38" t="n">
        <x:v>0</x:v>
      </x:c>
      <x:c r="O675" s="38" t="n">
        <x:v>0</x:v>
      </x:c>
      <x:c r="P675" s="38" t="n">
        <x:f>F675+G675-H675+I675+J675+K675+L675-M675-N675-O675</x:f>
        <x:v>469464</x:v>
      </x:c>
      <x:c r="Q675" s="38" t="n">
        <x:v>469464</x:v>
      </x:c>
      <x:c r="R675" s="38" t="n">
        <x:f>P675-Q675</x:f>
        <x:v>0</x:v>
      </x:c>
      <x:c r="S675" s="38" t="n">
        <x:v>66360</x:v>
      </x:c>
      <x:c r="T675" s="38" t="n">
        <x:v>10501</x:v>
      </x:c>
      <x:c r="U675" s="38" t="n">
        <x:v>75</x:v>
      </x:c>
      <x:c r="V675" s="38" t="n">
        <x:v>0</x:v>
      </x:c>
      <x:c r="W675" s="38" t="n">
        <x:v>0</x:v>
      </x:c>
      <x:c r="X675" s="44" t="n">
        <x:v>0</x:v>
      </x:c>
      <x:c r="Y675" s="38" t="n">
        <x:v>168</x:v>
      </x:c>
      <x:c r="Z675" s="38" t="n">
        <x:v>34</x:v>
      </x:c>
      <x:c r="AA675" s="38" t="n">
        <x:v>24</x:v>
      </x:c>
      <x:c r="AB675" s="38" t="n">
        <x:v>7</x:v>
      </x:c>
      <x:c r="AC675" s="38" t="n">
        <x:v>8700</x:v>
      </x:c>
      <x:c r="AD675" s="38" t="n">
        <x:v>0</x:v>
      </x:c>
      <x:c r="AE675" s="38" t="n">
        <x:f>IF(B675=1,0,F675-Q674)</x:f>
        <x:v>0</x:v>
      </x:c>
    </x:row>
    <x:row r="676" ht="27" customHeight="1">
      <x:c r="A676" s="28" t="str">
        <x:v>Ad-supported</x:v>
      </x:c>
      <x:c r="B676" s="38" t="n">
        <x:v>72</x:v>
      </x:c>
      <x:c r="C676" s="38" t="n">
        <x:v>35</x:v>
      </x:c>
      <x:c r="D676" s="38" t="n">
        <x:v>504293</x:v>
      </x:c>
      <x:c r="E676" s="38" t="n">
        <x:v>85</x:v>
      </x:c>
      <x:c r="F676" s="38" t="n">
        <x:v>469464</x:v>
      </x:c>
      <x:c r="G676" s="38" t="n">
        <x:v>84912</x:v>
      </x:c>
      <x:c r="H676" s="38" t="n">
        <x:v>16731</x:v>
      </x:c>
      <x:c r="I676" s="38" t="n">
        <x:v>3871</x:v>
      </x:c>
      <x:c r="J676" s="38" t="n">
        <x:v>0</x:v>
      </x:c>
      <x:c r="K676" s="38" t="n">
        <x:v>0</x:v>
      </x:c>
      <x:c r="L676" s="38" t="n">
        <x:v>3870</x:v>
      </x:c>
      <x:c r="M676" s="38" t="n">
        <x:v>0</x:v>
      </x:c>
      <x:c r="N676" s="38" t="n">
        <x:v>0</x:v>
      </x:c>
      <x:c r="O676" s="38" t="n">
        <x:v>0</x:v>
      </x:c>
      <x:c r="P676" s="38" t="n">
        <x:f>F676+G676-H676+I676+J676+K676+L676-M676-N676-O676</x:f>
        <x:v>545386</x:v>
      </x:c>
      <x:c r="Q676" s="38" t="n">
        <x:v>545386</x:v>
      </x:c>
      <x:c r="R676" s="38" t="n">
        <x:f>P676-Q676</x:f>
        <x:v>0</x:v>
      </x:c>
      <x:c r="S676" s="38" t="n">
        <x:v>67896</x:v>
      </x:c>
      <x:c r="T676" s="38" t="n">
        <x:v>10718</x:v>
      </x:c>
      <x:c r="U676" s="38" t="n">
        <x:v>77</x:v>
      </x:c>
      <x:c r="V676" s="38" t="n">
        <x:v>2</x:v>
      </x:c>
      <x:c r="W676" s="38" t="n">
        <x:v>0</x:v>
      </x:c>
      <x:c r="X676" s="44" t="n">
        <x:v>0</x:v>
      </x:c>
      <x:c r="Y676" s="38" t="n">
        <x:v>169</x:v>
      </x:c>
      <x:c r="Z676" s="38" t="n">
        <x:v>35</x:v>
      </x:c>
      <x:c r="AA676" s="38" t="n">
        <x:v>24</x:v>
      </x:c>
      <x:c r="AB676" s="38" t="n">
        <x:v>7</x:v>
      </x:c>
      <x:c r="AC676" s="38" t="n">
        <x:v>8415</x:v>
      </x:c>
      <x:c r="AD676" s="38" t="n">
        <x:v>0</x:v>
      </x:c>
      <x:c r="AE676" s="38" t="n">
        <x:f>IF(B676=1,0,F676-Q675)</x:f>
        <x:v>0</x:v>
      </x:c>
    </x:row>
    <x:row r="677" ht="27" customHeight="1">
      <x:c r="A677" s="28" t="str">
        <x:v>Ad-supported</x:v>
      </x:c>
      <x:c r="B677" s="38" t="n">
        <x:v>73</x:v>
      </x:c>
      <x:c r="C677" s="38" t="n">
        <x:v>35</x:v>
      </x:c>
      <x:c r="D677" s="38" t="n">
        <x:v>514906</x:v>
      </x:c>
      <x:c r="E677" s="38" t="n">
        <x:v>85</x:v>
      </x:c>
      <x:c r="F677" s="38" t="n">
        <x:v>545386</x:v>
      </x:c>
      <x:c r="G677" s="38" t="n">
        <x:v>83980</x:v>
      </x:c>
      <x:c r="H677" s="38" t="n">
        <x:v>16830</x:v>
      </x:c>
      <x:c r="I677" s="38" t="n">
        <x:v>3871</x:v>
      </x:c>
      <x:c r="J677" s="38" t="n">
        <x:v>0</x:v>
      </x:c>
      <x:c r="K677" s="38" t="n">
        <x:v>0</x:v>
      </x:c>
      <x:c r="L677" s="38" t="n">
        <x:v>3870</x:v>
      </x:c>
      <x:c r="M677" s="38" t="n">
        <x:v>0</x:v>
      </x:c>
      <x:c r="N677" s="38" t="n">
        <x:v>1575</x:v>
      </x:c>
      <x:c r="O677" s="38" t="n">
        <x:v>0</x:v>
      </x:c>
      <x:c r="P677" s="38" t="n">
        <x:f>F677+G677-H677+I677+J677+K677+L677-M677-N677-O677</x:f>
        <x:v>618702</x:v>
      </x:c>
      <x:c r="Q677" s="38" t="n">
        <x:v>618702</x:v>
      </x:c>
      <x:c r="R677" s="38" t="n">
        <x:f>P677-Q677</x:f>
        <x:v>0</x:v>
      </x:c>
      <x:c r="S677" s="38" t="n">
        <x:v>67150</x:v>
      </x:c>
      <x:c r="T677" s="38" t="n">
        <x:v>10613</x:v>
      </x:c>
      <x:c r="U677" s="38" t="n">
        <x:v>77</x:v>
      </x:c>
      <x:c r="V677" s="38" t="n">
        <x:v>0</x:v>
      </x:c>
      <x:c r="W677" s="38" t="n">
        <x:v>0</x:v>
      </x:c>
      <x:c r="X677" s="44" t="n">
        <x:v>0</x:v>
      </x:c>
      <x:c r="Y677" s="38" t="n">
        <x:v>170</x:v>
      </x:c>
      <x:c r="Z677" s="38" t="n">
        <x:v>35</x:v>
      </x:c>
      <x:c r="AA677" s="38" t="n">
        <x:v>25</x:v>
      </x:c>
      <x:c r="AB677" s="38" t="n">
        <x:v>7</x:v>
      </x:c>
      <x:c r="AC677" s="38" t="n">
        <x:v>8415</x:v>
      </x:c>
      <x:c r="AD677" s="38" t="n">
        <x:v>0</x:v>
      </x:c>
      <x:c r="AE677" s="38" t="n">
        <x:f>IF(B677=1,0,F677-Q676)</x:f>
        <x:v>0</x:v>
      </x:c>
    </x:row>
    <x:row r="678" ht="27" customHeight="1">
      <x:c r="A678" s="28" t="str">
        <x:v>Ad-supported</x:v>
      </x:c>
      <x:c r="B678" s="38" t="n">
        <x:v>74</x:v>
      </x:c>
      <x:c r="C678" s="38" t="n">
        <x:v>36</x:v>
      </x:c>
      <x:c r="D678" s="38" t="n">
        <x:v>525519</x:v>
      </x:c>
      <x:c r="E678" s="38" t="n">
        <x:v>90</x:v>
      </x:c>
      <x:c r="F678" s="38" t="n">
        <x:v>618702</x:v>
      </x:c>
      <x:c r="G678" s="38" t="n">
        <x:v>83980</x:v>
      </x:c>
      <x:c r="H678" s="38" t="n">
        <x:v>18487</x:v>
      </x:c>
      <x:c r="I678" s="38" t="n">
        <x:v>3871</x:v>
      </x:c>
      <x:c r="J678" s="38" t="n">
        <x:v>1045</x:v>
      </x:c>
      <x:c r="K678" s="38" t="n">
        <x:v>0</x:v>
      </x:c>
      <x:c r="L678" s="38" t="n">
        <x:v>3870</x:v>
      </x:c>
      <x:c r="M678" s="38" t="n">
        <x:v>425000</x:v>
      </x:c>
      <x:c r="N678" s="38" t="n">
        <x:v>0</x:v>
      </x:c>
      <x:c r="O678" s="38" t="n">
        <x:v>0</x:v>
      </x:c>
      <x:c r="P678" s="38" t="n">
        <x:f>F678+G678-H678+I678+J678+K678+L678-M678-N678-O678</x:f>
        <x:v>267981</x:v>
      </x:c>
      <x:c r="Q678" s="38" t="n">
        <x:v>267981</x:v>
      </x:c>
      <x:c r="R678" s="38" t="n">
        <x:f>P678-Q678</x:f>
        <x:v>0</x:v>
      </x:c>
      <x:c r="S678" s="38" t="n">
        <x:v>67150</x:v>
      </x:c>
      <x:c r="T678" s="38" t="n">
        <x:v>10613</x:v>
      </x:c>
      <x:c r="U678" s="38" t="n">
        <x:v>78</x:v>
      </x:c>
      <x:c r="V678" s="38" t="n">
        <x:v>1</x:v>
      </x:c>
      <x:c r="W678" s="38" t="n">
        <x:v>0</x:v>
      </x:c>
      <x:c r="X678" s="44" t="n">
        <x:v>0</x:v>
      </x:c>
      <x:c r="Y678" s="38" t="n">
        <x:v>170</x:v>
      </x:c>
      <x:c r="Z678" s="38" t="n">
        <x:v>35</x:v>
      </x:c>
      <x:c r="AA678" s="38" t="n">
        <x:v>25</x:v>
      </x:c>
      <x:c r="AB678" s="38" t="n">
        <x:v>7</x:v>
      </x:c>
      <x:c r="AC678" s="38" t="n">
        <x:v>10072</x:v>
      </x:c>
      <x:c r="AD678" s="38" t="n">
        <x:v>0</x:v>
      </x:c>
      <x:c r="AE678" s="38" t="n">
        <x:f>IF(B678=1,0,F678-Q677)</x:f>
        <x:v>0</x:v>
      </x:c>
    </x:row>
    <x:row r="679" ht="27" customHeight="1">
      <x:c r="A679" s="28" t="str">
        <x:v>Ad-supported</x:v>
      </x:c>
      <x:c r="B679" s="38" t="n">
        <x:v>75</x:v>
      </x:c>
      <x:c r="C679" s="38" t="n">
        <x:v>36</x:v>
      </x:c>
      <x:c r="D679" s="38" t="n">
        <x:v>535871</x:v>
      </x:c>
      <x:c r="E679" s="38" t="n">
        <x:v>90</x:v>
      </x:c>
      <x:c r="F679" s="38" t="n">
        <x:v>267981</x:v>
      </x:c>
      <x:c r="G679" s="38" t="n">
        <x:v>99400</x:v>
      </x:c>
      <x:c r="H679" s="38" t="n">
        <x:v>19869</x:v>
      </x:c>
      <x:c r="I679" s="38" t="n">
        <x:v>4172</x:v>
      </x:c>
      <x:c r="J679" s="38" t="n">
        <x:v>0</x:v>
      </x:c>
      <x:c r="K679" s="38" t="n">
        <x:v>0</x:v>
      </x:c>
      <x:c r="L679" s="38" t="n">
        <x:v>4173</x:v>
      </x:c>
      <x:c r="M679" s="38" t="n">
        <x:v>0</x:v>
      </x:c>
      <x:c r="N679" s="38" t="n">
        <x:v>0</x:v>
      </x:c>
      <x:c r="O679" s="38" t="n">
        <x:v>0</x:v>
      </x:c>
      <x:c r="P679" s="38" t="n">
        <x:f>F679+G679-H679+I679+J679+K679+L679-M679-N679-O679</x:f>
        <x:v>355857</x:v>
      </x:c>
      <x:c r="Q679" s="38" t="n">
        <x:v>355857</x:v>
      </x:c>
      <x:c r="R679" s="38" t="n">
        <x:f>P679-Q679</x:f>
        <x:v>0</x:v>
      </x:c>
      <x:c r="S679" s="38" t="n">
        <x:v>79449</x:v>
      </x:c>
      <x:c r="T679" s="38" t="n">
        <x:v>10352</x:v>
      </x:c>
      <x:c r="U679" s="38" t="n">
        <x:v>78</x:v>
      </x:c>
      <x:c r="V679" s="38" t="n">
        <x:v>0</x:v>
      </x:c>
      <x:c r="W679" s="38" t="n">
        <x:v>0</x:v>
      </x:c>
      <x:c r="X679" s="44" t="n">
        <x:v>0</x:v>
      </x:c>
      <x:c r="Y679" s="38" t="n">
        <x:v>179</x:v>
      </x:c>
      <x:c r="Z679" s="38" t="n">
        <x:v>36</x:v>
      </x:c>
      <x:c r="AA679" s="38" t="n">
        <x:v>25</x:v>
      </x:c>
      <x:c r="AB679" s="38" t="n">
        <x:v>7</x:v>
      </x:c>
      <x:c r="AC679" s="38" t="n">
        <x:v>9990</x:v>
      </x:c>
      <x:c r="AD679" s="38" t="n">
        <x:v>0</x:v>
      </x:c>
      <x:c r="AE679" s="38" t="n">
        <x:f>IF(B679=1,0,F679-Q678)</x:f>
        <x:v>0</x:v>
      </x:c>
    </x:row>
    <x:row r="680" ht="27" customHeight="1">
      <x:c r="A680" s="28" t="str">
        <x:v>Ad-supported</x:v>
      </x:c>
      <x:c r="B680" s="38" t="n">
        <x:v>76</x:v>
      </x:c>
      <x:c r="C680" s="38" t="n">
        <x:v>36</x:v>
      </x:c>
      <x:c r="D680" s="38" t="n">
        <x:v>546217</x:v>
      </x:c>
      <x:c r="E680" s="38" t="n">
        <x:v>90</x:v>
      </x:c>
      <x:c r="F680" s="38" t="n">
        <x:v>355857</x:v>
      </x:c>
      <x:c r="G680" s="38" t="n">
        <x:v>99540</x:v>
      </x:c>
      <x:c r="H680" s="38" t="n">
        <x:v>19980</x:v>
      </x:c>
      <x:c r="I680" s="38" t="n">
        <x:v>4172</x:v>
      </x:c>
      <x:c r="J680" s="38" t="n">
        <x:v>0</x:v>
      </x:c>
      <x:c r="K680" s="38" t="n">
        <x:v>0</x:v>
      </x:c>
      <x:c r="L680" s="38" t="n">
        <x:v>4173</x:v>
      </x:c>
      <x:c r="M680" s="38" t="n">
        <x:v>0</x:v>
      </x:c>
      <x:c r="N680" s="38" t="n">
        <x:v>3900</x:v>
      </x:c>
      <x:c r="O680" s="38" t="n">
        <x:v>0</x:v>
      </x:c>
      <x:c r="P680" s="38" t="n">
        <x:f>F680+G680-H680+I680+J680+K680+L680-M680-N680-O680</x:f>
        <x:v>439862</x:v>
      </x:c>
      <x:c r="Q680" s="38" t="n">
        <x:v>439862</x:v>
      </x:c>
      <x:c r="R680" s="38" t="n">
        <x:f>P680-Q680</x:f>
        <x:v>0</x:v>
      </x:c>
      <x:c r="S680" s="38" t="n">
        <x:v>79560</x:v>
      </x:c>
      <x:c r="T680" s="38" t="n">
        <x:v>10346</x:v>
      </x:c>
      <x:c r="U680" s="38" t="n">
        <x:v>78</x:v>
      </x:c>
      <x:c r="V680" s="38" t="n">
        <x:v>0</x:v>
      </x:c>
      <x:c r="W680" s="38" t="n">
        <x:v>0</x:v>
      </x:c>
      <x:c r="X680" s="44" t="n">
        <x:v>0</x:v>
      </x:c>
      <x:c r="Y680" s="38" t="n">
        <x:v>180</x:v>
      </x:c>
      <x:c r="Z680" s="38" t="n">
        <x:v>36</x:v>
      </x:c>
      <x:c r="AA680" s="38" t="n">
        <x:v>26</x:v>
      </x:c>
      <x:c r="AB680" s="38" t="n">
        <x:v>7</x:v>
      </x:c>
      <x:c r="AC680" s="38" t="n">
        <x:v>9990</x:v>
      </x:c>
      <x:c r="AD680" s="38" t="n">
        <x:v>0</x:v>
      </x:c>
      <x:c r="AE680" s="38" t="n">
        <x:f>IF(B680=1,0,F680-Q679)</x:f>
        <x:v>0</x:v>
      </x:c>
    </x:row>
    <x:row r="681" ht="27" customHeight="1">
      <x:c r="A681" s="28" t="str">
        <x:v>Ad-supported</x:v>
      </x:c>
      <x:c r="B681" s="38" t="n">
        <x:v>77</x:v>
      </x:c>
      <x:c r="C681" s="38" t="n">
        <x:v>36</x:v>
      </x:c>
      <x:c r="D681" s="38" t="n">
        <x:v>562030</x:v>
      </x:c>
      <x:c r="E681" s="38" t="n">
        <x:v>90</x:v>
      </x:c>
      <x:c r="F681" s="38" t="n">
        <x:v>439862</x:v>
      </x:c>
      <x:c r="G681" s="38" t="n">
        <x:v>99540</x:v>
      </x:c>
      <x:c r="H681" s="38" t="n">
        <x:v>19980</x:v>
      </x:c>
      <x:c r="I681" s="38" t="n">
        <x:v>23527</x:v>
      </x:c>
      <x:c r="J681" s="38" t="n">
        <x:v>0</x:v>
      </x:c>
      <x:c r="K681" s="38" t="n">
        <x:v>0</x:v>
      </x:c>
      <x:c r="L681" s="38" t="n">
        <x:v>4173</x:v>
      </x:c>
      <x:c r="M681" s="38" t="n">
        <x:v>0</x:v>
      </x:c>
      <x:c r="N681" s="38" t="n">
        <x:v>0</x:v>
      </x:c>
      <x:c r="O681" s="38" t="n">
        <x:v>0</x:v>
      </x:c>
      <x:c r="P681" s="38" t="n">
        <x:f>F681+G681-H681+I681+J681+K681+L681-M681-N681-O681</x:f>
        <x:v>547122</x:v>
      </x:c>
      <x:c r="Q681" s="38" t="n">
        <x:v>547122</x:v>
      </x:c>
      <x:c r="R681" s="38" t="n">
        <x:f>P681-Q681</x:f>
        <x:v>0</x:v>
      </x:c>
      <x:c r="S681" s="38" t="n">
        <x:v>79560</x:v>
      </x:c>
      <x:c r="T681" s="38" t="n">
        <x:v>15813</x:v>
      </x:c>
      <x:c r="U681" s="38" t="n">
        <x:v>80</x:v>
      </x:c>
      <x:c r="V681" s="38" t="n">
        <x:v>2</x:v>
      </x:c>
      <x:c r="W681" s="38" t="n">
        <x:v>0</x:v>
      </x:c>
      <x:c r="X681" s="44" t="n">
        <x:v>0</x:v>
      </x:c>
      <x:c r="Y681" s="38" t="n">
        <x:v>180</x:v>
      </x:c>
      <x:c r="Z681" s="38" t="n">
        <x:v>36</x:v>
      </x:c>
      <x:c r="AA681" s="38" t="n">
        <x:v>26</x:v>
      </x:c>
      <x:c r="AB681" s="38" t="n">
        <x:v>7</x:v>
      </x:c>
      <x:c r="AC681" s="38" t="n">
        <x:v>9990</x:v>
      </x:c>
      <x:c r="AD681" s="38" t="n">
        <x:v>0</x:v>
      </x:c>
      <x:c r="AE681" s="38" t="n">
        <x:f>IF(B681=1,0,F681-Q680)</x:f>
        <x:v>0</x:v>
      </x:c>
    </x:row>
    <x:row r="682" ht="27" customHeight="1">
      <x:c r="A682" s="28" t="str">
        <x:v>Ad-supported</x:v>
      </x:c>
      <x:c r="B682" s="38" t="n">
        <x:v>78</x:v>
      </x:c>
      <x:c r="C682" s="38" t="n">
        <x:v>37</x:v>
      </x:c>
      <x:c r="D682" s="38" t="n">
        <x:v>572376</x:v>
      </x:c>
      <x:c r="E682" s="38" t="n">
        <x:v>90</x:v>
      </x:c>
      <x:c r="F682" s="38" t="n">
        <x:v>547122</x:v>
      </x:c>
      <x:c r="G682" s="38" t="n">
        <x:v>99540</x:v>
      </x:c>
      <x:c r="H682" s="38" t="n">
        <x:v>19466</x:v>
      </x:c>
      <x:c r="I682" s="38" t="n">
        <x:v>4172</x:v>
      </x:c>
      <x:c r="J682" s="38" t="n">
        <x:v>1060</x:v>
      </x:c>
      <x:c r="K682" s="38" t="n">
        <x:v>0</x:v>
      </x:c>
      <x:c r="L682" s="38" t="n">
        <x:v>4173</x:v>
      </x:c>
      <x:c r="M682" s="38" t="n">
        <x:v>0</x:v>
      </x:c>
      <x:c r="N682" s="38" t="n">
        <x:v>0</x:v>
      </x:c>
      <x:c r="O682" s="38" t="n">
        <x:v>0</x:v>
      </x:c>
      <x:c r="P682" s="38" t="n">
        <x:f>F682+G682-H682+I682+J682+K682+L682-M682-N682-O682</x:f>
        <x:v>636601</x:v>
      </x:c>
      <x:c r="Q682" s="38" t="n">
        <x:v>636601</x:v>
      </x:c>
      <x:c r="R682" s="38" t="n">
        <x:f>P682-Q682</x:f>
        <x:v>0</x:v>
      </x:c>
      <x:c r="S682" s="38" t="n">
        <x:v>79560</x:v>
      </x:c>
      <x:c r="T682" s="38" t="n">
        <x:v>10346</x:v>
      </x:c>
      <x:c r="U682" s="38" t="n">
        <x:v>84</x:v>
      </x:c>
      <x:c r="V682" s="38" t="n">
        <x:v>4</x:v>
      </x:c>
      <x:c r="W682" s="38" t="n">
        <x:v>0</x:v>
      </x:c>
      <x:c r="X682" s="44" t="n">
        <x:v>0</x:v>
      </x:c>
      <x:c r="Y682" s="38" t="n">
        <x:v>180</x:v>
      </x:c>
      <x:c r="Z682" s="38" t="n">
        <x:v>36</x:v>
      </x:c>
      <x:c r="AA682" s="38" t="n">
        <x:v>26</x:v>
      </x:c>
      <x:c r="AB682" s="38" t="n">
        <x:v>7</x:v>
      </x:c>
      <x:c r="AC682" s="38" t="n">
        <x:v>9476</x:v>
      </x:c>
      <x:c r="AD682" s="38" t="n">
        <x:v>0</x:v>
      </x:c>
      <x:c r="AE682" s="38" t="n">
        <x:f>IF(B682=1,0,F682-Q681)</x:f>
        <x:v>0</x:v>
      </x:c>
    </x:row>
    <x:row r="683" ht="27" customHeight="1">
      <x:c r="A683" s="28" t="str">
        <x:v>Ad-supported</x:v>
      </x:c>
      <x:c r="B683" s="38" t="n">
        <x:v>79</x:v>
      </x:c>
      <x:c r="C683" s="38" t="n">
        <x:v>37</x:v>
      </x:c>
      <x:c r="D683" s="38" t="n">
        <x:v>583697</x:v>
      </x:c>
      <x:c r="E683" s="38" t="n">
        <x:v>90</x:v>
      </x:c>
      <x:c r="F683" s="38" t="n">
        <x:v>636601</x:v>
      </x:c>
      <x:c r="G683" s="38" t="n">
        <x:v>90958</x:v>
      </x:c>
      <x:c r="H683" s="38" t="n">
        <x:v>18156</x:v>
      </x:c>
      <x:c r="I683" s="38" t="n">
        <x:v>4244</x:v>
      </x:c>
      <x:c r="J683" s="38" t="n">
        <x:v>0</x:v>
      </x:c>
      <x:c r="K683" s="38" t="n">
        <x:v>0</x:v>
      </x:c>
      <x:c r="L683" s="38" t="n">
        <x:v>4245</x:v>
      </x:c>
      <x:c r="M683" s="38" t="n">
        <x:v>0</x:v>
      </x:c>
      <x:c r="N683" s="38" t="n">
        <x:v>4005</x:v>
      </x:c>
      <x:c r="O683" s="38" t="n">
        <x:v>0</x:v>
      </x:c>
      <x:c r="P683" s="38" t="n">
        <x:f>F683+G683-H683+I683+J683+K683+L683-M683-N683-O683</x:f>
        <x:v>713887</x:v>
      </x:c>
      <x:c r="Q683" s="38" t="n">
        <x:v>713887</x:v>
      </x:c>
      <x:c r="R683" s="38" t="n">
        <x:f>P683-Q683</x:f>
        <x:v>0</x:v>
      </x:c>
      <x:c r="S683" s="38" t="n">
        <x:v>72802</x:v>
      </x:c>
      <x:c r="T683" s="38" t="n">
        <x:v>11321</x:v>
      </x:c>
      <x:c r="U683" s="38" t="n">
        <x:v>84</x:v>
      </x:c>
      <x:c r="V683" s="38" t="n">
        <x:v>0</x:v>
      </x:c>
      <x:c r="W683" s="38" t="n">
        <x:v>0</x:v>
      </x:c>
      <x:c r="X683" s="44" t="n">
        <x:v>0</x:v>
      </x:c>
      <x:c r="Y683" s="38" t="n">
        <x:v>178</x:v>
      </x:c>
      <x:c r="Z683" s="38" t="n">
        <x:v>36</x:v>
      </x:c>
      <x:c r="AA683" s="38" t="n">
        <x:v>27</x:v>
      </x:c>
      <x:c r="AB683" s="38" t="n">
        <x:v>7</x:v>
      </x:c>
      <x:c r="AC683" s="38" t="n">
        <x:v>9476</x:v>
      </x:c>
      <x:c r="AD683" s="38" t="n">
        <x:v>0</x:v>
      </x:c>
      <x:c r="AE683" s="38" t="n">
        <x:f>IF(B683=1,0,F683-Q682)</x:f>
        <x:v>0</x:v>
      </x:c>
    </x:row>
    <x:row r="684" ht="27" customHeight="1">
      <x:c r="A684" s="28" t="str">
        <x:v>Ad-supported</x:v>
      </x:c>
      <x:c r="B684" s="38" t="n">
        <x:v>80</x:v>
      </x:c>
      <x:c r="C684" s="38" t="n">
        <x:v>37</x:v>
      </x:c>
      <x:c r="D684" s="38" t="n">
        <x:v>595238</x:v>
      </x:c>
      <x:c r="E684" s="38" t="n">
        <x:v>90</x:v>
      </x:c>
      <x:c r="F684" s="38" t="n">
        <x:v>713887</x:v>
      </x:c>
      <x:c r="G684" s="38" t="n">
        <x:v>92947</x:v>
      </x:c>
      <x:c r="H684" s="38" t="n">
        <x:v>18258</x:v>
      </x:c>
      <x:c r="I684" s="38" t="n">
        <x:v>4244</x:v>
      </x:c>
      <x:c r="J684" s="38" t="n">
        <x:v>0</x:v>
      </x:c>
      <x:c r="K684" s="38" t="n">
        <x:v>0</x:v>
      </x:c>
      <x:c r="L684" s="38" t="n">
        <x:v>4245</x:v>
      </x:c>
      <x:c r="M684" s="38" t="n">
        <x:v>0</x:v>
      </x:c>
      <x:c r="N684" s="38" t="n">
        <x:v>0</x:v>
      </x:c>
      <x:c r="O684" s="38" t="n">
        <x:v>0</x:v>
      </x:c>
      <x:c r="P684" s="38" t="n">
        <x:f>F684+G684-H684+I684+J684+K684+L684-M684-N684-O684</x:f>
        <x:v>797065</x:v>
      </x:c>
      <x:c r="Q684" s="38" t="n">
        <x:v>797065</x:v>
      </x:c>
      <x:c r="R684" s="38" t="n">
        <x:f>P684-Q684</x:f>
        <x:v>0</x:v>
      </x:c>
      <x:c r="S684" s="38" t="n">
        <x:v>74393</x:v>
      </x:c>
      <x:c r="T684" s="38" t="n">
        <x:v>11541</x:v>
      </x:c>
      <x:c r="U684" s="38" t="n">
        <x:v>84</x:v>
      </x:c>
      <x:c r="V684" s="38" t="n">
        <x:v>0</x:v>
      </x:c>
      <x:c r="W684" s="38" t="n">
        <x:v>0</x:v>
      </x:c>
      <x:c r="X684" s="44" t="n">
        <x:v>0</x:v>
      </x:c>
      <x:c r="Y684" s="38" t="n">
        <x:v>179</x:v>
      </x:c>
      <x:c r="Z684" s="38" t="n">
        <x:v>37</x:v>
      </x:c>
      <x:c r="AA684" s="38" t="n">
        <x:v>27</x:v>
      </x:c>
      <x:c r="AB684" s="38" t="n">
        <x:v>7</x:v>
      </x:c>
      <x:c r="AC684" s="38" t="n">
        <x:v>9180</x:v>
      </x:c>
      <x:c r="AD684" s="38" t="n">
        <x:v>0</x:v>
      </x:c>
      <x:c r="AE684" s="38" t="n">
        <x:f>IF(B684=1,0,F684-Q683)</x:f>
        <x:v>0</x:v>
      </x:c>
    </x:row>
    <x:row r="685" ht="27" customHeight="1">
      <x:c r="A685" s="28" t="str">
        <x:v>Ad-supported</x:v>
      </x:c>
      <x:c r="B685" s="38" t="n">
        <x:v>81</x:v>
      </x:c>
      <x:c r="C685" s="38" t="n">
        <x:v>37</x:v>
      </x:c>
      <x:c r="D685" s="38" t="n">
        <x:v>606673</x:v>
      </x:c>
      <x:c r="E685" s="38" t="n">
        <x:v>90</x:v>
      </x:c>
      <x:c r="F685" s="38" t="n">
        <x:v>797065</x:v>
      </x:c>
      <x:c r="G685" s="38" t="n">
        <x:v>91980</x:v>
      </x:c>
      <x:c r="H685" s="38" t="n">
        <x:v>18360</x:v>
      </x:c>
      <x:c r="I685" s="38" t="n">
        <x:v>4244</x:v>
      </x:c>
      <x:c r="J685" s="38" t="n">
        <x:v>0</x:v>
      </x:c>
      <x:c r="K685" s="38" t="n">
        <x:v>0</x:v>
      </x:c>
      <x:c r="L685" s="38" t="n">
        <x:v>4245</x:v>
      </x:c>
      <x:c r="M685" s="38" t="n">
        <x:v>0</x:v>
      </x:c>
      <x:c r="N685" s="38" t="n">
        <x:v>0</x:v>
      </x:c>
      <x:c r="O685" s="38" t="n">
        <x:v>0</x:v>
      </x:c>
      <x:c r="P685" s="38" t="n">
        <x:f>F685+G685-H685+I685+J685+K685+L685-M685-N685-O685</x:f>
        <x:v>879174</x:v>
      </x:c>
      <x:c r="Q685" s="38" t="n">
        <x:v>879174</x:v>
      </x:c>
      <x:c r="R685" s="38" t="n">
        <x:f>P685-Q685</x:f>
        <x:v>0</x:v>
      </x:c>
      <x:c r="S685" s="38" t="n">
        <x:v>73620</x:v>
      </x:c>
      <x:c r="T685" s="38" t="n">
        <x:v>11435</x:v>
      </x:c>
      <x:c r="U685" s="38" t="n">
        <x:v>84</x:v>
      </x:c>
      <x:c r="V685" s="38" t="n">
        <x:v>0</x:v>
      </x:c>
      <x:c r="W685" s="38" t="n">
        <x:v>0</x:v>
      </x:c>
      <x:c r="X685" s="44" t="n">
        <x:v>0</x:v>
      </x:c>
      <x:c r="Y685" s="38" t="n">
        <x:v>180</x:v>
      </x:c>
      <x:c r="Z685" s="38" t="n">
        <x:v>37</x:v>
      </x:c>
      <x:c r="AA685" s="38" t="n">
        <x:v>27</x:v>
      </x:c>
      <x:c r="AB685" s="38" t="n">
        <x:v>7</x:v>
      </x:c>
      <x:c r="AC685" s="38" t="n">
        <x:v>9180</x:v>
      </x:c>
      <x:c r="AD685" s="38" t="n">
        <x:v>0</x:v>
      </x:c>
      <x:c r="AE685" s="38" t="n">
        <x:f>IF(B685=1,0,F685-Q684)</x:f>
        <x:v>0</x:v>
      </x:c>
    </x:row>
    <x:row r="686" ht="27" customHeight="1">
      <x:c r="A686" s="28" t="str">
        <x:v>Ad-supported</x:v>
      </x:c>
      <x:c r="B686" s="38" t="n">
        <x:v>82</x:v>
      </x:c>
      <x:c r="C686" s="38" t="n">
        <x:v>37</x:v>
      </x:c>
      <x:c r="D686" s="38" t="n">
        <x:v>618108</x:v>
      </x:c>
      <x:c r="E686" s="38" t="n">
        <x:v>90</x:v>
      </x:c>
      <x:c r="F686" s="38" t="n">
        <x:v>879174</x:v>
      </x:c>
      <x:c r="G686" s="38" t="n">
        <x:v>91980</x:v>
      </x:c>
      <x:c r="H686" s="38" t="n">
        <x:v>18360</x:v>
      </x:c>
      <x:c r="I686" s="38" t="n">
        <x:v>4244</x:v>
      </x:c>
      <x:c r="J686" s="38" t="n">
        <x:v>0</x:v>
      </x:c>
      <x:c r="K686" s="38" t="n">
        <x:v>0</x:v>
      </x:c>
      <x:c r="L686" s="38" t="n">
        <x:v>4245</x:v>
      </x:c>
      <x:c r="M686" s="38" t="n">
        <x:v>0</x:v>
      </x:c>
      <x:c r="N686" s="38" t="n">
        <x:v>4565</x:v>
      </x:c>
      <x:c r="O686" s="38" t="n">
        <x:v>0</x:v>
      </x:c>
      <x:c r="P686" s="38" t="n">
        <x:f>F686+G686-H686+I686+J686+K686+L686-M686-N686-O686</x:f>
        <x:v>956718</x:v>
      </x:c>
      <x:c r="Q686" s="38" t="n">
        <x:v>956718</x:v>
      </x:c>
      <x:c r="R686" s="38" t="n">
        <x:f>P686-Q686</x:f>
        <x:v>0</x:v>
      </x:c>
      <x:c r="S686" s="38" t="n">
        <x:v>73620</x:v>
      </x:c>
      <x:c r="T686" s="38" t="n">
        <x:v>11435</x:v>
      </x:c>
      <x:c r="U686" s="38" t="n">
        <x:v>84</x:v>
      </x:c>
      <x:c r="V686" s="38" t="n">
        <x:v>0</x:v>
      </x:c>
      <x:c r="W686" s="38" t="n">
        <x:v>0</x:v>
      </x:c>
      <x:c r="X686" s="44" t="n">
        <x:v>0</x:v>
      </x:c>
      <x:c r="Y686" s="38" t="n">
        <x:v>180</x:v>
      </x:c>
      <x:c r="Z686" s="38" t="n">
        <x:v>37</x:v>
      </x:c>
      <x:c r="AA686" s="38" t="n">
        <x:v>28</x:v>
      </x:c>
      <x:c r="AB686" s="38" t="n">
        <x:v>7</x:v>
      </x:c>
      <x:c r="AC686" s="38" t="n">
        <x:v>9180</x:v>
      </x:c>
      <x:c r="AD686" s="38" t="n">
        <x:v>0</x:v>
      </x:c>
      <x:c r="AE686" s="38" t="n">
        <x:f>IF(B686=1,0,F686-Q685)</x:f>
        <x:v>0</x:v>
      </x:c>
    </x:row>
    <x:row r="687" ht="27" customHeight="1">
      <x:c r="A687" s="28" t="str">
        <x:v>Ad-supported</x:v>
      </x:c>
      <x:c r="B687" s="38" t="n">
        <x:v>83</x:v>
      </x:c>
      <x:c r="C687" s="38" t="n">
        <x:v>38</x:v>
      </x:c>
      <x:c r="D687" s="38" t="n">
        <x:v>629834</x:v>
      </x:c>
      <x:c r="E687" s="38" t="n">
        <x:v>95</x:v>
      </x:c>
      <x:c r="F687" s="38" t="n">
        <x:v>956718</x:v>
      </x:c>
      <x:c r="G687" s="38" t="n">
        <x:v>95338</x:v>
      </x:c>
      <x:c r="H687" s="38" t="n">
        <x:v>19750</x:v>
      </x:c>
      <x:c r="I687" s="38" t="n">
        <x:v>4244</x:v>
      </x:c>
      <x:c r="J687" s="38" t="n">
        <x:v>1140</x:v>
      </x:c>
      <x:c r="K687" s="38" t="n">
        <x:v>0</x:v>
      </x:c>
      <x:c r="L687" s="38" t="n">
        <x:v>4245</x:v>
      </x:c>
      <x:c r="M687" s="38" t="n">
        <x:v>600000</x:v>
      </x:c>
      <x:c r="N687" s="38" t="n">
        <x:v>0</x:v>
      </x:c>
      <x:c r="O687" s="38" t="n">
        <x:v>303810</x:v>
      </x:c>
      <x:c r="P687" s="38" t="n">
        <x:f>F687+G687-H687+I687+J687+K687+L687-M687-N687-O687</x:f>
        <x:v>138125</x:v>
      </x:c>
      <x:c r="Q687" s="38" t="n">
        <x:v>138125</x:v>
      </x:c>
      <x:c r="R687" s="38" t="n">
        <x:f>P687-Q687</x:f>
        <x:v>0</x:v>
      </x:c>
      <x:c r="S687" s="38" t="n">
        <x:v>76288</x:v>
      </x:c>
      <x:c r="T687" s="38" t="n">
        <x:v>11726</x:v>
      </x:c>
      <x:c r="U687" s="38" t="n">
        <x:v>85</x:v>
      </x:c>
      <x:c r="V687" s="38" t="n">
        <x:v>1</x:v>
      </x:c>
      <x:c r="W687" s="38" t="n">
        <x:v>0</x:v>
      </x:c>
      <x:c r="X687" s="44" t="n">
        <x:v>0</x:v>
      </x:c>
      <x:c r="Y687" s="38" t="n">
        <x:v>185</x:v>
      </x:c>
      <x:c r="Z687" s="38" t="n">
        <x:v>38</x:v>
      </x:c>
      <x:c r="AA687" s="38" t="n">
        <x:v>28</x:v>
      </x:c>
      <x:c r="AB687" s="38" t="n">
        <x:v>8</x:v>
      </x:c>
      <x:c r="AC687" s="38" t="n">
        <x:v>9880</x:v>
      </x:c>
      <x:c r="AD687" s="38" t="n">
        <x:v>0</x:v>
      </x:c>
      <x:c r="AE687" s="38" t="n">
        <x:f>IF(B687=1,0,F687-Q686)</x:f>
        <x:v>0</x:v>
      </x:c>
    </x:row>
    <x:row r="688" ht="27" customHeight="1">
      <x:c r="A688" s="28" t="str">
        <x:v>Ad-supported</x:v>
      </x:c>
      <x:c r="B688" s="38" t="n">
        <x:v>84</x:v>
      </x:c>
      <x:c r="C688" s="38" t="n">
        <x:v>38</x:v>
      </x:c>
      <x:c r="D688" s="38" t="n">
        <x:v>647745</x:v>
      </x:c>
      <x:c r="E688" s="38" t="n">
        <x:v>95</x:v>
      </x:c>
      <x:c r="F688" s="38" t="n">
        <x:v>138125</x:v>
      </x:c>
      <x:c r="G688" s="38" t="n">
        <x:v>98800</x:v>
      </x:c>
      <x:c r="H688" s="38" t="n">
        <x:v>19760</x:v>
      </x:c>
      <x:c r="I688" s="38" t="n">
        <x:v>25415</x:v>
      </x:c>
      <x:c r="J688" s="38" t="n">
        <x:v>0</x:v>
      </x:c>
      <x:c r="K688" s="38" t="n">
        <x:v>0</x:v>
      </x:c>
      <x:c r="L688" s="38" t="n">
        <x:v>4557</x:v>
      </x:c>
      <x:c r="M688" s="38" t="n">
        <x:v>0</x:v>
      </x:c>
      <x:c r="N688" s="38" t="n">
        <x:v>0</x:v>
      </x:c>
      <x:c r="O688" s="38" t="n">
        <x:v>0</x:v>
      </x:c>
      <x:c r="P688" s="38" t="n">
        <x:f>F688+G688-H688+I688+J688+K688+L688-M688-N688-O688</x:f>
        <x:v>247137</x:v>
      </x:c>
      <x:c r="Q688" s="38" t="n">
        <x:v>247137</x:v>
      </x:c>
      <x:c r="R688" s="38" t="n">
        <x:f>P688-Q688</x:f>
        <x:v>0</x:v>
      </x:c>
      <x:c r="S688" s="38" t="n">
        <x:v>79040</x:v>
      </x:c>
      <x:c r="T688" s="38" t="n">
        <x:v>17911</x:v>
      </x:c>
      <x:c r="U688" s="38" t="n">
        <x:v>87</x:v>
      </x:c>
      <x:c r="V688" s="38" t="n">
        <x:v>2</x:v>
      </x:c>
      <x:c r="W688" s="38" t="n">
        <x:v>0</x:v>
      </x:c>
      <x:c r="X688" s="44" t="n">
        <x:v>0</x:v>
      </x:c>
      <x:c r="Y688" s="38" t="n">
        <x:v>190</x:v>
      </x:c>
      <x:c r="Z688" s="38" t="n">
        <x:v>38</x:v>
      </x:c>
      <x:c r="AA688" s="38" t="n">
        <x:v>28</x:v>
      </x:c>
      <x:c r="AB688" s="38" t="n">
        <x:v>8</x:v>
      </x:c>
      <x:c r="AC688" s="38" t="n">
        <x:v>9880</x:v>
      </x:c>
      <x:c r="AD688" s="38" t="n">
        <x:v>0</x:v>
      </x:c>
      <x:c r="AE688" s="38" t="n">
        <x:f>IF(B688=1,0,F688-Q687)</x:f>
        <x:v>0</x:v>
      </x:c>
    </x:row>
    <x:row r="689" ht="27" customHeight="1">
      <x:c r="A689" s="28" t="str">
        <x:v>Ad-supported</x:v>
      </x:c>
      <x:c r="B689" s="38" t="n">
        <x:v>85</x:v>
      </x:c>
      <x:c r="C689" s="38" t="n">
        <x:v>38</x:v>
      </x:c>
      <x:c r="D689" s="38" t="n">
        <x:v>659824</x:v>
      </x:c>
      <x:c r="E689" s="38" t="n">
        <x:v>95</x:v>
      </x:c>
      <x:c r="F689" s="38" t="n">
        <x:v>247137</x:v>
      </x:c>
      <x:c r="G689" s="38" t="n">
        <x:v>98800</x:v>
      </x:c>
      <x:c r="H689" s="38" t="n">
        <x:v>19760</x:v>
      </x:c>
      <x:c r="I689" s="38" t="n">
        <x:v>4557</x:v>
      </x:c>
      <x:c r="J689" s="38" t="n">
        <x:v>0</x:v>
      </x:c>
      <x:c r="K689" s="38" t="n">
        <x:v>0</x:v>
      </x:c>
      <x:c r="L689" s="38" t="n">
        <x:v>4557</x:v>
      </x:c>
      <x:c r="M689" s="38" t="n">
        <x:v>0</x:v>
      </x:c>
      <x:c r="N689" s="38" t="n">
        <x:v>7940</x:v>
      </x:c>
      <x:c r="O689" s="38" t="n">
        <x:v>0</x:v>
      </x:c>
      <x:c r="P689" s="38" t="n">
        <x:f>F689+G689-H689+I689+J689+K689+L689-M689-N689-O689</x:f>
        <x:v>327351</x:v>
      </x:c>
      <x:c r="Q689" s="38" t="n">
        <x:v>327351</x:v>
      </x:c>
      <x:c r="R689" s="38" t="n">
        <x:f>P689-Q689</x:f>
        <x:v>0</x:v>
      </x:c>
      <x:c r="S689" s="38" t="n">
        <x:v>79040</x:v>
      </x:c>
      <x:c r="T689" s="38" t="n">
        <x:v>12079</x:v>
      </x:c>
      <x:c r="U689" s="38" t="n">
        <x:v>87</x:v>
      </x:c>
      <x:c r="V689" s="38" t="n">
        <x:v>0</x:v>
      </x:c>
      <x:c r="W689" s="38" t="n">
        <x:v>0</x:v>
      </x:c>
      <x:c r="X689" s="44" t="n">
        <x:v>0</x:v>
      </x:c>
      <x:c r="Y689" s="38" t="n">
        <x:v>190</x:v>
      </x:c>
      <x:c r="Z689" s="38" t="n">
        <x:v>38</x:v>
      </x:c>
      <x:c r="AA689" s="38" t="n">
        <x:v>29</x:v>
      </x:c>
      <x:c r="AB689" s="38" t="n">
        <x:v>8</x:v>
      </x:c>
      <x:c r="AC689" s="38" t="n">
        <x:v>9880</x:v>
      </x:c>
      <x:c r="AD689" s="38" t="n">
        <x:v>0</x:v>
      </x:c>
      <x:c r="AE689" s="38" t="n">
        <x:f>IF(B689=1,0,F689-Q688)</x:f>
        <x:v>0</x:v>
      </x:c>
    </x:row>
    <x:row r="690" ht="27" customHeight="1">
      <x:c r="A690" s="28" t="str">
        <x:v>Ad-supported</x:v>
      </x:c>
      <x:c r="B690" s="38" t="n">
        <x:v>86</x:v>
      </x:c>
      <x:c r="C690" s="38" t="n">
        <x:v>38</x:v>
      </x:c>
      <x:c r="D690" s="38" t="n">
        <x:v>671903</x:v>
      </x:c>
      <x:c r="E690" s="38" t="n">
        <x:v>95</x:v>
      </x:c>
      <x:c r="F690" s="38" t="n">
        <x:v>327351</x:v>
      </x:c>
      <x:c r="G690" s="38" t="n">
        <x:v>98800</x:v>
      </x:c>
      <x:c r="H690" s="38" t="n">
        <x:v>19760</x:v>
      </x:c>
      <x:c r="I690" s="38" t="n">
        <x:v>4557</x:v>
      </x:c>
      <x:c r="J690" s="38" t="n">
        <x:v>0</x:v>
      </x:c>
      <x:c r="K690" s="38" t="n">
        <x:v>0</x:v>
      </x:c>
      <x:c r="L690" s="38" t="n">
        <x:v>4557</x:v>
      </x:c>
      <x:c r="M690" s="38" t="n">
        <x:v>0</x:v>
      </x:c>
      <x:c r="N690" s="38" t="n">
        <x:v>0</x:v>
      </x:c>
      <x:c r="O690" s="38" t="n">
        <x:v>0</x:v>
      </x:c>
      <x:c r="P690" s="38" t="n">
        <x:f>F690+G690-H690+I690+J690+K690+L690-M690-N690-O690</x:f>
        <x:v>415505</x:v>
      </x:c>
      <x:c r="Q690" s="38" t="n">
        <x:v>415505</x:v>
      </x:c>
      <x:c r="R690" s="38" t="n">
        <x:f>P690-Q690</x:f>
        <x:v>0</x:v>
      </x:c>
      <x:c r="S690" s="38" t="n">
        <x:v>79040</x:v>
      </x:c>
      <x:c r="T690" s="38" t="n">
        <x:v>12079</x:v>
      </x:c>
      <x:c r="U690" s="38" t="n">
        <x:v>87</x:v>
      </x:c>
      <x:c r="V690" s="38" t="n">
        <x:v>0</x:v>
      </x:c>
      <x:c r="W690" s="38" t="n">
        <x:v>0</x:v>
      </x:c>
      <x:c r="X690" s="44" t="n">
        <x:v>0</x:v>
      </x:c>
      <x:c r="Y690" s="38" t="n">
        <x:v>190</x:v>
      </x:c>
      <x:c r="Z690" s="38" t="n">
        <x:v>38</x:v>
      </x:c>
      <x:c r="AA690" s="38" t="n">
        <x:v>29</x:v>
      </x:c>
      <x:c r="AB690" s="38" t="n">
        <x:v>8</x:v>
      </x:c>
      <x:c r="AC690" s="38" t="n">
        <x:v>9880</x:v>
      </x:c>
      <x:c r="AD690" s="38" t="n">
        <x:v>0</x:v>
      </x:c>
      <x:c r="AE690" s="38" t="n">
        <x:f>IF(B690=1,0,F690-Q689)</x:f>
        <x:v>0</x:v>
      </x:c>
    </x:row>
    <x:row r="691" ht="27" customHeight="1">
      <x:c r="A691" s="28" t="str">
        <x:v>Ad-supported</x:v>
      </x:c>
      <x:c r="B691" s="38" t="n">
        <x:v>87</x:v>
      </x:c>
      <x:c r="C691" s="38" t="n">
        <x:v>39</x:v>
      </x:c>
      <x:c r="D691" s="38" t="n">
        <x:v>683982</x:v>
      </x:c>
      <x:c r="E691" s="38" t="n">
        <x:v>95</x:v>
      </x:c>
      <x:c r="F691" s="38" t="n">
        <x:v>415505</x:v>
      </x:c>
      <x:c r="G691" s="38" t="n">
        <x:v>98800</x:v>
      </x:c>
      <x:c r="H691" s="38" t="n">
        <x:v>20813</x:v>
      </x:c>
      <x:c r="I691" s="38" t="n">
        <x:v>4557</x:v>
      </x:c>
      <x:c r="J691" s="38" t="n">
        <x:v>1160</x:v>
      </x:c>
      <x:c r="K691" s="38" t="n">
        <x:v>0</x:v>
      </x:c>
      <x:c r="L691" s="38" t="n">
        <x:v>4557</x:v>
      </x:c>
      <x:c r="M691" s="38" t="n">
        <x:v>0</x:v>
      </x:c>
      <x:c r="N691" s="38" t="n">
        <x:v>0</x:v>
      </x:c>
      <x:c r="O691" s="38" t="n">
        <x:v>0</x:v>
      </x:c>
      <x:c r="P691" s="38" t="n">
        <x:f>F691+G691-H691+I691+J691+K691+L691-M691-N691-O691</x:f>
        <x:v>503766</x:v>
      </x:c>
      <x:c r="Q691" s="38" t="n">
        <x:v>503766</x:v>
      </x:c>
      <x:c r="R691" s="38" t="n">
        <x:f>P691-Q691</x:f>
        <x:v>0</x:v>
      </x:c>
      <x:c r="S691" s="38" t="n">
        <x:v>79040</x:v>
      </x:c>
      <x:c r="T691" s="38" t="n">
        <x:v>12079</x:v>
      </x:c>
      <x:c r="U691" s="38" t="n">
        <x:v>87</x:v>
      </x:c>
      <x:c r="V691" s="38" t="n">
        <x:v>0</x:v>
      </x:c>
      <x:c r="W691" s="38" t="n">
        <x:v>0</x:v>
      </x:c>
      <x:c r="X691" s="44" t="n">
        <x:v>0</x:v>
      </x:c>
      <x:c r="Y691" s="38" t="n">
        <x:v>190</x:v>
      </x:c>
      <x:c r="Z691" s="38" t="n">
        <x:v>38</x:v>
      </x:c>
      <x:c r="AA691" s="38" t="n">
        <x:v>29</x:v>
      </x:c>
      <x:c r="AB691" s="38" t="n">
        <x:v>8</x:v>
      </x:c>
      <x:c r="AC691" s="38" t="n">
        <x:v>10933</x:v>
      </x:c>
      <x:c r="AD691" s="38" t="n">
        <x:v>0</x:v>
      </x:c>
      <x:c r="AE691" s="38" t="n">
        <x:f>IF(B691=1,0,F691-Q690)</x:f>
        <x:v>0</x:v>
      </x:c>
    </x:row>
    <x:row r="692" ht="27" customHeight="1">
      <x:c r="A692" s="28" t="str">
        <x:v>Ad-supported</x:v>
      </x:c>
      <x:c r="B692" s="38" t="n">
        <x:v>88</x:v>
      </x:c>
      <x:c r="C692" s="38" t="n">
        <x:v>39</x:v>
      </x:c>
      <x:c r="D692" s="38" t="n">
        <x:v>695082</x:v>
      </x:c>
      <x:c r="E692" s="38" t="n">
        <x:v>95</x:v>
      </x:c>
      <x:c r="F692" s="38" t="n">
        <x:v>503766</x:v>
      </x:c>
      <x:c r="G692" s="38" t="n">
        <x:v>109954</x:v>
      </x:c>
      <x:c r="H692" s="38" t="n">
        <x:v>22040</x:v>
      </x:c>
      <x:c r="I692" s="38" t="n">
        <x:v>4634</x:v>
      </x:c>
      <x:c r="J692" s="38" t="n">
        <x:v>0</x:v>
      </x:c>
      <x:c r="K692" s="38" t="n">
        <x:v>0</x:v>
      </x:c>
      <x:c r="L692" s="38" t="n">
        <x:v>4635</x:v>
      </x:c>
      <x:c r="M692" s="38" t="n">
        <x:v>0</x:v>
      </x:c>
      <x:c r="N692" s="38" t="n">
        <x:v>4340</x:v>
      </x:c>
      <x:c r="O692" s="38" t="n">
        <x:v>0</x:v>
      </x:c>
      <x:c r="P692" s="38" t="n">
        <x:f>F692+G692-H692+I692+J692+K692+L692-M692-N692-O692</x:f>
        <x:v>596609</x:v>
      </x:c>
      <x:c r="Q692" s="38" t="n">
        <x:v>596609</x:v>
      </x:c>
      <x:c r="R692" s="38" t="n">
        <x:f>P692-Q692</x:f>
        <x:v>0</x:v>
      </x:c>
      <x:c r="S692" s="38" t="n">
        <x:v>88001</x:v>
      </x:c>
      <x:c r="T692" s="38" t="n">
        <x:v>11100</x:v>
      </x:c>
      <x:c r="U692" s="38" t="n">
        <x:v>87</x:v>
      </x:c>
      <x:c r="V692" s="38" t="n">
        <x:v>0</x:v>
      </x:c>
      <x:c r="W692" s="38" t="n">
        <x:v>0</x:v>
      </x:c>
      <x:c r="X692" s="44" t="n">
        <x:v>0</x:v>
      </x:c>
      <x:c r="Y692" s="38" t="n">
        <x:v>190</x:v>
      </x:c>
      <x:c r="Z692" s="38" t="n">
        <x:v>39</x:v>
      </x:c>
      <x:c r="AA692" s="38" t="n">
        <x:v>30</x:v>
      </x:c>
      <x:c r="AB692" s="38" t="n">
        <x:v>8</x:v>
      </x:c>
      <x:c r="AC692" s="38" t="n">
        <x:v>11020</x:v>
      </x:c>
      <x:c r="AD692" s="38" t="n">
        <x:v>0</x:v>
      </x:c>
      <x:c r="AE692" s="38" t="n">
        <x:f>IF(B692=1,0,F692-Q691)</x:f>
        <x:v>0</x:v>
      </x:c>
    </x:row>
    <x:row r="693" ht="27" customHeight="1">
      <x:c r="A693" s="28" t="str">
        <x:v>Ad-supported</x:v>
      </x:c>
      <x:c r="B693" s="38" t="n">
        <x:v>89</x:v>
      </x:c>
      <x:c r="C693" s="38" t="n">
        <x:v>39</x:v>
      </x:c>
      <x:c r="D693" s="38" t="n">
        <x:v>706221</x:v>
      </x:c>
      <x:c r="E693" s="38" t="n">
        <x:v>95</x:v>
      </x:c>
      <x:c r="F693" s="38" t="n">
        <x:v>596609</x:v>
      </x:c>
      <x:c r="G693" s="38" t="n">
        <x:v>110390</x:v>
      </x:c>
      <x:c r="H693" s="38" t="n">
        <x:v>22040</x:v>
      </x:c>
      <x:c r="I693" s="38" t="n">
        <x:v>4634</x:v>
      </x:c>
      <x:c r="J693" s="38" t="n">
        <x:v>0</x:v>
      </x:c>
      <x:c r="K693" s="38" t="n">
        <x:v>0</x:v>
      </x:c>
      <x:c r="L693" s="38" t="n">
        <x:v>4635</x:v>
      </x:c>
      <x:c r="M693" s="38" t="n">
        <x:v>0</x:v>
      </x:c>
      <x:c r="N693" s="38" t="n">
        <x:v>0</x:v>
      </x:c>
      <x:c r="O693" s="38" t="n">
        <x:v>0</x:v>
      </x:c>
      <x:c r="P693" s="38" t="n">
        <x:f>F693+G693-H693+I693+J693+K693+L693-M693-N693-O693</x:f>
        <x:v>694228</x:v>
      </x:c>
      <x:c r="Q693" s="38" t="n">
        <x:v>694228</x:v>
      </x:c>
      <x:c r="R693" s="38" t="n">
        <x:f>P693-Q693</x:f>
        <x:v>0</x:v>
      </x:c>
      <x:c r="S693" s="38" t="n">
        <x:v>88350</x:v>
      </x:c>
      <x:c r="T693" s="38" t="n">
        <x:v>11139</x:v>
      </x:c>
      <x:c r="U693" s="38" t="n">
        <x:v>87</x:v>
      </x:c>
      <x:c r="V693" s="38" t="n">
        <x:v>0</x:v>
      </x:c>
      <x:c r="W693" s="38" t="n">
        <x:v>0</x:v>
      </x:c>
      <x:c r="X693" s="44" t="n">
        <x:v>0</x:v>
      </x:c>
      <x:c r="Y693" s="38" t="n">
        <x:v>190</x:v>
      </x:c>
      <x:c r="Z693" s="38" t="n">
        <x:v>39</x:v>
      </x:c>
      <x:c r="AA693" s="38" t="n">
        <x:v>30</x:v>
      </x:c>
      <x:c r="AB693" s="38" t="n">
        <x:v>8</x:v>
      </x:c>
      <x:c r="AC693" s="38" t="n">
        <x:v>11020</x:v>
      </x:c>
      <x:c r="AD693" s="38" t="n">
        <x:v>0</x:v>
      </x:c>
      <x:c r="AE693" s="38" t="n">
        <x:f>IF(B693=1,0,F693-Q692)</x:f>
        <x:v>0</x:v>
      </x:c>
    </x:row>
    <x:row r="694" ht="27" customHeight="1">
      <x:c r="A694" s="28" t="str">
        <x:v>Ad-supported</x:v>
      </x:c>
      <x:c r="B694" s="38" t="n">
        <x:v>90</x:v>
      </x:c>
      <x:c r="C694" s="38" t="n">
        <x:v>39</x:v>
      </x:c>
      <x:c r="D694" s="38" t="n">
        <x:v>717360</x:v>
      </x:c>
      <x:c r="E694" s="38" t="n">
        <x:v>95</x:v>
      </x:c>
      <x:c r="F694" s="38" t="n">
        <x:v>694228</x:v>
      </x:c>
      <x:c r="G694" s="38" t="n">
        <x:v>110390</x:v>
      </x:c>
      <x:c r="H694" s="38" t="n">
        <x:v>22040</x:v>
      </x:c>
      <x:c r="I694" s="38" t="n">
        <x:v>4634</x:v>
      </x:c>
      <x:c r="J694" s="38" t="n">
        <x:v>0</x:v>
      </x:c>
      <x:c r="K694" s="38" t="n">
        <x:v>0</x:v>
      </x:c>
      <x:c r="L694" s="38" t="n">
        <x:v>4635</x:v>
      </x:c>
      <x:c r="M694" s="38" t="n">
        <x:v>0</x:v>
      </x:c>
      <x:c r="N694" s="38" t="n">
        <x:v>0</x:v>
      </x:c>
      <x:c r="O694" s="38" t="n">
        <x:v>0</x:v>
      </x:c>
      <x:c r="P694" s="38" t="n">
        <x:f>F694+G694-H694+I694+J694+K694+L694-M694-N694-O694</x:f>
        <x:v>791847</x:v>
      </x:c>
      <x:c r="Q694" s="38" t="n">
        <x:v>791847</x:v>
      </x:c>
      <x:c r="R694" s="38" t="n">
        <x:f>P694-Q694</x:f>
        <x:v>0</x:v>
      </x:c>
      <x:c r="S694" s="38" t="n">
        <x:v>88350</x:v>
      </x:c>
      <x:c r="T694" s="38" t="n">
        <x:v>11139</x:v>
      </x:c>
      <x:c r="U694" s="38" t="n">
        <x:v>87</x:v>
      </x:c>
      <x:c r="V694" s="38" t="n">
        <x:v>0</x:v>
      </x:c>
      <x:c r="W694" s="38" t="n">
        <x:v>0</x:v>
      </x:c>
      <x:c r="X694" s="44" t="n">
        <x:v>0</x:v>
      </x:c>
      <x:c r="Y694" s="38" t="n">
        <x:v>190</x:v>
      </x:c>
      <x:c r="Z694" s="38" t="n">
        <x:v>39</x:v>
      </x:c>
      <x:c r="AA694" s="38" t="n">
        <x:v>30</x:v>
      </x:c>
      <x:c r="AB694" s="38" t="n">
        <x:v>8</x:v>
      </x:c>
      <x:c r="AC694" s="38" t="n">
        <x:v>11020</x:v>
      </x:c>
      <x:c r="AD694" s="38" t="n">
        <x:v>0</x:v>
      </x:c>
      <x:c r="AE694" s="38" t="n">
        <x:f>IF(B694=1,0,F694-Q693)</x:f>
        <x:v>0</x:v>
      </x:c>
    </x:row>
    <x:row r="695" ht="27" customHeight="1">
      <x:c r="A695" s="28" t="str">
        <x:v>Ad-supported</x:v>
      </x:c>
      <x:c r="B695" s="38" t="n">
        <x:v>91</x:v>
      </x:c>
      <x:c r="C695" s="38" t="n">
        <x:v>39</x:v>
      </x:c>
      <x:c r="D695" s="38" t="n">
        <x:v>734746</x:v>
      </x:c>
      <x:c r="E695" s="38" t="n">
        <x:v>95</x:v>
      </x:c>
      <x:c r="F695" s="38" t="n">
        <x:v>791847</x:v>
      </x:c>
      <x:c r="G695" s="38" t="n">
        <x:v>110390</x:v>
      </x:c>
      <x:c r="H695" s="38" t="n">
        <x:v>22040</x:v>
      </x:c>
      <x:c r="I695" s="38" t="n">
        <x:v>27420</x:v>
      </x:c>
      <x:c r="J695" s="38" t="n">
        <x:v>0</x:v>
      </x:c>
      <x:c r="K695" s="38" t="n">
        <x:v>0</x:v>
      </x:c>
      <x:c r="L695" s="38" t="n">
        <x:v>4635</x:v>
      </x:c>
      <x:c r="M695" s="38" t="n">
        <x:v>0</x:v>
      </x:c>
      <x:c r="N695" s="38" t="n">
        <x:v>9170</x:v>
      </x:c>
      <x:c r="O695" s="38" t="n">
        <x:v>0</x:v>
      </x:c>
      <x:c r="P695" s="38" t="n">
        <x:f>F695+G695-H695+I695+J695+K695+L695-M695-N695-O695</x:f>
        <x:v>903082</x:v>
      </x:c>
      <x:c r="Q695" s="38" t="n">
        <x:v>903082</x:v>
      </x:c>
      <x:c r="R695" s="38" t="n">
        <x:f>P695-Q695</x:f>
        <x:v>0</x:v>
      </x:c>
      <x:c r="S695" s="38" t="n">
        <x:v>88350</x:v>
      </x:c>
      <x:c r="T695" s="38" t="n">
        <x:v>17386</x:v>
      </x:c>
      <x:c r="U695" s="38" t="n">
        <x:v>89</x:v>
      </x:c>
      <x:c r="V695" s="38" t="n">
        <x:v>2</x:v>
      </x:c>
      <x:c r="W695" s="38" t="n">
        <x:v>0</x:v>
      </x:c>
      <x:c r="X695" s="44" t="n">
        <x:v>0</x:v>
      </x:c>
      <x:c r="Y695" s="38" t="n">
        <x:v>190</x:v>
      </x:c>
      <x:c r="Z695" s="38" t="n">
        <x:v>39</x:v>
      </x:c>
      <x:c r="AA695" s="38" t="n">
        <x:v>31</x:v>
      </x:c>
      <x:c r="AB695" s="38" t="n">
        <x:v>8</x:v>
      </x:c>
      <x:c r="AC695" s="38" t="n">
        <x:v>11020</x:v>
      </x:c>
      <x:c r="AD695" s="38" t="n">
        <x:v>0</x:v>
      </x:c>
      <x:c r="AE695" s="38" t="n">
        <x:f>IF(B695=1,0,F695-Q694)</x:f>
        <x:v>0</x:v>
      </x:c>
    </x:row>
    <x:row r="696" ht="27" customHeight="1">
      <x:c r="A696" s="28" t="str">
        <x:v>Ad-supported</x:v>
      </x:c>
      <x:c r="B696" s="38" t="n">
        <x:v>92</x:v>
      </x:c>
      <x:c r="C696" s="38" t="n">
        <x:v>40</x:v>
      </x:c>
      <x:c r="D696" s="38" t="n">
        <x:v>742640</x:v>
      </x:c>
      <x:c r="E696" s="38" t="n">
        <x:v>100</x:v>
      </x:c>
      <x:c r="F696" s="38" t="n">
        <x:v>903082</x:v>
      </x:c>
      <x:c r="G696" s="38" t="n">
        <x:v>110390</x:v>
      </x:c>
      <x:c r="H696" s="38" t="n">
        <x:v>22130</x:v>
      </x:c>
      <x:c r="I696" s="38" t="n">
        <x:v>4634</x:v>
      </x:c>
      <x:c r="J696" s="38" t="n">
        <x:v>1240</x:v>
      </x:c>
      <x:c r="K696" s="38" t="n">
        <x:v>0</x:v>
      </x:c>
      <x:c r="L696" s="38" t="n">
        <x:v>4635</x:v>
      </x:c>
      <x:c r="M696" s="38" t="n">
        <x:v>700000</x:v>
      </x:c>
      <x:c r="N696" s="38" t="n">
        <x:v>0</x:v>
      </x:c>
      <x:c r="O696" s="38" t="n">
        <x:v>291051</x:v>
      </x:c>
      <x:c r="P696" s="38" t="n">
        <x:f>F696+G696-H696+I696+J696+K696+L696-M696-N696-O696</x:f>
        <x:v>10800</x:v>
      </x:c>
      <x:c r="Q696" s="38" t="n">
        <x:v>10800</x:v>
      </x:c>
      <x:c r="R696" s="38" t="n">
        <x:f>P696-Q696</x:f>
        <x:v>0</x:v>
      </x:c>
      <x:c r="S696" s="38" t="n">
        <x:v>88350</x:v>
      </x:c>
      <x:c r="T696" s="38" t="n">
        <x:v>7894</x:v>
      </x:c>
      <x:c r="U696" s="38" t="n">
        <x:v>92</x:v>
      </x:c>
      <x:c r="V696" s="38" t="n">
        <x:v>3</x:v>
      </x:c>
      <x:c r="W696" s="38" t="n">
        <x:v>0</x:v>
      </x:c>
      <x:c r="X696" s="44" t="n">
        <x:v>0</x:v>
      </x:c>
      <x:c r="Y696" s="38" t="n">
        <x:v>190</x:v>
      </x:c>
      <x:c r="Z696" s="38" t="n">
        <x:v>39</x:v>
      </x:c>
      <x:c r="AA696" s="38" t="n">
        <x:v>31</x:v>
      </x:c>
      <x:c r="AB696" s="38" t="n">
        <x:v>8</x:v>
      </x:c>
      <x:c r="AC696" s="38" t="n">
        <x:v>11110</x:v>
      </x:c>
      <x:c r="AD696" s="38" t="n">
        <x:v>0</x:v>
      </x:c>
      <x:c r="AE696" s="38" t="n">
        <x:f>IF(B696=1,0,F696-Q695)</x:f>
        <x:v>0</x:v>
      </x:c>
    </x:row>
    <x:row r="697" ht="27" customHeight="1">
      <x:c r="A697" s="28" t="str">
        <x:v>Ad-supported</x:v>
      </x:c>
      <x:c r="B697" s="38" t="n">
        <x:v>93</x:v>
      </x:c>
      <x:c r="C697" s="38" t="n">
        <x:v>40</x:v>
      </x:c>
      <x:c r="D697" s="38" t="n">
        <x:v>742640</x:v>
      </x:c>
      <x:c r="E697" s="38" t="n">
        <x:v>100</x:v>
      </x:c>
      <x:c r="F697" s="38" t="n">
        <x:v>10800</x:v>
      </x:c>
      <x:c r="G697" s="38" t="n">
        <x:v>106524</x:v>
      </x:c>
      <x:c r="H697" s="38" t="n">
        <x:v>21384</x:v>
      </x:c>
      <x:c r="I697" s="38" t="n">
        <x:v>4959</x:v>
      </x:c>
      <x:c r="J697" s="38" t="n">
        <x:v>0</x:v>
      </x:c>
      <x:c r="K697" s="38" t="n">
        <x:v>0</x:v>
      </x:c>
      <x:c r="L697" s="38" t="n">
        <x:v>4959</x:v>
      </x:c>
      <x:c r="M697" s="38" t="n">
        <x:v>0</x:v>
      </x:c>
      <x:c r="N697" s="38" t="n">
        <x:v>0</x:v>
      </x:c>
      <x:c r="O697" s="38" t="n">
        <x:v>95058</x:v>
      </x:c>
      <x:c r="P697" s="38" t="n">
        <x:f>F697+G697-H697+I697+J697+K697+L697-M697-N697-O697</x:f>
        <x:v>10800</x:v>
      </x:c>
      <x:c r="Q697" s="38" t="n">
        <x:v>10800</x:v>
      </x:c>
      <x:c r="R697" s="38" t="n">
        <x:f>P697-Q697</x:f>
        <x:v>0</x:v>
      </x:c>
      <x:c r="S697" s="38" t="n">
        <x:v>85140</x:v>
      </x:c>
      <x:c r="T697" s="38" t="n">
        <x:v>0</x:v>
      </x:c>
      <x:c r="U697" s="38" t="n">
        <x:v>92</x:v>
      </x:c>
      <x:c r="V697" s="38" t="n">
        <x:v>0</x:v>
      </x:c>
      <x:c r="W697" s="38" t="n">
        <x:v>0</x:v>
      </x:c>
      <x:c r="X697" s="44" t="n">
        <x:v>0</x:v>
      </x:c>
      <x:c r="Y697" s="38" t="n">
        <x:v>198</x:v>
      </x:c>
      <x:c r="Z697" s="38" t="n">
        <x:v>39</x:v>
      </x:c>
      <x:c r="AA697" s="38" t="n">
        <x:v>31</x:v>
      </x:c>
      <x:c r="AB697" s="38" t="n">
        <x:v>8</x:v>
      </x:c>
      <x:c r="AC697" s="38" t="n">
        <x:v>11110</x:v>
      </x:c>
      <x:c r="AD697" s="38" t="n">
        <x:v>0</x:v>
      </x:c>
      <x:c r="AE697" s="38" t="n">
        <x:f>IF(B697=1,0,F697-Q696)</x:f>
        <x:v>0</x:v>
      </x:c>
    </x:row>
    <x:row r="698" ht="27" customHeight="1">
      <x:c r="A698" s="28" t="str">
        <x:v>Ad-supported</x:v>
      </x:c>
      <x:c r="B698" s="38" t="n">
        <x:v>94</x:v>
      </x:c>
      <x:c r="C698" s="38" t="n">
        <x:v>40</x:v>
      </x:c>
      <x:c r="D698" s="38" t="n">
        <x:v>742640</x:v>
      </x:c>
      <x:c r="E698" s="38" t="n">
        <x:v>100</x:v>
      </x:c>
      <x:c r="F698" s="38" t="n">
        <x:v>10800</x:v>
      </x:c>
      <x:c r="G698" s="38" t="n">
        <x:v>108615</x:v>
      </x:c>
      <x:c r="H698" s="38" t="n">
        <x:v>21492</x:v>
      </x:c>
      <x:c r="I698" s="38" t="n">
        <x:v>4959</x:v>
      </x:c>
      <x:c r="J698" s="38" t="n">
        <x:v>0</x:v>
      </x:c>
      <x:c r="K698" s="38" t="n">
        <x:v>0</x:v>
      </x:c>
      <x:c r="L698" s="38" t="n">
        <x:v>4959</x:v>
      </x:c>
      <x:c r="M698" s="38" t="n">
        <x:v>0</x:v>
      </x:c>
      <x:c r="N698" s="38" t="n">
        <x:v>5005</x:v>
      </x:c>
      <x:c r="O698" s="38" t="n">
        <x:v>92036</x:v>
      </x:c>
      <x:c r="P698" s="38" t="n">
        <x:f>F698+G698-H698+I698+J698+K698+L698-M698-N698-O698</x:f>
        <x:v>10800</x:v>
      </x:c>
      <x:c r="Q698" s="38" t="n">
        <x:v>10800</x:v>
      </x:c>
      <x:c r="R698" s="38" t="n">
        <x:f>P698-Q698</x:f>
        <x:v>0</x:v>
      </x:c>
      <x:c r="S698" s="38" t="n">
        <x:v>86813</x:v>
      </x:c>
      <x:c r="T698" s="38" t="n">
        <x:v>0</x:v>
      </x:c>
      <x:c r="U698" s="38" t="n">
        <x:v>94</x:v>
      </x:c>
      <x:c r="V698" s="38" t="n">
        <x:v>2</x:v>
      </x:c>
      <x:c r="W698" s="38" t="n">
        <x:v>0</x:v>
      </x:c>
      <x:c r="X698" s="44" t="n">
        <x:v>0</x:v>
      </x:c>
      <x:c r="Y698" s="38" t="n">
        <x:v>199</x:v>
      </x:c>
      <x:c r="Z698" s="38" t="n">
        <x:v>40</x:v>
      </x:c>
      <x:c r="AA698" s="38" t="n">
        <x:v>32</x:v>
      </x:c>
      <x:c r="AB698" s="38" t="n">
        <x:v>8</x:v>
      </x:c>
      <x:c r="AC698" s="38" t="n">
        <x:v>10800</x:v>
      </x:c>
      <x:c r="AD698" s="38" t="n">
        <x:v>0</x:v>
      </x:c>
      <x:c r="AE698" s="38" t="n">
        <x:f>IF(B698=1,0,F698-Q697)</x:f>
        <x:v>0</x:v>
      </x:c>
    </x:row>
    <x:row r="699" ht="27" customHeight="1">
      <x:c r="A699" s="28" t="str">
        <x:v>Ad-supported</x:v>
      </x:c>
      <x:c r="B699" s="38" t="n">
        <x:v>95</x:v>
      </x:c>
      <x:c r="C699" s="38" t="n">
        <x:v>40</x:v>
      </x:c>
      <x:c r="D699" s="38" t="n">
        <x:v>742640</x:v>
      </x:c>
      <x:c r="E699" s="38" t="n">
        <x:v>100</x:v>
      </x:c>
      <x:c r="F699" s="38" t="n">
        <x:v>10800</x:v>
      </x:c>
      <x:c r="G699" s="38" t="n">
        <x:v>107600</x:v>
      </x:c>
      <x:c r="H699" s="38" t="n">
        <x:v>21600</x:v>
      </x:c>
      <x:c r="I699" s="38" t="n">
        <x:v>4959</x:v>
      </x:c>
      <x:c r="J699" s="38" t="n">
        <x:v>0</x:v>
      </x:c>
      <x:c r="K699" s="38" t="n">
        <x:v>0</x:v>
      </x:c>
      <x:c r="L699" s="38" t="n">
        <x:v>4959</x:v>
      </x:c>
      <x:c r="M699" s="38" t="n">
        <x:v>0</x:v>
      </x:c>
      <x:c r="N699" s="38" t="n">
        <x:v>0</x:v>
      </x:c>
      <x:c r="O699" s="38" t="n">
        <x:v>17755</x:v>
      </x:c>
      <x:c r="P699" s="38" t="n">
        <x:f>F699+G699-H699+I699+J699+K699+L699-M699-N699-O699</x:f>
        <x:v>88963</x:v>
      </x:c>
      <x:c r="Q699" s="38" t="n">
        <x:v>88963</x:v>
      </x:c>
      <x:c r="R699" s="38" t="n">
        <x:f>P699-Q699</x:f>
        <x:v>0</x:v>
      </x:c>
      <x:c r="S699" s="38" t="n">
        <x:v>86000</x:v>
      </x:c>
      <x:c r="T699" s="38" t="n">
        <x:v>0</x:v>
      </x:c>
      <x:c r="U699" s="38" t="n">
        <x:v>94</x:v>
      </x:c>
      <x:c r="V699" s="38" t="n">
        <x:v>0</x:v>
      </x:c>
      <x:c r="W699" s="38" t="n">
        <x:v>0</x:v>
      </x:c>
      <x:c r="X699" s="44" t="n">
        <x:v>0</x:v>
      </x:c>
      <x:c r="Y699" s="38" t="n">
        <x:v>200</x:v>
      </x:c>
      <x:c r="Z699" s="38" t="n">
        <x:v>40</x:v>
      </x:c>
      <x:c r="AA699" s="38" t="n">
        <x:v>32</x:v>
      </x:c>
      <x:c r="AB699" s="38" t="n">
        <x:v>9</x:v>
      </x:c>
      <x:c r="AC699" s="38" t="n">
        <x:v>10800</x:v>
      </x:c>
      <x:c r="AD699" s="38" t="n">
        <x:v>0</x:v>
      </x:c>
      <x:c r="AE699" s="38" t="n">
        <x:f>IF(B699=1,0,F699-Q698)</x:f>
        <x:v>0</x:v>
      </x:c>
    </x:row>
    <x:row r="700" ht="27" customHeight="1">
      <x:c r="A700" s="28" t="str">
        <x:v>Ad-supported</x:v>
      </x:c>
      <x:c r="B700" s="38" t="n">
        <x:v>96</x:v>
      </x:c>
      <x:c r="C700" s="38" t="n">
        <x:v>40</x:v>
      </x:c>
      <x:c r="D700" s="38" t="n">
        <x:v>742640</x:v>
      </x:c>
      <x:c r="E700" s="38" t="n">
        <x:v>100</x:v>
      </x:c>
      <x:c r="F700" s="38" t="n">
        <x:v>88963</x:v>
      </x:c>
      <x:c r="G700" s="38" t="n">
        <x:v>107600</x:v>
      </x:c>
      <x:c r="H700" s="38" t="n">
        <x:v>21600</x:v>
      </x:c>
      <x:c r="I700" s="38" t="n">
        <x:v>4959</x:v>
      </x:c>
      <x:c r="J700" s="38" t="n">
        <x:v>0</x:v>
      </x:c>
      <x:c r="K700" s="38" t="n">
        <x:v>0</x:v>
      </x:c>
      <x:c r="L700" s="38" t="n">
        <x:v>4959</x:v>
      </x:c>
      <x:c r="M700" s="38" t="n">
        <x:v>0</x:v>
      </x:c>
      <x:c r="N700" s="38" t="n">
        <x:v>0</x:v>
      </x:c>
      <x:c r="O700" s="38" t="n">
        <x:v>174081</x:v>
      </x:c>
      <x:c r="P700" s="38" t="n">
        <x:f>F700+G700-H700+I700+J700+K700+L700-M700-N700-O700</x:f>
        <x:v>10800</x:v>
      </x:c>
      <x:c r="Q700" s="38" t="n">
        <x:v>10800</x:v>
      </x:c>
      <x:c r="R700" s="38" t="n">
        <x:f>P700-Q700</x:f>
        <x:v>0</x:v>
      </x:c>
      <x:c r="S700" s="38" t="n">
        <x:v>86000</x:v>
      </x:c>
      <x:c r="T700" s="38" t="n">
        <x:v>0</x:v>
      </x:c>
      <x:c r="U700" s="38" t="n">
        <x:v>94</x:v>
      </x:c>
      <x:c r="V700" s="38" t="n">
        <x:v>0</x:v>
      </x:c>
      <x:c r="W700" s="38" t="n">
        <x:v>0</x:v>
      </x:c>
      <x:c r="X700" s="44" t="n">
        <x:v>0</x:v>
      </x:c>
      <x:c r="Y700" s="38" t="n">
        <x:v>200</x:v>
      </x:c>
      <x:c r="Z700" s="38" t="n">
        <x:v>40</x:v>
      </x:c>
      <x:c r="AA700" s="38" t="n">
        <x:v>32</x:v>
      </x:c>
      <x:c r="AB700" s="38" t="n">
        <x:v>9</x:v>
      </x:c>
      <x:c r="AC700" s="38" t="n">
        <x:v>10800</x:v>
      </x:c>
      <x:c r="AD700" s="38" t="n">
        <x:v>0</x:v>
      </x:c>
      <x:c r="AE700" s="38" t="n">
        <x:f>IF(B700=1,0,F700-Q699)</x:f>
        <x:v>0</x:v>
      </x:c>
    </x:row>
    <x:row r="701" ht="27" customHeight="1">
      <x:c r="A701" s="28" t="str">
        <x:v>Ad-supported</x:v>
      </x:c>
      <x:c r="B701" s="38" t="n">
        <x:v>97</x:v>
      </x:c>
      <x:c r="C701" s="38" t="n">
        <x:v>40</x:v>
      </x:c>
      <x:c r="D701" s="38" t="n">
        <x:v>742640</x:v>
      </x:c>
      <x:c r="E701" s="38" t="n">
        <x:v>100</x:v>
      </x:c>
      <x:c r="F701" s="38" t="n">
        <x:v>10800</x:v>
      </x:c>
      <x:c r="G701" s="38" t="n">
        <x:v>107600</x:v>
      </x:c>
      <x:c r="H701" s="38" t="n">
        <x:v>21600</x:v>
      </x:c>
      <x:c r="I701" s="38" t="n">
        <x:v>4959</x:v>
      </x:c>
      <x:c r="J701" s="38" t="n">
        <x:v>0</x:v>
      </x:c>
      <x:c r="K701" s="38" t="n">
        <x:v>0</x:v>
      </x:c>
      <x:c r="L701" s="38" t="n">
        <x:v>4959</x:v>
      </x:c>
      <x:c r="M701" s="38" t="n">
        <x:v>0</x:v>
      </x:c>
      <x:c r="N701" s="38" t="n">
        <x:v>5120</x:v>
      </x:c>
      <x:c r="O701" s="38" t="n">
        <x:v>90798</x:v>
      </x:c>
      <x:c r="P701" s="38" t="n">
        <x:f>F701+G701-H701+I701+J701+K701+L701-M701-N701-O701</x:f>
        <x:v>10800</x:v>
      </x:c>
      <x:c r="Q701" s="38" t="n">
        <x:v>10800</x:v>
      </x:c>
      <x:c r="R701" s="38" t="n">
        <x:f>P701-Q701</x:f>
        <x:v>0</x:v>
      </x:c>
      <x:c r="S701" s="38" t="n">
        <x:v>86000</x:v>
      </x:c>
      <x:c r="T701" s="38" t="n">
        <x:v>0</x:v>
      </x:c>
      <x:c r="U701" s="38" t="n">
        <x:v>94</x:v>
      </x:c>
      <x:c r="V701" s="38" t="n">
        <x:v>0</x:v>
      </x:c>
      <x:c r="W701" s="38" t="n">
        <x:v>0</x:v>
      </x:c>
      <x:c r="X701" s="44" t="n">
        <x:v>0</x:v>
      </x:c>
      <x:c r="Y701" s="38" t="n">
        <x:v>200</x:v>
      </x:c>
      <x:c r="Z701" s="38" t="n">
        <x:v>40</x:v>
      </x:c>
      <x:c r="AA701" s="38" t="n">
        <x:v>33</x:v>
      </x:c>
      <x:c r="AB701" s="38" t="n">
        <x:v>9</x:v>
      </x:c>
      <x:c r="AC701" s="38" t="n">
        <x:v>10800</x:v>
      </x:c>
      <x:c r="AD701" s="38" t="n">
        <x:v>0</x:v>
      </x:c>
      <x:c r="AE701" s="38" t="n">
        <x:f>IF(B701=1,0,F701-Q700)</x:f>
        <x:v>0</x:v>
      </x:c>
    </x:row>
    <x:row r="702" ht="27" customHeight="1">
      <x:c r="A702" s="28" t="str">
        <x:v>Ad-supported</x:v>
      </x:c>
      <x:c r="B702" s="38" t="n">
        <x:v>98</x:v>
      </x:c>
      <x:c r="C702" s="38" t="n">
        <x:v>40</x:v>
      </x:c>
      <x:c r="D702" s="38" t="n">
        <x:v>742640</x:v>
      </x:c>
      <x:c r="E702" s="38" t="n">
        <x:v>100</x:v>
      </x:c>
      <x:c r="F702" s="38" t="n">
        <x:v>10800</x:v>
      </x:c>
      <x:c r="G702" s="38" t="n">
        <x:v>107600</x:v>
      </x:c>
      <x:c r="H702" s="38" t="n">
        <x:v>21600</x:v>
      </x:c>
      <x:c r="I702" s="38" t="n">
        <x:v>28130</x:v>
      </x:c>
      <x:c r="J702" s="38" t="n">
        <x:v>0</x:v>
      </x:c>
      <x:c r="K702" s="38" t="n">
        <x:v>0</x:v>
      </x:c>
      <x:c r="L702" s="38" t="n">
        <x:v>4959</x:v>
      </x:c>
      <x:c r="M702" s="38" t="n">
        <x:v>0</x:v>
      </x:c>
      <x:c r="N702" s="38" t="n">
        <x:v>0</x:v>
      </x:c>
      <x:c r="O702" s="38" t="n">
        <x:v>119089</x:v>
      </x:c>
      <x:c r="P702" s="38" t="n">
        <x:f>F702+G702-H702+I702+J702+K702+L702-M702-N702-O702</x:f>
        <x:v>10800</x:v>
      </x:c>
      <x:c r="Q702" s="38" t="n">
        <x:v>10800</x:v>
      </x:c>
      <x:c r="R702" s="38" t="n">
        <x:f>P702-Q702</x:f>
        <x:v>0</x:v>
      </x:c>
      <x:c r="S702" s="38" t="n">
        <x:v>86000</x:v>
      </x:c>
      <x:c r="T702" s="38" t="n">
        <x:v>0</x:v>
      </x:c>
      <x:c r="U702" s="38" t="n">
        <x:v>96</x:v>
      </x:c>
      <x:c r="V702" s="38" t="n">
        <x:v>2</x:v>
      </x:c>
      <x:c r="W702" s="38" t="n">
        <x:v>0</x:v>
      </x:c>
      <x:c r="X702" s="44" t="n">
        <x:v>0</x:v>
      </x:c>
      <x:c r="Y702" s="38" t="n">
        <x:v>200</x:v>
      </x:c>
      <x:c r="Z702" s="38" t="n">
        <x:v>40</x:v>
      </x:c>
      <x:c r="AA702" s="38" t="n">
        <x:v>33</x:v>
      </x:c>
      <x:c r="AB702" s="38" t="n">
        <x:v>9</x:v>
      </x:c>
      <x:c r="AC702" s="38" t="n">
        <x:v>10800</x:v>
      </x:c>
      <x:c r="AD702" s="38" t="n">
        <x:v>0</x:v>
      </x:c>
      <x:c r="AE702" s="38" t="n">
        <x:f>IF(B702=1,0,F702-Q701)</x:f>
        <x:v>0</x:v>
      </x:c>
    </x:row>
    <x:row r="703" ht="27" customHeight="1">
      <x:c r="A703" s="28" t="str">
        <x:v>Ad-supported</x:v>
      </x:c>
      <x:c r="B703" s="38" t="n">
        <x:v>99</x:v>
      </x:c>
      <x:c r="C703" s="38" t="n">
        <x:v>40</x:v>
      </x:c>
      <x:c r="D703" s="38" t="n">
        <x:v>742640</x:v>
      </x:c>
      <x:c r="E703" s="38" t="n">
        <x:v>100</x:v>
      </x:c>
      <x:c r="F703" s="38" t="n">
        <x:v>10800</x:v>
      </x:c>
      <x:c r="G703" s="38" t="n">
        <x:v>107600</x:v>
      </x:c>
      <x:c r="H703" s="38" t="n">
        <x:v>21600</x:v>
      </x:c>
      <x:c r="I703" s="38" t="n">
        <x:v>4959</x:v>
      </x:c>
      <x:c r="J703" s="38" t="n">
        <x:v>0</x:v>
      </x:c>
      <x:c r="K703" s="38" t="n">
        <x:v>0</x:v>
      </x:c>
      <x:c r="L703" s="38" t="n">
        <x:v>4959</x:v>
      </x:c>
      <x:c r="M703" s="38" t="n">
        <x:v>0</x:v>
      </x:c>
      <x:c r="N703" s="38" t="n">
        <x:v>0</x:v>
      </x:c>
      <x:c r="O703" s="38" t="n">
        <x:v>44594</x:v>
      </x:c>
      <x:c r="P703" s="38" t="n">
        <x:f>F703+G703-H703+I703+J703+K703+L703-M703-N703-O703</x:f>
        <x:v>62124</x:v>
      </x:c>
      <x:c r="Q703" s="38" t="n">
        <x:v>62124</x:v>
      </x:c>
      <x:c r="R703" s="38" t="n">
        <x:f>P703-Q703</x:f>
        <x:v>0</x:v>
      </x:c>
      <x:c r="S703" s="38" t="n">
        <x:v>86000</x:v>
      </x:c>
      <x:c r="T703" s="38" t="n">
        <x:v>0</x:v>
      </x:c>
      <x:c r="U703" s="38" t="n">
        <x:v>96</x:v>
      </x:c>
      <x:c r="V703" s="38" t="n">
        <x:v>0</x:v>
      </x:c>
      <x:c r="W703" s="38" t="n">
        <x:v>0</x:v>
      </x:c>
      <x:c r="X703" s="44" t="n">
        <x:v>0</x:v>
      </x:c>
      <x:c r="Y703" s="38" t="n">
        <x:v>200</x:v>
      </x:c>
      <x:c r="Z703" s="38" t="n">
        <x:v>40</x:v>
      </x:c>
      <x:c r="AA703" s="38" t="n">
        <x:v>33</x:v>
      </x:c>
      <x:c r="AB703" s="38" t="n">
        <x:v>9</x:v>
      </x:c>
      <x:c r="AC703" s="38" t="n">
        <x:v>10800</x:v>
      </x:c>
      <x:c r="AD703" s="38" t="n">
        <x:v>0</x:v>
      </x:c>
      <x:c r="AE703" s="38" t="n">
        <x:f>IF(B703=1,0,F703-Q702)</x:f>
        <x:v>0</x:v>
      </x:c>
    </x:row>
    <x:row r="704" ht="27" customHeight="1">
      <x:c r="A704" s="28" t="str">
        <x:v>Ad-supported</x:v>
      </x:c>
      <x:c r="B704" s="38" t="n">
        <x:v>100</x:v>
      </x:c>
      <x:c r="C704" s="38" t="n">
        <x:v>40</x:v>
      </x:c>
      <x:c r="D704" s="38" t="n">
        <x:v>742640</x:v>
      </x:c>
      <x:c r="E704" s="38" t="n">
        <x:v>100</x:v>
      </x:c>
      <x:c r="F704" s="38" t="n">
        <x:v>62124</x:v>
      </x:c>
      <x:c r="G704" s="38" t="n">
        <x:v>107600</x:v>
      </x:c>
      <x:c r="H704" s="38" t="n">
        <x:v>21600</x:v>
      </x:c>
      <x:c r="I704" s="38" t="n">
        <x:v>4959</x:v>
      </x:c>
      <x:c r="J704" s="38" t="n">
        <x:v>0</x:v>
      </x:c>
      <x:c r="K704" s="38" t="n">
        <x:v>0</x:v>
      </x:c>
      <x:c r="L704" s="38" t="n">
        <x:v>4959</x:v>
      </x:c>
      <x:c r="M704" s="38" t="n">
        <x:v>0</x:v>
      </x:c>
      <x:c r="N704" s="38" t="n">
        <x:v>9820</x:v>
      </x:c>
      <x:c r="O704" s="38" t="n">
        <x:v>30100</x:v>
      </x:c>
      <x:c r="P704" s="38" t="n">
        <x:f>F704+G704-H704+I704+J704+K704+L704-M704-N704-O704</x:f>
        <x:v>118122</x:v>
      </x:c>
      <x:c r="Q704" s="38" t="n">
        <x:v>118122</x:v>
      </x:c>
      <x:c r="R704" s="38" t="n">
        <x:f>P704-Q704</x:f>
        <x:v>0</x:v>
      </x:c>
      <x:c r="S704" s="38" t="n">
        <x:v>86000</x:v>
      </x:c>
      <x:c r="T704" s="38" t="n">
        <x:v>0</x:v>
      </x:c>
      <x:c r="U704" s="38" t="n">
        <x:v>96</x:v>
      </x:c>
      <x:c r="V704" s="38" t="n">
        <x:v>0</x:v>
      </x:c>
      <x:c r="W704" s="38" t="n">
        <x:v>0</x:v>
      </x:c>
      <x:c r="X704" s="44" t="n">
        <x:v>0</x:v>
      </x:c>
      <x:c r="Y704" s="38" t="n">
        <x:v>200</x:v>
      </x:c>
      <x:c r="Z704" s="38" t="n">
        <x:v>40</x:v>
      </x:c>
      <x:c r="AA704" s="38" t="n">
        <x:v>34</x:v>
      </x:c>
      <x:c r="AB704" s="38" t="n">
        <x:v>9</x:v>
      </x:c>
      <x:c r="AC704" s="38" t="n">
        <x:v>10800</x:v>
      </x:c>
      <x:c r="AD704" s="38" t="n">
        <x:v>0</x:v>
      </x:c>
      <x:c r="AE704" s="38" t="n">
        <x:f>IF(B704=1,0,F704-Q703)</x:f>
        <x:v>0</x:v>
      </x:c>
    </x:row>
    <x:row r="705" ht="27" customHeight="1">
      <x:c r="A705" s="28" t="str">
        <x:v>Ad-supported</x:v>
      </x:c>
      <x:c r="B705" s="38" t="n">
        <x:v>101</x:v>
      </x:c>
      <x:c r="C705" s="38" t="n">
        <x:v>40</x:v>
      </x:c>
      <x:c r="D705" s="38" t="n">
        <x:v>742640</x:v>
      </x:c>
      <x:c r="E705" s="38" t="n">
        <x:v>100</x:v>
      </x:c>
      <x:c r="F705" s="38" t="n">
        <x:v>118122</x:v>
      </x:c>
      <x:c r="G705" s="38" t="n">
        <x:v>107600</x:v>
      </x:c>
      <x:c r="H705" s="38" t="n">
        <x:v>21600</x:v>
      </x:c>
      <x:c r="I705" s="38" t="n">
        <x:v>4959</x:v>
      </x:c>
      <x:c r="J705" s="38" t="n">
        <x:v>0</x:v>
      </x:c>
      <x:c r="K705" s="38" t="n">
        <x:v>0</x:v>
      </x:c>
      <x:c r="L705" s="38" t="n">
        <x:v>4959</x:v>
      </x:c>
      <x:c r="M705" s="38" t="n">
        <x:v>0</x:v>
      </x:c>
      <x:c r="N705" s="38" t="n">
        <x:v>0</x:v>
      </x:c>
      <x:c r="O705" s="38" t="n">
        <x:v>30100</x:v>
      </x:c>
      <x:c r="P705" s="38" t="n">
        <x:f>F705+G705-H705+I705+J705+K705+L705-M705-N705-O705</x:f>
        <x:v>183940</x:v>
      </x:c>
      <x:c r="Q705" s="38" t="n">
        <x:v>183940</x:v>
      </x:c>
      <x:c r="R705" s="38" t="n">
        <x:f>P705-Q705</x:f>
        <x:v>0</x:v>
      </x:c>
      <x:c r="S705" s="38" t="n">
        <x:v>86000</x:v>
      </x:c>
      <x:c r="T705" s="38" t="n">
        <x:v>0</x:v>
      </x:c>
      <x:c r="U705" s="38" t="n">
        <x:v>96</x:v>
      </x:c>
      <x:c r="V705" s="38" t="n">
        <x:v>0</x:v>
      </x:c>
      <x:c r="W705" s="38" t="n">
        <x:v>0</x:v>
      </x:c>
      <x:c r="X705" s="44" t="n">
        <x:v>0</x:v>
      </x:c>
      <x:c r="Y705" s="38" t="n">
        <x:v>200</x:v>
      </x:c>
      <x:c r="Z705" s="38" t="n">
        <x:v>40</x:v>
      </x:c>
      <x:c r="AA705" s="38" t="n">
        <x:v>34</x:v>
      </x:c>
      <x:c r="AB705" s="38" t="n">
        <x:v>9</x:v>
      </x:c>
      <x:c r="AC705" s="38" t="n">
        <x:v>10800</x:v>
      </x:c>
      <x:c r="AD705" s="38" t="n">
        <x:v>0</x:v>
      </x:c>
      <x:c r="AE705" s="38" t="n">
        <x:f>IF(B705=1,0,F705-Q704)</x:f>
        <x:v>0</x:v>
      </x:c>
    </x:row>
    <x:row r="706" ht="27" customHeight="1">
      <x:c r="A706" s="28" t="str">
        <x:v>Ad-supported</x:v>
      </x:c>
      <x:c r="B706" s="38" t="n">
        <x:v>102</x:v>
      </x:c>
      <x:c r="C706" s="38" t="n">
        <x:v>40</x:v>
      </x:c>
      <x:c r="D706" s="38" t="n">
        <x:v>742640</x:v>
      </x:c>
      <x:c r="E706" s="38" t="n">
        <x:v>100</x:v>
      </x:c>
      <x:c r="F706" s="38" t="n">
        <x:v>183940</x:v>
      </x:c>
      <x:c r="G706" s="38" t="n">
        <x:v>107600</x:v>
      </x:c>
      <x:c r="H706" s="38" t="n">
        <x:v>21600</x:v>
      </x:c>
      <x:c r="I706" s="38" t="n">
        <x:v>4959</x:v>
      </x:c>
      <x:c r="J706" s="38" t="n">
        <x:v>0</x:v>
      </x:c>
      <x:c r="K706" s="38" t="n">
        <x:v>0</x:v>
      </x:c>
      <x:c r="L706" s="38" t="n">
        <x:v>4959</x:v>
      </x:c>
      <x:c r="M706" s="38" t="n">
        <x:v>0</x:v>
      </x:c>
      <x:c r="N706" s="38" t="n">
        <x:v>0</x:v>
      </x:c>
      <x:c r="O706" s="38" t="n">
        <x:v>30100</x:v>
      </x:c>
      <x:c r="P706" s="38" t="n">
        <x:f>F706+G706-H706+I706+J706+K706+L706-M706-N706-O706</x:f>
        <x:v>249758</x:v>
      </x:c>
      <x:c r="Q706" s="38" t="n">
        <x:v>249758</x:v>
      </x:c>
      <x:c r="R706" s="38" t="n">
        <x:f>P706-Q706</x:f>
        <x:v>0</x:v>
      </x:c>
      <x:c r="S706" s="38" t="n">
        <x:v>86000</x:v>
      </x:c>
      <x:c r="T706" s="38" t="n">
        <x:v>0</x:v>
      </x:c>
      <x:c r="U706" s="38" t="n">
        <x:v>96</x:v>
      </x:c>
      <x:c r="V706" s="38" t="n">
        <x:v>0</x:v>
      </x:c>
      <x:c r="W706" s="38" t="n">
        <x:v>0</x:v>
      </x:c>
      <x:c r="X706" s="44" t="n">
        <x:v>0</x:v>
      </x:c>
      <x:c r="Y706" s="38" t="n">
        <x:v>200</x:v>
      </x:c>
      <x:c r="Z706" s="38" t="n">
        <x:v>40</x:v>
      </x:c>
      <x:c r="AA706" s="38" t="n">
        <x:v>34</x:v>
      </x:c>
      <x:c r="AB706" s="38" t="n">
        <x:v>9</x:v>
      </x:c>
      <x:c r="AC706" s="38" t="n">
        <x:v>10800</x:v>
      </x:c>
      <x:c r="AD706" s="38" t="n">
        <x:v>0</x:v>
      </x:c>
      <x:c r="AE706" s="38" t="n">
        <x:f>IF(B706=1,0,F706-Q705)</x:f>
        <x:v>0</x:v>
      </x:c>
    </x:row>
    <x:row r="707" ht="27" customHeight="1">
      <x:c r="A707" s="28" t="str">
        <x:v>Ad-supported</x:v>
      </x:c>
      <x:c r="B707" s="38" t="n">
        <x:v>103</x:v>
      </x:c>
      <x:c r="C707" s="38" t="n">
        <x:v>40</x:v>
      </x:c>
      <x:c r="D707" s="38" t="n">
        <x:v>742640</x:v>
      </x:c>
      <x:c r="E707" s="38" t="n">
        <x:v>100</x:v>
      </x:c>
      <x:c r="F707" s="38" t="n">
        <x:v>249758</x:v>
      </x:c>
      <x:c r="G707" s="38" t="n">
        <x:v>107600</x:v>
      </x:c>
      <x:c r="H707" s="38" t="n">
        <x:v>21600</x:v>
      </x:c>
      <x:c r="I707" s="38" t="n">
        <x:v>4959</x:v>
      </x:c>
      <x:c r="J707" s="38" t="n">
        <x:v>0</x:v>
      </x:c>
      <x:c r="K707" s="38" t="n">
        <x:v>0</x:v>
      </x:c>
      <x:c r="L707" s="38" t="n">
        <x:v>4959</x:v>
      </x:c>
      <x:c r="M707" s="38" t="n">
        <x:v>0</x:v>
      </x:c>
      <x:c r="N707" s="38" t="n">
        <x:v>11865</x:v>
      </x:c>
      <x:c r="O707" s="38" t="n">
        <x:v>30100</x:v>
      </x:c>
      <x:c r="P707" s="38" t="n">
        <x:f>F707+G707-H707+I707+J707+K707+L707-M707-N707-O707</x:f>
        <x:v>303711</x:v>
      </x:c>
      <x:c r="Q707" s="38" t="n">
        <x:v>303711</x:v>
      </x:c>
      <x:c r="R707" s="38" t="n">
        <x:f>P707-Q707</x:f>
        <x:v>0</x:v>
      </x:c>
      <x:c r="S707" s="38" t="n">
        <x:v>86000</x:v>
      </x:c>
      <x:c r="T707" s="38" t="n">
        <x:v>0</x:v>
      </x:c>
      <x:c r="U707" s="38" t="n">
        <x:v>96</x:v>
      </x:c>
      <x:c r="V707" s="38" t="n">
        <x:v>0</x:v>
      </x:c>
      <x:c r="W707" s="38" t="n">
        <x:v>0</x:v>
      </x:c>
      <x:c r="X707" s="44" t="n">
        <x:v>0</x:v>
      </x:c>
      <x:c r="Y707" s="38" t="n">
        <x:v>200</x:v>
      </x:c>
      <x:c r="Z707" s="38" t="n">
        <x:v>40</x:v>
      </x:c>
      <x:c r="AA707" s="38" t="n">
        <x:v>35</x:v>
      </x:c>
      <x:c r="AB707" s="38" t="n">
        <x:v>9</x:v>
      </x:c>
      <x:c r="AC707" s="38" t="n">
        <x:v>10800</x:v>
      </x:c>
      <x:c r="AD707" s="38" t="n">
        <x:v>0</x:v>
      </x:c>
      <x:c r="AE707" s="38" t="n">
        <x:f>IF(B707=1,0,F707-Q706)</x:f>
        <x:v>0</x:v>
      </x:c>
    </x:row>
    <x:row r="708" ht="27" customHeight="1">
      <x:c r="A708" s="28" t="str">
        <x:v>Ad-supported</x:v>
      </x:c>
      <x:c r="B708" s="38" t="n">
        <x:v>104</x:v>
      </x:c>
      <x:c r="C708" s="38" t="n">
        <x:v>40</x:v>
      </x:c>
      <x:c r="D708" s="38" t="n">
        <x:v>742640</x:v>
      </x:c>
      <x:c r="E708" s="38" t="n">
        <x:v>100</x:v>
      </x:c>
      <x:c r="F708" s="38" t="n">
        <x:v>303711</x:v>
      </x:c>
      <x:c r="G708" s="38" t="n">
        <x:v>107600</x:v>
      </x:c>
      <x:c r="H708" s="38" t="n">
        <x:v>21600</x:v>
      </x:c>
      <x:c r="I708" s="38" t="n">
        <x:v>4959</x:v>
      </x:c>
      <x:c r="J708" s="38" t="n">
        <x:v>0</x:v>
      </x:c>
      <x:c r="K708" s="38" t="n">
        <x:v>0</x:v>
      </x:c>
      <x:c r="L708" s="38" t="n">
        <x:v>4959</x:v>
      </x:c>
      <x:c r="M708" s="38" t="n">
        <x:v>0</x:v>
      </x:c>
      <x:c r="N708" s="38" t="n">
        <x:v>0</x:v>
      </x:c>
      <x:c r="O708" s="38" t="n">
        <x:v>30100</x:v>
      </x:c>
      <x:c r="P708" s="38" t="n">
        <x:f>F708+G708-H708+I708+J708+K708+L708-M708-N708-O708</x:f>
        <x:v>369529</x:v>
      </x:c>
      <x:c r="Q708" s="38" t="n">
        <x:v>369529</x:v>
      </x:c>
      <x:c r="R708" s="38" t="n">
        <x:f>P708-Q708</x:f>
        <x:v>0</x:v>
      </x:c>
      <x:c r="S708" s="38" t="n">
        <x:v>86000</x:v>
      </x:c>
      <x:c r="T708" s="38" t="n">
        <x:v>0</x:v>
      </x:c>
      <x:c r="U708" s="38" t="n">
        <x:v>96</x:v>
      </x:c>
      <x:c r="V708" s="38" t="n">
        <x:v>0</x:v>
      </x:c>
      <x:c r="W708" s="38" t="n">
        <x:v>0</x:v>
      </x:c>
      <x:c r="X708" s="44" t="n">
        <x:v>0</x:v>
      </x:c>
      <x:c r="Y708" s="38" t="n">
        <x:v>200</x:v>
      </x:c>
      <x:c r="Z708" s="38" t="n">
        <x:v>40</x:v>
      </x:c>
      <x:c r="AA708" s="38" t="n">
        <x:v>35</x:v>
      </x:c>
      <x:c r="AB708" s="38" t="n">
        <x:v>9</x:v>
      </x:c>
      <x:c r="AC708" s="38" t="n">
        <x:v>10800</x:v>
      </x:c>
      <x:c r="AD708" s="38" t="n">
        <x:v>0</x:v>
      </x:c>
      <x:c r="AE708" s="38" t="n">
        <x:f>IF(B708=1,0,F708-Q707)</x:f>
        <x:v>0</x:v>
      </x:c>
    </x:row>
    <x:row r="709" ht="27" customHeight="1">
      <x:c r="A709" s="28" t="str">
        <x:v>Ad-supported</x:v>
      </x:c>
      <x:c r="B709" s="38" t="n">
        <x:v>105</x:v>
      </x:c>
      <x:c r="C709" s="38" t="n">
        <x:v>40</x:v>
      </x:c>
      <x:c r="D709" s="38" t="n">
        <x:v>742640</x:v>
      </x:c>
      <x:c r="E709" s="38" t="n">
        <x:v>100</x:v>
      </x:c>
      <x:c r="F709" s="38" t="n">
        <x:v>369529</x:v>
      </x:c>
      <x:c r="G709" s="38" t="n">
        <x:v>107600</x:v>
      </x:c>
      <x:c r="H709" s="38" t="n">
        <x:v>21600</x:v>
      </x:c>
      <x:c r="I709" s="38" t="n">
        <x:v>29754</x:v>
      </x:c>
      <x:c r="J709" s="38" t="n">
        <x:v>0</x:v>
      </x:c>
      <x:c r="K709" s="38" t="n">
        <x:v>0</x:v>
      </x:c>
      <x:c r="L709" s="38" t="n">
        <x:v>4959</x:v>
      </x:c>
      <x:c r="M709" s="38" t="n">
        <x:v>0</x:v>
      </x:c>
      <x:c r="N709" s="38" t="n">
        <x:v>0</x:v>
      </x:c>
      <x:c r="O709" s="38" t="n">
        <x:v>30100</x:v>
      </x:c>
      <x:c r="P709" s="38" t="n">
        <x:f>F709+G709-H709+I709+J709+K709+L709-M709-N709-O709</x:f>
        <x:v>460142</x:v>
      </x:c>
      <x:c r="Q709" s="38" t="n">
        <x:v>460142</x:v>
      </x:c>
      <x:c r="R709" s="38" t="n">
        <x:f>P709-Q709</x:f>
        <x:v>0</x:v>
      </x:c>
      <x:c r="S709" s="38" t="n">
        <x:v>86000</x:v>
      </x:c>
      <x:c r="T709" s="38" t="n">
        <x:v>0</x:v>
      </x:c>
      <x:c r="U709" s="38" t="n">
        <x:v>98</x:v>
      </x:c>
      <x:c r="V709" s="38" t="n">
        <x:v>2</x:v>
      </x:c>
      <x:c r="W709" s="38" t="n">
        <x:v>0</x:v>
      </x:c>
      <x:c r="X709" s="44" t="n">
        <x:v>0</x:v>
      </x:c>
      <x:c r="Y709" s="38" t="n">
        <x:v>200</x:v>
      </x:c>
      <x:c r="Z709" s="38" t="n">
        <x:v>40</x:v>
      </x:c>
      <x:c r="AA709" s="38" t="n">
        <x:v>35</x:v>
      </x:c>
      <x:c r="AB709" s="38" t="n">
        <x:v>9</x:v>
      </x:c>
      <x:c r="AC709" s="38" t="n">
        <x:v>10800</x:v>
      </x:c>
      <x:c r="AD709" s="38" t="n">
        <x:v>0</x:v>
      </x:c>
      <x:c r="AE709" s="38" t="n">
        <x:f>IF(B709=1,0,F709-Q708)</x:f>
        <x:v>0</x:v>
      </x:c>
    </x:row>
    <x:row r="710" ht="27" customHeight="1">
      <x:c r="A710" s="28" t="str">
        <x:v>Ad-supported</x:v>
      </x:c>
      <x:c r="B710" s="38" t="n">
        <x:v>106</x:v>
      </x:c>
      <x:c r="C710" s="38" t="n">
        <x:v>40</x:v>
      </x:c>
      <x:c r="D710" s="38" t="n">
        <x:v>742640</x:v>
      </x:c>
      <x:c r="E710" s="38" t="n">
        <x:v>100</x:v>
      </x:c>
      <x:c r="F710" s="38" t="n">
        <x:v>460142</x:v>
      </x:c>
      <x:c r="G710" s="38" t="n">
        <x:v>107600</x:v>
      </x:c>
      <x:c r="H710" s="38" t="n">
        <x:v>21600</x:v>
      </x:c>
      <x:c r="I710" s="38" t="n">
        <x:v>4959</x:v>
      </x:c>
      <x:c r="J710" s="38" t="n">
        <x:v>0</x:v>
      </x:c>
      <x:c r="K710" s="38" t="n">
        <x:v>0</x:v>
      </x:c>
      <x:c r="L710" s="38" t="n">
        <x:v>4959</x:v>
      </x:c>
      <x:c r="M710" s="38" t="n">
        <x:v>0</x:v>
      </x:c>
      <x:c r="N710" s="38" t="n">
        <x:v>12120</x:v>
      </x:c>
      <x:c r="O710" s="38" t="n">
        <x:v>30100</x:v>
      </x:c>
      <x:c r="P710" s="38" t="n">
        <x:f>F710+G710-H710+I710+J710+K710+L710-M710-N710-O710</x:f>
        <x:v>513840</x:v>
      </x:c>
      <x:c r="Q710" s="38" t="n">
        <x:v>513840</x:v>
      </x:c>
      <x:c r="R710" s="38" t="n">
        <x:f>P710-Q710</x:f>
        <x:v>0</x:v>
      </x:c>
      <x:c r="S710" s="38" t="n">
        <x:v>86000</x:v>
      </x:c>
      <x:c r="T710" s="38" t="n">
        <x:v>0</x:v>
      </x:c>
      <x:c r="U710" s="38" t="n">
        <x:v>102</x:v>
      </x:c>
      <x:c r="V710" s="38" t="n">
        <x:v>4</x:v>
      </x:c>
      <x:c r="W710" s="38" t="n">
        <x:v>0</x:v>
      </x:c>
      <x:c r="X710" s="44" t="n">
        <x:v>0</x:v>
      </x:c>
      <x:c r="Y710" s="38" t="n">
        <x:v>200</x:v>
      </x:c>
      <x:c r="Z710" s="38" t="n">
        <x:v>40</x:v>
      </x:c>
      <x:c r="AA710" s="38" t="n">
        <x:v>36</x:v>
      </x:c>
      <x:c r="AB710" s="38" t="n">
        <x:v>9</x:v>
      </x:c>
      <x:c r="AC710" s="38" t="n">
        <x:v>10800</x:v>
      </x:c>
      <x:c r="AD710" s="38" t="n">
        <x:v>0</x:v>
      </x:c>
      <x:c r="AE710" s="38" t="n">
        <x:f>IF(B710=1,0,F710-Q709)</x:f>
        <x:v>0</x:v>
      </x:c>
    </x:row>
    <x:row r="711" ht="27" customHeight="1">
      <x:c r="A711" s="28" t="str">
        <x:v>Ad-supported</x:v>
      </x:c>
      <x:c r="B711" s="38" t="n">
        <x:v>107</x:v>
      </x:c>
      <x:c r="C711" s="38" t="n">
        <x:v>40</x:v>
      </x:c>
      <x:c r="D711" s="38" t="n">
        <x:v>742640</x:v>
      </x:c>
      <x:c r="E711" s="38" t="n">
        <x:v>100</x:v>
      </x:c>
      <x:c r="F711" s="38" t="n">
        <x:v>513840</x:v>
      </x:c>
      <x:c r="G711" s="38" t="n">
        <x:v>107600</x:v>
      </x:c>
      <x:c r="H711" s="38" t="n">
        <x:v>21600</x:v>
      </x:c>
      <x:c r="I711" s="38" t="n">
        <x:v>4959</x:v>
      </x:c>
      <x:c r="J711" s="38" t="n">
        <x:v>0</x:v>
      </x:c>
      <x:c r="K711" s="38" t="n">
        <x:v>0</x:v>
      </x:c>
      <x:c r="L711" s="38" t="n">
        <x:v>4959</x:v>
      </x:c>
      <x:c r="M711" s="38" t="n">
        <x:v>0</x:v>
      </x:c>
      <x:c r="N711" s="38" t="n">
        <x:v>0</x:v>
      </x:c>
      <x:c r="O711" s="38" t="n">
        <x:v>30100</x:v>
      </x:c>
      <x:c r="P711" s="38" t="n">
        <x:f>F711+G711-H711+I711+J711+K711+L711-M711-N711-O711</x:f>
        <x:v>579658</x:v>
      </x:c>
      <x:c r="Q711" s="38" t="n">
        <x:v>579658</x:v>
      </x:c>
      <x:c r="R711" s="38" t="n">
        <x:f>P711-Q711</x:f>
        <x:v>0</x:v>
      </x:c>
      <x:c r="S711" s="38" t="n">
        <x:v>86000</x:v>
      </x:c>
      <x:c r="T711" s="38" t="n">
        <x:v>0</x:v>
      </x:c>
      <x:c r="U711" s="38" t="n">
        <x:v>102</x:v>
      </x:c>
      <x:c r="V711" s="38" t="n">
        <x:v>0</x:v>
      </x:c>
      <x:c r="W711" s="38" t="n">
        <x:v>0</x:v>
      </x:c>
      <x:c r="X711" s="44" t="n">
        <x:v>0</x:v>
      </x:c>
      <x:c r="Y711" s="38" t="n">
        <x:v>200</x:v>
      </x:c>
      <x:c r="Z711" s="38" t="n">
        <x:v>40</x:v>
      </x:c>
      <x:c r="AA711" s="38" t="n">
        <x:v>36</x:v>
      </x:c>
      <x:c r="AB711" s="38" t="n">
        <x:v>9</x:v>
      </x:c>
      <x:c r="AC711" s="38" t="n">
        <x:v>10800</x:v>
      </x:c>
      <x:c r="AD711" s="38" t="n">
        <x:v>0</x:v>
      </x:c>
      <x:c r="AE711" s="38" t="n">
        <x:f>IF(B711=1,0,F711-Q710)</x:f>
        <x:v>0</x:v>
      </x:c>
    </x:row>
    <x:row r="712" ht="27" customHeight="1">
      <x:c r="A712" s="28" t="str">
        <x:v>Ad-supported</x:v>
      </x:c>
      <x:c r="B712" s="38" t="n">
        <x:v>108</x:v>
      </x:c>
      <x:c r="C712" s="38" t="n">
        <x:v>40</x:v>
      </x:c>
      <x:c r="D712" s="38" t="n">
        <x:v>742640</x:v>
      </x:c>
      <x:c r="E712" s="38" t="n">
        <x:v>100</x:v>
      </x:c>
      <x:c r="F712" s="38" t="n">
        <x:v>579658</x:v>
      </x:c>
      <x:c r="G712" s="38" t="n">
        <x:v>107600</x:v>
      </x:c>
      <x:c r="H712" s="38" t="n">
        <x:v>21600</x:v>
      </x:c>
      <x:c r="I712" s="38" t="n">
        <x:v>4959</x:v>
      </x:c>
      <x:c r="J712" s="38" t="n">
        <x:v>0</x:v>
      </x:c>
      <x:c r="K712" s="38" t="n">
        <x:v>0</x:v>
      </x:c>
      <x:c r="L712" s="38" t="n">
        <x:v>4959</x:v>
      </x:c>
      <x:c r="M712" s="38" t="n">
        <x:v>0</x:v>
      </x:c>
      <x:c r="N712" s="38" t="n">
        <x:v>0</x:v>
      </x:c>
      <x:c r="O712" s="38" t="n">
        <x:v>30100</x:v>
      </x:c>
      <x:c r="P712" s="38" t="n">
        <x:f>F712+G712-H712+I712+J712+K712+L712-M712-N712-O712</x:f>
        <x:v>645476</x:v>
      </x:c>
      <x:c r="Q712" s="38" t="n">
        <x:v>645476</x:v>
      </x:c>
      <x:c r="R712" s="38" t="n">
        <x:f>P712-Q712</x:f>
        <x:v>0</x:v>
      </x:c>
      <x:c r="S712" s="38" t="n">
        <x:v>86000</x:v>
      </x:c>
      <x:c r="T712" s="38" t="n">
        <x:v>0</x:v>
      </x:c>
      <x:c r="U712" s="38" t="n">
        <x:v>102</x:v>
      </x:c>
      <x:c r="V712" s="38" t="n">
        <x:v>0</x:v>
      </x:c>
      <x:c r="W712" s="38" t="n">
        <x:v>0</x:v>
      </x:c>
      <x:c r="X712" s="44" t="n">
        <x:v>0</x:v>
      </x:c>
      <x:c r="Y712" s="38" t="n">
        <x:v>200</x:v>
      </x:c>
      <x:c r="Z712" s="38" t="n">
        <x:v>40</x:v>
      </x:c>
      <x:c r="AA712" s="38" t="n">
        <x:v>36</x:v>
      </x:c>
      <x:c r="AB712" s="38" t="n">
        <x:v>9</x:v>
      </x:c>
      <x:c r="AC712" s="38" t="n">
        <x:v>10800</x:v>
      </x:c>
      <x:c r="AD712" s="38" t="n">
        <x:v>0</x:v>
      </x:c>
      <x:c r="AE712" s="38" t="n">
        <x:f>IF(B712=1,0,F712-Q711)</x:f>
        <x:v>0</x:v>
      </x:c>
    </x:row>
    <x:row r="713" ht="27" customHeight="1">
      <x:c r="A713" s="28" t="str">
        <x:v>Ad-supported</x:v>
      </x:c>
      <x:c r="B713" s="38" t="n">
        <x:v>109</x:v>
      </x:c>
      <x:c r="C713" s="38" t="n">
        <x:v>40</x:v>
      </x:c>
      <x:c r="D713" s="38" t="n">
        <x:v>742640</x:v>
      </x:c>
      <x:c r="E713" s="38" t="n">
        <x:v>100</x:v>
      </x:c>
      <x:c r="F713" s="38" t="n">
        <x:v>645476</x:v>
      </x:c>
      <x:c r="G713" s="38" t="n">
        <x:v>107600</x:v>
      </x:c>
      <x:c r="H713" s="38" t="n">
        <x:v>21600</x:v>
      </x:c>
      <x:c r="I713" s="38" t="n">
        <x:v>4959</x:v>
      </x:c>
      <x:c r="J713" s="38" t="n">
        <x:v>0</x:v>
      </x:c>
      <x:c r="K713" s="38" t="n">
        <x:v>0</x:v>
      </x:c>
      <x:c r="L713" s="38" t="n">
        <x:v>4959</x:v>
      </x:c>
      <x:c r="M713" s="38" t="n">
        <x:v>0</x:v>
      </x:c>
      <x:c r="N713" s="38" t="n">
        <x:v>12375</x:v>
      </x:c>
      <x:c r="O713" s="38" t="n">
        <x:v>30100</x:v>
      </x:c>
      <x:c r="P713" s="38" t="n">
        <x:f>F713+G713-H713+I713+J713+K713+L713-M713-N713-O713</x:f>
        <x:v>698919</x:v>
      </x:c>
      <x:c r="Q713" s="38" t="n">
        <x:v>698919</x:v>
      </x:c>
      <x:c r="R713" s="38" t="n">
        <x:f>P713-Q713</x:f>
        <x:v>0</x:v>
      </x:c>
      <x:c r="S713" s="38" t="n">
        <x:v>86000</x:v>
      </x:c>
      <x:c r="T713" s="38" t="n">
        <x:v>0</x:v>
      </x:c>
      <x:c r="U713" s="38" t="n">
        <x:v>102</x:v>
      </x:c>
      <x:c r="V713" s="38" t="n">
        <x:v>0</x:v>
      </x:c>
      <x:c r="W713" s="38" t="n">
        <x:v>0</x:v>
      </x:c>
      <x:c r="X713" s="44" t="n">
        <x:v>0</x:v>
      </x:c>
      <x:c r="Y713" s="38" t="n">
        <x:v>200</x:v>
      </x:c>
      <x:c r="Z713" s="38" t="n">
        <x:v>40</x:v>
      </x:c>
      <x:c r="AA713" s="38" t="n">
        <x:v>37</x:v>
      </x:c>
      <x:c r="AB713" s="38" t="n">
        <x:v>9</x:v>
      </x:c>
      <x:c r="AC713" s="38" t="n">
        <x:v>10800</x:v>
      </x:c>
      <x:c r="AD713" s="38" t="n">
        <x:v>0</x:v>
      </x:c>
      <x:c r="AE713" s="38" t="n">
        <x:f>IF(B713=1,0,F713-Q712)</x:f>
        <x:v>0</x:v>
      </x:c>
    </x:row>
    <x:row r="714" ht="27" customHeight="1">
      <x:c r="A714" s="28" t="str">
        <x:v>Ad-supported</x:v>
      </x:c>
      <x:c r="B714" s="38" t="n">
        <x:v>110</x:v>
      </x:c>
      <x:c r="C714" s="38" t="n">
        <x:v>40</x:v>
      </x:c>
      <x:c r="D714" s="38" t="n">
        <x:v>742640</x:v>
      </x:c>
      <x:c r="E714" s="38" t="n">
        <x:v>100</x:v>
      </x:c>
      <x:c r="F714" s="38" t="n">
        <x:v>698919</x:v>
      </x:c>
      <x:c r="G714" s="38" t="n">
        <x:v>107600</x:v>
      </x:c>
      <x:c r="H714" s="38" t="n">
        <x:v>21600</x:v>
      </x:c>
      <x:c r="I714" s="38" t="n">
        <x:v>4959</x:v>
      </x:c>
      <x:c r="J714" s="38" t="n">
        <x:v>0</x:v>
      </x:c>
      <x:c r="K714" s="38" t="n">
        <x:v>0</x:v>
      </x:c>
      <x:c r="L714" s="38" t="n">
        <x:v>4959</x:v>
      </x:c>
      <x:c r="M714" s="38" t="n">
        <x:v>0</x:v>
      </x:c>
      <x:c r="N714" s="38" t="n">
        <x:v>0</x:v>
      </x:c>
      <x:c r="O714" s="38" t="n">
        <x:v>30100</x:v>
      </x:c>
      <x:c r="P714" s="38" t="n">
        <x:f>F714+G714-H714+I714+J714+K714+L714-M714-N714-O714</x:f>
        <x:v>764737</x:v>
      </x:c>
      <x:c r="Q714" s="38" t="n">
        <x:v>764737</x:v>
      </x:c>
      <x:c r="R714" s="38" t="n">
        <x:f>P714-Q714</x:f>
        <x:v>0</x:v>
      </x:c>
      <x:c r="S714" s="38" t="n">
        <x:v>86000</x:v>
      </x:c>
      <x:c r="T714" s="38" t="n">
        <x:v>0</x:v>
      </x:c>
      <x:c r="U714" s="38" t="n">
        <x:v>102</x:v>
      </x:c>
      <x:c r="V714" s="38" t="n">
        <x:v>0</x:v>
      </x:c>
      <x:c r="W714" s="38" t="n">
        <x:v>0</x:v>
      </x:c>
      <x:c r="X714" s="44" t="n">
        <x:v>0</x:v>
      </x:c>
      <x:c r="Y714" s="38" t="n">
        <x:v>200</x:v>
      </x:c>
      <x:c r="Z714" s="38" t="n">
        <x:v>40</x:v>
      </x:c>
      <x:c r="AA714" s="38" t="n">
        <x:v>37</x:v>
      </x:c>
      <x:c r="AB714" s="38" t="n">
        <x:v>9</x:v>
      </x:c>
      <x:c r="AC714" s="38" t="n">
        <x:v>10800</x:v>
      </x:c>
      <x:c r="AD714" s="38" t="n">
        <x:v>0</x:v>
      </x:c>
      <x:c r="AE714" s="38" t="n">
        <x:f>IF(B714=1,0,F714-Q713)</x:f>
        <x:v>0</x:v>
      </x:c>
    </x:row>
    <x:row r="715" ht="27" customHeight="1">
      <x:c r="A715" s="28" t="str">
        <x:v>Ad-supported</x:v>
      </x:c>
      <x:c r="B715" s="38" t="n">
        <x:v>111</x:v>
      </x:c>
      <x:c r="C715" s="38" t="n">
        <x:v>40</x:v>
      </x:c>
      <x:c r="D715" s="38" t="n">
        <x:v>742640</x:v>
      </x:c>
      <x:c r="E715" s="38" t="n">
        <x:v>100</x:v>
      </x:c>
      <x:c r="F715" s="38" t="n">
        <x:v>764737</x:v>
      </x:c>
      <x:c r="G715" s="38" t="n">
        <x:v>107600</x:v>
      </x:c>
      <x:c r="H715" s="38" t="n">
        <x:v>21600</x:v>
      </x:c>
      <x:c r="I715" s="38" t="n">
        <x:v>4959</x:v>
      </x:c>
      <x:c r="J715" s="38" t="n">
        <x:v>0</x:v>
      </x:c>
      <x:c r="K715" s="38" t="n">
        <x:v>0</x:v>
      </x:c>
      <x:c r="L715" s="38" t="n">
        <x:v>4959</x:v>
      </x:c>
      <x:c r="M715" s="38" t="n">
        <x:v>0</x:v>
      </x:c>
      <x:c r="N715" s="38" t="n">
        <x:v>0</x:v>
      </x:c>
      <x:c r="O715" s="38" t="n">
        <x:v>30100</x:v>
      </x:c>
      <x:c r="P715" s="38" t="n">
        <x:f>F715+G715-H715+I715+J715+K715+L715-M715-N715-O715</x:f>
        <x:v>830555</x:v>
      </x:c>
      <x:c r="Q715" s="38" t="n">
        <x:v>830555</x:v>
      </x:c>
      <x:c r="R715" s="38" t="n">
        <x:f>P715-Q715</x:f>
        <x:v>0</x:v>
      </x:c>
      <x:c r="S715" s="38" t="n">
        <x:v>86000</x:v>
      </x:c>
      <x:c r="T715" s="38" t="n">
        <x:v>0</x:v>
      </x:c>
      <x:c r="U715" s="38" t="n">
        <x:v>102</x:v>
      </x:c>
      <x:c r="V715" s="38" t="n">
        <x:v>0</x:v>
      </x:c>
      <x:c r="W715" s="38" t="n">
        <x:v>0</x:v>
      </x:c>
      <x:c r="X715" s="44" t="n">
        <x:v>0</x:v>
      </x:c>
      <x:c r="Y715" s="38" t="n">
        <x:v>200</x:v>
      </x:c>
      <x:c r="Z715" s="38" t="n">
        <x:v>40</x:v>
      </x:c>
      <x:c r="AA715" s="38" t="n">
        <x:v>37</x:v>
      </x:c>
      <x:c r="AB715" s="38" t="n">
        <x:v>9</x:v>
      </x:c>
      <x:c r="AC715" s="38" t="n">
        <x:v>10800</x:v>
      </x:c>
      <x:c r="AD715" s="38" t="n">
        <x:v>0</x:v>
      </x:c>
      <x:c r="AE715" s="38" t="n">
        <x:f>IF(B715=1,0,F715-Q714)</x:f>
        <x:v>0</x:v>
      </x:c>
    </x:row>
    <x:row r="716" ht="27" customHeight="1">
      <x:c r="A716" s="28" t="str">
        <x:v>Ad-supported</x:v>
      </x:c>
      <x:c r="B716" s="38" t="n">
        <x:v>112</x:v>
      </x:c>
      <x:c r="C716" s="38" t="n">
        <x:v>40</x:v>
      </x:c>
      <x:c r="D716" s="38" t="n">
        <x:v>742640</x:v>
      </x:c>
      <x:c r="E716" s="38" t="n">
        <x:v>100</x:v>
      </x:c>
      <x:c r="F716" s="38" t="n">
        <x:v>830555</x:v>
      </x:c>
      <x:c r="G716" s="38" t="n">
        <x:v>107600</x:v>
      </x:c>
      <x:c r="H716" s="38" t="n">
        <x:v>21600</x:v>
      </x:c>
      <x:c r="I716" s="38" t="n">
        <x:v>29754</x:v>
      </x:c>
      <x:c r="J716" s="38" t="n">
        <x:v>0</x:v>
      </x:c>
      <x:c r="K716" s="38" t="n">
        <x:v>0</x:v>
      </x:c>
      <x:c r="L716" s="38" t="n">
        <x:v>4959</x:v>
      </x:c>
      <x:c r="M716" s="38" t="n">
        <x:v>0</x:v>
      </x:c>
      <x:c r="N716" s="38" t="n">
        <x:v>13605</x:v>
      </x:c>
      <x:c r="O716" s="38" t="n">
        <x:v>30100</x:v>
      </x:c>
      <x:c r="P716" s="38" t="n">
        <x:f>F716+G716-H716+I716+J716+K716+L716-M716-N716-O716</x:f>
        <x:v>907563</x:v>
      </x:c>
      <x:c r="Q716" s="38" t="n">
        <x:v>907563</x:v>
      </x:c>
      <x:c r="R716" s="38" t="n">
        <x:f>P716-Q716</x:f>
        <x:v>0</x:v>
      </x:c>
      <x:c r="S716" s="38" t="n">
        <x:v>86000</x:v>
      </x:c>
      <x:c r="T716" s="38" t="n">
        <x:v>0</x:v>
      </x:c>
      <x:c r="U716" s="38" t="n">
        <x:v>104</x:v>
      </x:c>
      <x:c r="V716" s="38" t="n">
        <x:v>2</x:v>
      </x:c>
      <x:c r="W716" s="38" t="n">
        <x:v>0</x:v>
      </x:c>
      <x:c r="X716" s="44" t="n">
        <x:v>0</x:v>
      </x:c>
      <x:c r="Y716" s="38" t="n">
        <x:v>200</x:v>
      </x:c>
      <x:c r="Z716" s="38" t="n">
        <x:v>40</x:v>
      </x:c>
      <x:c r="AA716" s="38" t="n">
        <x:v>38</x:v>
      </x:c>
      <x:c r="AB716" s="38" t="n">
        <x:v>9</x:v>
      </x:c>
      <x:c r="AC716" s="38" t="n">
        <x:v>10800</x:v>
      </x:c>
      <x:c r="AD716" s="38" t="n">
        <x:v>0</x:v>
      </x:c>
      <x:c r="AE716" s="38" t="n">
        <x:f>IF(B716=1,0,F716-Q715)</x:f>
        <x:v>0</x:v>
      </x:c>
    </x:row>
    <x:row r="717" ht="27" customHeight="1">
      <x:c r="A717" s="28" t="str">
        <x:v>Ad-supported</x:v>
      </x:c>
      <x:c r="B717" s="38" t="n">
        <x:v>113</x:v>
      </x:c>
      <x:c r="C717" s="38" t="n">
        <x:v>40</x:v>
      </x:c>
      <x:c r="D717" s="38" t="n">
        <x:v>742640</x:v>
      </x:c>
      <x:c r="E717" s="38" t="n">
        <x:v>100</x:v>
      </x:c>
      <x:c r="F717" s="38" t="n">
        <x:v>907563</x:v>
      </x:c>
      <x:c r="G717" s="38" t="n">
        <x:v>107600</x:v>
      </x:c>
      <x:c r="H717" s="38" t="n">
        <x:v>21600</x:v>
      </x:c>
      <x:c r="I717" s="38" t="n">
        <x:v>4959</x:v>
      </x:c>
      <x:c r="J717" s="38" t="n">
        <x:v>0</x:v>
      </x:c>
      <x:c r="K717" s="38" t="n">
        <x:v>0</x:v>
      </x:c>
      <x:c r="L717" s="38" t="n">
        <x:v>4959</x:v>
      </x:c>
      <x:c r="M717" s="38" t="n">
        <x:v>0</x:v>
      </x:c>
      <x:c r="N717" s="38" t="n">
        <x:v>0</x:v>
      </x:c>
      <x:c r="O717" s="38" t="n">
        <x:v>30100</x:v>
      </x:c>
      <x:c r="P717" s="38" t="n">
        <x:f>F717+G717-H717+I717+J717+K717+L717-M717-N717-O717</x:f>
        <x:v>973381</x:v>
      </x:c>
      <x:c r="Q717" s="38" t="n">
        <x:v>973381</x:v>
      </x:c>
      <x:c r="R717" s="38" t="n">
        <x:f>P717-Q717</x:f>
        <x:v>0</x:v>
      </x:c>
      <x:c r="S717" s="38" t="n">
        <x:v>86000</x:v>
      </x:c>
      <x:c r="T717" s="38" t="n">
        <x:v>0</x:v>
      </x:c>
      <x:c r="U717" s="38" t="n">
        <x:v>104</x:v>
      </x:c>
      <x:c r="V717" s="38" t="n">
        <x:v>0</x:v>
      </x:c>
      <x:c r="W717" s="38" t="n">
        <x:v>0</x:v>
      </x:c>
      <x:c r="X717" s="44" t="n">
        <x:v>0</x:v>
      </x:c>
      <x:c r="Y717" s="38" t="n">
        <x:v>200</x:v>
      </x:c>
      <x:c r="Z717" s="38" t="n">
        <x:v>40</x:v>
      </x:c>
      <x:c r="AA717" s="38" t="n">
        <x:v>38</x:v>
      </x:c>
      <x:c r="AB717" s="38" t="n">
        <x:v>9</x:v>
      </x:c>
      <x:c r="AC717" s="38" t="n">
        <x:v>10800</x:v>
      </x:c>
      <x:c r="AD717" s="38" t="n">
        <x:v>0</x:v>
      </x:c>
      <x:c r="AE717" s="38" t="n">
        <x:f>IF(B717=1,0,F717-Q716)</x:f>
        <x:v>0</x:v>
      </x:c>
    </x:row>
    <x:row r="718" ht="27" customHeight="1">
      <x:c r="A718" s="28" t="str">
        <x:v>Ad-supported</x:v>
      </x:c>
      <x:c r="B718" s="38" t="n">
        <x:v>114</x:v>
      </x:c>
      <x:c r="C718" s="38" t="n">
        <x:v>40</x:v>
      </x:c>
      <x:c r="D718" s="38" t="n">
        <x:v>742640</x:v>
      </x:c>
      <x:c r="E718" s="38" t="n">
        <x:v>100</x:v>
      </x:c>
      <x:c r="F718" s="38" t="n">
        <x:v>973381</x:v>
      </x:c>
      <x:c r="G718" s="38" t="n">
        <x:v>107600</x:v>
      </x:c>
      <x:c r="H718" s="38" t="n">
        <x:v>21600</x:v>
      </x:c>
      <x:c r="I718" s="38" t="n">
        <x:v>4959</x:v>
      </x:c>
      <x:c r="J718" s="38" t="n">
        <x:v>0</x:v>
      </x:c>
      <x:c r="K718" s="38" t="n">
        <x:v>0</x:v>
      </x:c>
      <x:c r="L718" s="38" t="n">
        <x:v>4959</x:v>
      </x:c>
      <x:c r="M718" s="38" t="n">
        <x:v>0</x:v>
      </x:c>
      <x:c r="N718" s="38" t="n">
        <x:v>0</x:v>
      </x:c>
      <x:c r="O718" s="38" t="n">
        <x:v>30100</x:v>
      </x:c>
      <x:c r="P718" s="38" t="n">
        <x:f>F718+G718-H718+I718+J718+K718+L718-M718-N718-O718</x:f>
        <x:v>1039199</x:v>
      </x:c>
      <x:c r="Q718" s="38" t="n">
        <x:v>1039199</x:v>
      </x:c>
      <x:c r="R718" s="38" t="n">
        <x:f>P718-Q718</x:f>
        <x:v>0</x:v>
      </x:c>
      <x:c r="S718" s="38" t="n">
        <x:v>86000</x:v>
      </x:c>
      <x:c r="T718" s="38" t="n">
        <x:v>0</x:v>
      </x:c>
      <x:c r="U718" s="38" t="n">
        <x:v>104</x:v>
      </x:c>
      <x:c r="V718" s="38" t="n">
        <x:v>0</x:v>
      </x:c>
      <x:c r="W718" s="38" t="n">
        <x:v>0</x:v>
      </x:c>
      <x:c r="X718" s="44" t="n">
        <x:v>0</x:v>
      </x:c>
      <x:c r="Y718" s="38" t="n">
        <x:v>200</x:v>
      </x:c>
      <x:c r="Z718" s="38" t="n">
        <x:v>40</x:v>
      </x:c>
      <x:c r="AA718" s="38" t="n">
        <x:v>38</x:v>
      </x:c>
      <x:c r="AB718" s="38" t="n">
        <x:v>9</x:v>
      </x:c>
      <x:c r="AC718" s="38" t="n">
        <x:v>10800</x:v>
      </x:c>
      <x:c r="AD718" s="38" t="n">
        <x:v>0</x:v>
      </x:c>
      <x:c r="AE718" s="38" t="n">
        <x:f>IF(B718=1,0,F718-Q717)</x:f>
        <x:v>0</x:v>
      </x:c>
    </x:row>
    <x:row r="719" ht="27" customHeight="1">
      <x:c r="A719" s="28" t="str">
        <x:v>Ad-supported</x:v>
      </x:c>
      <x:c r="B719" s="38" t="n">
        <x:v>115</x:v>
      </x:c>
      <x:c r="C719" s="38" t="n">
        <x:v>40</x:v>
      </x:c>
      <x:c r="D719" s="38" t="n">
        <x:v>742640</x:v>
      </x:c>
      <x:c r="E719" s="38" t="n">
        <x:v>100</x:v>
      </x:c>
      <x:c r="F719" s="38" t="n">
        <x:v>1039199</x:v>
      </x:c>
      <x:c r="G719" s="38" t="n">
        <x:v>107600</x:v>
      </x:c>
      <x:c r="H719" s="38" t="n">
        <x:v>21600</x:v>
      </x:c>
      <x:c r="I719" s="38" t="n">
        <x:v>4959</x:v>
      </x:c>
      <x:c r="J719" s="38" t="n">
        <x:v>0</x:v>
      </x:c>
      <x:c r="K719" s="38" t="n">
        <x:v>0</x:v>
      </x:c>
      <x:c r="L719" s="38" t="n">
        <x:v>4959</x:v>
      </x:c>
      <x:c r="M719" s="38" t="n">
        <x:v>0</x:v>
      </x:c>
      <x:c r="N719" s="38" t="n">
        <x:v>13880</x:v>
      </x:c>
      <x:c r="O719" s="38" t="n">
        <x:v>30100</x:v>
      </x:c>
      <x:c r="P719" s="38" t="n">
        <x:f>F719+G719-H719+I719+J719+K719+L719-M719-N719-O719</x:f>
        <x:v>1091137</x:v>
      </x:c>
      <x:c r="Q719" s="38" t="n">
        <x:v>1091137</x:v>
      </x:c>
      <x:c r="R719" s="38" t="n">
        <x:f>P719-Q719</x:f>
        <x:v>0</x:v>
      </x:c>
      <x:c r="S719" s="38" t="n">
        <x:v>86000</x:v>
      </x:c>
      <x:c r="T719" s="38" t="n">
        <x:v>0</x:v>
      </x:c>
      <x:c r="U719" s="38" t="n">
        <x:v>104</x:v>
      </x:c>
      <x:c r="V719" s="38" t="n">
        <x:v>0</x:v>
      </x:c>
      <x:c r="W719" s="38" t="n">
        <x:v>0</x:v>
      </x:c>
      <x:c r="X719" s="44" t="n">
        <x:v>0</x:v>
      </x:c>
      <x:c r="Y719" s="38" t="n">
        <x:v>200</x:v>
      </x:c>
      <x:c r="Z719" s="38" t="n">
        <x:v>40</x:v>
      </x:c>
      <x:c r="AA719" s="38" t="n">
        <x:v>39</x:v>
      </x:c>
      <x:c r="AB719" s="38" t="n">
        <x:v>9</x:v>
      </x:c>
      <x:c r="AC719" s="38" t="n">
        <x:v>10800</x:v>
      </x:c>
      <x:c r="AD719" s="38" t="n">
        <x:v>0</x:v>
      </x:c>
      <x:c r="AE719" s="38" t="n">
        <x:f>IF(B719=1,0,F719-Q718)</x:f>
        <x:v>0</x:v>
      </x:c>
    </x:row>
    <x:row r="720" ht="27" customHeight="1">
      <x:c r="A720" s="28" t="str">
        <x:v>Ad-supported</x:v>
      </x:c>
      <x:c r="B720" s="38" t="n">
        <x:v>116</x:v>
      </x:c>
      <x:c r="C720" s="38" t="n">
        <x:v>40</x:v>
      </x:c>
      <x:c r="D720" s="38" t="n">
        <x:v>742640</x:v>
      </x:c>
      <x:c r="E720" s="38" t="n">
        <x:v>100</x:v>
      </x:c>
      <x:c r="F720" s="38" t="n">
        <x:v>1091137</x:v>
      </x:c>
      <x:c r="G720" s="38" t="n">
        <x:v>107600</x:v>
      </x:c>
      <x:c r="H720" s="38" t="n">
        <x:v>21600</x:v>
      </x:c>
      <x:c r="I720" s="38" t="n">
        <x:v>4959</x:v>
      </x:c>
      <x:c r="J720" s="38" t="n">
        <x:v>0</x:v>
      </x:c>
      <x:c r="K720" s="38" t="n">
        <x:v>0</x:v>
      </x:c>
      <x:c r="L720" s="38" t="n">
        <x:v>4959</x:v>
      </x:c>
      <x:c r="M720" s="38" t="n">
        <x:v>0</x:v>
      </x:c>
      <x:c r="N720" s="38" t="n">
        <x:v>0</x:v>
      </x:c>
      <x:c r="O720" s="38" t="n">
        <x:v>30099</x:v>
      </x:c>
      <x:c r="P720" s="38" t="n">
        <x:f>F720+G720-H720+I720+J720+K720+L720-M720-N720-O720</x:f>
        <x:v>1156956</x:v>
      </x:c>
      <x:c r="Q720" s="38" t="n">
        <x:v>1156956</x:v>
      </x:c>
      <x:c r="R720" s="38" t="n">
        <x:f>P720-Q720</x:f>
        <x:v>0</x:v>
      </x:c>
      <x:c r="S720" s="38" t="n">
        <x:v>86000</x:v>
      </x:c>
      <x:c r="T720" s="38" t="n">
        <x:v>0</x:v>
      </x:c>
      <x:c r="U720" s="38" t="n">
        <x:v>104</x:v>
      </x:c>
      <x:c r="V720" s="38" t="n">
        <x:v>0</x:v>
      </x:c>
      <x:c r="W720" s="38" t="n">
        <x:v>0</x:v>
      </x:c>
      <x:c r="X720" s="44" t="n">
        <x:v>0</x:v>
      </x:c>
      <x:c r="Y720" s="38" t="n">
        <x:v>200</x:v>
      </x:c>
      <x:c r="Z720" s="38" t="n">
        <x:v>40</x:v>
      </x:c>
      <x:c r="AA720" s="38" t="n">
        <x:v>39</x:v>
      </x:c>
      <x:c r="AB720" s="38" t="n">
        <x:v>9</x:v>
      </x:c>
      <x:c r="AC720" s="38" t="n">
        <x:v>10800</x:v>
      </x:c>
      <x:c r="AD720" s="38" t="n">
        <x:v>0</x:v>
      </x:c>
      <x:c r="AE720" s="38" t="n">
        <x:f>IF(B720=1,0,F720-Q719)</x:f>
        <x:v>0</x:v>
      </x:c>
    </x:row>
    <x:row r="721" ht="27" customHeight="1">
      <x:c r="A721" s="28" t="str">
        <x:v>Ad-supported</x:v>
      </x:c>
      <x:c r="B721" s="38" t="n">
        <x:v>117</x:v>
      </x:c>
      <x:c r="C721" s="38" t="n">
        <x:v>40</x:v>
      </x:c>
      <x:c r="D721" s="38" t="n">
        <x:v>742640</x:v>
      </x:c>
      <x:c r="E721" s="38" t="n">
        <x:v>100</x:v>
      </x:c>
      <x:c r="F721" s="38" t="n">
        <x:v>1156956</x:v>
      </x:c>
      <x:c r="G721" s="38" t="n">
        <x:v>107600</x:v>
      </x:c>
      <x:c r="H721" s="38" t="n">
        <x:v>21600</x:v>
      </x:c>
      <x:c r="I721" s="38" t="n">
        <x:v>4959</x:v>
      </x:c>
      <x:c r="J721" s="38" t="n">
        <x:v>0</x:v>
      </x:c>
      <x:c r="K721" s="38" t="n">
        <x:v>0</x:v>
      </x:c>
      <x:c r="L721" s="38" t="n">
        <x:v>4959</x:v>
      </x:c>
      <x:c r="M721" s="38" t="n">
        <x:v>0</x:v>
      </x:c>
      <x:c r="N721" s="38" t="n">
        <x:v>0</x:v>
      </x:c>
      <x:c r="O721" s="38" t="n">
        <x:v>30100</x:v>
      </x:c>
      <x:c r="P721" s="38" t="n">
        <x:f>F721+G721-H721+I721+J721+K721+L721-M721-N721-O721</x:f>
        <x:v>1222774</x:v>
      </x:c>
      <x:c r="Q721" s="38" t="n">
        <x:v>1222774</x:v>
      </x:c>
      <x:c r="R721" s="38" t="n">
        <x:f>P721-Q721</x:f>
        <x:v>0</x:v>
      </x:c>
      <x:c r="S721" s="38" t="n">
        <x:v>86000</x:v>
      </x:c>
      <x:c r="T721" s="38" t="n">
        <x:v>0</x:v>
      </x:c>
      <x:c r="U721" s="38" t="n">
        <x:v>104</x:v>
      </x:c>
      <x:c r="V721" s="38" t="n">
        <x:v>0</x:v>
      </x:c>
      <x:c r="W721" s="38" t="n">
        <x:v>0</x:v>
      </x:c>
      <x:c r="X721" s="44" t="n">
        <x:v>0</x:v>
      </x:c>
      <x:c r="Y721" s="38" t="n">
        <x:v>200</x:v>
      </x:c>
      <x:c r="Z721" s="38" t="n">
        <x:v>40</x:v>
      </x:c>
      <x:c r="AA721" s="38" t="n">
        <x:v>39</x:v>
      </x:c>
      <x:c r="AB721" s="38" t="n">
        <x:v>9</x:v>
      </x:c>
      <x:c r="AC721" s="38" t="n">
        <x:v>10800</x:v>
      </x:c>
      <x:c r="AD721" s="38" t="n">
        <x:v>0</x:v>
      </x:c>
      <x:c r="AE721" s="38" t="n">
        <x:f>IF(B721=1,0,F721-Q720)</x:f>
        <x:v>0</x:v>
      </x:c>
    </x:row>
    <x:row r="722" ht="27" customHeight="1">
      <x:c r="A722" s="28" t="str">
        <x:v>Ad-supported</x:v>
      </x:c>
      <x:c r="B722" s="38" t="n">
        <x:v>118</x:v>
      </x:c>
      <x:c r="C722" s="38" t="n">
        <x:v>40</x:v>
      </x:c>
      <x:c r="D722" s="38" t="n">
        <x:v>742640</x:v>
      </x:c>
      <x:c r="E722" s="38" t="n">
        <x:v>100</x:v>
      </x:c>
      <x:c r="F722" s="38" t="n">
        <x:v>1222774</x:v>
      </x:c>
      <x:c r="G722" s="38" t="n">
        <x:v>107600</x:v>
      </x:c>
      <x:c r="H722" s="38" t="n">
        <x:v>21600</x:v>
      </x:c>
      <x:c r="I722" s="38" t="n">
        <x:v>4959</x:v>
      </x:c>
      <x:c r="J722" s="38" t="n">
        <x:v>0</x:v>
      </x:c>
      <x:c r="K722" s="38" t="n">
        <x:v>0</x:v>
      </x:c>
      <x:c r="L722" s="38" t="n">
        <x:v>4959</x:v>
      </x:c>
      <x:c r="M722" s="38" t="n">
        <x:v>0</x:v>
      </x:c>
      <x:c r="N722" s="38" t="n">
        <x:v>15170</x:v>
      </x:c>
      <x:c r="O722" s="38" t="n">
        <x:v>21439</x:v>
      </x:c>
      <x:c r="P722" s="38" t="n">
        <x:f>F722+G722-H722+I722+J722+K722+L722-M722-N722-O722</x:f>
        <x:v>1282083</x:v>
      </x:c>
      <x:c r="Q722" s="38" t="n">
        <x:v>1282083</x:v>
      </x:c>
      <x:c r="R722" s="38" t="n">
        <x:f>P722-Q722</x:f>
        <x:v>0</x:v>
      </x:c>
      <x:c r="S722" s="38" t="n">
        <x:v>86000</x:v>
      </x:c>
      <x:c r="T722" s="38" t="n">
        <x:v>0</x:v>
      </x:c>
      <x:c r="U722" s="38" t="n">
        <x:v>104</x:v>
      </x:c>
      <x:c r="V722" s="38" t="n">
        <x:v>0</x:v>
      </x:c>
      <x:c r="W722" s="38" t="n">
        <x:v>0</x:v>
      </x:c>
      <x:c r="X722" s="44" t="n">
        <x:v>0</x:v>
      </x:c>
      <x:c r="Y722" s="38" t="n">
        <x:v>200</x:v>
      </x:c>
      <x:c r="Z722" s="38" t="n">
        <x:v>40</x:v>
      </x:c>
      <x:c r="AA722" s="38" t="n">
        <x:v>40</x:v>
      </x:c>
      <x:c r="AB722" s="38" t="n">
        <x:v>10</x:v>
      </x:c>
      <x:c r="AC722" s="38" t="n">
        <x:v>10800</x:v>
      </x:c>
      <x:c r="AD722" s="38" t="n">
        <x:v>0</x:v>
      </x:c>
      <x:c r="AE722" s="38" t="n">
        <x:f>IF(B722=1,0,F722-Q721)</x:f>
        <x:v>0</x:v>
      </x:c>
    </x:row>
    <x:row r="723" ht="27" customHeight="1">
      <x:c r="A723" s="28" t="str">
        <x:v>Ad-supported</x:v>
      </x:c>
      <x:c r="B723" s="38" t="n">
        <x:v>119</x:v>
      </x:c>
      <x:c r="C723" s="38" t="n">
        <x:v>40</x:v>
      </x:c>
      <x:c r="D723" s="38" t="n">
        <x:v>742640</x:v>
      </x:c>
      <x:c r="E723" s="38" t="n">
        <x:v>100</x:v>
      </x:c>
      <x:c r="F723" s="38" t="n">
        <x:v>1282083</x:v>
      </x:c>
      <x:c r="G723" s="38" t="n">
        <x:v>107600</x:v>
      </x:c>
      <x:c r="H723" s="38" t="n">
        <x:v>21600</x:v>
      </x:c>
      <x:c r="I723" s="38" t="n">
        <x:v>29754</x:v>
      </x:c>
      <x:c r="J723" s="38" t="n">
        <x:v>0</x:v>
      </x:c>
      <x:c r="K723" s="38" t="n">
        <x:v>0</x:v>
      </x:c>
      <x:c r="L723" s="38" t="n">
        <x:v>4959</x:v>
      </x:c>
      <x:c r="M723" s="38" t="n">
        <x:v>0</x:v>
      </x:c>
      <x:c r="N723" s="38" t="n">
        <x:v>0</x:v>
      </x:c>
      <x:c r="O723" s="38" t="n">
        <x:v>0</x:v>
      </x:c>
      <x:c r="P723" s="38" t="n">
        <x:f>F723+G723-H723+I723+J723+K723+L723-M723-N723-O723</x:f>
        <x:v>1402796</x:v>
      </x:c>
      <x:c r="Q723" s="38" t="n">
        <x:v>1402796</x:v>
      </x:c>
      <x:c r="R723" s="38" t="n">
        <x:f>P723-Q723</x:f>
        <x:v>0</x:v>
      </x:c>
      <x:c r="S723" s="38" t="n">
        <x:v>86000</x:v>
      </x:c>
      <x:c r="T723" s="38" t="n">
        <x:v>0</x:v>
      </x:c>
      <x:c r="U723" s="38" t="n">
        <x:v>106</x:v>
      </x:c>
      <x:c r="V723" s="38" t="n">
        <x:v>2</x:v>
      </x:c>
      <x:c r="W723" s="38" t="n">
        <x:v>0</x:v>
      </x:c>
      <x:c r="X723" s="44" t="n">
        <x:v>0</x:v>
      </x:c>
      <x:c r="Y723" s="38" t="n">
        <x:v>200</x:v>
      </x:c>
      <x:c r="Z723" s="38" t="n">
        <x:v>40</x:v>
      </x:c>
      <x:c r="AA723" s="38" t="n">
        <x:v>40</x:v>
      </x:c>
      <x:c r="AB723" s="38" t="n">
        <x:v>10</x:v>
      </x:c>
      <x:c r="AC723" s="38" t="n">
        <x:v>10800</x:v>
      </x:c>
      <x:c r="AD723" s="38" t="n">
        <x:v>0</x:v>
      </x:c>
      <x:c r="AE723" s="38" t="n">
        <x:f>IF(B723=1,0,F723-Q722)</x:f>
        <x:v>0</x:v>
      </x:c>
    </x:row>
    <x:row r="724" ht="27" customHeight="1">
      <x:c r="A724" s="28" t="str">
        <x:v>Ad-supported</x:v>
      </x:c>
      <x:c r="B724" s="38" t="n">
        <x:v>120</x:v>
      </x:c>
      <x:c r="C724" s="38" t="n">
        <x:v>40</x:v>
      </x:c>
      <x:c r="D724" s="38" t="n">
        <x:v>742640</x:v>
      </x:c>
      <x:c r="E724" s="38" t="n">
        <x:v>100</x:v>
      </x:c>
      <x:c r="F724" s="38" t="n">
        <x:v>1402796</x:v>
      </x:c>
      <x:c r="G724" s="38" t="n">
        <x:v>107600</x:v>
      </x:c>
      <x:c r="H724" s="38" t="n">
        <x:v>21600</x:v>
      </x:c>
      <x:c r="I724" s="38" t="n">
        <x:v>4959</x:v>
      </x:c>
      <x:c r="J724" s="38" t="n">
        <x:v>0</x:v>
      </x:c>
      <x:c r="K724" s="38" t="n">
        <x:v>0</x:v>
      </x:c>
      <x:c r="L724" s="38" t="n">
        <x:v>4959</x:v>
      </x:c>
      <x:c r="M724" s="38" t="n">
        <x:v>0</x:v>
      </x:c>
      <x:c r="N724" s="38" t="n">
        <x:v>0</x:v>
      </x:c>
      <x:c r="O724" s="38" t="n">
        <x:v>0</x:v>
      </x:c>
      <x:c r="P724" s="38" t="n">
        <x:f>F724+G724-H724+I724+J724+K724+L724-M724-N724-O724</x:f>
        <x:v>1498714</x:v>
      </x:c>
      <x:c r="Q724" s="38" t="n">
        <x:v>1498714</x:v>
      </x:c>
      <x:c r="R724" s="38" t="n">
        <x:f>P724-Q724</x:f>
        <x:v>0</x:v>
      </x:c>
      <x:c r="S724" s="38" t="n">
        <x:v>86000</x:v>
      </x:c>
      <x:c r="T724" s="38" t="n">
        <x:v>0</x:v>
      </x:c>
      <x:c r="U724" s="38" t="n">
        <x:v>106</x:v>
      </x:c>
      <x:c r="V724" s="38" t="n">
        <x:v>0</x:v>
      </x:c>
      <x:c r="W724" s="38" t="n">
        <x:v>0</x:v>
      </x:c>
      <x:c r="X724" s="44" t="n">
        <x:v>0</x:v>
      </x:c>
      <x:c r="Y724" s="38" t="n">
        <x:v>200</x:v>
      </x:c>
      <x:c r="Z724" s="38" t="n">
        <x:v>40</x:v>
      </x:c>
      <x:c r="AA724" s="38" t="n">
        <x:v>40</x:v>
      </x:c>
      <x:c r="AB724" s="38" t="n">
        <x:v>10</x:v>
      </x:c>
      <x:c r="AC724" s="38" t="n">
        <x:v>10800</x:v>
      </x:c>
      <x:c r="AD724" s="38" t="n">
        <x:v>0</x:v>
      </x:c>
      <x:c r="AE724" s="38" t="n">
        <x:f>IF(B724=1,0,F724-Q723)</x:f>
        <x:v>0</x:v>
      </x:c>
    </x:row>
    <x:row r="725" ht="27" customHeight="1">
      <x:c r="A725" s="28" t="str">
        <x:v>Returning F2P</x:v>
      </x:c>
      <x:c r="B725" s="38" t="n">
        <x:v>1</x:v>
      </x:c>
      <x:c r="C725" s="38" t="n">
        <x:v>3</x:v>
      </x:c>
      <x:c r="D725" s="38" t="n">
        <x:v>370</x:v>
      </x:c>
      <x:c r="E725" s="38" t="n">
        <x:v>15</x:v>
      </x:c>
      <x:c r="F725" s="38" t="n">
        <x:v>731</x:v>
      </x:c>
      <x:c r="G725" s="38" t="n">
        <x:v>1155</x:v>
      </x:c>
      <x:c r="H725" s="38" t="n">
        <x:v>759</x:v>
      </x:c>
      <x:c r="I725" s="38" t="n">
        <x:v>0</x:v>
      </x:c>
      <x:c r="J725" s="38" t="n">
        <x:v>75</x:v>
      </x:c>
      <x:c r="K725" s="38" t="n">
        <x:v>0</x:v>
      </x:c>
      <x:c r="L725" s="38" t="n">
        <x:v>0</x:v>
      </x:c>
      <x:c r="M725" s="38" t="n">
        <x:v>300</x:v>
      </x:c>
      <x:c r="N725" s="38" t="n">
        <x:v>0</x:v>
      </x:c>
      <x:c r="O725" s="38" t="n">
        <x:v>0</x:v>
      </x:c>
      <x:c r="P725" s="38" t="n">
        <x:f>F725+G725-H725+I725+J725+K725+L725-M725-N725-O725</x:f>
        <x:v>902</x:v>
      </x:c>
      <x:c r="Q725" s="38" t="n">
        <x:v>902</x:v>
      </x:c>
      <x:c r="R725" s="38" t="n">
        <x:f>P725-Q725</x:f>
        <x:v>0</x:v>
      </x:c>
      <x:c r="S725" s="38" t="n">
        <x:v>933</x:v>
      </x:c>
      <x:c r="T725" s="38" t="n">
        <x:v>290</x:v>
      </x:c>
      <x:c r="U725" s="38" t="n">
        <x:v>1</x:v>
      </x:c>
      <x:c r="V725" s="38" t="n">
        <x:v>0</x:v>
      </x:c>
      <x:c r="W725" s="38" t="n">
        <x:v>0</x:v>
      </x:c>
      <x:c r="X725" s="44" t="n">
        <x:v>0</x:v>
      </x:c>
      <x:c r="Y725" s="38" t="n">
        <x:v>9</x:v>
      </x:c>
      <x:c r="Z725" s="38" t="n">
        <x:v>3</x:v>
      </x:c>
      <x:c r="AA725" s="38" t="n">
        <x:v>1</x:v>
      </x:c>
      <x:c r="AB725" s="38" t="n">
        <x:v>0</x:v>
      </x:c>
      <x:c r="AC725" s="38" t="n">
        <x:v>537</x:v>
      </x:c>
      <x:c r="AD725" s="38" t="n">
        <x:v>0</x:v>
      </x:c>
      <x:c r="AE725" s="38" t="n">
        <x:f>IF(B725=1,0,F725-Q724)</x:f>
        <x:v>0</x:v>
      </x:c>
    </x:row>
    <x:row r="726" ht="27" customHeight="1">
      <x:c r="A726" s="28" t="str">
        <x:v>Returning F2P</x:v>
      </x:c>
      <x:c r="B726" s="38" t="n">
        <x:v>2</x:v>
      </x:c>
      <x:c r="C726" s="38" t="n">
        <x:v>5</x:v>
      </x:c>
      <x:c r="D726" s="38" t="n">
        <x:v>1828</x:v>
      </x:c>
      <x:c r="E726" s="38" t="n">
        <x:v>15</x:v>
      </x:c>
      <x:c r="F726" s="38" t="n">
        <x:v>902</x:v>
      </x:c>
      <x:c r="G726" s="38" t="n">
        <x:v>5505</x:v>
      </x:c>
      <x:c r="H726" s="38" t="n">
        <x:v>1323</x:v>
      </x:c>
      <x:c r="I726" s="38" t="n">
        <x:v>294</x:v>
      </x:c>
      <x:c r="J726" s="38" t="n">
        <x:v>155</x:v>
      </x:c>
      <x:c r="K726" s="38" t="n">
        <x:v>0</x:v>
      </x:c>
      <x:c r="L726" s="38" t="n">
        <x:v>0</x:v>
      </x:c>
      <x:c r="M726" s="38" t="n">
        <x:v>0</x:v>
      </x:c>
      <x:c r="N726" s="38" t="n">
        <x:v>0</x:v>
      </x:c>
      <x:c r="O726" s="38" t="n">
        <x:v>0</x:v>
      </x:c>
      <x:c r="P726" s="38" t="n">
        <x:f>F726+G726-H726+I726+J726+K726+L726-M726-N726-O726</x:f>
        <x:v>5533</x:v>
      </x:c>
      <x:c r="Q726" s="38" t="n">
        <x:v>5533</x:v>
      </x:c>
      <x:c r="R726" s="38" t="n">
        <x:f>P726-Q726</x:f>
        <x:v>0</x:v>
      </x:c>
      <x:c r="S726" s="38" t="n">
        <x:v>4459</x:v>
      </x:c>
      <x:c r="T726" s="38" t="n">
        <x:v>1458</x:v>
      </x:c>
      <x:c r="U726" s="38" t="n">
        <x:v>5</x:v>
      </x:c>
      <x:c r="V726" s="38" t="n">
        <x:v>4</x:v>
      </x:c>
      <x:c r="W726" s="38" t="n">
        <x:v>0</x:v>
      </x:c>
      <x:c r="X726" s="44" t="n">
        <x:v>0</x:v>
      </x:c>
      <x:c r="Y726" s="38" t="n">
        <x:v>28</x:v>
      </x:c>
      <x:c r="Z726" s="38" t="n">
        <x:v>6</x:v>
      </x:c>
      <x:c r="AA726" s="38" t="n">
        <x:v>1</x:v>
      </x:c>
      <x:c r="AB726" s="38" t="n">
        <x:v>0</x:v>
      </x:c>
      <x:c r="AC726" s="38" t="n">
        <x:v>814</x:v>
      </x:c>
      <x:c r="AD726" s="38" t="n">
        <x:v>0</x:v>
      </x:c>
      <x:c r="AE726" s="38" t="n">
        <x:f>IF(B726=1,0,F726-Q725)</x:f>
        <x:v>0</x:v>
      </x:c>
    </x:row>
    <x:row r="727" ht="27" customHeight="1">
      <x:c r="A727" s="28" t="str">
        <x:v>Returning F2P</x:v>
      </x:c>
      <x:c r="B727" s="38" t="n">
        <x:v>3</x:v>
      </x:c>
      <x:c r="C727" s="38" t="n">
        <x:v>7</x:v>
      </x:c>
      <x:c r="D727" s="38" t="n">
        <x:v>3301</x:v>
      </x:c>
      <x:c r="E727" s="38" t="n">
        <x:v>25</x:v>
      </x:c>
      <x:c r="F727" s="38" t="n">
        <x:v>5533</x:v>
      </x:c>
      <x:c r="G727" s="38" t="n">
        <x:v>6493</x:v>
      </x:c>
      <x:c r="H727" s="38" t="n">
        <x:v>1752</x:v>
      </x:c>
      <x:c r="I727" s="38" t="n">
        <x:v>319</x:v>
      </x:c>
      <x:c r="J727" s="38" t="n">
        <x:v>230</x:v>
      </x:c>
      <x:c r="K727" s="38" t="n">
        <x:v>0</x:v>
      </x:c>
      <x:c r="L727" s="38" t="n">
        <x:v>0</x:v>
      </x:c>
      <x:c r="M727" s="38" t="n">
        <x:v>6500</x:v>
      </x:c>
      <x:c r="N727" s="38" t="n">
        <x:v>0</x:v>
      </x:c>
      <x:c r="O727" s="38" t="n">
        <x:v>0</x:v>
      </x:c>
      <x:c r="P727" s="38" t="n">
        <x:f>F727+G727-H727+I727+J727+K727+L727-M727-N727-O727</x:f>
        <x:v>4323</x:v>
      </x:c>
      <x:c r="Q727" s="38" t="n">
        <x:v>4323</x:v>
      </x:c>
      <x:c r="R727" s="38" t="n">
        <x:f>P727-Q727</x:f>
        <x:v>0</x:v>
      </x:c>
      <x:c r="S727" s="38" t="n">
        <x:v>5186</x:v>
      </x:c>
      <x:c r="T727" s="38" t="n">
        <x:v>1473</x:v>
      </x:c>
      <x:c r="U727" s="38" t="n">
        <x:v>6</x:v>
      </x:c>
      <x:c r="V727" s="38" t="n">
        <x:v>1</x:v>
      </x:c>
      <x:c r="W727" s="38" t="n">
        <x:v>0</x:v>
      </x:c>
      <x:c r="X727" s="44" t="n">
        <x:v>0</x:v>
      </x:c>
      <x:c r="Y727" s="38" t="n">
        <x:v>28</x:v>
      </x:c>
      <x:c r="Z727" s="38" t="n">
        <x:v>8</x:v>
      </x:c>
      <x:c r="AA727" s="38" t="n">
        <x:v>1</x:v>
      </x:c>
      <x:c r="AB727" s="38" t="n">
        <x:v>0</x:v>
      </x:c>
      <x:c r="AC727" s="38" t="n">
        <x:v>1259</x:v>
      </x:c>
      <x:c r="AD727" s="38" t="n">
        <x:v>0</x:v>
      </x:c>
      <x:c r="AE727" s="38" t="n">
        <x:f>IF(B727=1,0,F727-Q726)</x:f>
        <x:v>0</x:v>
      </x:c>
    </x:row>
    <x:row r="728" ht="27" customHeight="1">
      <x:c r="A728" s="28" t="str">
        <x:v>Returning F2P</x:v>
      </x:c>
      <x:c r="B728" s="38" t="n">
        <x:v>4</x:v>
      </x:c>
      <x:c r="C728" s="38" t="n">
        <x:v>8</x:v>
      </x:c>
      <x:c r="D728" s="38" t="n">
        <x:v>6124</x:v>
      </x:c>
      <x:c r="E728" s="38" t="n">
        <x:v>25</x:v>
      </x:c>
      <x:c r="F728" s="38" t="n">
        <x:v>4323</x:v>
      </x:c>
      <x:c r="G728" s="38" t="n">
        <x:v>11822</x:v>
      </x:c>
      <x:c r="H728" s="38" t="n">
        <x:v>2448</x:v>
      </x:c>
      <x:c r="I728" s="38" t="n">
        <x:v>572</x:v>
      </x:c>
      <x:c r="J728" s="38" t="n">
        <x:v>150</x:v>
      </x:c>
      <x:c r="K728" s="38" t="n">
        <x:v>0</x:v>
      </x:c>
      <x:c r="L728" s="38" t="n">
        <x:v>0</x:v>
      </x:c>
      <x:c r="M728" s="38" t="n">
        <x:v>0</x:v>
      </x:c>
      <x:c r="N728" s="38" t="n">
        <x:v>70</x:v>
      </x:c>
      <x:c r="O728" s="38" t="n">
        <x:v>0</x:v>
      </x:c>
      <x:c r="P728" s="38" t="n">
        <x:f>F728+G728-H728+I728+J728+K728+L728-M728-N728-O728</x:f>
        <x:v>14349</x:v>
      </x:c>
      <x:c r="Q728" s="38" t="n">
        <x:v>14349</x:v>
      </x:c>
      <x:c r="R728" s="38" t="n">
        <x:f>P728-Q728</x:f>
        <x:v>0</x:v>
      </x:c>
      <x:c r="S728" s="38" t="n">
        <x:v>9438</x:v>
      </x:c>
      <x:c r="T728" s="38" t="n">
        <x:v>2823</x:v>
      </x:c>
      <x:c r="U728" s="38" t="n">
        <x:v>9</x:v>
      </x:c>
      <x:c r="V728" s="38" t="n">
        <x:v>3</x:v>
      </x:c>
      <x:c r="W728" s="38" t="n">
        <x:v>0</x:v>
      </x:c>
      <x:c r="X728" s="44" t="n">
        <x:v>0</x:v>
      </x:c>
      <x:c r="Y728" s="38" t="n">
        <x:v>50</x:v>
      </x:c>
      <x:c r="Z728" s="38" t="n">
        <x:v>9</x:v>
      </x:c>
      <x:c r="AA728" s="38" t="n">
        <x:v>2</x:v>
      </x:c>
      <x:c r="AB728" s="38" t="n">
        <x:v>0</x:v>
      </x:c>
      <x:c r="AC728" s="38" t="n">
        <x:v>1323</x:v>
      </x:c>
      <x:c r="AD728" s="38" t="n">
        <x:v>0</x:v>
      </x:c>
      <x:c r="AE728" s="38" t="n">
        <x:f>IF(B728=1,0,F728-Q727)</x:f>
        <x:v>0</x:v>
      </x:c>
    </x:row>
    <x:row r="729" ht="27" customHeight="1">
      <x:c r="A729" s="28" t="str">
        <x:v>Returning F2P</x:v>
      </x:c>
      <x:c r="B729" s="38" t="n">
        <x:v>5</x:v>
      </x:c>
      <x:c r="C729" s="38" t="n">
        <x:v>9</x:v>
      </x:c>
      <x:c r="D729" s="38" t="n">
        <x:v>8627</x:v>
      </x:c>
      <x:c r="E729" s="38" t="n">
        <x:v>30</x:v>
      </x:c>
      <x:c r="F729" s="38" t="n">
        <x:v>14349</x:v>
      </x:c>
      <x:c r="G729" s="38" t="n">
        <x:v>12782</x:v>
      </x:c>
      <x:c r="H729" s="38" t="n">
        <x:v>2774</x:v>
      </x:c>
      <x:c r="I729" s="38" t="n">
        <x:v>592</x:v>
      </x:c>
      <x:c r="J729" s="38" t="n">
        <x:v>185</x:v>
      </x:c>
      <x:c r="K729" s="38" t="n">
        <x:v>0</x:v>
      </x:c>
      <x:c r="L729" s="38" t="n">
        <x:v>0</x:v>
      </x:c>
      <x:c r="M729" s="38" t="n">
        <x:v>15000</x:v>
      </x:c>
      <x:c r="N729" s="38" t="n">
        <x:v>0</x:v>
      </x:c>
      <x:c r="O729" s="38" t="n">
        <x:v>0</x:v>
      </x:c>
      <x:c r="P729" s="38" t="n">
        <x:f>F729+G729-H729+I729+J729+K729+L729-M729-N729-O729</x:f>
        <x:v>10134</x:v>
      </x:c>
      <x:c r="Q729" s="38" t="n">
        <x:v>10134</x:v>
      </x:c>
      <x:c r="R729" s="38" t="n">
        <x:f>P729-Q729</x:f>
        <x:v>0</x:v>
      </x:c>
      <x:c r="S729" s="38" t="n">
        <x:v>10235</x:v>
      </x:c>
      <x:c r="T729" s="38" t="n">
        <x:v>2503</x:v>
      </x:c>
      <x:c r="U729" s="38" t="n">
        <x:v>11</x:v>
      </x:c>
      <x:c r="V729" s="38" t="n">
        <x:v>2</x:v>
      </x:c>
      <x:c r="W729" s="38" t="n">
        <x:v>0</x:v>
      </x:c>
      <x:c r="X729" s="44" t="n">
        <x:v>0</x:v>
      </x:c>
      <x:c r="Y729" s="38" t="n">
        <x:v>49</x:v>
      </x:c>
      <x:c r="Z729" s="38" t="n">
        <x:v>10</x:v>
      </x:c>
      <x:c r="AA729" s="38" t="n">
        <x:v>2</x:v>
      </x:c>
      <x:c r="AB729" s="38" t="n">
        <x:v>0</x:v>
      </x:c>
      <x:c r="AC729" s="38" t="n">
        <x:v>1550</x:v>
      </x:c>
      <x:c r="AD729" s="38" t="n">
        <x:v>0</x:v>
      </x:c>
      <x:c r="AE729" s="38" t="n">
        <x:f>IF(B729=1,0,F729-Q728)</x:f>
        <x:v>0</x:v>
      </x:c>
    </x:row>
    <x:row r="730" ht="27" customHeight="1">
      <x:c r="A730" s="28" t="str">
        <x:v>Returning F2P</x:v>
      </x:c>
      <x:c r="B730" s="38" t="n">
        <x:v>6</x:v>
      </x:c>
      <x:c r="C730" s="38" t="n">
        <x:v>10</x:v>
      </x:c>
      <x:c r="D730" s="38" t="n">
        <x:v>11604</x:v>
      </x:c>
      <x:c r="E730" s="38" t="n">
        <x:v>30</x:v>
      </x:c>
      <x:c r="F730" s="38" t="n">
        <x:v>10134</x:v>
      </x:c>
      <x:c r="G730" s="38" t="n">
        <x:v>15701</x:v>
      </x:c>
      <x:c r="H730" s="38" t="n">
        <x:v>3398</x:v>
      </x:c>
      <x:c r="I730" s="38" t="n">
        <x:v>734</x:v>
      </x:c>
      <x:c r="J730" s="38" t="n">
        <x:v>190</x:v>
      </x:c>
      <x:c r="K730" s="38" t="n">
        <x:v>0</x:v>
      </x:c>
      <x:c r="L730" s="38" t="n">
        <x:v>0</x:v>
      </x:c>
      <x:c r="M730" s="38" t="n">
        <x:v>0</x:v>
      </x:c>
      <x:c r="N730" s="38" t="n">
        <x:v>0</x:v>
      </x:c>
      <x:c r="O730" s="38" t="n">
        <x:v>0</x:v>
      </x:c>
      <x:c r="P730" s="38" t="n">
        <x:f>F730+G730-H730+I730+J730+K730+L730-M730-N730-O730</x:f>
        <x:v>23361</x:v>
      </x:c>
      <x:c r="Q730" s="38" t="n">
        <x:v>23361</x:v>
      </x:c>
      <x:c r="R730" s="38" t="n">
        <x:f>P730-Q730</x:f>
        <x:v>0</x:v>
      </x:c>
      <x:c r="S730" s="38" t="n">
        <x:v>12561</x:v>
      </x:c>
      <x:c r="T730" s="38" t="n">
        <x:v>2977</x:v>
      </x:c>
      <x:c r="U730" s="38" t="n">
        <x:v>14</x:v>
      </x:c>
      <x:c r="V730" s="38" t="n">
        <x:v>3</x:v>
      </x:c>
      <x:c r="W730" s="38" t="n">
        <x:v>0</x:v>
      </x:c>
      <x:c r="X730" s="44" t="n">
        <x:v>0</x:v>
      </x:c>
      <x:c r="Y730" s="38" t="n">
        <x:v>60</x:v>
      </x:c>
      <x:c r="Z730" s="38" t="n">
        <x:v>11</x:v>
      </x:c>
      <x:c r="AA730" s="38" t="n">
        <x:v>2</x:v>
      </x:c>
      <x:c r="AB730" s="38" t="n">
        <x:v>0</x:v>
      </x:c>
      <x:c r="AC730" s="38" t="n">
        <x:v>1808</x:v>
      </x:c>
      <x:c r="AD730" s="38" t="n">
        <x:v>0</x:v>
      </x:c>
      <x:c r="AE730" s="38" t="n">
        <x:f>IF(B730=1,0,F730-Q729)</x:f>
        <x:v>0</x:v>
      </x:c>
    </x:row>
    <x:row r="731" ht="27" customHeight="1">
      <x:c r="A731" s="28" t="str">
        <x:v>Returning F2P</x:v>
      </x:c>
      <x:c r="B731" s="38" t="n">
        <x:v>7</x:v>
      </x:c>
      <x:c r="C731" s="38" t="n">
        <x:v>10</x:v>
      </x:c>
      <x:c r="D731" s="38" t="n">
        <x:v>15277</x:v>
      </x:c>
      <x:c r="E731" s="38" t="n">
        <x:v>30</x:v>
      </x:c>
      <x:c r="F731" s="38" t="n">
        <x:v>23361</x:v>
      </x:c>
      <x:c r="G731" s="38" t="n">
        <x:v>15892</x:v>
      </x:c>
      <x:c r="H731" s="38" t="n">
        <x:v>3190</x:v>
      </x:c>
      <x:c r="I731" s="38" t="n">
        <x:v>2352</x:v>
      </x:c>
      <x:c r="J731" s="38" t="n">
        <x:v>0</x:v>
      </x:c>
      <x:c r="K731" s="38" t="n">
        <x:v>0</x:v>
      </x:c>
      <x:c r="L731" s="38" t="n">
        <x:v>0</x:v>
      </x:c>
      <x:c r="M731" s="38" t="n">
        <x:v>0</x:v>
      </x:c>
      <x:c r="N731" s="38" t="n">
        <x:v>70</x:v>
      </x:c>
      <x:c r="O731" s="38" t="n">
        <x:v>0</x:v>
      </x:c>
      <x:c r="P731" s="38" t="n">
        <x:f>F731+G731-H731+I731+J731+K731+L731-M731-N731-O731</x:f>
        <x:v>38345</x:v>
      </x:c>
      <x:c r="Q731" s="38" t="n">
        <x:v>38345</x:v>
      </x:c>
      <x:c r="R731" s="38" t="n">
        <x:f>P731-Q731</x:f>
        <x:v>0</x:v>
      </x:c>
      <x:c r="S731" s="38" t="n">
        <x:v>12702</x:v>
      </x:c>
      <x:c r="T731" s="38" t="n">
        <x:v>3673</x:v>
      </x:c>
      <x:c r="U731" s="38" t="n">
        <x:v>16</x:v>
      </x:c>
      <x:c r="V731" s="38" t="n">
        <x:v>2</x:v>
      </x:c>
      <x:c r="W731" s="38" t="n">
        <x:v>0</x:v>
      </x:c>
      <x:c r="X731" s="44" t="n">
        <x:v>0</x:v>
      </x:c>
      <x:c r="Y731" s="38" t="n">
        <x:v>58</x:v>
      </x:c>
      <x:c r="Z731" s="38" t="n">
        <x:v>11</x:v>
      </x:c>
      <x:c r="AA731" s="38" t="n">
        <x:v>3</x:v>
      </x:c>
      <x:c r="AB731" s="38" t="n">
        <x:v>0</x:v>
      </x:c>
      <x:c r="AC731" s="38" t="n">
        <x:v>1808</x:v>
      </x:c>
      <x:c r="AD731" s="38" t="n">
        <x:v>0</x:v>
      </x:c>
      <x:c r="AE731" s="38" t="n">
        <x:f>IF(B731=1,0,F731-Q730)</x:f>
        <x:v>0</x:v>
      </x:c>
    </x:row>
    <x:row r="732" ht="27" customHeight="1">
      <x:c r="A732" s="28" t="str">
        <x:v>Returning F2P</x:v>
      </x:c>
      <x:c r="B732" s="38" t="n">
        <x:v>8</x:v>
      </x:c>
      <x:c r="C732" s="38" t="n">
        <x:v>11</x:v>
      </x:c>
      <x:c r="D732" s="38" t="n">
        <x:v>18410</x:v>
      </x:c>
      <x:c r="E732" s="38" t="n">
        <x:v>30</x:v>
      </x:c>
      <x:c r="F732" s="38" t="n">
        <x:v>38345</x:v>
      </x:c>
      <x:c r="G732" s="38" t="n">
        <x:v>17191</x:v>
      </x:c>
      <x:c r="H732" s="38" t="n">
        <x:v>3357</x:v>
      </x:c>
      <x:c r="I732" s="38" t="n">
        <x:v>759</x:v>
      </x:c>
      <x:c r="J732" s="38" t="n">
        <x:v>195</x:v>
      </x:c>
      <x:c r="K732" s="38" t="n">
        <x:v>0</x:v>
      </x:c>
      <x:c r="L732" s="38" t="n">
        <x:v>0</x:v>
      </x:c>
      <x:c r="M732" s="38" t="n">
        <x:v>0</x:v>
      </x:c>
      <x:c r="N732" s="38" t="n">
        <x:v>0</x:v>
      </x:c>
      <x:c r="O732" s="38" t="n">
        <x:v>1325</x:v>
      </x:c>
      <x:c r="P732" s="38" t="n">
        <x:f>F732+G732-H732+I732+J732+K732+L732-M732-N732-O732</x:f>
        <x:v>51808</x:v>
      </x:c>
      <x:c r="Q732" s="38" t="n">
        <x:v>51808</x:v>
      </x:c>
      <x:c r="R732" s="38" t="n">
        <x:f>P732-Q732</x:f>
        <x:v>0</x:v>
      </x:c>
      <x:c r="S732" s="38" t="n">
        <x:v>13736</x:v>
      </x:c>
      <x:c r="T732" s="38" t="n">
        <x:v>3133</x:v>
      </x:c>
      <x:c r="U732" s="38" t="n">
        <x:v>16</x:v>
      </x:c>
      <x:c r="V732" s="38" t="n">
        <x:v>0</x:v>
      </x:c>
      <x:c r="W732" s="38" t="n">
        <x:v>0</x:v>
      </x:c>
      <x:c r="X732" s="44" t="n">
        <x:v>0</x:v>
      </x:c>
      <x:c r="Y732" s="38" t="n">
        <x:v>59</x:v>
      </x:c>
      <x:c r="Z732" s="38" t="n">
        <x:v>13</x:v>
      </x:c>
      <x:c r="AA732" s="38" t="n">
        <x:v>3</x:v>
      </x:c>
      <x:c r="AB732" s="38" t="n">
        <x:v>1</x:v>
      </x:c>
      <x:c r="AC732" s="38" t="n">
        <x:v>1710</x:v>
      </x:c>
      <x:c r="AD732" s="38" t="n">
        <x:v>0</x:v>
      </x:c>
      <x:c r="AE732" s="38" t="n">
        <x:f>IF(B732=1,0,F732-Q731)</x:f>
        <x:v>0</x:v>
      </x:c>
    </x:row>
    <x:row r="733" ht="27" customHeight="1">
      <x:c r="A733" s="28" t="str">
        <x:v>Returning F2P</x:v>
      </x:c>
      <x:c r="B733" s="38" t="n">
        <x:v>9</x:v>
      </x:c>
      <x:c r="C733" s="38" t="n">
        <x:v>11</x:v>
      </x:c>
      <x:c r="D733" s="38" t="n">
        <x:v>18410</x:v>
      </x:c>
      <x:c r="E733" s="38" t="n">
        <x:v>30</x:v>
      </x:c>
      <x:c r="F733" s="38" t="n">
        <x:v>51808</x:v>
      </x:c>
      <x:c r="G733" s="38" t="n">
        <x:v>0</x:v>
      </x:c>
      <x:c r="H733" s="38" t="n">
        <x:v>0</x:v>
      </x:c>
      <x:c r="I733" s="38" t="n">
        <x:v>0</x:v>
      </x:c>
      <x:c r="J733" s="38" t="n">
        <x:v>0</x:v>
      </x:c>
      <x:c r="K733" s="38" t="n">
        <x:v>0</x:v>
      </x:c>
      <x:c r="L733" s="38" t="n">
        <x:v>0</x:v>
      </x:c>
      <x:c r="M733" s="38" t="n">
        <x:v>0</x:v>
      </x:c>
      <x:c r="N733" s="38" t="n">
        <x:v>0</x:v>
      </x:c>
      <x:c r="O733" s="38" t="n">
        <x:v>0</x:v>
      </x:c>
      <x:c r="P733" s="38" t="n">
        <x:f>F733+G733-H733+I733+J733+K733+L733-M733-N733-O733</x:f>
        <x:v>51808</x:v>
      </x:c>
      <x:c r="Q733" s="38" t="n">
        <x:v>51808</x:v>
      </x:c>
      <x:c r="R733" s="38" t="n">
        <x:f>P733-Q733</x:f>
        <x:v>0</x:v>
      </x:c>
      <x:c r="S733" s="38" t="n">
        <x:v>0</x:v>
      </x:c>
      <x:c r="T733" s="38" t="n">
        <x:v>0</x:v>
      </x:c>
      <x:c r="U733" s="38" t="n">
        <x:v>16</x:v>
      </x:c>
      <x:c r="V733" s="38" t="n">
        <x:v>0</x:v>
      </x:c>
      <x:c r="W733" s="38" t="n">
        <x:v>0</x:v>
      </x:c>
      <x:c r="X733" s="44" t="n">
        <x:v>0</x:v>
      </x:c>
      <x:c r="Y733" s="38" t="n">
        <x:v>0</x:v>
      </x:c>
      <x:c r="Z733" s="38" t="n">
        <x:v>13</x:v>
      </x:c>
      <x:c r="AA733" s="38" t="n">
        <x:v>3</x:v>
      </x:c>
      <x:c r="AB733" s="38" t="n">
        <x:v>1</x:v>
      </x:c>
      <x:c r="AC733" s="38" t="n">
        <x:v>1710</x:v>
      </x:c>
      <x:c r="AD733" s="38" t="n">
        <x:v>0</x:v>
      </x:c>
      <x:c r="AE733" s="38" t="n">
        <x:f>IF(B733=1,0,F733-Q732)</x:f>
        <x:v>0</x:v>
      </x:c>
    </x:row>
    <x:row r="734" ht="27" customHeight="1">
      <x:c r="A734" s="28" t="str">
        <x:v>Returning F2P</x:v>
      </x:c>
      <x:c r="B734" s="38" t="n">
        <x:v>10</x:v>
      </x:c>
      <x:c r="C734" s="38" t="n">
        <x:v>11</x:v>
      </x:c>
      <x:c r="D734" s="38" t="n">
        <x:v>18410</x:v>
      </x:c>
      <x:c r="E734" s="38" t="n">
        <x:v>30</x:v>
      </x:c>
      <x:c r="F734" s="38" t="n">
        <x:v>51808</x:v>
      </x:c>
      <x:c r="G734" s="38" t="n">
        <x:v>0</x:v>
      </x:c>
      <x:c r="H734" s="38" t="n">
        <x:v>0</x:v>
      </x:c>
      <x:c r="I734" s="38" t="n">
        <x:v>0</x:v>
      </x:c>
      <x:c r="J734" s="38" t="n">
        <x:v>0</x:v>
      </x:c>
      <x:c r="K734" s="38" t="n">
        <x:v>0</x:v>
      </x:c>
      <x:c r="L734" s="38" t="n">
        <x:v>0</x:v>
      </x:c>
      <x:c r="M734" s="38" t="n">
        <x:v>0</x:v>
      </x:c>
      <x:c r="N734" s="38" t="n">
        <x:v>0</x:v>
      </x:c>
      <x:c r="O734" s="38" t="n">
        <x:v>0</x:v>
      </x:c>
      <x:c r="P734" s="38" t="n">
        <x:f>F734+G734-H734+I734+J734+K734+L734-M734-N734-O734</x:f>
        <x:v>51808</x:v>
      </x:c>
      <x:c r="Q734" s="38" t="n">
        <x:v>51808</x:v>
      </x:c>
      <x:c r="R734" s="38" t="n">
        <x:f>P734-Q734</x:f>
        <x:v>0</x:v>
      </x:c>
      <x:c r="S734" s="38" t="n">
        <x:v>0</x:v>
      </x:c>
      <x:c r="T734" s="38" t="n">
        <x:v>0</x:v>
      </x:c>
      <x:c r="U734" s="38" t="n">
        <x:v>16</x:v>
      </x:c>
      <x:c r="V734" s="38" t="n">
        <x:v>0</x:v>
      </x:c>
      <x:c r="W734" s="38" t="n">
        <x:v>0</x:v>
      </x:c>
      <x:c r="X734" s="44" t="n">
        <x:v>0</x:v>
      </x:c>
      <x:c r="Y734" s="38" t="n">
        <x:v>0</x:v>
      </x:c>
      <x:c r="Z734" s="38" t="n">
        <x:v>13</x:v>
      </x:c>
      <x:c r="AA734" s="38" t="n">
        <x:v>3</x:v>
      </x:c>
      <x:c r="AB734" s="38" t="n">
        <x:v>1</x:v>
      </x:c>
      <x:c r="AC734" s="38" t="n">
        <x:v>1710</x:v>
      </x:c>
      <x:c r="AD734" s="38" t="n">
        <x:v>0</x:v>
      </x:c>
      <x:c r="AE734" s="38" t="n">
        <x:f>IF(B734=1,0,F734-Q733)</x:f>
        <x:v>0</x:v>
      </x:c>
    </x:row>
    <x:row r="735" ht="27" customHeight="1">
      <x:c r="A735" s="28" t="str">
        <x:v>Returning F2P</x:v>
      </x:c>
      <x:c r="B735" s="38" t="n">
        <x:v>11</x:v>
      </x:c>
      <x:c r="C735" s="38" t="n">
        <x:v>11</x:v>
      </x:c>
      <x:c r="D735" s="38" t="n">
        <x:v>18410</x:v>
      </x:c>
      <x:c r="E735" s="38" t="n">
        <x:v>30</x:v>
      </x:c>
      <x:c r="F735" s="38" t="n">
        <x:v>51808</x:v>
      </x:c>
      <x:c r="G735" s="38" t="n">
        <x:v>0</x:v>
      </x:c>
      <x:c r="H735" s="38" t="n">
        <x:v>0</x:v>
      </x:c>
      <x:c r="I735" s="38" t="n">
        <x:v>0</x:v>
      </x:c>
      <x:c r="J735" s="38" t="n">
        <x:v>0</x:v>
      </x:c>
      <x:c r="K735" s="38" t="n">
        <x:v>0</x:v>
      </x:c>
      <x:c r="L735" s="38" t="n">
        <x:v>0</x:v>
      </x:c>
      <x:c r="M735" s="38" t="n">
        <x:v>0</x:v>
      </x:c>
      <x:c r="N735" s="38" t="n">
        <x:v>0</x:v>
      </x:c>
      <x:c r="O735" s="38" t="n">
        <x:v>0</x:v>
      </x:c>
      <x:c r="P735" s="38" t="n">
        <x:f>F735+G735-H735+I735+J735+K735+L735-M735-N735-O735</x:f>
        <x:v>51808</x:v>
      </x:c>
      <x:c r="Q735" s="38" t="n">
        <x:v>51808</x:v>
      </x:c>
      <x:c r="R735" s="38" t="n">
        <x:f>P735-Q735</x:f>
        <x:v>0</x:v>
      </x:c>
      <x:c r="S735" s="38" t="n">
        <x:v>0</x:v>
      </x:c>
      <x:c r="T735" s="38" t="n">
        <x:v>0</x:v>
      </x:c>
      <x:c r="U735" s="38" t="n">
        <x:v>16</x:v>
      </x:c>
      <x:c r="V735" s="38" t="n">
        <x:v>0</x:v>
      </x:c>
      <x:c r="W735" s="38" t="n">
        <x:v>0</x:v>
      </x:c>
      <x:c r="X735" s="44" t="n">
        <x:v>0</x:v>
      </x:c>
      <x:c r="Y735" s="38" t="n">
        <x:v>0</x:v>
      </x:c>
      <x:c r="Z735" s="38" t="n">
        <x:v>13</x:v>
      </x:c>
      <x:c r="AA735" s="38" t="n">
        <x:v>3</x:v>
      </x:c>
      <x:c r="AB735" s="38" t="n">
        <x:v>1</x:v>
      </x:c>
      <x:c r="AC735" s="38" t="n">
        <x:v>1710</x:v>
      </x:c>
      <x:c r="AD735" s="38" t="n">
        <x:v>0</x:v>
      </x:c>
      <x:c r="AE735" s="38" t="n">
        <x:f>IF(B735=1,0,F735-Q734)</x:f>
        <x:v>0</x:v>
      </x:c>
    </x:row>
    <x:row r="736" ht="27" customHeight="1">
      <x:c r="A736" s="28" t="str">
        <x:v>Returning F2P</x:v>
      </x:c>
      <x:c r="B736" s="38" t="n">
        <x:v>12</x:v>
      </x:c>
      <x:c r="C736" s="38" t="n">
        <x:v>12</x:v>
      </x:c>
      <x:c r="D736" s="38" t="n">
        <x:v>21671</x:v>
      </x:c>
      <x:c r="E736" s="38" t="n">
        <x:v>35</x:v>
      </x:c>
      <x:c r="F736" s="38" t="n">
        <x:v>51808</x:v>
      </x:c>
      <x:c r="G736" s="38" t="n">
        <x:v>18384</x:v>
      </x:c>
      <x:c r="H736" s="38" t="n">
        <x:v>4171</x:v>
      </x:c>
      <x:c r="I736" s="38" t="n">
        <x:v>783</x:v>
      </x:c>
      <x:c r="J736" s="38" t="n">
        <x:v>235</x:v>
      </x:c>
      <x:c r="K736" s="38" t="n">
        <x:v>0</x:v>
      </x:c>
      <x:c r="L736" s="38" t="n">
        <x:v>0</x:v>
      </x:c>
      <x:c r="M736" s="38" t="n">
        <x:v>40000</x:v>
      </x:c>
      <x:c r="N736" s="38" t="n">
        <x:v>0</x:v>
      </x:c>
      <x:c r="O736" s="38" t="n">
        <x:v>6325</x:v>
      </x:c>
      <x:c r="P736" s="38" t="n">
        <x:f>F736+G736-H736+I736+J736+K736+L736-M736-N736-O736</x:f>
        <x:v>20714</x:v>
      </x:c>
      <x:c r="Q736" s="38" t="n">
        <x:v>20714</x:v>
      </x:c>
      <x:c r="R736" s="38" t="n">
        <x:f>P736-Q736</x:f>
        <x:v>0</x:v>
      </x:c>
      <x:c r="S736" s="38" t="n">
        <x:v>14702</x:v>
      </x:c>
      <x:c r="T736" s="38" t="n">
        <x:v>3261</x:v>
      </x:c>
      <x:c r="U736" s="38" t="n">
        <x:v>17</x:v>
      </x:c>
      <x:c r="V736" s="38" t="n">
        <x:v>1</x:v>
      </x:c>
      <x:c r="W736" s="38" t="n">
        <x:v>0</x:v>
      </x:c>
      <x:c r="X736" s="44" t="n">
        <x:v>0</x:v>
      </x:c>
      <x:c r="Y736" s="38" t="n">
        <x:v>64</x:v>
      </x:c>
      <x:c r="Z736" s="38" t="n">
        <x:v>13</x:v>
      </x:c>
      <x:c r="AA736" s="38" t="n">
        <x:v>3</x:v>
      </x:c>
      <x:c r="AB736" s="38" t="n">
        <x:v>2</x:v>
      </x:c>
      <x:c r="AC736" s="38" t="n">
        <x:v>2199</x:v>
      </x:c>
      <x:c r="AD736" s="38" t="n">
        <x:v>0</x:v>
      </x:c>
      <x:c r="AE736" s="38" t="n">
        <x:f>IF(B736=1,0,F736-Q735)</x:f>
        <x:v>0</x:v>
      </x:c>
    </x:row>
    <x:row r="737" ht="27" customHeight="1">
      <x:c r="A737" s="28" t="str">
        <x:v>Returning F2P</x:v>
      </x:c>
      <x:c r="B737" s="38" t="n">
        <x:v>13</x:v>
      </x:c>
      <x:c r="C737" s="38" t="n">
        <x:v>12</x:v>
      </x:c>
      <x:c r="D737" s="38" t="n">
        <x:v>25172</x:v>
      </x:c>
      <x:c r="E737" s="38" t="n">
        <x:v>35</x:v>
      </x:c>
      <x:c r="F737" s="38" t="n">
        <x:v>20714</x:v>
      </x:c>
      <x:c r="G737" s="38" t="n">
        <x:v>19788</x:v>
      </x:c>
      <x:c r="H737" s="38" t="n">
        <x:v>3944</x:v>
      </x:c>
      <x:c r="I737" s="38" t="n">
        <x:v>942</x:v>
      </x:c>
      <x:c r="J737" s="38" t="n">
        <x:v>0</x:v>
      </x:c>
      <x:c r="K737" s="38" t="n">
        <x:v>0</x:v>
      </x:c>
      <x:c r="L737" s="38" t="n">
        <x:v>0</x:v>
      </x:c>
      <x:c r="M737" s="38" t="n">
        <x:v>0</x:v>
      </x:c>
      <x:c r="N737" s="38" t="n">
        <x:v>70</x:v>
      </x:c>
      <x:c r="O737" s="38" t="n">
        <x:v>0</x:v>
      </x:c>
      <x:c r="P737" s="38" t="n">
        <x:f>F737+G737-H737+I737+J737+K737+L737-M737-N737-O737</x:f>
        <x:v>37430</x:v>
      </x:c>
      <x:c r="Q737" s="38" t="n">
        <x:v>37430</x:v>
      </x:c>
      <x:c r="R737" s="38" t="n">
        <x:f>P737-Q737</x:f>
        <x:v>0</x:v>
      </x:c>
      <x:c r="S737" s="38" t="n">
        <x:v>15844</x:v>
      </x:c>
      <x:c r="T737" s="38" t="n">
        <x:v>3501</x:v>
      </x:c>
      <x:c r="U737" s="38" t="n">
        <x:v>17</x:v>
      </x:c>
      <x:c r="V737" s="38" t="n">
        <x:v>0</x:v>
      </x:c>
      <x:c r="W737" s="38" t="n">
        <x:v>0</x:v>
      </x:c>
      <x:c r="X737" s="44" t="n">
        <x:v>0</x:v>
      </x:c>
      <x:c r="Y737" s="38" t="n">
        <x:v>68</x:v>
      </x:c>
      <x:c r="Z737" s="38" t="n">
        <x:v>13</x:v>
      </x:c>
      <x:c r="AA737" s="38" t="n">
        <x:v>4</x:v>
      </x:c>
      <x:c r="AB737" s="38" t="n">
        <x:v>2</x:v>
      </x:c>
      <x:c r="AC737" s="38" t="n">
        <x:v>2199</x:v>
      </x:c>
      <x:c r="AD737" s="38" t="n">
        <x:v>0</x:v>
      </x:c>
      <x:c r="AE737" s="38" t="n">
        <x:f>IF(B737=1,0,F737-Q736)</x:f>
        <x:v>0</x:v>
      </x:c>
    </x:row>
    <x:row r="738" ht="27" customHeight="1">
      <x:c r="A738" s="28" t="str">
        <x:v>Returning F2P</x:v>
      </x:c>
      <x:c r="B738" s="38" t="n">
        <x:v>14</x:v>
      </x:c>
      <x:c r="C738" s="38" t="n">
        <x:v>13</x:v>
      </x:c>
      <x:c r="D738" s="38" t="n">
        <x:v>28887</x:v>
      </x:c>
      <x:c r="E738" s="38" t="n">
        <x:v>35</x:v>
      </x:c>
      <x:c r="F738" s="38" t="n">
        <x:v>37430</x:v>
      </x:c>
      <x:c r="G738" s="38" t="n">
        <x:v>21229</x:v>
      </x:c>
      <x:c r="H738" s="38" t="n">
        <x:v>4196</x:v>
      </x:c>
      <x:c r="I738" s="38" t="n">
        <x:v>942</x:v>
      </x:c>
      <x:c r="J738" s="38" t="n">
        <x:v>245</x:v>
      </x:c>
      <x:c r="K738" s="38" t="n">
        <x:v>0</x:v>
      </x:c>
      <x:c r="L738" s="38" t="n">
        <x:v>0</x:v>
      </x:c>
      <x:c r="M738" s="38" t="n">
        <x:v>0</x:v>
      </x:c>
      <x:c r="N738" s="38" t="n">
        <x:v>0</x:v>
      </x:c>
      <x:c r="O738" s="38" t="n">
        <x:v>0</x:v>
      </x:c>
      <x:c r="P738" s="38" t="n">
        <x:f>F738+G738-H738+I738+J738+K738+L738-M738-N738-O738</x:f>
        <x:v>55650</x:v>
      </x:c>
      <x:c r="Q738" s="38" t="n">
        <x:v>55650</x:v>
      </x:c>
      <x:c r="R738" s="38" t="n">
        <x:f>P738-Q738</x:f>
        <x:v>0</x:v>
      </x:c>
      <x:c r="S738" s="38" t="n">
        <x:v>16990</x:v>
      </x:c>
      <x:c r="T738" s="38" t="n">
        <x:v>3715</x:v>
      </x:c>
      <x:c r="U738" s="38" t="n">
        <x:v>17</x:v>
      </x:c>
      <x:c r="V738" s="38" t="n">
        <x:v>0</x:v>
      </x:c>
      <x:c r="W738" s="38" t="n">
        <x:v>0</x:v>
      </x:c>
      <x:c r="X738" s="44" t="n">
        <x:v>0</x:v>
      </x:c>
      <x:c r="Y738" s="38" t="n">
        <x:v>69</x:v>
      </x:c>
      <x:c r="Z738" s="38" t="n">
        <x:v>14</x:v>
      </x:c>
      <x:c r="AA738" s="38" t="n">
        <x:v>4</x:v>
      </x:c>
      <x:c r="AB738" s="38" t="n">
        <x:v>2</x:v>
      </x:c>
      <x:c r="AC738" s="38" t="n">
        <x:v>2156</x:v>
      </x:c>
      <x:c r="AD738" s="38" t="n">
        <x:v>0</x:v>
      </x:c>
      <x:c r="AE738" s="38" t="n">
        <x:f>IF(B738=1,0,F738-Q737)</x:f>
        <x:v>0</x:v>
      </x:c>
    </x:row>
    <x:row r="739" ht="27" customHeight="1">
      <x:c r="A739" s="28" t="str">
        <x:v>Returning F2P</x:v>
      </x:c>
      <x:c r="B739" s="38" t="n">
        <x:v>15</x:v>
      </x:c>
      <x:c r="C739" s="38" t="n">
        <x:v>14</x:v>
      </x:c>
      <x:c r="D739" s="38" t="n">
        <x:v>32596</x:v>
      </x:c>
      <x:c r="E739" s="38" t="n">
        <x:v>35</x:v>
      </x:c>
      <x:c r="F739" s="38" t="n">
        <x:v>55650</x:v>
      </x:c>
      <x:c r="G739" s="38" t="n">
        <x:v>21278</x:v>
      </x:c>
      <x:c r="H739" s="38" t="n">
        <x:v>4222</x:v>
      </x:c>
      <x:c r="I739" s="38" t="n">
        <x:v>970</x:v>
      </x:c>
      <x:c r="J739" s="38" t="n">
        <x:v>250</x:v>
      </x:c>
      <x:c r="K739" s="38" t="n">
        <x:v>0</x:v>
      </x:c>
      <x:c r="L739" s="38" t="n">
        <x:v>0</x:v>
      </x:c>
      <x:c r="M739" s="38" t="n">
        <x:v>0</x:v>
      </x:c>
      <x:c r="N739" s="38" t="n">
        <x:v>0</x:v>
      </x:c>
      <x:c r="O739" s="38" t="n">
        <x:v>0</x:v>
      </x:c>
      <x:c r="P739" s="38" t="n">
        <x:f>F739+G739-H739+I739+J739+K739+L739-M739-N739-O739</x:f>
        <x:v>73926</x:v>
      </x:c>
      <x:c r="Q739" s="38" t="n">
        <x:v>73926</x:v>
      </x:c>
      <x:c r="R739" s="38" t="n">
        <x:f>P739-Q739</x:f>
        <x:v>0</x:v>
      </x:c>
      <x:c r="S739" s="38" t="n">
        <x:v>17022</x:v>
      </x:c>
      <x:c r="T739" s="38" t="n">
        <x:v>3709</x:v>
      </x:c>
      <x:c r="U739" s="38" t="n">
        <x:v>20</x:v>
      </x:c>
      <x:c r="V739" s="38" t="n">
        <x:v>3</x:v>
      </x:c>
      <x:c r="W739" s="38" t="n">
        <x:v>0</x:v>
      </x:c>
      <x:c r="X739" s="44" t="n">
        <x:v>0</x:v>
      </x:c>
      <x:c r="Y739" s="38" t="n">
        <x:v>70</x:v>
      </x:c>
      <x:c r="Z739" s="38" t="n">
        <x:v>15</x:v>
      </x:c>
      <x:c r="AA739" s="38" t="n">
        <x:v>4</x:v>
      </x:c>
      <x:c r="AB739" s="38" t="n">
        <x:v>2</x:v>
      </x:c>
      <x:c r="AC739" s="38" t="n">
        <x:v>2122</x:v>
      </x:c>
      <x:c r="AD739" s="38" t="n">
        <x:v>0</x:v>
      </x:c>
      <x:c r="AE739" s="38" t="n">
        <x:f>IF(B739=1,0,F739-Q738)</x:f>
        <x:v>0</x:v>
      </x:c>
    </x:row>
    <x:row r="740" ht="27" customHeight="1">
      <x:c r="A740" s="28" t="str">
        <x:v>Returning F2P</x:v>
      </x:c>
      <x:c r="B740" s="38" t="n">
        <x:v>16</x:v>
      </x:c>
      <x:c r="C740" s="38" t="n">
        <x:v>14</x:v>
      </x:c>
      <x:c r="D740" s="38" t="n">
        <x:v>36232</x:v>
      </x:c>
      <x:c r="E740" s="38" t="n">
        <x:v>35</x:v>
      </x:c>
      <x:c r="F740" s="38" t="n">
        <x:v>73926</x:v>
      </x:c>
      <x:c r="G740" s="38" t="n">
        <x:v>21391</x:v>
      </x:c>
      <x:c r="H740" s="38" t="n">
        <x:v>4340</x:v>
      </x:c>
      <x:c r="I740" s="38" t="n">
        <x:v>999</x:v>
      </x:c>
      <x:c r="J740" s="38" t="n">
        <x:v>0</x:v>
      </x:c>
      <x:c r="K740" s="38" t="n">
        <x:v>0</x:v>
      </x:c>
      <x:c r="L740" s="38" t="n">
        <x:v>0</x:v>
      </x:c>
      <x:c r="M740" s="38" t="n">
        <x:v>0</x:v>
      </x:c>
      <x:c r="N740" s="38" t="n">
        <x:v>110</x:v>
      </x:c>
      <x:c r="O740" s="38" t="n">
        <x:v>0</x:v>
      </x:c>
      <x:c r="P740" s="38" t="n">
        <x:f>F740+G740-H740+I740+J740+K740+L740-M740-N740-O740</x:f>
        <x:v>91866</x:v>
      </x:c>
      <x:c r="Q740" s="38" t="n">
        <x:v>91866</x:v>
      </x:c>
      <x:c r="R740" s="38" t="n">
        <x:f>P740-Q740</x:f>
        <x:v>0</x:v>
      </x:c>
      <x:c r="S740" s="38" t="n">
        <x:v>17099</x:v>
      </x:c>
      <x:c r="T740" s="38" t="n">
        <x:v>3636</x:v>
      </x:c>
      <x:c r="U740" s="38" t="n">
        <x:v>20</x:v>
      </x:c>
      <x:c r="V740" s="38" t="n">
        <x:v>0</x:v>
      </x:c>
      <x:c r="W740" s="38" t="n">
        <x:v>0</x:v>
      </x:c>
      <x:c r="X740" s="44" t="n">
        <x:v>0</x:v>
      </x:c>
      <x:c r="Y740" s="38" t="n">
        <x:v>70</x:v>
      </x:c>
      <x:c r="Z740" s="38" t="n">
        <x:v>16</x:v>
      </x:c>
      <x:c r="AA740" s="38" t="n">
        <x:v>5</x:v>
      </x:c>
      <x:c r="AB740" s="38" t="n">
        <x:v>2</x:v>
      </x:c>
      <x:c r="AC740" s="38" t="n">
        <x:v>2170</x:v>
      </x:c>
      <x:c r="AD740" s="38" t="n">
        <x:v>0</x:v>
      </x:c>
      <x:c r="AE740" s="38" t="n">
        <x:f>IF(B740=1,0,F740-Q739)</x:f>
        <x:v>0</x:v>
      </x:c>
    </x:row>
    <x:row r="741" ht="27" customHeight="1">
      <x:c r="A741" s="28" t="str">
        <x:v>Returning F2P</x:v>
      </x:c>
      <x:c r="B741" s="38" t="n">
        <x:v>17</x:v>
      </x:c>
      <x:c r="C741" s="38" t="n">
        <x:v>15</x:v>
      </x:c>
      <x:c r="D741" s="38" t="n">
        <x:v>39902</x:v>
      </x:c>
      <x:c r="E741" s="38" t="n">
        <x:v>35</x:v>
      </x:c>
      <x:c r="F741" s="38" t="n">
        <x:v>91866</x:v>
      </x:c>
      <x:c r="G741" s="38" t="n">
        <x:v>21630</x:v>
      </x:c>
      <x:c r="H741" s="38" t="n">
        <x:v>4620</x:v>
      </x:c>
      <x:c r="I741" s="38" t="n">
        <x:v>999</x:v>
      </x:c>
      <x:c r="J741" s="38" t="n">
        <x:v>255</x:v>
      </x:c>
      <x:c r="K741" s="38" t="n">
        <x:v>0</x:v>
      </x:c>
      <x:c r="L741" s="38" t="n">
        <x:v>0</x:v>
      </x:c>
      <x:c r="M741" s="38" t="n">
        <x:v>0</x:v>
      </x:c>
      <x:c r="N741" s="38" t="n">
        <x:v>0</x:v>
      </x:c>
      <x:c r="O741" s="38" t="n">
        <x:v>17115</x:v>
      </x:c>
      <x:c r="P741" s="38" t="n">
        <x:f>F741+G741-H741+I741+J741+K741+L741-M741-N741-O741</x:f>
        <x:v>93015</x:v>
      </x:c>
      <x:c r="Q741" s="38" t="n">
        <x:v>93015</x:v>
      </x:c>
      <x:c r="R741" s="38" t="n">
        <x:f>P741-Q741</x:f>
        <x:v>0</x:v>
      </x:c>
      <x:c r="S741" s="38" t="n">
        <x:v>17290</x:v>
      </x:c>
      <x:c r="T741" s="38" t="n">
        <x:v>3670</x:v>
      </x:c>
      <x:c r="U741" s="38" t="n">
        <x:v>23</x:v>
      </x:c>
      <x:c r="V741" s="38" t="n">
        <x:v>3</x:v>
      </x:c>
      <x:c r="W741" s="38" t="n">
        <x:v>0</x:v>
      </x:c>
      <x:c r="X741" s="44" t="n">
        <x:v>0</x:v>
      </x:c>
      <x:c r="Y741" s="38" t="n">
        <x:v>70</x:v>
      </x:c>
      <x:c r="Z741" s="38" t="n">
        <x:v>16</x:v>
      </x:c>
      <x:c r="AA741" s="38" t="n">
        <x:v>5</x:v>
      </x:c>
      <x:c r="AB741" s="38" t="n">
        <x:v>3</x:v>
      </x:c>
      <x:c r="AC741" s="38" t="n">
        <x:v>2450</x:v>
      </x:c>
      <x:c r="AD741" s="38" t="n">
        <x:v>0</x:v>
      </x:c>
      <x:c r="AE741" s="38" t="n">
        <x:f>IF(B741=1,0,F741-Q740)</x:f>
        <x:v>0</x:v>
      </x:c>
    </x:row>
    <x:row r="742" ht="27" customHeight="1">
      <x:c r="A742" s="28" t="str">
        <x:v>Returning F2P</x:v>
      </x:c>
      <x:c r="B742" s="38" t="n">
        <x:v>18</x:v>
      </x:c>
      <x:c r="C742" s="38" t="n">
        <x:v>15</x:v>
      </x:c>
      <x:c r="D742" s="38" t="n">
        <x:v>43295</x:v>
      </x:c>
      <x:c r="E742" s="38" t="n">
        <x:v>35</x:v>
      </x:c>
      <x:c r="F742" s="38" t="n">
        <x:v>93015</x:v>
      </x:c>
      <x:c r="G742" s="38" t="n">
        <x:v>24500</x:v>
      </x:c>
      <x:c r="H742" s="38" t="n">
        <x:v>4900</x:v>
      </x:c>
      <x:c r="I742" s="38" t="n">
        <x:v>1027</x:v>
      </x:c>
      <x:c r="J742" s="38" t="n">
        <x:v>0</x:v>
      </x:c>
      <x:c r="K742" s="38" t="n">
        <x:v>0</x:v>
      </x:c>
      <x:c r="L742" s="38" t="n">
        <x:v>0</x:v>
      </x:c>
      <x:c r="M742" s="38" t="n">
        <x:v>0</x:v>
      </x:c>
      <x:c r="N742" s="38" t="n">
        <x:v>0</x:v>
      </x:c>
      <x:c r="O742" s="38" t="n">
        <x:v>0</x:v>
      </x:c>
      <x:c r="P742" s="38" t="n">
        <x:f>F742+G742-H742+I742+J742+K742+L742-M742-N742-O742</x:f>
        <x:v>113642</x:v>
      </x:c>
      <x:c r="Q742" s="38" t="n">
        <x:v>113642</x:v>
      </x:c>
      <x:c r="R742" s="38" t="n">
        <x:f>P742-Q742</x:f>
        <x:v>0</x:v>
      </x:c>
      <x:c r="S742" s="38" t="n">
        <x:v>19600</x:v>
      </x:c>
      <x:c r="T742" s="38" t="n">
        <x:v>3393</x:v>
      </x:c>
      <x:c r="U742" s="38" t="n">
        <x:v>23</x:v>
      </x:c>
      <x:c r="V742" s="38" t="n">
        <x:v>0</x:v>
      </x:c>
      <x:c r="W742" s="38" t="n">
        <x:v>0</x:v>
      </x:c>
      <x:c r="X742" s="44" t="n">
        <x:v>0</x:v>
      </x:c>
      <x:c r="Y742" s="38" t="n">
        <x:v>70</x:v>
      </x:c>
      <x:c r="Z742" s="38" t="n">
        <x:v>17</x:v>
      </x:c>
      <x:c r="AA742" s="38" t="n">
        <x:v>5</x:v>
      </x:c>
      <x:c r="AB742" s="38" t="n">
        <x:v>3</x:v>
      </x:c>
      <x:c r="AC742" s="38" t="n">
        <x:v>2450</x:v>
      </x:c>
      <x:c r="AD742" s="38" t="n">
        <x:v>0</x:v>
      </x:c>
      <x:c r="AE742" s="38" t="n">
        <x:f>IF(B742=1,0,F742-Q741)</x:f>
        <x:v>0</x:v>
      </x:c>
    </x:row>
    <x:row r="743" ht="27" customHeight="1">
      <x:c r="A743" s="28" t="str">
        <x:v>Returning F2P</x:v>
      </x:c>
      <x:c r="B743" s="38" t="n">
        <x:v>19</x:v>
      </x:c>
      <x:c r="C743" s="38" t="n">
        <x:v>16</x:v>
      </x:c>
      <x:c r="D743" s="38" t="n">
        <x:v>46688</x:v>
      </x:c>
      <x:c r="E743" s="38" t="n">
        <x:v>45</x:v>
      </x:c>
      <x:c r="F743" s="38" t="n">
        <x:v>113642</x:v>
      </x:c>
      <x:c r="G743" s="38" t="n">
        <x:v>24500</x:v>
      </x:c>
      <x:c r="H743" s="38" t="n">
        <x:v>5436</x:v>
      </x:c>
      <x:c r="I743" s="38" t="n">
        <x:v>1027</x:v>
      </x:c>
      <x:c r="J743" s="38" t="n">
        <x:v>340</x:v>
      </x:c>
      <x:c r="K743" s="38" t="n">
        <x:v>0</x:v>
      </x:c>
      <x:c r="L743" s="38" t="n">
        <x:v>0</x:v>
      </x:c>
      <x:c r="M743" s="38" t="n">
        <x:v>120000</x:v>
      </x:c>
      <x:c r="N743" s="38" t="n">
        <x:v>110</x:v>
      </x:c>
      <x:c r="O743" s="38" t="n">
        <x:v>0</x:v>
      </x:c>
      <x:c r="P743" s="38" t="n">
        <x:f>F743+G743-H743+I743+J743+K743+L743-M743-N743-O743</x:f>
        <x:v>13963</x:v>
      </x:c>
      <x:c r="Q743" s="38" t="n">
        <x:v>13963</x:v>
      </x:c>
      <x:c r="R743" s="38" t="n">
        <x:f>P743-Q743</x:f>
        <x:v>0</x:v>
      </x:c>
      <x:c r="S743" s="38" t="n">
        <x:v>19600</x:v>
      </x:c>
      <x:c r="T743" s="38" t="n">
        <x:v>3393</x:v>
      </x:c>
      <x:c r="U743" s="38" t="n">
        <x:v>24</x:v>
      </x:c>
      <x:c r="V743" s="38" t="n">
        <x:v>1</x:v>
      </x:c>
      <x:c r="W743" s="38" t="n">
        <x:v>0</x:v>
      </x:c>
      <x:c r="X743" s="44" t="n">
        <x:v>0</x:v>
      </x:c>
      <x:c r="Y743" s="38" t="n">
        <x:v>70</x:v>
      </x:c>
      <x:c r="Z743" s="38" t="n">
        <x:v>17</x:v>
      </x:c>
      <x:c r="AA743" s="38" t="n">
        <x:v>6</x:v>
      </x:c>
      <x:c r="AB743" s="38" t="n">
        <x:v>3</x:v>
      </x:c>
      <x:c r="AC743" s="38" t="n">
        <x:v>2986</x:v>
      </x:c>
      <x:c r="AD743" s="38" t="n">
        <x:v>0</x:v>
      </x:c>
      <x:c r="AE743" s="38" t="n">
        <x:f>IF(B743=1,0,F743-Q742)</x:f>
        <x:v>0</x:v>
      </x:c>
    </x:row>
    <x:row r="744" ht="27" customHeight="1">
      <x:c r="A744" s="28" t="str">
        <x:v>Returning F2P</x:v>
      </x:c>
      <x:c r="B744" s="38" t="n">
        <x:v>20</x:v>
      </x:c>
      <x:c r="C744" s="38" t="n">
        <x:v>16</x:v>
      </x:c>
      <x:c r="D744" s="38" t="n">
        <x:v>51501</x:v>
      </x:c>
      <x:c r="E744" s="38" t="n">
        <x:v>45</x:v>
      </x:c>
      <x:c r="F744" s="38" t="n">
        <x:v>13963</x:v>
      </x:c>
      <x:c r="G744" s="38" t="n">
        <x:v>29316</x:v>
      </x:c>
      <x:c r="H744" s="38" t="n">
        <x:v>5785</x:v>
      </x:c>
      <x:c r="I744" s="38" t="n">
        <x:v>1357</x:v>
      </x:c>
      <x:c r="J744" s="38" t="n">
        <x:v>0</x:v>
      </x:c>
      <x:c r="K744" s="38" t="n">
        <x:v>0</x:v>
      </x:c>
      <x:c r="L744" s="38" t="n">
        <x:v>0</x:v>
      </x:c>
      <x:c r="M744" s="38" t="n">
        <x:v>0</x:v>
      </x:c>
      <x:c r="N744" s="38" t="n">
        <x:v>0</x:v>
      </x:c>
      <x:c r="O744" s="38" t="n">
        <x:v>0</x:v>
      </x:c>
      <x:c r="P744" s="38" t="n">
        <x:f>F744+G744-H744+I744+J744+K744+L744-M744-N744-O744</x:f>
        <x:v>38851</x:v>
      </x:c>
      <x:c r="Q744" s="38" t="n">
        <x:v>38851</x:v>
      </x:c>
      <x:c r="R744" s="38" t="n">
        <x:f>P744-Q744</x:f>
        <x:v>0</x:v>
      </x:c>
      <x:c r="S744" s="38" t="n">
        <x:v>23470</x:v>
      </x:c>
      <x:c r="T744" s="38" t="n">
        <x:v>4813</x:v>
      </x:c>
      <x:c r="U744" s="38" t="n">
        <x:v>24</x:v>
      </x:c>
      <x:c r="V744" s="38" t="n">
        <x:v>0</x:v>
      </x:c>
      <x:c r="W744" s="38" t="n">
        <x:v>0</x:v>
      </x:c>
      <x:c r="X744" s="44" t="n">
        <x:v>0</x:v>
      </x:c>
      <x:c r="Y744" s="38" t="n">
        <x:v>89</x:v>
      </x:c>
      <x:c r="Z744" s="38" t="n">
        <x:v>18</x:v>
      </x:c>
      <x:c r="AA744" s="38" t="n">
        <x:v>6</x:v>
      </x:c>
      <x:c r="AB744" s="38" t="n">
        <x:v>3</x:v>
      </x:c>
      <x:c r="AC744" s="38" t="n">
        <x:v>2925</x:v>
      </x:c>
      <x:c r="AD744" s="38" t="n">
        <x:v>0</x:v>
      </x:c>
      <x:c r="AE744" s="38" t="n">
        <x:f>IF(B744=1,0,F744-Q743)</x:f>
        <x:v>0</x:v>
      </x:c>
    </x:row>
    <x:row r="745" ht="27" customHeight="1">
      <x:c r="A745" s="28" t="str">
        <x:v>Returning F2P</x:v>
      </x:c>
      <x:c r="B745" s="38" t="n">
        <x:v>21</x:v>
      </x:c>
      <x:c r="C745" s="38" t="n">
        <x:v>17</x:v>
      </x:c>
      <x:c r="D745" s="38" t="n">
        <x:v>58200</x:v>
      </x:c>
      <x:c r="E745" s="38" t="n">
        <x:v>45</x:v>
      </x:c>
      <x:c r="F745" s="38" t="n">
        <x:v>38851</x:v>
      </x:c>
      <x:c r="G745" s="38" t="n">
        <x:v>29340</x:v>
      </x:c>
      <x:c r="H745" s="38" t="n">
        <x:v>6134</x:v>
      </x:c>
      <x:c r="I745" s="38" t="n">
        <x:v>6208</x:v>
      </x:c>
      <x:c r="J745" s="38" t="n">
        <x:v>350</x:v>
      </x:c>
      <x:c r="K745" s="38" t="n">
        <x:v>0</x:v>
      </x:c>
      <x:c r="L745" s="38" t="n">
        <x:v>0</x:v>
      </x:c>
      <x:c r="M745" s="38" t="n">
        <x:v>0</x:v>
      </x:c>
      <x:c r="N745" s="38" t="n">
        <x:v>0</x:v>
      </x:c>
      <x:c r="O745" s="38" t="n">
        <x:v>0</x:v>
      </x:c>
      <x:c r="P745" s="38" t="n">
        <x:f>F745+G745-H745+I745+J745+K745+L745-M745-N745-O745</x:f>
        <x:v>68615</x:v>
      </x:c>
      <x:c r="Q745" s="38" t="n">
        <x:v>68615</x:v>
      </x:c>
      <x:c r="R745" s="38" t="n">
        <x:f>P745-Q745</x:f>
        <x:v>0</x:v>
      </x:c>
      <x:c r="S745" s="38" t="n">
        <x:v>23490</x:v>
      </x:c>
      <x:c r="T745" s="38" t="n">
        <x:v>6699</x:v>
      </x:c>
      <x:c r="U745" s="38" t="n">
        <x:v>26</x:v>
      </x:c>
      <x:c r="V745" s="38" t="n">
        <x:v>2</x:v>
      </x:c>
      <x:c r="W745" s="38" t="n">
        <x:v>0</x:v>
      </x:c>
      <x:c r="X745" s="44" t="n">
        <x:v>0</x:v>
      </x:c>
      <x:c r="Y745" s="38" t="n">
        <x:v>90</x:v>
      </x:c>
      <x:c r="Z745" s="38" t="n">
        <x:v>18</x:v>
      </x:c>
      <x:c r="AA745" s="38" t="n">
        <x:v>6</x:v>
      </x:c>
      <x:c r="AB745" s="38" t="n">
        <x:v>3</x:v>
      </x:c>
      <x:c r="AC745" s="38" t="n">
        <x:v>3209</x:v>
      </x:c>
      <x:c r="AD745" s="38" t="n">
        <x:v>0</x:v>
      </x:c>
      <x:c r="AE745" s="38" t="n">
        <x:f>IF(B745=1,0,F745-Q744)</x:f>
        <x:v>0</x:v>
      </x:c>
    </x:row>
    <x:row r="746" ht="27" customHeight="1">
      <x:c r="A746" s="28" t="str">
        <x:v>Returning F2P</x:v>
      </x:c>
      <x:c r="B746" s="38" t="n">
        <x:v>22</x:v>
      </x:c>
      <x:c r="C746" s="38" t="n">
        <x:v>17</x:v>
      </x:c>
      <x:c r="D746" s="38" t="n">
        <x:v>62925</x:v>
      </x:c>
      <x:c r="E746" s="38" t="n">
        <x:v>45</x:v>
      </x:c>
      <x:c r="F746" s="38" t="n">
        <x:v>68615</x:v>
      </x:c>
      <x:c r="G746" s="38" t="n">
        <x:v>29480</x:v>
      </x:c>
      <x:c r="H746" s="38" t="n">
        <x:v>5896</x:v>
      </x:c>
      <x:c r="I746" s="38" t="n">
        <x:v>1393</x:v>
      </x:c>
      <x:c r="J746" s="38" t="n">
        <x:v>0</x:v>
      </x:c>
      <x:c r="K746" s="38" t="n">
        <x:v>0</x:v>
      </x:c>
      <x:c r="L746" s="38" t="n">
        <x:v>0</x:v>
      </x:c>
      <x:c r="M746" s="38" t="n">
        <x:v>0</x:v>
      </x:c>
      <x:c r="N746" s="38" t="n">
        <x:v>305</x:v>
      </x:c>
      <x:c r="O746" s="38" t="n">
        <x:v>0</x:v>
      </x:c>
      <x:c r="P746" s="38" t="n">
        <x:f>F746+G746-H746+I746+J746+K746+L746-M746-N746-O746</x:f>
        <x:v>93287</x:v>
      </x:c>
      <x:c r="Q746" s="38" t="n">
        <x:v>93287</x:v>
      </x:c>
      <x:c r="R746" s="38" t="n">
        <x:f>P746-Q746</x:f>
        <x:v>0</x:v>
      </x:c>
      <x:c r="S746" s="38" t="n">
        <x:v>23584</x:v>
      </x:c>
      <x:c r="T746" s="38" t="n">
        <x:v>4725</x:v>
      </x:c>
      <x:c r="U746" s="38" t="n">
        <x:v>30</x:v>
      </x:c>
      <x:c r="V746" s="38" t="n">
        <x:v>4</x:v>
      </x:c>
      <x:c r="W746" s="38" t="n">
        <x:v>0</x:v>
      </x:c>
      <x:c r="X746" s="44" t="n">
        <x:v>0</x:v>
      </x:c>
      <x:c r="Y746" s="38" t="n">
        <x:v>88</x:v>
      </x:c>
      <x:c r="Z746" s="38" t="n">
        <x:v>18</x:v>
      </x:c>
      <x:c r="AA746" s="38" t="n">
        <x:v>7</x:v>
      </x:c>
      <x:c r="AB746" s="38" t="n">
        <x:v>3</x:v>
      </x:c>
      <x:c r="AC746" s="38" t="n">
        <x:v>3209</x:v>
      </x:c>
      <x:c r="AD746" s="38" t="n">
        <x:v>0</x:v>
      </x:c>
      <x:c r="AE746" s="38" t="n">
        <x:f>IF(B746=1,0,F746-Q745)</x:f>
        <x:v>0</x:v>
      </x:c>
    </x:row>
    <x:row r="747" ht="27" customHeight="1">
      <x:c r="A747" s="28" t="str">
        <x:v>Returning F2P</x:v>
      </x:c>
      <x:c r="B747" s="38" t="n">
        <x:v>23</x:v>
      </x:c>
      <x:c r="C747" s="38" t="n">
        <x:v>17</x:v>
      </x:c>
      <x:c r="D747" s="38" t="n">
        <x:v>67838</x:v>
      </x:c>
      <x:c r="E747" s="38" t="n">
        <x:v>45</x:v>
      </x:c>
      <x:c r="F747" s="38" t="n">
        <x:v>93287</x:v>
      </x:c>
      <x:c r="G747" s="38" t="n">
        <x:v>30785</x:v>
      </x:c>
      <x:c r="H747" s="38" t="n">
        <x:v>5963</x:v>
      </x:c>
      <x:c r="I747" s="38" t="n">
        <x:v>1393</x:v>
      </x:c>
      <x:c r="J747" s="38" t="n">
        <x:v>0</x:v>
      </x:c>
      <x:c r="K747" s="38" t="n">
        <x:v>0</x:v>
      </x:c>
      <x:c r="L747" s="38" t="n">
        <x:v>0</x:v>
      </x:c>
      <x:c r="M747" s="38" t="n">
        <x:v>0</x:v>
      </x:c>
      <x:c r="N747" s="38" t="n">
        <x:v>0</x:v>
      </x:c>
      <x:c r="O747" s="38" t="n">
        <x:v>0</x:v>
      </x:c>
      <x:c r="P747" s="38" t="n">
        <x:f>F747+G747-H747+I747+J747+K747+L747-M747-N747-O747</x:f>
        <x:v>119502</x:v>
      </x:c>
      <x:c r="Q747" s="38" t="n">
        <x:v>119502</x:v>
      </x:c>
      <x:c r="R747" s="38" t="n">
        <x:f>P747-Q747</x:f>
        <x:v>0</x:v>
      </x:c>
      <x:c r="S747" s="38" t="n">
        <x:v>24628</x:v>
      </x:c>
      <x:c r="T747" s="38" t="n">
        <x:v>4913</x:v>
      </x:c>
      <x:c r="U747" s="38" t="n">
        <x:v>30</x:v>
      </x:c>
      <x:c r="V747" s="38" t="n">
        <x:v>0</x:v>
      </x:c>
      <x:c r="W747" s="38" t="n">
        <x:v>0</x:v>
      </x:c>
      <x:c r="X747" s="44" t="n">
        <x:v>0</x:v>
      </x:c>
      <x:c r="Y747" s="38" t="n">
        <x:v>89</x:v>
      </x:c>
      <x:c r="Z747" s="38" t="n">
        <x:v>19</x:v>
      </x:c>
      <x:c r="AA747" s="38" t="n">
        <x:v>7</x:v>
      </x:c>
      <x:c r="AB747" s="38" t="n">
        <x:v>3</x:v>
      </x:c>
      <x:c r="AC747" s="38" t="n">
        <x:v>3015</x:v>
      </x:c>
      <x:c r="AD747" s="38" t="n">
        <x:v>0</x:v>
      </x:c>
      <x:c r="AE747" s="38" t="n">
        <x:f>IF(B747=1,0,F747-Q746)</x:f>
        <x:v>0</x:v>
      </x:c>
    </x:row>
    <x:row r="748" ht="27" customHeight="1">
      <x:c r="A748" s="28" t="str">
        <x:v>Returning F2P</x:v>
      </x:c>
      <x:c r="B748" s="38" t="n">
        <x:v>24</x:v>
      </x:c>
      <x:c r="C748" s="38" t="n">
        <x:v>18</x:v>
      </x:c>
      <x:c r="D748" s="38" t="n">
        <x:v>72902</x:v>
      </x:c>
      <x:c r="E748" s="38" t="n">
        <x:v>50</x:v>
      </x:c>
      <x:c r="F748" s="38" t="n">
        <x:v>119502</x:v>
      </x:c>
      <x:c r="G748" s="38" t="n">
        <x:v>31948</x:v>
      </x:c>
      <x:c r="H748" s="38" t="n">
        <x:v>6836</x:v>
      </x:c>
      <x:c r="I748" s="38" t="n">
        <x:v>1393</x:v>
      </x:c>
      <x:c r="J748" s="38" t="n">
        <x:v>395</x:v>
      </x:c>
      <x:c r="K748" s="38" t="n">
        <x:v>0</x:v>
      </x:c>
      <x:c r="L748" s="38" t="n">
        <x:v>0</x:v>
      </x:c>
      <x:c r="M748" s="38" t="n">
        <x:v>105000</x:v>
      </x:c>
      <x:c r="N748" s="38" t="n">
        <x:v>0</x:v>
      </x:c>
      <x:c r="O748" s="38" t="n">
        <x:v>0</x:v>
      </x:c>
      <x:c r="P748" s="38" t="n">
        <x:f>F748+G748-H748+I748+J748+K748+L748-M748-N748-O748</x:f>
        <x:v>41402</x:v>
      </x:c>
      <x:c r="Q748" s="38" t="n">
        <x:v>41402</x:v>
      </x:c>
      <x:c r="R748" s="38" t="n">
        <x:f>P748-Q748</x:f>
        <x:v>0</x:v>
      </x:c>
      <x:c r="S748" s="38" t="n">
        <x:v>25547</x:v>
      </x:c>
      <x:c r="T748" s="38" t="n">
        <x:v>5064</x:v>
      </x:c>
      <x:c r="U748" s="38" t="n">
        <x:v>33</x:v>
      </x:c>
      <x:c r="V748" s="38" t="n">
        <x:v>3</x:v>
      </x:c>
      <x:c r="W748" s="38" t="n">
        <x:v>0</x:v>
      </x:c>
      <x:c r="X748" s="44" t="n">
        <x:v>0</x:v>
      </x:c>
      <x:c r="Y748" s="38" t="n">
        <x:v>95</x:v>
      </x:c>
      <x:c r="Z748" s="38" t="n">
        <x:v>20</x:v>
      </x:c>
      <x:c r="AA748" s="38" t="n">
        <x:v>7</x:v>
      </x:c>
      <x:c r="AB748" s="38" t="n">
        <x:v>3</x:v>
      </x:c>
      <x:c r="AC748" s="38" t="n">
        <x:v>3450</x:v>
      </x:c>
      <x:c r="AD748" s="38" t="n">
        <x:v>0</x:v>
      </x:c>
      <x:c r="AE748" s="38" t="n">
        <x:f>IF(B748=1,0,F748-Q747)</x:f>
        <x:v>0</x:v>
      </x:c>
    </x:row>
    <x:row r="749" ht="27" customHeight="1">
      <x:c r="A749" s="28" t="str">
        <x:v>Returning F2P</x:v>
      </x:c>
      <x:c r="B749" s="38" t="n">
        <x:v>25</x:v>
      </x:c>
      <x:c r="C749" s="38" t="n">
        <x:v>18</x:v>
      </x:c>
      <x:c r="D749" s="38" t="n">
        <x:v>78364</x:v>
      </x:c>
      <x:c r="E749" s="38" t="n">
        <x:v>50</x:v>
      </x:c>
      <x:c r="F749" s="38" t="n">
        <x:v>41402</x:v>
      </x:c>
      <x:c r="G749" s="38" t="n">
        <x:v>34400</x:v>
      </x:c>
      <x:c r="H749" s="38" t="n">
        <x:v>6900</x:v>
      </x:c>
      <x:c r="I749" s="38" t="n">
        <x:v>1589</x:v>
      </x:c>
      <x:c r="J749" s="38" t="n">
        <x:v>0</x:v>
      </x:c>
      <x:c r="K749" s="38" t="n">
        <x:v>0</x:v>
      </x:c>
      <x:c r="L749" s="38" t="n">
        <x:v>0</x:v>
      </x:c>
      <x:c r="M749" s="38" t="n">
        <x:v>0</x:v>
      </x:c>
      <x:c r="N749" s="38" t="n">
        <x:v>305</x:v>
      </x:c>
      <x:c r="O749" s="38" t="n">
        <x:v>0</x:v>
      </x:c>
      <x:c r="P749" s="38" t="n">
        <x:f>F749+G749-H749+I749+J749+K749+L749-M749-N749-O749</x:f>
        <x:v>70186</x:v>
      </x:c>
      <x:c r="Q749" s="38" t="n">
        <x:v>70186</x:v>
      </x:c>
      <x:c r="R749" s="38" t="n">
        <x:f>P749-Q749</x:f>
        <x:v>0</x:v>
      </x:c>
      <x:c r="S749" s="38" t="n">
        <x:v>27500</x:v>
      </x:c>
      <x:c r="T749" s="38" t="n">
        <x:v>5462</x:v>
      </x:c>
      <x:c r="U749" s="38" t="n">
        <x:v>33</x:v>
      </x:c>
      <x:c r="V749" s="38" t="n">
        <x:v>0</x:v>
      </x:c>
      <x:c r="W749" s="38" t="n">
        <x:v>0</x:v>
      </x:c>
      <x:c r="X749" s="44" t="n">
        <x:v>0</x:v>
      </x:c>
      <x:c r="Y749" s="38" t="n">
        <x:v>100</x:v>
      </x:c>
      <x:c r="Z749" s="38" t="n">
        <x:v>20</x:v>
      </x:c>
      <x:c r="AA749" s="38" t="n">
        <x:v>8</x:v>
      </x:c>
      <x:c r="AB749" s="38" t="n">
        <x:v>3</x:v>
      </x:c>
      <x:c r="AC749" s="38" t="n">
        <x:v>3450</x:v>
      </x:c>
      <x:c r="AD749" s="38" t="n">
        <x:v>0</x:v>
      </x:c>
      <x:c r="AE749" s="38" t="n">
        <x:f>IF(B749=1,0,F749-Q748)</x:f>
        <x:v>0</x:v>
      </x:c>
    </x:row>
    <x:row r="750" ht="27" customHeight="1">
      <x:c r="A750" s="28" t="str">
        <x:v>Returning F2P</x:v>
      </x:c>
      <x:c r="B750" s="38" t="n">
        <x:v>26</x:v>
      </x:c>
      <x:c r="C750" s="38" t="n">
        <x:v>19</x:v>
      </x:c>
      <x:c r="D750" s="38" t="n">
        <x:v>83826</x:v>
      </x:c>
      <x:c r="E750" s="38" t="n">
        <x:v>50</x:v>
      </x:c>
      <x:c r="F750" s="38" t="n">
        <x:v>70186</x:v>
      </x:c>
      <x:c r="G750" s="38" t="n">
        <x:v>34400</x:v>
      </x:c>
      <x:c r="H750" s="38" t="n">
        <x:v>7000</x:v>
      </x:c>
      <x:c r="I750" s="38" t="n">
        <x:v>1589</x:v>
      </x:c>
      <x:c r="J750" s="38" t="n">
        <x:v>405</x:v>
      </x:c>
      <x:c r="K750" s="38" t="n">
        <x:v>0</x:v>
      </x:c>
      <x:c r="L750" s="38" t="n">
        <x:v>0</x:v>
      </x:c>
      <x:c r="M750" s="38" t="n">
        <x:v>0</x:v>
      </x:c>
      <x:c r="N750" s="38" t="n">
        <x:v>0</x:v>
      </x:c>
      <x:c r="O750" s="38" t="n">
        <x:v>0</x:v>
      </x:c>
      <x:c r="P750" s="38" t="n">
        <x:f>F750+G750-H750+I750+J750+K750+L750-M750-N750-O750</x:f>
        <x:v>99580</x:v>
      </x:c>
      <x:c r="Q750" s="38" t="n">
        <x:v>99580</x:v>
      </x:c>
      <x:c r="R750" s="38" t="n">
        <x:f>P750-Q750</x:f>
        <x:v>0</x:v>
      </x:c>
      <x:c r="S750" s="38" t="n">
        <x:v>27500</x:v>
      </x:c>
      <x:c r="T750" s="38" t="n">
        <x:v>5462</x:v>
      </x:c>
      <x:c r="U750" s="38" t="n">
        <x:v>33</x:v>
      </x:c>
      <x:c r="V750" s="38" t="n">
        <x:v>0</x:v>
      </x:c>
      <x:c r="W750" s="38" t="n">
        <x:v>0</x:v>
      </x:c>
      <x:c r="X750" s="44" t="n">
        <x:v>0</x:v>
      </x:c>
      <x:c r="Y750" s="38" t="n">
        <x:v>100</x:v>
      </x:c>
      <x:c r="Z750" s="38" t="n">
        <x:v>20</x:v>
      </x:c>
      <x:c r="AA750" s="38" t="n">
        <x:v>8</x:v>
      </x:c>
      <x:c r="AB750" s="38" t="n">
        <x:v>3</x:v>
      </x:c>
      <x:c r="AC750" s="38" t="n">
        <x:v>3550</x:v>
      </x:c>
      <x:c r="AD750" s="38" t="n">
        <x:v>0</x:v>
      </x:c>
      <x:c r="AE750" s="38" t="n">
        <x:f>IF(B750=1,0,F750-Q749)</x:f>
        <x:v>0</x:v>
      </x:c>
    </x:row>
    <x:row r="751" ht="27" customHeight="1">
      <x:c r="A751" s="28" t="str">
        <x:v>Returning F2P</x:v>
      </x:c>
      <x:c r="B751" s="38" t="n">
        <x:v>27</x:v>
      </x:c>
      <x:c r="C751" s="38" t="n">
        <x:v>19</x:v>
      </x:c>
      <x:c r="D751" s="38" t="n">
        <x:v>89292</x:v>
      </x:c>
      <x:c r="E751" s="38" t="n">
        <x:v>50</x:v>
      </x:c>
      <x:c r="F751" s="38" t="n">
        <x:v>99580</x:v>
      </x:c>
      <x:c r="G751" s="38" t="n">
        <x:v>35300</x:v>
      </x:c>
      <x:c r="H751" s="38" t="n">
        <x:v>7100</x:v>
      </x:c>
      <x:c r="I751" s="38" t="n">
        <x:v>1629</x:v>
      </x:c>
      <x:c r="J751" s="38" t="n">
        <x:v>0</x:v>
      </x:c>
      <x:c r="K751" s="38" t="n">
        <x:v>0</x:v>
      </x:c>
      <x:c r="L751" s="38" t="n">
        <x:v>0</x:v>
      </x:c>
      <x:c r="M751" s="38" t="n">
        <x:v>0</x:v>
      </x:c>
      <x:c r="N751" s="38" t="n">
        <x:v>0</x:v>
      </x:c>
      <x:c r="O751" s="38" t="n">
        <x:v>0</x:v>
      </x:c>
      <x:c r="P751" s="38" t="n">
        <x:f>F751+G751-H751+I751+J751+K751+L751-M751-N751-O751</x:f>
        <x:v>129409</x:v>
      </x:c>
      <x:c r="Q751" s="38" t="n">
        <x:v>129409</x:v>
      </x:c>
      <x:c r="R751" s="38" t="n">
        <x:f>P751-Q751</x:f>
        <x:v>0</x:v>
      </x:c>
      <x:c r="S751" s="38" t="n">
        <x:v>28200</x:v>
      </x:c>
      <x:c r="T751" s="38" t="n">
        <x:v>5466</x:v>
      </x:c>
      <x:c r="U751" s="38" t="n">
        <x:v>33</x:v>
      </x:c>
      <x:c r="V751" s="38" t="n">
        <x:v>0</x:v>
      </x:c>
      <x:c r="W751" s="38" t="n">
        <x:v>0</x:v>
      </x:c>
      <x:c r="X751" s="44" t="n">
        <x:v>0</x:v>
      </x:c>
      <x:c r="Y751" s="38" t="n">
        <x:v>100</x:v>
      </x:c>
      <x:c r="Z751" s="38" t="n">
        <x:v>21</x:v>
      </x:c>
      <x:c r="AA751" s="38" t="n">
        <x:v>8</x:v>
      </x:c>
      <x:c r="AB751" s="38" t="n">
        <x:v>3</x:v>
      </x:c>
      <x:c r="AC751" s="38" t="n">
        <x:v>3550</x:v>
      </x:c>
      <x:c r="AD751" s="38" t="n">
        <x:v>0</x:v>
      </x:c>
      <x:c r="AE751" s="38" t="n">
        <x:f>IF(B751=1,0,F751-Q750)</x:f>
        <x:v>0</x:v>
      </x:c>
    </x:row>
    <x:row r="752" ht="27" customHeight="1">
      <x:c r="A752" s="28" t="str">
        <x:v>Returning F2P</x:v>
      </x:c>
      <x:c r="B752" s="38" t="n">
        <x:v>28</x:v>
      </x:c>
      <x:c r="C752" s="38" t="n">
        <x:v>19</x:v>
      </x:c>
      <x:c r="D752" s="38" t="n">
        <x:v>97264</x:v>
      </x:c>
      <x:c r="E752" s="38" t="n">
        <x:v>50</x:v>
      </x:c>
      <x:c r="F752" s="38" t="n">
        <x:v>129409</x:v>
      </x:c>
      <x:c r="G752" s="38" t="n">
        <x:v>35300</x:v>
      </x:c>
      <x:c r="H752" s="38" t="n">
        <x:v>7100</x:v>
      </x:c>
      <x:c r="I752" s="38" t="n">
        <x:v>8595</x:v>
      </x:c>
      <x:c r="J752" s="38" t="n">
        <x:v>0</x:v>
      </x:c>
      <x:c r="K752" s="38" t="n">
        <x:v>0</x:v>
      </x:c>
      <x:c r="L752" s="38" t="n">
        <x:v>0</x:v>
      </x:c>
      <x:c r="M752" s="38" t="n">
        <x:v>0</x:v>
      </x:c>
      <x:c r="N752" s="38" t="n">
        <x:v>320</x:v>
      </x:c>
      <x:c r="O752" s="38" t="n">
        <x:v>0</x:v>
      </x:c>
      <x:c r="P752" s="38" t="n">
        <x:f>F752+G752-H752+I752+J752+K752+L752-M752-N752-O752</x:f>
        <x:v>165884</x:v>
      </x:c>
      <x:c r="Q752" s="38" t="n">
        <x:v>165884</x:v>
      </x:c>
      <x:c r="R752" s="38" t="n">
        <x:f>P752-Q752</x:f>
        <x:v>0</x:v>
      </x:c>
      <x:c r="S752" s="38" t="n">
        <x:v>28200</x:v>
      </x:c>
      <x:c r="T752" s="38" t="n">
        <x:v>7972</x:v>
      </x:c>
      <x:c r="U752" s="38" t="n">
        <x:v>35</x:v>
      </x:c>
      <x:c r="V752" s="38" t="n">
        <x:v>2</x:v>
      </x:c>
      <x:c r="W752" s="38" t="n">
        <x:v>0</x:v>
      </x:c>
      <x:c r="X752" s="44" t="n">
        <x:v>0</x:v>
      </x:c>
      <x:c r="Y752" s="38" t="n">
        <x:v>100</x:v>
      </x:c>
      <x:c r="Z752" s="38" t="n">
        <x:v>21</x:v>
      </x:c>
      <x:c r="AA752" s="38" t="n">
        <x:v>9</x:v>
      </x:c>
      <x:c r="AB752" s="38" t="n">
        <x:v>3</x:v>
      </x:c>
      <x:c r="AC752" s="38" t="n">
        <x:v>3550</x:v>
      </x:c>
      <x:c r="AD752" s="38" t="n">
        <x:v>0</x:v>
      </x:c>
      <x:c r="AE752" s="38" t="n">
        <x:f>IF(B752=1,0,F752-Q751)</x:f>
        <x:v>0</x:v>
      </x:c>
    </x:row>
    <x:row r="753" ht="27" customHeight="1">
      <x:c r="A753" s="28" t="str">
        <x:v>Returning F2P</x:v>
      </x:c>
      <x:c r="B753" s="38" t="n">
        <x:v>29</x:v>
      </x:c>
      <x:c r="C753" s="38" t="n">
        <x:v>20</x:v>
      </x:c>
      <x:c r="D753" s="38" t="n">
        <x:v>102730</x:v>
      </x:c>
      <x:c r="E753" s="38" t="n">
        <x:v>50</x:v>
      </x:c>
      <x:c r="F753" s="38" t="n">
        <x:v>165884</x:v>
      </x:c>
      <x:c r="G753" s="38" t="n">
        <x:v>35339</x:v>
      </x:c>
      <x:c r="H753" s="38" t="n">
        <x:v>7195</x:v>
      </x:c>
      <x:c r="I753" s="38" t="n">
        <x:v>1629</x:v>
      </x:c>
      <x:c r="J753" s="38" t="n">
        <x:v>415</x:v>
      </x:c>
      <x:c r="K753" s="38" t="n">
        <x:v>0</x:v>
      </x:c>
      <x:c r="L753" s="38" t="n">
        <x:v>0</x:v>
      </x:c>
      <x:c r="M753" s="38" t="n">
        <x:v>0</x:v>
      </x:c>
      <x:c r="N753" s="38" t="n">
        <x:v>0</x:v>
      </x:c>
      <x:c r="O753" s="38" t="n">
        <x:v>41740</x:v>
      </x:c>
      <x:c r="P753" s="38" t="n">
        <x:f>F753+G753-H753+I753+J753+K753+L753-M753-N753-O753</x:f>
        <x:v>154332</x:v>
      </x:c>
      <x:c r="Q753" s="38" t="n">
        <x:v>154332</x:v>
      </x:c>
      <x:c r="R753" s="38" t="n">
        <x:f>P753-Q753</x:f>
        <x:v>0</x:v>
      </x:c>
      <x:c r="S753" s="38" t="n">
        <x:v>28261</x:v>
      </x:c>
      <x:c r="T753" s="38" t="n">
        <x:v>5466</x:v>
      </x:c>
      <x:c r="U753" s="38" t="n">
        <x:v>38</x:v>
      </x:c>
      <x:c r="V753" s="38" t="n">
        <x:v>3</x:v>
      </x:c>
      <x:c r="W753" s="38" t="n">
        <x:v>0</x:v>
      </x:c>
      <x:c r="X753" s="44" t="n">
        <x:v>0</x:v>
      </x:c>
      <x:c r="Y753" s="38" t="n">
        <x:v>99</x:v>
      </x:c>
      <x:c r="Z753" s="38" t="n">
        <x:v>21</x:v>
      </x:c>
      <x:c r="AA753" s="38" t="n">
        <x:v>9</x:v>
      </x:c>
      <x:c r="AB753" s="38" t="n">
        <x:v>4</x:v>
      </x:c>
      <x:c r="AC753" s="38" t="n">
        <x:v>3667</x:v>
      </x:c>
      <x:c r="AD753" s="38" t="n">
        <x:v>0</x:v>
      </x:c>
      <x:c r="AE753" s="38" t="n">
        <x:f>IF(B753=1,0,F753-Q752)</x:f>
        <x:v>0</x:v>
      </x:c>
    </x:row>
    <x:row r="754" ht="27" customHeight="1">
      <x:c r="A754" s="28" t="str">
        <x:v>Returning F2P</x:v>
      </x:c>
      <x:c r="B754" s="38" t="n">
        <x:v>30</x:v>
      </x:c>
      <x:c r="C754" s="38" t="n">
        <x:v>20</x:v>
      </x:c>
      <x:c r="D754" s="38" t="n">
        <x:v>108346</x:v>
      </x:c>
      <x:c r="E754" s="38" t="n">
        <x:v>50</x:v>
      </x:c>
      <x:c r="F754" s="38" t="n">
        <x:v>154332</x:v>
      </x:c>
      <x:c r="G754" s="38" t="n">
        <x:v>36435</x:v>
      </x:c>
      <x:c r="H754" s="38" t="n">
        <x:v>7200</x:v>
      </x:c>
      <x:c r="I754" s="38" t="n">
        <x:v>1670</x:v>
      </x:c>
      <x:c r="J754" s="38" t="n">
        <x:v>0</x:v>
      </x:c>
      <x:c r="K754" s="38" t="n">
        <x:v>0</x:v>
      </x:c>
      <x:c r="L754" s="38" t="n">
        <x:v>0</x:v>
      </x:c>
      <x:c r="M754" s="38" t="n">
        <x:v>0</x:v>
      </x:c>
      <x:c r="N754" s="38" t="n">
        <x:v>0</x:v>
      </x:c>
      <x:c r="O754" s="38" t="n">
        <x:v>0</x:v>
      </x:c>
      <x:c r="P754" s="38" t="n">
        <x:f>F754+G754-H754+I754+J754+K754+L754-M754-N754-O754</x:f>
        <x:v>185237</x:v>
      </x:c>
      <x:c r="Q754" s="38" t="n">
        <x:v>185237</x:v>
      </x:c>
      <x:c r="R754" s="38" t="n">
        <x:f>P754-Q754</x:f>
        <x:v>0</x:v>
      </x:c>
      <x:c r="S754" s="38" t="n">
        <x:v>29168</x:v>
      </x:c>
      <x:c r="T754" s="38" t="n">
        <x:v>5616</x:v>
      </x:c>
      <x:c r="U754" s="38" t="n">
        <x:v>38</x:v>
      </x:c>
      <x:c r="V754" s="38" t="n">
        <x:v>0</x:v>
      </x:c>
      <x:c r="W754" s="38" t="n">
        <x:v>0</x:v>
      </x:c>
      <x:c r="X754" s="44" t="n">
        <x:v>0</x:v>
      </x:c>
      <x:c r="Y754" s="38" t="n">
        <x:v>100</x:v>
      </x:c>
      <x:c r="Z754" s="38" t="n">
        <x:v>22</x:v>
      </x:c>
      <x:c r="AA754" s="38" t="n">
        <x:v>9</x:v>
      </x:c>
      <x:c r="AB754" s="38" t="n">
        <x:v>4</x:v>
      </x:c>
      <x:c r="AC754" s="38" t="n">
        <x:v>3600</x:v>
      </x:c>
      <x:c r="AD754" s="38" t="n">
        <x:v>0</x:v>
      </x:c>
      <x:c r="AE754" s="38" t="n">
        <x:f>IF(B754=1,0,F754-Q753)</x:f>
        <x:v>0</x:v>
      </x:c>
    </x:row>
    <x:row r="755" ht="27" customHeight="1">
      <x:c r="A755" s="28" t="str">
        <x:v>Returning F2P</x:v>
      </x:c>
      <x:c r="B755" s="38" t="n">
        <x:v>31</x:v>
      </x:c>
      <x:c r="C755" s="38" t="n">
        <x:v>21</x:v>
      </x:c>
      <x:c r="D755" s="38" t="n">
        <x:v>114167</x:v>
      </x:c>
      <x:c r="E755" s="38" t="n">
        <x:v>55</x:v>
      </x:c>
      <x:c r="F755" s="38" t="n">
        <x:v>185237</x:v>
      </x:c>
      <x:c r="G755" s="38" t="n">
        <x:v>38400</x:v>
      </x:c>
      <x:c r="H755" s="38" t="n">
        <x:v>8140</x:v>
      </x:c>
      <x:c r="I755" s="38" t="n">
        <x:v>1670</x:v>
      </x:c>
      <x:c r="J755" s="38" t="n">
        <x:v>470</x:v>
      </x:c>
      <x:c r="K755" s="38" t="n">
        <x:v>0</x:v>
      </x:c>
      <x:c r="L755" s="38" t="n">
        <x:v>0</x:v>
      </x:c>
      <x:c r="M755" s="38" t="n">
        <x:v>200000</x:v>
      </x:c>
      <x:c r="N755" s="38" t="n">
        <x:v>320</x:v>
      </x:c>
      <x:c r="O755" s="38" t="n">
        <x:v>0</x:v>
      </x:c>
      <x:c r="P755" s="38" t="n">
        <x:f>F755+G755-H755+I755+J755+K755+L755-M755-N755-O755</x:f>
        <x:v>17317</x:v>
      </x:c>
      <x:c r="Q755" s="38" t="n">
        <x:v>17317</x:v>
      </x:c>
      <x:c r="R755" s="38" t="n">
        <x:f>P755-Q755</x:f>
        <x:v>0</x:v>
      </x:c>
      <x:c r="S755" s="38" t="n">
        <x:v>30730</x:v>
      </x:c>
      <x:c r="T755" s="38" t="n">
        <x:v>5821</x:v>
      </x:c>
      <x:c r="U755" s="38" t="n">
        <x:v>38</x:v>
      </x:c>
      <x:c r="V755" s="38" t="n">
        <x:v>0</x:v>
      </x:c>
      <x:c r="W755" s="38" t="n">
        <x:v>0</x:v>
      </x:c>
      <x:c r="X755" s="44" t="n">
        <x:v>0</x:v>
      </x:c>
      <x:c r="Y755" s="38" t="n">
        <x:v>105</x:v>
      </x:c>
      <x:c r="Z755" s="38" t="n">
        <x:v>22</x:v>
      </x:c>
      <x:c r="AA755" s="38" t="n">
        <x:v>10</x:v>
      </x:c>
      <x:c r="AB755" s="38" t="n">
        <x:v>4</x:v>
      </x:c>
      <x:c r="AC755" s="38" t="n">
        <x:v>4070</x:v>
      </x:c>
      <x:c r="AD755" s="38" t="n">
        <x:v>0</x:v>
      </x:c>
      <x:c r="AE755" s="38" t="n">
        <x:f>IF(B755=1,0,F755-Q754)</x:f>
        <x:v>0</x:v>
      </x:c>
    </x:row>
    <x:row r="756" ht="27" customHeight="1">
      <x:c r="A756" s="28" t="str">
        <x:v>Returning F2P</x:v>
      </x:c>
      <x:c r="B756" s="38" t="n">
        <x:v>32</x:v>
      </x:c>
      <x:c r="C756" s="38" t="n">
        <x:v>21</x:v>
      </x:c>
      <x:c r="D756" s="38" t="n">
        <x:v>120301</x:v>
      </x:c>
      <x:c r="E756" s="38" t="n">
        <x:v>55</x:v>
      </x:c>
      <x:c r="F756" s="38" t="n">
        <x:v>17317</x:v>
      </x:c>
      <x:c r="G756" s="38" t="n">
        <x:v>40700</x:v>
      </x:c>
      <x:c r="H756" s="38" t="n">
        <x:v>8140</x:v>
      </x:c>
      <x:c r="I756" s="38" t="n">
        <x:v>1881</x:v>
      </x:c>
      <x:c r="J756" s="38" t="n">
        <x:v>0</x:v>
      </x:c>
      <x:c r="K756" s="38" t="n">
        <x:v>0</x:v>
      </x:c>
      <x:c r="L756" s="38" t="n">
        <x:v>0</x:v>
      </x:c>
      <x:c r="M756" s="38" t="n">
        <x:v>0</x:v>
      </x:c>
      <x:c r="N756" s="38" t="n">
        <x:v>0</x:v>
      </x:c>
      <x:c r="O756" s="38" t="n">
        <x:v>0</x:v>
      </x:c>
      <x:c r="P756" s="38" t="n">
        <x:f>F756+G756-H756+I756+J756+K756+L756-M756-N756-O756</x:f>
        <x:v>51758</x:v>
      </x:c>
      <x:c r="Q756" s="38" t="n">
        <x:v>51758</x:v>
      </x:c>
      <x:c r="R756" s="38" t="n">
        <x:f>P756-Q756</x:f>
        <x:v>0</x:v>
      </x:c>
      <x:c r="S756" s="38" t="n">
        <x:v>32560</x:v>
      </x:c>
      <x:c r="T756" s="38" t="n">
        <x:v>6134</x:v>
      </x:c>
      <x:c r="U756" s="38" t="n">
        <x:v>38</x:v>
      </x:c>
      <x:c r="V756" s="38" t="n">
        <x:v>0</x:v>
      </x:c>
      <x:c r="W756" s="38" t="n">
        <x:v>0</x:v>
      </x:c>
      <x:c r="X756" s="44" t="n">
        <x:v>0</x:v>
      </x:c>
      <x:c r="Y756" s="38" t="n">
        <x:v>110</x:v>
      </x:c>
      <x:c r="Z756" s="38" t="n">
        <x:v>22</x:v>
      </x:c>
      <x:c r="AA756" s="38" t="n">
        <x:v>10</x:v>
      </x:c>
      <x:c r="AB756" s="38" t="n">
        <x:v>4</x:v>
      </x:c>
      <x:c r="AC756" s="38" t="n">
        <x:v>4070</x:v>
      </x:c>
      <x:c r="AD756" s="38" t="n">
        <x:v>0</x:v>
      </x:c>
      <x:c r="AE756" s="38" t="n">
        <x:f>IF(B756=1,0,F756-Q755)</x:f>
        <x:v>0</x:v>
      </x:c>
    </x:row>
    <x:row r="757" ht="27" customHeight="1">
      <x:c r="A757" s="28" t="str">
        <x:v>Returning F2P</x:v>
      </x:c>
      <x:c r="B757" s="38" t="n">
        <x:v>33</x:v>
      </x:c>
      <x:c r="C757" s="38" t="n">
        <x:v>22</x:v>
      </x:c>
      <x:c r="D757" s="38" t="n">
        <x:v>126385</x:v>
      </x:c>
      <x:c r="E757" s="38" t="n">
        <x:v>55</x:v>
      </x:c>
      <x:c r="F757" s="38" t="n">
        <x:v>51758</x:v>
      </x:c>
      <x:c r="G757" s="38" t="n">
        <x:v>40816</x:v>
      </x:c>
      <x:c r="H757" s="38" t="n">
        <x:v>8369</x:v>
      </x:c>
      <x:c r="I757" s="38" t="n">
        <x:v>1881</x:v>
      </x:c>
      <x:c r="J757" s="38" t="n">
        <x:v>480</x:v>
      </x:c>
      <x:c r="K757" s="38" t="n">
        <x:v>0</x:v>
      </x:c>
      <x:c r="L757" s="38" t="n">
        <x:v>0</x:v>
      </x:c>
      <x:c r="M757" s="38" t="n">
        <x:v>0</x:v>
      </x:c>
      <x:c r="N757" s="38" t="n">
        <x:v>0</x:v>
      </x:c>
      <x:c r="O757" s="38" t="n">
        <x:v>0</x:v>
      </x:c>
      <x:c r="P757" s="38" t="n">
        <x:f>F757+G757-H757+I757+J757+K757+L757-M757-N757-O757</x:f>
        <x:v>86566</x:v>
      </x:c>
      <x:c r="Q757" s="38" t="n">
        <x:v>86566</x:v>
      </x:c>
      <x:c r="R757" s="38" t="n">
        <x:f>P757-Q757</x:f>
        <x:v>0</x:v>
      </x:c>
      <x:c r="S757" s="38" t="n">
        <x:v>32642</x:v>
      </x:c>
      <x:c r="T757" s="38" t="n">
        <x:v>6084</x:v>
      </x:c>
      <x:c r="U757" s="38" t="n">
        <x:v>39</x:v>
      </x:c>
      <x:c r="V757" s="38" t="n">
        <x:v>1</x:v>
      </x:c>
      <x:c r="W757" s="38" t="n">
        <x:v>0</x:v>
      </x:c>
      <x:c r="X757" s="44" t="n">
        <x:v>0</x:v>
      </x:c>
      <x:c r="Y757" s="38" t="n">
        <x:v>109</x:v>
      </x:c>
      <x:c r="Z757" s="38" t="n">
        <x:v>22</x:v>
      </x:c>
      <x:c r="AA757" s="38" t="n">
        <x:v>10</x:v>
      </x:c>
      <x:c r="AB757" s="38" t="n">
        <x:v>4</x:v>
      </x:c>
      <x:c r="AC757" s="38" t="n">
        <x:v>4265</x:v>
      </x:c>
      <x:c r="AD757" s="38" t="n">
        <x:v>0</x:v>
      </x:c>
      <x:c r="AE757" s="38" t="n">
        <x:f>IF(B757=1,0,F757-Q756)</x:f>
        <x:v>0</x:v>
      </x:c>
    </x:row>
    <x:row r="758" ht="27" customHeight="1">
      <x:c r="A758" s="28" t="str">
        <x:v>Returning F2P</x:v>
      </x:c>
      <x:c r="B758" s="38" t="n">
        <x:v>34</x:v>
      </x:c>
      <x:c r="C758" s="38" t="n">
        <x:v>22</x:v>
      </x:c>
      <x:c r="D758" s="38" t="n">
        <x:v>132561</x:v>
      </x:c>
      <x:c r="E758" s="38" t="n">
        <x:v>55</x:v>
      </x:c>
      <x:c r="F758" s="38" t="n">
        <x:v>86566</x:v>
      </x:c>
      <x:c r="G758" s="38" t="n">
        <x:v>42114</x:v>
      </x:c>
      <x:c r="H758" s="38" t="n">
        <x:v>8360</x:v>
      </x:c>
      <x:c r="I758" s="38" t="n">
        <x:v>1926</x:v>
      </x:c>
      <x:c r="J758" s="38" t="n">
        <x:v>0</x:v>
      </x:c>
      <x:c r="K758" s="38" t="n">
        <x:v>0</x:v>
      </x:c>
      <x:c r="L758" s="38" t="n">
        <x:v>0</x:v>
      </x:c>
      <x:c r="M758" s="38" t="n">
        <x:v>0</x:v>
      </x:c>
      <x:c r="N758" s="38" t="n">
        <x:v>330</x:v>
      </x:c>
      <x:c r="O758" s="38" t="n">
        <x:v>0</x:v>
      </x:c>
      <x:c r="P758" s="38" t="n">
        <x:f>F758+G758-H758+I758+J758+K758+L758-M758-N758-O758</x:f>
        <x:v>121916</x:v>
      </x:c>
      <x:c r="Q758" s="38" t="n">
        <x:v>121916</x:v>
      </x:c>
      <x:c r="R758" s="38" t="n">
        <x:f>P758-Q758</x:f>
        <x:v>0</x:v>
      </x:c>
      <x:c r="S758" s="38" t="n">
        <x:v>33669</x:v>
      </x:c>
      <x:c r="T758" s="38" t="n">
        <x:v>6176</x:v>
      </x:c>
      <x:c r="U758" s="38" t="n">
        <x:v>39</x:v>
      </x:c>
      <x:c r="V758" s="38" t="n">
        <x:v>0</x:v>
      </x:c>
      <x:c r="W758" s="38" t="n">
        <x:v>0</x:v>
      </x:c>
      <x:c r="X758" s="44" t="n">
        <x:v>0</x:v>
      </x:c>
      <x:c r="Y758" s="38" t="n">
        <x:v>110</x:v>
      </x:c>
      <x:c r="Z758" s="38" t="n">
        <x:v>23</x:v>
      </x:c>
      <x:c r="AA758" s="38" t="n">
        <x:v>11</x:v>
      </x:c>
      <x:c r="AB758" s="38" t="n">
        <x:v>4</x:v>
      </x:c>
      <x:c r="AC758" s="38" t="n">
        <x:v>4180</x:v>
      </x:c>
      <x:c r="AD758" s="38" t="n">
        <x:v>0</x:v>
      </x:c>
      <x:c r="AE758" s="38" t="n">
        <x:f>IF(B758=1,0,F758-Q757)</x:f>
        <x:v>0</x:v>
      </x:c>
    </x:row>
    <x:row r="759" ht="27" customHeight="1">
      <x:c r="A759" s="28" t="str">
        <x:v>Returning F2P</x:v>
      </x:c>
      <x:c r="B759" s="38" t="n">
        <x:v>35</x:v>
      </x:c>
      <x:c r="C759" s="38" t="n">
        <x:v>23</x:v>
      </x:c>
      <x:c r="D759" s="38" t="n">
        <x:v>141532</x:v>
      </x:c>
      <x:c r="E759" s="38" t="n">
        <x:v>55</x:v>
      </x:c>
      <x:c r="F759" s="38" t="n">
        <x:v>121916</x:v>
      </x:c>
      <x:c r="G759" s="38" t="n">
        <x:v>41690</x:v>
      </x:c>
      <x:c r="H759" s="38" t="n">
        <x:v>8541</x:v>
      </x:c>
      <x:c r="I759" s="38" t="n">
        <x:v>10071</x:v>
      </x:c>
      <x:c r="J759" s="38" t="n">
        <x:v>495</x:v>
      </x:c>
      <x:c r="K759" s="38" t="n">
        <x:v>0</x:v>
      </x:c>
      <x:c r="L759" s="38" t="n">
        <x:v>0</x:v>
      </x:c>
      <x:c r="M759" s="38" t="n">
        <x:v>0</x:v>
      </x:c>
      <x:c r="N759" s="38" t="n">
        <x:v>0</x:v>
      </x:c>
      <x:c r="O759" s="38" t="n">
        <x:v>0</x:v>
      </x:c>
      <x:c r="P759" s="38" t="n">
        <x:f>F759+G759-H759+I759+J759+K759+L759-M759-N759-O759</x:f>
        <x:v>165631</x:v>
      </x:c>
      <x:c r="Q759" s="38" t="n">
        <x:v>165631</x:v>
      </x:c>
      <x:c r="R759" s="38" t="n">
        <x:f>P759-Q759</x:f>
        <x:v>0</x:v>
      </x:c>
      <x:c r="S759" s="38" t="n">
        <x:v>33330</x:v>
      </x:c>
      <x:c r="T759" s="38" t="n">
        <x:v>8971</x:v>
      </x:c>
      <x:c r="U759" s="38" t="n">
        <x:v>41</x:v>
      </x:c>
      <x:c r="V759" s="38" t="n">
        <x:v>2</x:v>
      </x:c>
      <x:c r="W759" s="38" t="n">
        <x:v>0</x:v>
      </x:c>
      <x:c r="X759" s="44" t="n">
        <x:v>0</x:v>
      </x:c>
      <x:c r="Y759" s="38" t="n">
        <x:v>110</x:v>
      </x:c>
      <x:c r="Z759" s="38" t="n">
        <x:v>23</x:v>
      </x:c>
      <x:c r="AA759" s="38" t="n">
        <x:v>11</x:v>
      </x:c>
      <x:c r="AB759" s="38" t="n">
        <x:v>4</x:v>
      </x:c>
      <x:c r="AC759" s="38" t="n">
        <x:v>4361</x:v>
      </x:c>
      <x:c r="AD759" s="38" t="n">
        <x:v>0</x:v>
      </x:c>
      <x:c r="AE759" s="38" t="n">
        <x:f>IF(B759=1,0,F759-Q758)</x:f>
        <x:v>0</x:v>
      </x:c>
    </x:row>
    <x:row r="760" ht="27" customHeight="1">
      <x:c r="A760" s="28" t="str">
        <x:v>Returning F2P</x:v>
      </x:c>
      <x:c r="B760" s="38" t="n">
        <x:v>36</x:v>
      </x:c>
      <x:c r="C760" s="38" t="n">
        <x:v>23</x:v>
      </x:c>
      <x:c r="D760" s="38" t="n">
        <x:v>147782</x:v>
      </x:c>
      <x:c r="E760" s="38" t="n">
        <x:v>55</x:v>
      </x:c>
      <x:c r="F760" s="38" t="n">
        <x:v>165631</x:v>
      </x:c>
      <x:c r="G760" s="38" t="n">
        <x:v>42650</x:v>
      </x:c>
      <x:c r="H760" s="38" t="n">
        <x:v>8502</x:v>
      </x:c>
      <x:c r="I760" s="38" t="n">
        <x:v>1970</x:v>
      </x:c>
      <x:c r="J760" s="38" t="n">
        <x:v>0</x:v>
      </x:c>
      <x:c r="K760" s="38" t="n">
        <x:v>0</x:v>
      </x:c>
      <x:c r="L760" s="38" t="n">
        <x:v>0</x:v>
      </x:c>
      <x:c r="M760" s="38" t="n">
        <x:v>0</x:v>
      </x:c>
      <x:c r="N760" s="38" t="n">
        <x:v>0</x:v>
      </x:c>
      <x:c r="O760" s="38" t="n">
        <x:v>0</x:v>
      </x:c>
      <x:c r="P760" s="38" t="n">
        <x:f>F760+G760-H760+I760+J760+K760+L760-M760-N760-O760</x:f>
        <x:v>201749</x:v>
      </x:c>
      <x:c r="Q760" s="38" t="n">
        <x:v>201749</x:v>
      </x:c>
      <x:c r="R760" s="38" t="n">
        <x:f>P760-Q760</x:f>
        <x:v>0</x:v>
      </x:c>
      <x:c r="S760" s="38" t="n">
        <x:v>34077</x:v>
      </x:c>
      <x:c r="T760" s="38" t="n">
        <x:v>6250</x:v>
      </x:c>
      <x:c r="U760" s="38" t="n">
        <x:v>41</x:v>
      </x:c>
      <x:c r="V760" s="38" t="n">
        <x:v>0</x:v>
      </x:c>
      <x:c r="W760" s="38" t="n">
        <x:v>0</x:v>
      </x:c>
      <x:c r="X760" s="44" t="n">
        <x:v>0</x:v>
      </x:c>
      <x:c r="Y760" s="38" t="n">
        <x:v>109</x:v>
      </x:c>
      <x:c r="Z760" s="38" t="n">
        <x:v>24</x:v>
      </x:c>
      <x:c r="AA760" s="38" t="n">
        <x:v>11</x:v>
      </x:c>
      <x:c r="AB760" s="38" t="n">
        <x:v>4</x:v>
      </x:c>
      <x:c r="AC760" s="38" t="n">
        <x:v>4290</x:v>
      </x:c>
      <x:c r="AD760" s="38" t="n">
        <x:v>0</x:v>
      </x:c>
      <x:c r="AE760" s="38" t="n">
        <x:f>IF(B760=1,0,F760-Q759)</x:f>
        <x:v>0</x:v>
      </x:c>
    </x:row>
    <x:row r="761" ht="27" customHeight="1">
      <x:c r="A761" s="28" t="str">
        <x:v>Returning F2P</x:v>
      </x:c>
      <x:c r="B761" s="38" t="n">
        <x:v>37</x:v>
      </x:c>
      <x:c r="C761" s="38" t="n">
        <x:v>23</x:v>
      </x:c>
      <x:c r="D761" s="38" t="n">
        <x:v>154036</x:v>
      </x:c>
      <x:c r="E761" s="38" t="n">
        <x:v>55</x:v>
      </x:c>
      <x:c r="F761" s="38" t="n">
        <x:v>201749</x:v>
      </x:c>
      <x:c r="G761" s="38" t="n">
        <x:v>42680</x:v>
      </x:c>
      <x:c r="H761" s="38" t="n">
        <x:v>8580</x:v>
      </x:c>
      <x:c r="I761" s="38" t="n">
        <x:v>1970</x:v>
      </x:c>
      <x:c r="J761" s="38" t="n">
        <x:v>0</x:v>
      </x:c>
      <x:c r="K761" s="38" t="n">
        <x:v>0</x:v>
      </x:c>
      <x:c r="L761" s="38" t="n">
        <x:v>0</x:v>
      </x:c>
      <x:c r="M761" s="38" t="n">
        <x:v>0</x:v>
      </x:c>
      <x:c r="N761" s="38" t="n">
        <x:v>330</x:v>
      </x:c>
      <x:c r="O761" s="38" t="n">
        <x:v>0</x:v>
      </x:c>
      <x:c r="P761" s="38" t="n">
        <x:f>F761+G761-H761+I761+J761+K761+L761-M761-N761-O761</x:f>
        <x:v>237489</x:v>
      </x:c>
      <x:c r="Q761" s="38" t="n">
        <x:v>237489</x:v>
      </x:c>
      <x:c r="R761" s="38" t="n">
        <x:f>P761-Q761</x:f>
        <x:v>0</x:v>
      </x:c>
      <x:c r="S761" s="38" t="n">
        <x:v>34100</x:v>
      </x:c>
      <x:c r="T761" s="38" t="n">
        <x:v>6254</x:v>
      </x:c>
      <x:c r="U761" s="38" t="n">
        <x:v>41</x:v>
      </x:c>
      <x:c r="V761" s="38" t="n">
        <x:v>0</x:v>
      </x:c>
      <x:c r="W761" s="38" t="n">
        <x:v>0</x:v>
      </x:c>
      <x:c r="X761" s="44" t="n">
        <x:v>0</x:v>
      </x:c>
      <x:c r="Y761" s="38" t="n">
        <x:v>110</x:v>
      </x:c>
      <x:c r="Z761" s="38" t="n">
        <x:v>24</x:v>
      </x:c>
      <x:c r="AA761" s="38" t="n">
        <x:v>12</x:v>
      </x:c>
      <x:c r="AB761" s="38" t="n">
        <x:v>4</x:v>
      </x:c>
      <x:c r="AC761" s="38" t="n">
        <x:v>4290</x:v>
      </x:c>
      <x:c r="AD761" s="38" t="n">
        <x:v>0</x:v>
      </x:c>
      <x:c r="AE761" s="38" t="n">
        <x:f>IF(B761=1,0,F761-Q760)</x:f>
        <x:v>0</x:v>
      </x:c>
    </x:row>
    <x:row r="762" ht="27" customHeight="1">
      <x:c r="A762" s="28" t="str">
        <x:v>Returning F2P</x:v>
      </x:c>
      <x:c r="B762" s="38" t="n">
        <x:v>38</x:v>
      </x:c>
      <x:c r="C762" s="38" t="n">
        <x:v>24</x:v>
      </x:c>
      <x:c r="D762" s="38" t="n">
        <x:v>160239</x:v>
      </x:c>
      <x:c r="E762" s="38" t="n">
        <x:v>55</x:v>
      </x:c>
      <x:c r="F762" s="38" t="n">
        <x:v>237489</x:v>
      </x:c>
      <x:c r="G762" s="38" t="n">
        <x:v>42724</x:v>
      </x:c>
      <x:c r="H762" s="38" t="n">
        <x:v>8841</x:v>
      </x:c>
      <x:c r="I762" s="38" t="n">
        <x:v>1970</x:v>
      </x:c>
      <x:c r="J762" s="38" t="n">
        <x:v>505</x:v>
      </x:c>
      <x:c r="K762" s="38" t="n">
        <x:v>0</x:v>
      </x:c>
      <x:c r="L762" s="38" t="n">
        <x:v>0</x:v>
      </x:c>
      <x:c r="M762" s="38" t="n">
        <x:v>0</x:v>
      </x:c>
      <x:c r="N762" s="38" t="n">
        <x:v>0</x:v>
      </x:c>
      <x:c r="O762" s="38" t="n">
        <x:v>0</x:v>
      </x:c>
      <x:c r="P762" s="38" t="n">
        <x:f>F762+G762-H762+I762+J762+K762+L762-M762-N762-O762</x:f>
        <x:v>273847</x:v>
      </x:c>
      <x:c r="Q762" s="38" t="n">
        <x:v>273847</x:v>
      </x:c>
      <x:c r="R762" s="38" t="n">
        <x:f>P762-Q762</x:f>
        <x:v>0</x:v>
      </x:c>
      <x:c r="S762" s="38" t="n">
        <x:v>34168</x:v>
      </x:c>
      <x:c r="T762" s="38" t="n">
        <x:v>6203</x:v>
      </x:c>
      <x:c r="U762" s="38" t="n">
        <x:v>42</x:v>
      </x:c>
      <x:c r="V762" s="38" t="n">
        <x:v>1</x:v>
      </x:c>
      <x:c r="W762" s="38" t="n">
        <x:v>0</x:v>
      </x:c>
      <x:c r="X762" s="44" t="n">
        <x:v>0</x:v>
      </x:c>
      <x:c r="Y762" s="38" t="n">
        <x:v>109</x:v>
      </x:c>
      <x:c r="Z762" s="38" t="n">
        <x:v>24</x:v>
      </x:c>
      <x:c r="AA762" s="38" t="n">
        <x:v>12</x:v>
      </x:c>
      <x:c r="AB762" s="38" t="n">
        <x:v>4</x:v>
      </x:c>
      <x:c r="AC762" s="38" t="n">
        <x:v>4575</x:v>
      </x:c>
      <x:c r="AD762" s="38" t="n">
        <x:v>0</x:v>
      </x:c>
      <x:c r="AE762" s="38" t="n">
        <x:f>IF(B762=1,0,F762-Q761)</x:f>
        <x:v>0</x:v>
      </x:c>
    </x:row>
    <x:row r="763" ht="27" customHeight="1">
      <x:c r="A763" s="28" t="str">
        <x:v>Returning F2P</x:v>
      </x:c>
      <x:c r="B763" s="38" t="n">
        <x:v>39</x:v>
      </x:c>
      <x:c r="C763" s="38" t="n">
        <x:v>24</x:v>
      </x:c>
      <x:c r="D763" s="38" t="n">
        <x:v>166396</x:v>
      </x:c>
      <x:c r="E763" s="38" t="n">
        <x:v>55</x:v>
      </x:c>
      <x:c r="F763" s="38" t="n">
        <x:v>273847</x:v>
      </x:c>
      <x:c r="G763" s="38" t="n">
        <x:v>42768</x:v>
      </x:c>
      <x:c r="H763" s="38" t="n">
        <x:v>8532</x:v>
      </x:c>
      <x:c r="I763" s="38" t="n">
        <x:v>2015</x:v>
      </x:c>
      <x:c r="J763" s="38" t="n">
        <x:v>0</x:v>
      </x:c>
      <x:c r="K763" s="38" t="n">
        <x:v>0</x:v>
      </x:c>
      <x:c r="L763" s="38" t="n">
        <x:v>0</x:v>
      </x:c>
      <x:c r="M763" s="38" t="n">
        <x:v>0</x:v>
      </x:c>
      <x:c r="N763" s="38" t="n">
        <x:v>0</x:v>
      </x:c>
      <x:c r="O763" s="38" t="n">
        <x:v>0</x:v>
      </x:c>
      <x:c r="P763" s="38" t="n">
        <x:f>F763+G763-H763+I763+J763+K763+L763-M763-N763-O763</x:f>
        <x:v>310098</x:v>
      </x:c>
      <x:c r="Q763" s="38" t="n">
        <x:v>310098</x:v>
      </x:c>
      <x:c r="R763" s="38" t="n">
        <x:f>P763-Q763</x:f>
        <x:v>0</x:v>
      </x:c>
      <x:c r="S763" s="38" t="n">
        <x:v>34236</x:v>
      </x:c>
      <x:c r="T763" s="38" t="n">
        <x:v>6157</x:v>
      </x:c>
      <x:c r="U763" s="38" t="n">
        <x:v>42</x:v>
      </x:c>
      <x:c r="V763" s="38" t="n">
        <x:v>0</x:v>
      </x:c>
      <x:c r="W763" s="38" t="n">
        <x:v>0</x:v>
      </x:c>
      <x:c r="X763" s="44" t="n">
        <x:v>0</x:v>
      </x:c>
      <x:c r="Y763" s="38" t="n">
        <x:v>108</x:v>
      </x:c>
      <x:c r="Z763" s="38" t="n">
        <x:v>24</x:v>
      </x:c>
      <x:c r="AA763" s="38" t="n">
        <x:v>12</x:v>
      </x:c>
      <x:c r="AB763" s="38" t="n">
        <x:v>4</x:v>
      </x:c>
      <x:c r="AC763" s="38" t="n">
        <x:v>4575</x:v>
      </x:c>
      <x:c r="AD763" s="38" t="n">
        <x:v>0</x:v>
      </x:c>
      <x:c r="AE763" s="38" t="n">
        <x:f>IF(B763=1,0,F763-Q762)</x:f>
        <x:v>0</x:v>
      </x:c>
    </x:row>
    <x:row r="764" ht="27" customHeight="1">
      <x:c r="A764" s="28" t="str">
        <x:v>Returning F2P</x:v>
      </x:c>
      <x:c r="B764" s="38" t="n">
        <x:v>40</x:v>
      </x:c>
      <x:c r="C764" s="38" t="n">
        <x:v>24</x:v>
      </x:c>
      <x:c r="D764" s="38" t="n">
        <x:v>172803</x:v>
      </x:c>
      <x:c r="E764" s="38" t="n">
        <x:v>55</x:v>
      </x:c>
      <x:c r="F764" s="38" t="n">
        <x:v>310098</x:v>
      </x:c>
      <x:c r="G764" s="38" t="n">
        <x:v>44709</x:v>
      </x:c>
      <x:c r="H764" s="38" t="n">
        <x:v>8690</x:v>
      </x:c>
      <x:c r="I764" s="38" t="n">
        <x:v>2015</x:v>
      </x:c>
      <x:c r="J764" s="38" t="n">
        <x:v>0</x:v>
      </x:c>
      <x:c r="K764" s="38" t="n">
        <x:v>0</x:v>
      </x:c>
      <x:c r="L764" s="38" t="n">
        <x:v>0</x:v>
      </x:c>
      <x:c r="M764" s="38" t="n">
        <x:v>0</x:v>
      </x:c>
      <x:c r="N764" s="38" t="n">
        <x:v>570</x:v>
      </x:c>
      <x:c r="O764" s="38" t="n">
        <x:v>0</x:v>
      </x:c>
      <x:c r="P764" s="38" t="n">
        <x:f>F764+G764-H764+I764+J764+K764+L764-M764-N764-O764</x:f>
        <x:v>347562</x:v>
      </x:c>
      <x:c r="Q764" s="38" t="n">
        <x:v>347562</x:v>
      </x:c>
      <x:c r="R764" s="38" t="n">
        <x:f>P764-Q764</x:f>
        <x:v>0</x:v>
      </x:c>
      <x:c r="S764" s="38" t="n">
        <x:v>35789</x:v>
      </x:c>
      <x:c r="T764" s="38" t="n">
        <x:v>6407</x:v>
      </x:c>
      <x:c r="U764" s="38" t="n">
        <x:v>44</x:v>
      </x:c>
      <x:c r="V764" s="38" t="n">
        <x:v>2</x:v>
      </x:c>
      <x:c r="W764" s="38" t="n">
        <x:v>0</x:v>
      </x:c>
      <x:c r="X764" s="44" t="n">
        <x:v>0</x:v>
      </x:c>
      <x:c r="Y764" s="38" t="n">
        <x:v>110</x:v>
      </x:c>
      <x:c r="Z764" s="38" t="n">
        <x:v>25</x:v>
      </x:c>
      <x:c r="AA764" s="38" t="n">
        <x:v>13</x:v>
      </x:c>
      <x:c r="AB764" s="38" t="n">
        <x:v>4</x:v>
      </x:c>
      <x:c r="AC764" s="38" t="n">
        <x:v>4345</x:v>
      </x:c>
      <x:c r="AD764" s="38" t="n">
        <x:v>0</x:v>
      </x:c>
      <x:c r="AE764" s="38" t="n">
        <x:f>IF(B764=1,0,F764-Q763)</x:f>
        <x:v>0</x:v>
      </x:c>
    </x:row>
    <x:row r="765" ht="27" customHeight="1">
      <x:c r="A765" s="28" t="str">
        <x:v>Returning F2P</x:v>
      </x:c>
      <x:c r="B765" s="38" t="n">
        <x:v>41</x:v>
      </x:c>
      <x:c r="C765" s="38" t="n">
        <x:v>25</x:v>
      </x:c>
      <x:c r="D765" s="38" t="n">
        <x:v>179598</x:v>
      </x:c>
      <x:c r="E765" s="38" t="n">
        <x:v>65</x:v>
      </x:c>
      <x:c r="F765" s="38" t="n">
        <x:v>347562</x:v>
      </x:c>
      <x:c r="G765" s="38" t="n">
        <x:v>47801</x:v>
      </x:c>
      <x:c r="H765" s="38" t="n">
        <x:v>10469</x:v>
      </x:c>
      <x:c r="I765" s="38" t="n">
        <x:v>2015</x:v>
      </x:c>
      <x:c r="J765" s="38" t="n">
        <x:v>610</x:v>
      </x:c>
      <x:c r="K765" s="38" t="n">
        <x:v>0</x:v>
      </x:c>
      <x:c r="L765" s="38" t="n">
        <x:v>0</x:v>
      </x:c>
      <x:c r="M765" s="38" t="n">
        <x:v>300000</x:v>
      </x:c>
      <x:c r="N765" s="38" t="n">
        <x:v>0</x:v>
      </x:c>
      <x:c r="O765" s="38" t="n">
        <x:v>41693</x:v>
      </x:c>
      <x:c r="P765" s="38" t="n">
        <x:f>F765+G765-H765+I765+J765+K765+L765-M765-N765-O765</x:f>
        <x:v>45826</x:v>
      </x:c>
      <x:c r="Q765" s="38" t="n">
        <x:v>45826</x:v>
      </x:c>
      <x:c r="R765" s="38" t="n">
        <x:f>P765-Q765</x:f>
        <x:v>0</x:v>
      </x:c>
      <x:c r="S765" s="38" t="n">
        <x:v>38252</x:v>
      </x:c>
      <x:c r="T765" s="38" t="n">
        <x:v>6795</x:v>
      </x:c>
      <x:c r="U765" s="38" t="n">
        <x:v>47</x:v>
      </x:c>
      <x:c r="V765" s="38" t="n">
        <x:v>3</x:v>
      </x:c>
      <x:c r="W765" s="38" t="n">
        <x:v>0</x:v>
      </x:c>
      <x:c r="X765" s="44" t="n">
        <x:v>0</x:v>
      </x:c>
      <x:c r="Y765" s="38" t="n">
        <x:v>120</x:v>
      </x:c>
      <x:c r="Z765" s="38" t="n">
        <x:v>26</x:v>
      </x:c>
      <x:c r="AA765" s="38" t="n">
        <x:v>13</x:v>
      </x:c>
      <x:c r="AB765" s="38" t="n">
        <x:v>4</x:v>
      </x:c>
      <x:c r="AC765" s="38" t="n">
        <x:v>5265</x:v>
      </x:c>
      <x:c r="AD765" s="38" t="n">
        <x:v>0</x:v>
      </x:c>
      <x:c r="AE765" s="38" t="n">
        <x:f>IF(B765=1,0,F765-Q764)</x:f>
        <x:v>0</x:v>
      </x:c>
    </x:row>
    <x:row r="766" ht="27" customHeight="1">
      <x:c r="A766" s="28" t="str">
        <x:v>Returning F2P</x:v>
      </x:c>
      <x:c r="B766" s="38" t="n">
        <x:v>42</x:v>
      </x:c>
      <x:c r="C766" s="38" t="n">
        <x:v>25</x:v>
      </x:c>
      <x:c r="D766" s="38" t="n">
        <x:v>190353</x:v>
      </x:c>
      <x:c r="E766" s="38" t="n">
        <x:v>65</x:v>
      </x:c>
      <x:c r="F766" s="38" t="n">
        <x:v>45826</x:v>
      </x:c>
      <x:c r="G766" s="38" t="n">
        <x:v>52650</x:v>
      </x:c>
      <x:c r="H766" s="38" t="n">
        <x:v>10530</x:v>
      </x:c>
      <x:c r="I766" s="38" t="n">
        <x:v>12285</x:v>
      </x:c>
      <x:c r="J766" s="38" t="n">
        <x:v>0</x:v>
      </x:c>
      <x:c r="K766" s="38" t="n">
        <x:v>0</x:v>
      </x:c>
      <x:c r="L766" s="38" t="n">
        <x:v>0</x:v>
      </x:c>
      <x:c r="M766" s="38" t="n">
        <x:v>0</x:v>
      </x:c>
      <x:c r="N766" s="38" t="n">
        <x:v>0</x:v>
      </x:c>
      <x:c r="O766" s="38" t="n">
        <x:v>39427</x:v>
      </x:c>
      <x:c r="P766" s="38" t="n">
        <x:f>F766+G766-H766+I766+J766+K766+L766-M766-N766-O766</x:f>
        <x:v>60804</x:v>
      </x:c>
      <x:c r="Q766" s="38" t="n">
        <x:v>60804</x:v>
      </x:c>
      <x:c r="R766" s="38" t="n">
        <x:f>P766-Q766</x:f>
        <x:v>0</x:v>
      </x:c>
      <x:c r="S766" s="38" t="n">
        <x:v>42120</x:v>
      </x:c>
      <x:c r="T766" s="38" t="n">
        <x:v>10755</x:v>
      </x:c>
      <x:c r="U766" s="38" t="n">
        <x:v>49</x:v>
      </x:c>
      <x:c r="V766" s="38" t="n">
        <x:v>2</x:v>
      </x:c>
      <x:c r="W766" s="38" t="n">
        <x:v>0</x:v>
      </x:c>
      <x:c r="X766" s="44" t="n">
        <x:v>0</x:v>
      </x:c>
      <x:c r="Y766" s="38" t="n">
        <x:v>130</x:v>
      </x:c>
      <x:c r="Z766" s="38" t="n">
        <x:v>26</x:v>
      </x:c>
      <x:c r="AA766" s="38" t="n">
        <x:v>13</x:v>
      </x:c>
      <x:c r="AB766" s="38" t="n">
        <x:v>5</x:v>
      </x:c>
      <x:c r="AC766" s="38" t="n">
        <x:v>5265</x:v>
      </x:c>
      <x:c r="AD766" s="38" t="n">
        <x:v>0</x:v>
      </x:c>
      <x:c r="AE766" s="38" t="n">
        <x:f>IF(B766=1,0,F766-Q765)</x:f>
        <x:v>0</x:v>
      </x:c>
    </x:row>
    <x:row r="767" ht="27" customHeight="1">
      <x:c r="A767" s="28" t="str">
        <x:v>Returning F2P</x:v>
      </x:c>
      <x:c r="B767" s="38" t="n">
        <x:v>43</x:v>
      </x:c>
      <x:c r="C767" s="38" t="n">
        <x:v>26</x:v>
      </x:c>
      <x:c r="D767" s="38" t="n">
        <x:v>197887</x:v>
      </x:c>
      <x:c r="E767" s="38" t="n">
        <x:v>65</x:v>
      </x:c>
      <x:c r="F767" s="38" t="n">
        <x:v>60804</x:v>
      </x:c>
      <x:c r="G767" s="38" t="n">
        <x:v>52650</x:v>
      </x:c>
      <x:c r="H767" s="38" t="n">
        <x:v>10600</x:v>
      </x:c>
      <x:c r="I767" s="38" t="n">
        <x:v>2434</x:v>
      </x:c>
      <x:c r="J767" s="38" t="n">
        <x:v>620</x:v>
      </x:c>
      <x:c r="K767" s="38" t="n">
        <x:v>0</x:v>
      </x:c>
      <x:c r="L767" s="38" t="n">
        <x:v>0</x:v>
      </x:c>
      <x:c r="M767" s="38" t="n">
        <x:v>0</x:v>
      </x:c>
      <x:c r="N767" s="38" t="n">
        <x:v>570</x:v>
      </x:c>
      <x:c r="O767" s="38" t="n">
        <x:v>0</x:v>
      </x:c>
      <x:c r="P767" s="38" t="n">
        <x:f>F767+G767-H767+I767+J767+K767+L767-M767-N767-O767</x:f>
        <x:v>105338</x:v>
      </x:c>
      <x:c r="Q767" s="38" t="n">
        <x:v>105338</x:v>
      </x:c>
      <x:c r="R767" s="38" t="n">
        <x:f>P767-Q767</x:f>
        <x:v>0</x:v>
      </x:c>
      <x:c r="S767" s="38" t="n">
        <x:v>42120</x:v>
      </x:c>
      <x:c r="T767" s="38" t="n">
        <x:v>7534</x:v>
      </x:c>
      <x:c r="U767" s="38" t="n">
        <x:v>50</x:v>
      </x:c>
      <x:c r="V767" s="38" t="n">
        <x:v>1</x:v>
      </x:c>
      <x:c r="W767" s="38" t="n">
        <x:v>0</x:v>
      </x:c>
      <x:c r="X767" s="44" t="n">
        <x:v>0</x:v>
      </x:c>
      <x:c r="Y767" s="38" t="n">
        <x:v>130</x:v>
      </x:c>
      <x:c r="Z767" s="38" t="n">
        <x:v>26</x:v>
      </x:c>
      <x:c r="AA767" s="38" t="n">
        <x:v>14</x:v>
      </x:c>
      <x:c r="AB767" s="38" t="n">
        <x:v>5</x:v>
      </x:c>
      <x:c r="AC767" s="38" t="n">
        <x:v>5335</x:v>
      </x:c>
      <x:c r="AD767" s="38" t="n">
        <x:v>0</x:v>
      </x:c>
      <x:c r="AE767" s="38" t="n">
        <x:f>IF(B767=1,0,F767-Q766)</x:f>
        <x:v>0</x:v>
      </x:c>
    </x:row>
    <x:row r="768" ht="27" customHeight="1">
      <x:c r="A768" s="28" t="str">
        <x:v>Returning F2P</x:v>
      </x:c>
      <x:c r="B768" s="38" t="n">
        <x:v>44</x:v>
      </x:c>
      <x:c r="C768" s="38" t="n">
        <x:v>26</x:v>
      </x:c>
      <x:c r="D768" s="38" t="n">
        <x:v>205387</x:v>
      </x:c>
      <x:c r="E768" s="38" t="n">
        <x:v>65</x:v>
      </x:c>
      <x:c r="F768" s="38" t="n">
        <x:v>105338</x:v>
      </x:c>
      <x:c r="G768" s="38" t="n">
        <x:v>53649</x:v>
      </x:c>
      <x:c r="H768" s="38" t="n">
        <x:v>10790</x:v>
      </x:c>
      <x:c r="I768" s="38" t="n">
        <x:v>2486</x:v>
      </x:c>
      <x:c r="J768" s="38" t="n">
        <x:v>0</x:v>
      </x:c>
      <x:c r="K768" s="38" t="n">
        <x:v>0</x:v>
      </x:c>
      <x:c r="L768" s="38" t="n">
        <x:v>0</x:v>
      </x:c>
      <x:c r="M768" s="38" t="n">
        <x:v>0</x:v>
      </x:c>
      <x:c r="N768" s="38" t="n">
        <x:v>0</x:v>
      </x:c>
      <x:c r="O768" s="38" t="n">
        <x:v>0</x:v>
      </x:c>
      <x:c r="P768" s="38" t="n">
        <x:f>F768+G768-H768+I768+J768+K768+L768-M768-N768-O768</x:f>
        <x:v>150683</x:v>
      </x:c>
      <x:c r="Q768" s="38" t="n">
        <x:v>150683</x:v>
      </x:c>
      <x:c r="R768" s="38" t="n">
        <x:f>P768-Q768</x:f>
        <x:v>0</x:v>
      </x:c>
      <x:c r="S768" s="38" t="n">
        <x:v>42919</x:v>
      </x:c>
      <x:c r="T768" s="38" t="n">
        <x:v>7500</x:v>
      </x:c>
      <x:c r="U768" s="38" t="n">
        <x:v>50</x:v>
      </x:c>
      <x:c r="V768" s="38" t="n">
        <x:v>0</x:v>
      </x:c>
      <x:c r="W768" s="38" t="n">
        <x:v>0</x:v>
      </x:c>
      <x:c r="X768" s="44" t="n">
        <x:v>0</x:v>
      </x:c>
      <x:c r="Y768" s="38" t="n">
        <x:v>130</x:v>
      </x:c>
      <x:c r="Z768" s="38" t="n">
        <x:v>27</x:v>
      </x:c>
      <x:c r="AA768" s="38" t="n">
        <x:v>14</x:v>
      </x:c>
      <x:c r="AB768" s="38" t="n">
        <x:v>5</x:v>
      </x:c>
      <x:c r="AC768" s="38" t="n">
        <x:v>5395</x:v>
      </x:c>
      <x:c r="AD768" s="38" t="n">
        <x:v>0</x:v>
      </x:c>
      <x:c r="AE768" s="38" t="n">
        <x:f>IF(B768=1,0,F768-Q767)</x:f>
        <x:v>0</x:v>
      </x:c>
    </x:row>
    <x:row r="769" ht="27" customHeight="1">
      <x:c r="A769" s="28" t="str">
        <x:v>Returning F2P</x:v>
      </x:c>
      <x:c r="B769" s="38" t="n">
        <x:v>45</x:v>
      </x:c>
      <x:c r="C769" s="38" t="n">
        <x:v>26</x:v>
      </x:c>
      <x:c r="D769" s="38" t="n">
        <x:v>212927</x:v>
      </x:c>
      <x:c r="E769" s="38" t="n">
        <x:v>65</x:v>
      </x:c>
      <x:c r="F769" s="38" t="n">
        <x:v>150683</x:v>
      </x:c>
      <x:c r="G769" s="38" t="n">
        <x:v>53950</x:v>
      </x:c>
      <x:c r="H769" s="38" t="n">
        <x:v>10790</x:v>
      </x:c>
      <x:c r="I769" s="38" t="n">
        <x:v>2486</x:v>
      </x:c>
      <x:c r="J769" s="38" t="n">
        <x:v>0</x:v>
      </x:c>
      <x:c r="K769" s="38" t="n">
        <x:v>0</x:v>
      </x:c>
      <x:c r="L769" s="38" t="n">
        <x:v>0</x:v>
      </x:c>
      <x:c r="M769" s="38" t="n">
        <x:v>0</x:v>
      </x:c>
      <x:c r="N769" s="38" t="n">
        <x:v>0</x:v>
      </x:c>
      <x:c r="O769" s="38" t="n">
        <x:v>0</x:v>
      </x:c>
      <x:c r="P769" s="38" t="n">
        <x:f>F769+G769-H769+I769+J769+K769+L769-M769-N769-O769</x:f>
        <x:v>196329</x:v>
      </x:c>
      <x:c r="Q769" s="38" t="n">
        <x:v>196329</x:v>
      </x:c>
      <x:c r="R769" s="38" t="n">
        <x:f>P769-Q769</x:f>
        <x:v>0</x:v>
      </x:c>
      <x:c r="S769" s="38" t="n">
        <x:v>43160</x:v>
      </x:c>
      <x:c r="T769" s="38" t="n">
        <x:v>7540</x:v>
      </x:c>
      <x:c r="U769" s="38" t="n">
        <x:v>50</x:v>
      </x:c>
      <x:c r="V769" s="38" t="n">
        <x:v>0</x:v>
      </x:c>
      <x:c r="W769" s="38" t="n">
        <x:v>0</x:v>
      </x:c>
      <x:c r="X769" s="44" t="n">
        <x:v>0</x:v>
      </x:c>
      <x:c r="Y769" s="38" t="n">
        <x:v>130</x:v>
      </x:c>
      <x:c r="Z769" s="38" t="n">
        <x:v>27</x:v>
      </x:c>
      <x:c r="AA769" s="38" t="n">
        <x:v>14</x:v>
      </x:c>
      <x:c r="AB769" s="38" t="n">
        <x:v>5</x:v>
      </x:c>
      <x:c r="AC769" s="38" t="n">
        <x:v>5395</x:v>
      </x:c>
      <x:c r="AD769" s="38" t="n">
        <x:v>0</x:v>
      </x:c>
      <x:c r="AE769" s="38" t="n">
        <x:f>IF(B769=1,0,F769-Q768)</x:f>
        <x:v>0</x:v>
      </x:c>
    </x:row>
    <x:row r="770" ht="27" customHeight="1">
      <x:c r="A770" s="28" t="str">
        <x:v>Returning F2P</x:v>
      </x:c>
      <x:c r="B770" s="38" t="n">
        <x:v>46</x:v>
      </x:c>
      <x:c r="C770" s="38" t="n">
        <x:v>26</x:v>
      </x:c>
      <x:c r="D770" s="38" t="n">
        <x:v>220467</x:v>
      </x:c>
      <x:c r="E770" s="38" t="n">
        <x:v>65</x:v>
      </x:c>
      <x:c r="F770" s="38" t="n">
        <x:v>196329</x:v>
      </x:c>
      <x:c r="G770" s="38" t="n">
        <x:v>53950</x:v>
      </x:c>
      <x:c r="H770" s="38" t="n">
        <x:v>10790</x:v>
      </x:c>
      <x:c r="I770" s="38" t="n">
        <x:v>2486</x:v>
      </x:c>
      <x:c r="J770" s="38" t="n">
        <x:v>0</x:v>
      </x:c>
      <x:c r="K770" s="38" t="n">
        <x:v>0</x:v>
      </x:c>
      <x:c r="L770" s="38" t="n">
        <x:v>0</x:v>
      </x:c>
      <x:c r="M770" s="38" t="n">
        <x:v>0</x:v>
      </x:c>
      <x:c r="N770" s="38" t="n">
        <x:v>905</x:v>
      </x:c>
      <x:c r="O770" s="38" t="n">
        <x:v>0</x:v>
      </x:c>
      <x:c r="P770" s="38" t="n">
        <x:f>F770+G770-H770+I770+J770+K770+L770-M770-N770-O770</x:f>
        <x:v>241070</x:v>
      </x:c>
      <x:c r="Q770" s="38" t="n">
        <x:v>241070</x:v>
      </x:c>
      <x:c r="R770" s="38" t="n">
        <x:f>P770-Q770</x:f>
        <x:v>0</x:v>
      </x:c>
      <x:c r="S770" s="38" t="n">
        <x:v>43160</x:v>
      </x:c>
      <x:c r="T770" s="38" t="n">
        <x:v>7540</x:v>
      </x:c>
      <x:c r="U770" s="38" t="n">
        <x:v>50</x:v>
      </x:c>
      <x:c r="V770" s="38" t="n">
        <x:v>0</x:v>
      </x:c>
      <x:c r="W770" s="38" t="n">
        <x:v>0</x:v>
      </x:c>
      <x:c r="X770" s="44" t="n">
        <x:v>0</x:v>
      </x:c>
      <x:c r="Y770" s="38" t="n">
        <x:v>130</x:v>
      </x:c>
      <x:c r="Z770" s="38" t="n">
        <x:v>27</x:v>
      </x:c>
      <x:c r="AA770" s="38" t="n">
        <x:v>15</x:v>
      </x:c>
      <x:c r="AB770" s="38" t="n">
        <x:v>5</x:v>
      </x:c>
      <x:c r="AC770" s="38" t="n">
        <x:v>5395</x:v>
      </x:c>
      <x:c r="AD770" s="38" t="n">
        <x:v>0</x:v>
      </x:c>
      <x:c r="AE770" s="38" t="n">
        <x:f>IF(B770=1,0,F770-Q769)</x:f>
        <x:v>0</x:v>
      </x:c>
    </x:row>
    <x:row r="771" ht="27" customHeight="1">
      <x:c r="A771" s="28" t="str">
        <x:v>Returning F2P</x:v>
      </x:c>
      <x:c r="B771" s="38" t="n">
        <x:v>47</x:v>
      </x:c>
      <x:c r="C771" s="38" t="n">
        <x:v>27</x:v>
      </x:c>
      <x:c r="D771" s="38" t="n">
        <x:v>228391</x:v>
      </x:c>
      <x:c r="E771" s="38" t="n">
        <x:v>65</x:v>
      </x:c>
      <x:c r="F771" s="38" t="n">
        <x:v>241070</x:v>
      </x:c>
      <x:c r="G771" s="38" t="n">
        <x:v>51783</x:v>
      </x:c>
      <x:c r="H771" s="38" t="n">
        <x:v>9889</x:v>
      </x:c>
      <x:c r="I771" s="38" t="n">
        <x:v>2486</x:v>
      </x:c>
      <x:c r="J771" s="38" t="n">
        <x:v>635</x:v>
      </x:c>
      <x:c r="K771" s="38" t="n">
        <x:v>0</x:v>
      </x:c>
      <x:c r="L771" s="38" t="n">
        <x:v>0</x:v>
      </x:c>
      <x:c r="M771" s="38" t="n">
        <x:v>0</x:v>
      </x:c>
      <x:c r="N771" s="38" t="n">
        <x:v>0</x:v>
      </x:c>
      <x:c r="O771" s="38" t="n">
        <x:v>0</x:v>
      </x:c>
      <x:c r="P771" s="38" t="n">
        <x:f>F771+G771-H771+I771+J771+K771+L771-M771-N771-O771</x:f>
        <x:v>286085</x:v>
      </x:c>
      <x:c r="Q771" s="38" t="n">
        <x:v>286085</x:v>
      </x:c>
      <x:c r="R771" s="38" t="n">
        <x:f>P771-Q771</x:f>
        <x:v>0</x:v>
      </x:c>
      <x:c r="S771" s="38" t="n">
        <x:v>41439</x:v>
      </x:c>
      <x:c r="T771" s="38" t="n">
        <x:v>7924</x:v>
      </x:c>
      <x:c r="U771" s="38" t="n">
        <x:v>50</x:v>
      </x:c>
      <x:c r="V771" s="38" t="n">
        <x:v>0</x:v>
      </x:c>
      <x:c r="W771" s="38" t="n">
        <x:v>0</x:v>
      </x:c>
      <x:c r="X771" s="44" t="n">
        <x:v>0</x:v>
      </x:c>
      <x:c r="Y771" s="38" t="n">
        <x:v>130</x:v>
      </x:c>
      <x:c r="Z771" s="38" t="n">
        <x:v>28</x:v>
      </x:c>
      <x:c r="AA771" s="38" t="n">
        <x:v>15</x:v>
      </x:c>
      <x:c r="AB771" s="38" t="n">
        <x:v>5</x:v>
      </x:c>
      <x:c r="AC771" s="38" t="n">
        <x:v>4940</x:v>
      </x:c>
      <x:c r="AD771" s="38" t="n">
        <x:v>0</x:v>
      </x:c>
      <x:c r="AE771" s="38" t="n">
        <x:f>IF(B771=1,0,F771-Q770)</x:f>
        <x:v>0</x:v>
      </x:c>
    </x:row>
    <x:row r="772" ht="27" customHeight="1">
      <x:c r="A772" s="28" t="str">
        <x:v>Returning F2P</x:v>
      </x:c>
      <x:c r="B772" s="38" t="n">
        <x:v>48</x:v>
      </x:c>
      <x:c r="C772" s="38" t="n">
        <x:v>27</x:v>
      </x:c>
      <x:c r="D772" s="38" t="n">
        <x:v>236717</x:v>
      </x:c>
      <x:c r="E772" s="38" t="n">
        <x:v>65</x:v>
      </x:c>
      <x:c r="F772" s="38" t="n">
        <x:v>286085</x:v>
      </x:c>
      <x:c r="G772" s="38" t="n">
        <x:v>49530</x:v>
      </x:c>
      <x:c r="H772" s="38" t="n">
        <x:v>9880</x:v>
      </x:c>
      <x:c r="I772" s="38" t="n">
        <x:v>2539</x:v>
      </x:c>
      <x:c r="J772" s="38" t="n">
        <x:v>0</x:v>
      </x:c>
      <x:c r="K772" s="38" t="n">
        <x:v>0</x:v>
      </x:c>
      <x:c r="L772" s="38" t="n">
        <x:v>0</x:v>
      </x:c>
      <x:c r="M772" s="38" t="n">
        <x:v>0</x:v>
      </x:c>
      <x:c r="N772" s="38" t="n">
        <x:v>0</x:v>
      </x:c>
      <x:c r="O772" s="38" t="n">
        <x:v>0</x:v>
      </x:c>
      <x:c r="P772" s="38" t="n">
        <x:f>F772+G772-H772+I772+J772+K772+L772-M772-N772-O772</x:f>
        <x:v>328274</x:v>
      </x:c>
      <x:c r="Q772" s="38" t="n">
        <x:v>328274</x:v>
      </x:c>
      <x:c r="R772" s="38" t="n">
        <x:f>P772-Q772</x:f>
        <x:v>0</x:v>
      </x:c>
      <x:c r="S772" s="38" t="n">
        <x:v>39650</x:v>
      </x:c>
      <x:c r="T772" s="38" t="n">
        <x:v>8326</x:v>
      </x:c>
      <x:c r="U772" s="38" t="n">
        <x:v>50</x:v>
      </x:c>
      <x:c r="V772" s="38" t="n">
        <x:v>0</x:v>
      </x:c>
      <x:c r="W772" s="38" t="n">
        <x:v>0</x:v>
      </x:c>
      <x:c r="X772" s="44" t="n">
        <x:v>0</x:v>
      </x:c>
      <x:c r="Y772" s="38" t="n">
        <x:v>130</x:v>
      </x:c>
      <x:c r="Z772" s="38" t="n">
        <x:v>28</x:v>
      </x:c>
      <x:c r="AA772" s="38" t="n">
        <x:v>15</x:v>
      </x:c>
      <x:c r="AB772" s="38" t="n">
        <x:v>5</x:v>
      </x:c>
      <x:c r="AC772" s="38" t="n">
        <x:v>4940</x:v>
      </x:c>
      <x:c r="AD772" s="38" t="n">
        <x:v>0</x:v>
      </x:c>
      <x:c r="AE772" s="38" t="n">
        <x:f>IF(B772=1,0,F772-Q771)</x:f>
        <x:v>0</x:v>
      </x:c>
    </x:row>
    <x:row r="773" ht="27" customHeight="1">
      <x:c r="A773" s="28" t="str">
        <x:v>Returning F2P</x:v>
      </x:c>
      <x:c r="B773" s="38" t="n">
        <x:v>49</x:v>
      </x:c>
      <x:c r="C773" s="38" t="n">
        <x:v>27</x:v>
      </x:c>
      <x:c r="D773" s="38" t="n">
        <x:v>248912</x:v>
      </x:c>
      <x:c r="E773" s="38" t="n">
        <x:v>65</x:v>
      </x:c>
      <x:c r="F773" s="38" t="n">
        <x:v>328274</x:v>
      </x:c>
      <x:c r="G773" s="38" t="n">
        <x:v>49530</x:v>
      </x:c>
      <x:c r="H773" s="38" t="n">
        <x:v>9880</x:v>
      </x:c>
      <x:c r="I773" s="38" t="n">
        <x:v>14707</x:v>
      </x:c>
      <x:c r="J773" s="38" t="n">
        <x:v>0</x:v>
      </x:c>
      <x:c r="K773" s="38" t="n">
        <x:v>0</x:v>
      </x:c>
      <x:c r="L773" s="38" t="n">
        <x:v>0</x:v>
      </x:c>
      <x:c r="M773" s="38" t="n">
        <x:v>0</x:v>
      </x:c>
      <x:c r="N773" s="38" t="n">
        <x:v>1700</x:v>
      </x:c>
      <x:c r="O773" s="38" t="n">
        <x:v>0</x:v>
      </x:c>
      <x:c r="P773" s="38" t="n">
        <x:f>F773+G773-H773+I773+J773+K773+L773-M773-N773-O773</x:f>
        <x:v>380931</x:v>
      </x:c>
      <x:c r="Q773" s="38" t="n">
        <x:v>380931</x:v>
      </x:c>
      <x:c r="R773" s="38" t="n">
        <x:f>P773-Q773</x:f>
        <x:v>0</x:v>
      </x:c>
      <x:c r="S773" s="38" t="n">
        <x:v>39650</x:v>
      </x:c>
      <x:c r="T773" s="38" t="n">
        <x:v>12195</x:v>
      </x:c>
      <x:c r="U773" s="38" t="n">
        <x:v>52</x:v>
      </x:c>
      <x:c r="V773" s="38" t="n">
        <x:v>2</x:v>
      </x:c>
      <x:c r="W773" s="38" t="n">
        <x:v>0</x:v>
      </x:c>
      <x:c r="X773" s="44" t="n">
        <x:v>0</x:v>
      </x:c>
      <x:c r="Y773" s="38" t="n">
        <x:v>130</x:v>
      </x:c>
      <x:c r="Z773" s="38" t="n">
        <x:v>28</x:v>
      </x:c>
      <x:c r="AA773" s="38" t="n">
        <x:v>16</x:v>
      </x:c>
      <x:c r="AB773" s="38" t="n">
        <x:v>5</x:v>
      </x:c>
      <x:c r="AC773" s="38" t="n">
        <x:v>4940</x:v>
      </x:c>
      <x:c r="AD773" s="38" t="n">
        <x:v>0</x:v>
      </x:c>
      <x:c r="AE773" s="38" t="n">
        <x:f>IF(B773=1,0,F773-Q772)</x:f>
        <x:v>0</x:v>
      </x:c>
    </x:row>
    <x:row r="774" ht="27" customHeight="1">
      <x:c r="A774" s="28" t="str">
        <x:v>Returning F2P</x:v>
      </x:c>
      <x:c r="B774" s="38" t="n">
        <x:v>50</x:v>
      </x:c>
      <x:c r="C774" s="38" t="n">
        <x:v>28</x:v>
      </x:c>
      <x:c r="D774" s="38" t="n">
        <x:v>257178</x:v>
      </x:c>
      <x:c r="E774" s="38" t="n">
        <x:v>70</x:v>
      </x:c>
      <x:c r="F774" s="38" t="n">
        <x:v>380931</x:v>
      </x:c>
      <x:c r="G774" s="38" t="n">
        <x:v>55075</x:v>
      </x:c>
      <x:c r="H774" s="38" t="n">
        <x:v>12180</x:v>
      </x:c>
      <x:c r="I774" s="38" t="n">
        <x:v>2539</x:v>
      </x:c>
      <x:c r="J774" s="38" t="n">
        <x:v>700</x:v>
      </x:c>
      <x:c r="K774" s="38" t="n">
        <x:v>0</x:v>
      </x:c>
      <x:c r="L774" s="38" t="n">
        <x:v>0</x:v>
      </x:c>
      <x:c r="M774" s="38" t="n">
        <x:v>350000</x:v>
      </x:c>
      <x:c r="N774" s="38" t="n">
        <x:v>0</x:v>
      </x:c>
      <x:c r="O774" s="38" t="n">
        <x:v>0</x:v>
      </x:c>
      <x:c r="P774" s="38" t="n">
        <x:f>F774+G774-H774+I774+J774+K774+L774-M774-N774-O774</x:f>
        <x:v>77065</x:v>
      </x:c>
      <x:c r="Q774" s="38" t="n">
        <x:v>77065</x:v>
      </x:c>
      <x:c r="R774" s="38" t="n">
        <x:f>P774-Q774</x:f>
        <x:v>0</x:v>
      </x:c>
      <x:c r="S774" s="38" t="n">
        <x:v>44045</x:v>
      </x:c>
      <x:c r="T774" s="38" t="n">
        <x:v>8266</x:v>
      </x:c>
      <x:c r="U774" s="38" t="n">
        <x:v>57</x:v>
      </x:c>
      <x:c r="V774" s="38" t="n">
        <x:v>5</x:v>
      </x:c>
      <x:c r="W774" s="38" t="n">
        <x:v>0</x:v>
      </x:c>
      <x:c r="X774" s="44" t="n">
        <x:v>0</x:v>
      </x:c>
      <x:c r="Y774" s="38" t="n">
        <x:v>135</x:v>
      </x:c>
      <x:c r="Z774" s="38" t="n">
        <x:v>29</x:v>
      </x:c>
      <x:c r="AA774" s="38" t="n">
        <x:v>16</x:v>
      </x:c>
      <x:c r="AB774" s="38" t="n">
        <x:v>5</x:v>
      </x:c>
      <x:c r="AC774" s="38" t="n">
        <x:v>6090</x:v>
      </x:c>
      <x:c r="AD774" s="38" t="n">
        <x:v>0</x:v>
      </x:c>
      <x:c r="AE774" s="38" t="n">
        <x:f>IF(B774=1,0,F774-Q773)</x:f>
        <x:v>0</x:v>
      </x:c>
    </x:row>
    <x:row r="775" ht="27" customHeight="1">
      <x:c r="A775" s="28" t="str">
        <x:v>Returning F2P</x:v>
      </x:c>
      <x:c r="B775" s="38" t="n">
        <x:v>51</x:v>
      </x:c>
      <x:c r="C775" s="38" t="n">
        <x:v>28</x:v>
      </x:c>
      <x:c r="D775" s="38" t="n">
        <x:v>265451</x:v>
      </x:c>
      <x:c r="E775" s="38" t="n">
        <x:v>70</x:v>
      </x:c>
      <x:c r="F775" s="38" t="n">
        <x:v>77065</x:v>
      </x:c>
      <x:c r="G775" s="38" t="n">
        <x:v>60620</x:v>
      </x:c>
      <x:c r="H775" s="38" t="n">
        <x:v>12180</x:v>
      </x:c>
      <x:c r="I775" s="38" t="n">
        <x:v>2791</x:v>
      </x:c>
      <x:c r="J775" s="38" t="n">
        <x:v>0</x:v>
      </x:c>
      <x:c r="K775" s="38" t="n">
        <x:v>0</x:v>
      </x:c>
      <x:c r="L775" s="38" t="n">
        <x:v>0</x:v>
      </x:c>
      <x:c r="M775" s="38" t="n">
        <x:v>0</x:v>
      </x:c>
      <x:c r="N775" s="38" t="n">
        <x:v>0</x:v>
      </x:c>
      <x:c r="O775" s="38" t="n">
        <x:v>0</x:v>
      </x:c>
      <x:c r="P775" s="38" t="n">
        <x:f>F775+G775-H775+I775+J775+K775+L775-M775-N775-O775</x:f>
        <x:v>128296</x:v>
      </x:c>
      <x:c r="Q775" s="38" t="n">
        <x:v>128296</x:v>
      </x:c>
      <x:c r="R775" s="38" t="n">
        <x:f>P775-Q775</x:f>
        <x:v>0</x:v>
      </x:c>
      <x:c r="S775" s="38" t="n">
        <x:v>48440</x:v>
      </x:c>
      <x:c r="T775" s="38" t="n">
        <x:v>8273</x:v>
      </x:c>
      <x:c r="U775" s="38" t="n">
        <x:v>57</x:v>
      </x:c>
      <x:c r="V775" s="38" t="n">
        <x:v>0</x:v>
      </x:c>
      <x:c r="W775" s="38" t="n">
        <x:v>0</x:v>
      </x:c>
      <x:c r="X775" s="44" t="n">
        <x:v>0</x:v>
      </x:c>
      <x:c r="Y775" s="38" t="n">
        <x:v>140</x:v>
      </x:c>
      <x:c r="Z775" s="38" t="n">
        <x:v>29</x:v>
      </x:c>
      <x:c r="AA775" s="38" t="n">
        <x:v>16</x:v>
      </x:c>
      <x:c r="AB775" s="38" t="n">
        <x:v>5</x:v>
      </x:c>
      <x:c r="AC775" s="38" t="n">
        <x:v>6090</x:v>
      </x:c>
      <x:c r="AD775" s="38" t="n">
        <x:v>0</x:v>
      </x:c>
      <x:c r="AE775" s="38" t="n">
        <x:f>IF(B775=1,0,F775-Q774)</x:f>
        <x:v>0</x:v>
      </x:c>
    </x:row>
    <x:row r="776" ht="27" customHeight="1">
      <x:c r="A776" s="28" t="str">
        <x:v>Returning F2P</x:v>
      </x:c>
      <x:c r="B776" s="38" t="n">
        <x:v>52</x:v>
      </x:c>
      <x:c r="C776" s="38" t="n">
        <x:v>28</x:v>
      </x:c>
      <x:c r="D776" s="38" t="n">
        <x:v>273724</x:v>
      </x:c>
      <x:c r="E776" s="38" t="n">
        <x:v>70</x:v>
      </x:c>
      <x:c r="F776" s="38" t="n">
        <x:v>128296</x:v>
      </x:c>
      <x:c r="G776" s="38" t="n">
        <x:v>60620</x:v>
      </x:c>
      <x:c r="H776" s="38" t="n">
        <x:v>12180</x:v>
      </x:c>
      <x:c r="I776" s="38" t="n">
        <x:v>2791</x:v>
      </x:c>
      <x:c r="J776" s="38" t="n">
        <x:v>0</x:v>
      </x:c>
      <x:c r="K776" s="38" t="n">
        <x:v>0</x:v>
      </x:c>
      <x:c r="L776" s="38" t="n">
        <x:v>0</x:v>
      </x:c>
      <x:c r="M776" s="38" t="n">
        <x:v>0</x:v>
      </x:c>
      <x:c r="N776" s="38" t="n">
        <x:v>1125</x:v>
      </x:c>
      <x:c r="O776" s="38" t="n">
        <x:v>0</x:v>
      </x:c>
      <x:c r="P776" s="38" t="n">
        <x:f>F776+G776-H776+I776+J776+K776+L776-M776-N776-O776</x:f>
        <x:v>178402</x:v>
      </x:c>
      <x:c r="Q776" s="38" t="n">
        <x:v>178402</x:v>
      </x:c>
      <x:c r="R776" s="38" t="n">
        <x:f>P776-Q776</x:f>
        <x:v>0</x:v>
      </x:c>
      <x:c r="S776" s="38" t="n">
        <x:v>48440</x:v>
      </x:c>
      <x:c r="T776" s="38" t="n">
        <x:v>8273</x:v>
      </x:c>
      <x:c r="U776" s="38" t="n">
        <x:v>57</x:v>
      </x:c>
      <x:c r="V776" s="38" t="n">
        <x:v>0</x:v>
      </x:c>
      <x:c r="W776" s="38" t="n">
        <x:v>0</x:v>
      </x:c>
      <x:c r="X776" s="44" t="n">
        <x:v>0</x:v>
      </x:c>
      <x:c r="Y776" s="38" t="n">
        <x:v>140</x:v>
      </x:c>
      <x:c r="Z776" s="38" t="n">
        <x:v>29</x:v>
      </x:c>
      <x:c r="AA776" s="38" t="n">
        <x:v>17</x:v>
      </x:c>
      <x:c r="AB776" s="38" t="n">
        <x:v>5</x:v>
      </x:c>
      <x:c r="AC776" s="38" t="n">
        <x:v>6090</x:v>
      </x:c>
      <x:c r="AD776" s="38" t="n">
        <x:v>0</x:v>
      </x:c>
      <x:c r="AE776" s="38" t="n">
        <x:f>IF(B776=1,0,F776-Q775)</x:f>
        <x:v>0</x:v>
      </x:c>
    </x:row>
    <x:row r="777" ht="27" customHeight="1">
      <x:c r="A777" s="28" t="str">
        <x:v>Returning F2P</x:v>
      </x:c>
      <x:c r="B777" s="38" t="n">
        <x:v>53</x:v>
      </x:c>
      <x:c r="C777" s="38" t="n">
        <x:v>29</x:v>
      </x:c>
      <x:c r="D777" s="38" t="n">
        <x:v>281997</x:v>
      </x:c>
      <x:c r="E777" s="38" t="n">
        <x:v>70</x:v>
      </x:c>
      <x:c r="F777" s="38" t="n">
        <x:v>178402</x:v>
      </x:c>
      <x:c r="G777" s="38" t="n">
        <x:v>60620</x:v>
      </x:c>
      <x:c r="H777" s="38" t="n">
        <x:v>12349</x:v>
      </x:c>
      <x:c r="I777" s="38" t="n">
        <x:v>2791</x:v>
      </x:c>
      <x:c r="J777" s="38" t="n">
        <x:v>710</x:v>
      </x:c>
      <x:c r="K777" s="38" t="n">
        <x:v>0</x:v>
      </x:c>
      <x:c r="L777" s="38" t="n">
        <x:v>0</x:v>
      </x:c>
      <x:c r="M777" s="38" t="n">
        <x:v>0</x:v>
      </x:c>
      <x:c r="N777" s="38" t="n">
        <x:v>0</x:v>
      </x:c>
      <x:c r="O777" s="38" t="n">
        <x:v>0</x:v>
      </x:c>
      <x:c r="P777" s="38" t="n">
        <x:f>F777+G777-H777+I777+J777+K777+L777-M777-N777-O777</x:f>
        <x:v>230174</x:v>
      </x:c>
      <x:c r="Q777" s="38" t="n">
        <x:v>230174</x:v>
      </x:c>
      <x:c r="R777" s="38" t="n">
        <x:f>P777-Q777</x:f>
        <x:v>0</x:v>
      </x:c>
      <x:c r="S777" s="38" t="n">
        <x:v>48440</x:v>
      </x:c>
      <x:c r="T777" s="38" t="n">
        <x:v>8273</x:v>
      </x:c>
      <x:c r="U777" s="38" t="n">
        <x:v>57</x:v>
      </x:c>
      <x:c r="V777" s="38" t="n">
        <x:v>0</x:v>
      </x:c>
      <x:c r="W777" s="38" t="n">
        <x:v>0</x:v>
      </x:c>
      <x:c r="X777" s="44" t="n">
        <x:v>0</x:v>
      </x:c>
      <x:c r="Y777" s="38" t="n">
        <x:v>140</x:v>
      </x:c>
      <x:c r="Z777" s="38" t="n">
        <x:v>29</x:v>
      </x:c>
      <x:c r="AA777" s="38" t="n">
        <x:v>17</x:v>
      </x:c>
      <x:c r="AB777" s="38" t="n">
        <x:v>5</x:v>
      </x:c>
      <x:c r="AC777" s="38" t="n">
        <x:v>6259</x:v>
      </x:c>
      <x:c r="AD777" s="38" t="n">
        <x:v>0</x:v>
      </x:c>
      <x:c r="AE777" s="38" t="n">
        <x:f>IF(B777=1,0,F777-Q776)</x:f>
        <x:v>0</x:v>
      </x:c>
    </x:row>
    <x:row r="778" ht="27" customHeight="1">
      <x:c r="A778" s="28" t="str">
        <x:v>Returning F2P</x:v>
      </x:c>
      <x:c r="B778" s="38" t="n">
        <x:v>54</x:v>
      </x:c>
      <x:c r="C778" s="38" t="n">
        <x:v>29</x:v>
      </x:c>
      <x:c r="D778" s="38" t="n">
        <x:v>290263</x:v>
      </x:c>
      <x:c r="E778" s="38" t="n">
        <x:v>70</x:v>
      </x:c>
      <x:c r="F778" s="38" t="n">
        <x:v>230174</x:v>
      </x:c>
      <x:c r="G778" s="38" t="n">
        <x:v>61791</x:v>
      </x:c>
      <x:c r="H778" s="38" t="n">
        <x:v>12232</x:v>
      </x:c>
      <x:c r="I778" s="38" t="n">
        <x:v>2848</x:v>
      </x:c>
      <x:c r="J778" s="38" t="n">
        <x:v>0</x:v>
      </x:c>
      <x:c r="K778" s="38" t="n">
        <x:v>0</x:v>
      </x:c>
      <x:c r="L778" s="38" t="n">
        <x:v>0</x:v>
      </x:c>
      <x:c r="M778" s="38" t="n">
        <x:v>0</x:v>
      </x:c>
      <x:c r="N778" s="38" t="n">
        <x:v>0</x:v>
      </x:c>
      <x:c r="O778" s="38" t="n">
        <x:v>0</x:v>
      </x:c>
      <x:c r="P778" s="38" t="n">
        <x:f>F778+G778-H778+I778+J778+K778+L778-M778-N778-O778</x:f>
        <x:v>282581</x:v>
      </x:c>
      <x:c r="Q778" s="38" t="n">
        <x:v>282581</x:v>
      </x:c>
      <x:c r="R778" s="38" t="n">
        <x:f>P778-Q778</x:f>
        <x:v>0</x:v>
      </x:c>
      <x:c r="S778" s="38" t="n">
        <x:v>49460</x:v>
      </x:c>
      <x:c r="T778" s="38" t="n">
        <x:v>8266</x:v>
      </x:c>
      <x:c r="U778" s="38" t="n">
        <x:v>59</x:v>
      </x:c>
      <x:c r="V778" s="38" t="n">
        <x:v>2</x:v>
      </x:c>
      <x:c r="W778" s="38" t="n">
        <x:v>0</x:v>
      </x:c>
      <x:c r="X778" s="44" t="n">
        <x:v>0</x:v>
      </x:c>
      <x:c r="Y778" s="38" t="n">
        <x:v>139</x:v>
      </x:c>
      <x:c r="Z778" s="38" t="n">
        <x:v>30</x:v>
      </x:c>
      <x:c r="AA778" s="38" t="n">
        <x:v>17</x:v>
      </x:c>
      <x:c r="AB778" s="38" t="n">
        <x:v>5</x:v>
      </x:c>
      <x:c r="AC778" s="38" t="n">
        <x:v>6160</x:v>
      </x:c>
      <x:c r="AD778" s="38" t="n">
        <x:v>0</x:v>
      </x:c>
      <x:c r="AE778" s="38" t="n">
        <x:f>IF(B778=1,0,F778-Q777)</x:f>
        <x:v>0</x:v>
      </x:c>
    </x:row>
    <x:row r="779" ht="27" customHeight="1">
      <x:c r="A779" s="28" t="str">
        <x:v>Returning F2P</x:v>
      </x:c>
      <x:c r="B779" s="38" t="n">
        <x:v>55</x:v>
      </x:c>
      <x:c r="C779" s="38" t="n">
        <x:v>29</x:v>
      </x:c>
      <x:c r="D779" s="38" t="n">
        <x:v>298543</x:v>
      </x:c>
      <x:c r="E779" s="38" t="n">
        <x:v>70</x:v>
      </x:c>
      <x:c r="F779" s="38" t="n">
        <x:v>282581</x:v>
      </x:c>
      <x:c r="G779" s="38" t="n">
        <x:v>61740</x:v>
      </x:c>
      <x:c r="H779" s="38" t="n">
        <x:v>12320</x:v>
      </x:c>
      <x:c r="I779" s="38" t="n">
        <x:v>2848</x:v>
      </x:c>
      <x:c r="J779" s="38" t="n">
        <x:v>0</x:v>
      </x:c>
      <x:c r="K779" s="38" t="n">
        <x:v>0</x:v>
      </x:c>
      <x:c r="L779" s="38" t="n">
        <x:v>0</x:v>
      </x:c>
      <x:c r="M779" s="38" t="n">
        <x:v>0</x:v>
      </x:c>
      <x:c r="N779" s="38" t="n">
        <x:v>2110</x:v>
      </x:c>
      <x:c r="O779" s="38" t="n">
        <x:v>0</x:v>
      </x:c>
      <x:c r="P779" s="38" t="n">
        <x:f>F779+G779-H779+I779+J779+K779+L779-M779-N779-O779</x:f>
        <x:v>332739</x:v>
      </x:c>
      <x:c r="Q779" s="38" t="n">
        <x:v>332739</x:v>
      </x:c>
      <x:c r="R779" s="38" t="n">
        <x:f>P779-Q779</x:f>
        <x:v>0</x:v>
      </x:c>
      <x:c r="S779" s="38" t="n">
        <x:v>49420</x:v>
      </x:c>
      <x:c r="T779" s="38" t="n">
        <x:v>8280</x:v>
      </x:c>
      <x:c r="U779" s="38" t="n">
        <x:v>59</x:v>
      </x:c>
      <x:c r="V779" s="38" t="n">
        <x:v>0</x:v>
      </x:c>
      <x:c r="W779" s="38" t="n">
        <x:v>0</x:v>
      </x:c>
      <x:c r="X779" s="44" t="n">
        <x:v>0</x:v>
      </x:c>
      <x:c r="Y779" s="38" t="n">
        <x:v>140</x:v>
      </x:c>
      <x:c r="Z779" s="38" t="n">
        <x:v>30</x:v>
      </x:c>
      <x:c r="AA779" s="38" t="n">
        <x:v>18</x:v>
      </x:c>
      <x:c r="AB779" s="38" t="n">
        <x:v>5</x:v>
      </x:c>
      <x:c r="AC779" s="38" t="n">
        <x:v>6160</x:v>
      </x:c>
      <x:c r="AD779" s="38" t="n">
        <x:v>0</x:v>
      </x:c>
      <x:c r="AE779" s="38" t="n">
        <x:f>IF(B779=1,0,F779-Q778)</x:f>
        <x:v>0</x:v>
      </x:c>
    </x:row>
    <x:row r="780" ht="27" customHeight="1">
      <x:c r="A780" s="28" t="str">
        <x:v>Returning F2P</x:v>
      </x:c>
      <x:c r="B780" s="38" t="n">
        <x:v>56</x:v>
      </x:c>
      <x:c r="C780" s="38" t="n">
        <x:v>29</x:v>
      </x:c>
      <x:c r="D780" s="38" t="n">
        <x:v>310754</x:v>
      </x:c>
      <x:c r="E780" s="38" t="n">
        <x:v>70</x:v>
      </x:c>
      <x:c r="F780" s="38" t="n">
        <x:v>332739</x:v>
      </x:c>
      <x:c r="G780" s="38" t="n">
        <x:v>61740</x:v>
      </x:c>
      <x:c r="H780" s="38" t="n">
        <x:v>12320</x:v>
      </x:c>
      <x:c r="I780" s="38" t="n">
        <x:v>15542</x:v>
      </x:c>
      <x:c r="J780" s="38" t="n">
        <x:v>0</x:v>
      </x:c>
      <x:c r="K780" s="38" t="n">
        <x:v>0</x:v>
      </x:c>
      <x:c r="L780" s="38" t="n">
        <x:v>0</x:v>
      </x:c>
      <x:c r="M780" s="38" t="n">
        <x:v>0</x:v>
      </x:c>
      <x:c r="N780" s="38" t="n">
        <x:v>0</x:v>
      </x:c>
      <x:c r="O780" s="38" t="n">
        <x:v>0</x:v>
      </x:c>
      <x:c r="P780" s="38" t="n">
        <x:f>F780+G780-H780+I780+J780+K780+L780-M780-N780-O780</x:f>
        <x:v>397701</x:v>
      </x:c>
      <x:c r="Q780" s="38" t="n">
        <x:v>397701</x:v>
      </x:c>
      <x:c r="R780" s="38" t="n">
        <x:f>P780-Q780</x:f>
        <x:v>0</x:v>
      </x:c>
      <x:c r="S780" s="38" t="n">
        <x:v>49420</x:v>
      </x:c>
      <x:c r="T780" s="38" t="n">
        <x:v>12211</x:v>
      </x:c>
      <x:c r="U780" s="38" t="n">
        <x:v>61</x:v>
      </x:c>
      <x:c r="V780" s="38" t="n">
        <x:v>2</x:v>
      </x:c>
      <x:c r="W780" s="38" t="n">
        <x:v>0</x:v>
      </x:c>
      <x:c r="X780" s="44" t="n">
        <x:v>0</x:v>
      </x:c>
      <x:c r="Y780" s="38" t="n">
        <x:v>140</x:v>
      </x:c>
      <x:c r="Z780" s="38" t="n">
        <x:v>30</x:v>
      </x:c>
      <x:c r="AA780" s="38" t="n">
        <x:v>18</x:v>
      </x:c>
      <x:c r="AB780" s="38" t="n">
        <x:v>5</x:v>
      </x:c>
      <x:c r="AC780" s="38" t="n">
        <x:v>6160</x:v>
      </x:c>
      <x:c r="AD780" s="38" t="n">
        <x:v>0</x:v>
      </x:c>
      <x:c r="AE780" s="38" t="n">
        <x:f>IF(B780=1,0,F780-Q779)</x:f>
        <x:v>0</x:v>
      </x:c>
    </x:row>
    <x:row r="781" ht="27" customHeight="1">
      <x:c r="A781" s="28" t="str">
        <x:v>Returning F2P</x:v>
      </x:c>
      <x:c r="B781" s="38" t="n">
        <x:v>57</x:v>
      </x:c>
      <x:c r="C781" s="38" t="n">
        <x:v>30</x:v>
      </x:c>
      <x:c r="D781" s="38" t="n">
        <x:v>319320</x:v>
      </x:c>
      <x:c r="E781" s="38" t="n">
        <x:v>75</x:v>
      </x:c>
      <x:c r="F781" s="38" t="n">
        <x:v>397701</x:v>
      </x:c>
      <x:c r="G781" s="38" t="n">
        <x:v>64170</x:v>
      </x:c>
      <x:c r="H781" s="38" t="n">
        <x:v>13635</x:v>
      </x:c>
      <x:c r="I781" s="38" t="n">
        <x:v>2848</x:v>
      </x:c>
      <x:c r="J781" s="38" t="n">
        <x:v>780</x:v>
      </x:c>
      <x:c r="K781" s="38" t="n">
        <x:v>0</x:v>
      </x:c>
      <x:c r="L781" s="38" t="n">
        <x:v>0</x:v>
      </x:c>
      <x:c r="M781" s="38" t="n">
        <x:v>300000</x:v>
      </x:c>
      <x:c r="N781" s="38" t="n">
        <x:v>0</x:v>
      </x:c>
      <x:c r="O781" s="38" t="n">
        <x:v>93251</x:v>
      </x:c>
      <x:c r="P781" s="38" t="n">
        <x:f>F781+G781-H781+I781+J781+K781+L781-M781-N781-O781</x:f>
        <x:v>58613</x:v>
      </x:c>
      <x:c r="Q781" s="38" t="n">
        <x:v>58613</x:v>
      </x:c>
      <x:c r="R781" s="38" t="n">
        <x:f>P781-Q781</x:f>
        <x:v>0</x:v>
      </x:c>
      <x:c r="S781" s="38" t="n">
        <x:v>51350</x:v>
      </x:c>
      <x:c r="T781" s="38" t="n">
        <x:v>8566</x:v>
      </x:c>
      <x:c r="U781" s="38" t="n">
        <x:v>64</x:v>
      </x:c>
      <x:c r="V781" s="38" t="n">
        <x:v>3</x:v>
      </x:c>
      <x:c r="W781" s="38" t="n">
        <x:v>0</x:v>
      </x:c>
      <x:c r="X781" s="44" t="n">
        <x:v>0</x:v>
      </x:c>
      <x:c r="Y781" s="38" t="n">
        <x:v>144</x:v>
      </x:c>
      <x:c r="Z781" s="38" t="n">
        <x:v>30</x:v>
      </x:c>
      <x:c r="AA781" s="38" t="n">
        <x:v>18</x:v>
      </x:c>
      <x:c r="AB781" s="38" t="n">
        <x:v>5</x:v>
      </x:c>
      <x:c r="AC781" s="38" t="n">
        <x:v>6975</x:v>
      </x:c>
      <x:c r="AD781" s="38" t="n">
        <x:v>0</x:v>
      </x:c>
      <x:c r="AE781" s="38" t="n">
        <x:f>IF(B781=1,0,F781-Q780)</x:f>
        <x:v>0</x:v>
      </x:c>
    </x:row>
    <x:row r="782" ht="27" customHeight="1">
      <x:c r="A782" s="28" t="str">
        <x:v>Returning F2P</x:v>
      </x:c>
      <x:c r="B782" s="38" t="n">
        <x:v>58</x:v>
      </x:c>
      <x:c r="C782" s="38" t="n">
        <x:v>30</x:v>
      </x:c>
      <x:c r="D782" s="38" t="n">
        <x:v>328241</x:v>
      </x:c>
      <x:c r="E782" s="38" t="n">
        <x:v>75</x:v>
      </x:c>
      <x:c r="F782" s="38" t="n">
        <x:v>58613</x:v>
      </x:c>
      <x:c r="G782" s="38" t="n">
        <x:v>66600</x:v>
      </x:c>
      <x:c r="H782" s="38" t="n">
        <x:v>13320</x:v>
      </x:c>
      <x:c r="I782" s="38" t="n">
        <x:v>3112</x:v>
      </x:c>
      <x:c r="J782" s="38" t="n">
        <x:v>0</x:v>
      </x:c>
      <x:c r="K782" s="38" t="n">
        <x:v>0</x:v>
      </x:c>
      <x:c r="L782" s="38" t="n">
        <x:v>0</x:v>
      </x:c>
      <x:c r="M782" s="38" t="n">
        <x:v>0</x:v>
      </x:c>
      <x:c r="N782" s="38" t="n">
        <x:v>2180</x:v>
      </x:c>
      <x:c r="O782" s="38" t="n">
        <x:v>36404</x:v>
      </x:c>
      <x:c r="P782" s="38" t="n">
        <x:f>F782+G782-H782+I782+J782+K782+L782-M782-N782-O782</x:f>
        <x:v>76421</x:v>
      </x:c>
      <x:c r="Q782" s="38" t="n">
        <x:v>76421</x:v>
      </x:c>
      <x:c r="R782" s="38" t="n">
        <x:f>P782-Q782</x:f>
        <x:v>0</x:v>
      </x:c>
      <x:c r="S782" s="38" t="n">
        <x:v>53280</x:v>
      </x:c>
      <x:c r="T782" s="38" t="n">
        <x:v>8921</x:v>
      </x:c>
      <x:c r="U782" s="38" t="n">
        <x:v>64</x:v>
      </x:c>
      <x:c r="V782" s="38" t="n">
        <x:v>0</x:v>
      </x:c>
      <x:c r="W782" s="38" t="n">
        <x:v>0</x:v>
      </x:c>
      <x:c r="X782" s="44" t="n">
        <x:v>0</x:v>
      </x:c>
      <x:c r="Y782" s="38" t="n">
        <x:v>148</x:v>
      </x:c>
      <x:c r="Z782" s="38" t="n">
        <x:v>30</x:v>
      </x:c>
      <x:c r="AA782" s="38" t="n">
        <x:v>19</x:v>
      </x:c>
      <x:c r="AB782" s="38" t="n">
        <x:v>6</x:v>
      </x:c>
      <x:c r="AC782" s="38" t="n">
        <x:v>6975</x:v>
      </x:c>
      <x:c r="AD782" s="38" t="n">
        <x:v>0</x:v>
      </x:c>
      <x:c r="AE782" s="38" t="n">
        <x:f>IF(B782=1,0,F782-Q781)</x:f>
        <x:v>0</x:v>
      </x:c>
    </x:row>
    <x:row r="783" ht="27" customHeight="1">
      <x:c r="A783" s="28" t="str">
        <x:v>Returning F2P</x:v>
      </x:c>
      <x:c r="B783" s="38" t="n">
        <x:v>59</x:v>
      </x:c>
      <x:c r="C783" s="38" t="n">
        <x:v>30</x:v>
      </x:c>
      <x:c r="D783" s="38" t="n">
        <x:v>337446</x:v>
      </x:c>
      <x:c r="E783" s="38" t="n">
        <x:v>75</x:v>
      </x:c>
      <x:c r="F783" s="38" t="n">
        <x:v>76421</x:v>
      </x:c>
      <x:c r="G783" s="38" t="n">
        <x:v>68625</x:v>
      </x:c>
      <x:c r="H783" s="38" t="n">
        <x:v>13500</x:v>
      </x:c>
      <x:c r="I783" s="38" t="n">
        <x:v>3112</x:v>
      </x:c>
      <x:c r="J783" s="38" t="n">
        <x:v>0</x:v>
      </x:c>
      <x:c r="K783" s="38" t="n">
        <x:v>0</x:v>
      </x:c>
      <x:c r="L783" s="38" t="n">
        <x:v>0</x:v>
      </x:c>
      <x:c r="M783" s="38" t="n">
        <x:v>0</x:v>
      </x:c>
      <x:c r="N783" s="38" t="n">
        <x:v>0</x:v>
      </x:c>
      <x:c r="O783" s="38" t="n">
        <x:v>0</x:v>
      </x:c>
      <x:c r="P783" s="38" t="n">
        <x:f>F783+G783-H783+I783+J783+K783+L783-M783-N783-O783</x:f>
        <x:v>134658</x:v>
      </x:c>
      <x:c r="Q783" s="38" t="n">
        <x:v>134658</x:v>
      </x:c>
      <x:c r="R783" s="38" t="n">
        <x:f>P783-Q783</x:f>
        <x:v>0</x:v>
      </x:c>
      <x:c r="S783" s="38" t="n">
        <x:v>54900</x:v>
      </x:c>
      <x:c r="T783" s="38" t="n">
        <x:v>9205</x:v>
      </x:c>
      <x:c r="U783" s="38" t="n">
        <x:v>64</x:v>
      </x:c>
      <x:c r="V783" s="38" t="n">
        <x:v>0</x:v>
      </x:c>
      <x:c r="W783" s="38" t="n">
        <x:v>0</x:v>
      </x:c>
      <x:c r="X783" s="44" t="n">
        <x:v>0</x:v>
      </x:c>
      <x:c r="Y783" s="38" t="n">
        <x:v>150</x:v>
      </x:c>
      <x:c r="Z783" s="38" t="n">
        <x:v>31</x:v>
      </x:c>
      <x:c r="AA783" s="38" t="n">
        <x:v>19</x:v>
      </x:c>
      <x:c r="AB783" s="38" t="n">
        <x:v>6</x:v>
      </x:c>
      <x:c r="AC783" s="38" t="n">
        <x:v>6750</x:v>
      </x:c>
      <x:c r="AD783" s="38" t="n">
        <x:v>0</x:v>
      </x:c>
      <x:c r="AE783" s="38" t="n">
        <x:f>IF(B783=1,0,F783-Q782)</x:f>
        <x:v>0</x:v>
      </x:c>
    </x:row>
    <x:row r="784" ht="27" customHeight="1">
      <x:c r="A784" s="28" t="str">
        <x:v>Returning F2P</x:v>
      </x:c>
      <x:c r="B784" s="38" t="n">
        <x:v>60</x:v>
      </x:c>
      <x:c r="C784" s="38" t="n">
        <x:v>31</x:v>
      </x:c>
      <x:c r="D784" s="38" t="n">
        <x:v>346475</x:v>
      </x:c>
      <x:c r="E784" s="38" t="n">
        <x:v>75</x:v>
      </x:c>
      <x:c r="F784" s="38" t="n">
        <x:v>134658</x:v>
      </x:c>
      <x:c r="G784" s="38" t="n">
        <x:v>68175</x:v>
      </x:c>
      <x:c r="H784" s="38" t="n">
        <x:v>13800</x:v>
      </x:c>
      <x:c r="I784" s="38" t="n">
        <x:v>3112</x:v>
      </x:c>
      <x:c r="J784" s="38" t="n">
        <x:v>795</x:v>
      </x:c>
      <x:c r="K784" s="38" t="n">
        <x:v>0</x:v>
      </x:c>
      <x:c r="L784" s="38" t="n">
        <x:v>0</x:v>
      </x:c>
      <x:c r="M784" s="38" t="n">
        <x:v>0</x:v>
      </x:c>
      <x:c r="N784" s="38" t="n">
        <x:v>0</x:v>
      </x:c>
      <x:c r="O784" s="38" t="n">
        <x:v>0</x:v>
      </x:c>
      <x:c r="P784" s="38" t="n">
        <x:f>F784+G784-H784+I784+J784+K784+L784-M784-N784-O784</x:f>
        <x:v>192940</x:v>
      </x:c>
      <x:c r="Q784" s="38" t="n">
        <x:v>192940</x:v>
      </x:c>
      <x:c r="R784" s="38" t="n">
        <x:f>P784-Q784</x:f>
        <x:v>0</x:v>
      </x:c>
      <x:c r="S784" s="38" t="n">
        <x:v>54525</x:v>
      </x:c>
      <x:c r="T784" s="38" t="n">
        <x:v>9029</x:v>
      </x:c>
      <x:c r="U784" s="38" t="n">
        <x:v>64</x:v>
      </x:c>
      <x:c r="V784" s="38" t="n">
        <x:v>0</x:v>
      </x:c>
      <x:c r="W784" s="38" t="n">
        <x:v>0</x:v>
      </x:c>
      <x:c r="X784" s="44" t="n">
        <x:v>0</x:v>
      </x:c>
      <x:c r="Y784" s="38" t="n">
        <x:v>150</x:v>
      </x:c>
      <x:c r="Z784" s="38" t="n">
        <x:v>31</x:v>
      </x:c>
      <x:c r="AA784" s="38" t="n">
        <x:v>19</x:v>
      </x:c>
      <x:c r="AB784" s="38" t="n">
        <x:v>6</x:v>
      </x:c>
      <x:c r="AC784" s="38" t="n">
        <x:v>6900</x:v>
      </x:c>
      <x:c r="AD784" s="38" t="n">
        <x:v>0</x:v>
      </x:c>
      <x:c r="AE784" s="38" t="n">
        <x:f>IF(B784=1,0,F784-Q783)</x:f>
        <x:v>0</x:v>
      </x:c>
    </x:row>
    <x:row r="785" ht="27" customHeight="1">
      <x:c r="A785" s="28" t="str">
        <x:v>Returning F2P</x:v>
      </x:c>
      <x:c r="B785" s="38" t="n">
        <x:v>61</x:v>
      </x:c>
      <x:c r="C785" s="38" t="n">
        <x:v>31</x:v>
      </x:c>
      <x:c r="D785" s="38" t="n">
        <x:v>355511</x:v>
      </x:c>
      <x:c r="E785" s="38" t="n">
        <x:v>75</x:v>
      </x:c>
      <x:c r="F785" s="38" t="n">
        <x:v>192940</x:v>
      </x:c>
      <x:c r="G785" s="38" t="n">
        <x:v>68850</x:v>
      </x:c>
      <x:c r="H785" s="38" t="n">
        <x:v>13800</x:v>
      </x:c>
      <x:c r="I785" s="38" t="n">
        <x:v>3172</x:v>
      </x:c>
      <x:c r="J785" s="38" t="n">
        <x:v>0</x:v>
      </x:c>
      <x:c r="K785" s="38" t="n">
        <x:v>0</x:v>
      </x:c>
      <x:c r="L785" s="38" t="n">
        <x:v>0</x:v>
      </x:c>
      <x:c r="M785" s="38" t="n">
        <x:v>0</x:v>
      </x:c>
      <x:c r="N785" s="38" t="n">
        <x:v>2180</x:v>
      </x:c>
      <x:c r="O785" s="38" t="n">
        <x:v>0</x:v>
      </x:c>
      <x:c r="P785" s="38" t="n">
        <x:f>F785+G785-H785+I785+J785+K785+L785-M785-N785-O785</x:f>
        <x:v>248982</x:v>
      </x:c>
      <x:c r="Q785" s="38" t="n">
        <x:v>248982</x:v>
      </x:c>
      <x:c r="R785" s="38" t="n">
        <x:f>P785-Q785</x:f>
        <x:v>0</x:v>
      </x:c>
      <x:c r="S785" s="38" t="n">
        <x:v>55050</x:v>
      </x:c>
      <x:c r="T785" s="38" t="n">
        <x:v>9036</x:v>
      </x:c>
      <x:c r="U785" s="38" t="n">
        <x:v>64</x:v>
      </x:c>
      <x:c r="V785" s="38" t="n">
        <x:v>0</x:v>
      </x:c>
      <x:c r="W785" s="38" t="n">
        <x:v>0</x:v>
      </x:c>
      <x:c r="X785" s="44" t="n">
        <x:v>0</x:v>
      </x:c>
      <x:c r="Y785" s="38" t="n">
        <x:v>150</x:v>
      </x:c>
      <x:c r="Z785" s="38" t="n">
        <x:v>31</x:v>
      </x:c>
      <x:c r="AA785" s="38" t="n">
        <x:v>20</x:v>
      </x:c>
      <x:c r="AB785" s="38" t="n">
        <x:v>6</x:v>
      </x:c>
      <x:c r="AC785" s="38" t="n">
        <x:v>6900</x:v>
      </x:c>
      <x:c r="AD785" s="38" t="n">
        <x:v>0</x:v>
      </x:c>
      <x:c r="AE785" s="38" t="n">
        <x:f>IF(B785=1,0,F785-Q784)</x:f>
        <x:v>0</x:v>
      </x:c>
    </x:row>
    <x:row r="786" ht="27" customHeight="1">
      <x:c r="A786" s="28" t="str">
        <x:v>Returning F2P</x:v>
      </x:c>
      <x:c r="B786" s="38" t="n">
        <x:v>62</x:v>
      </x:c>
      <x:c r="C786" s="38" t="n">
        <x:v>31</x:v>
      </x:c>
      <x:c r="D786" s="38" t="n">
        <x:v>364547</x:v>
      </x:c>
      <x:c r="E786" s="38" t="n">
        <x:v>75</x:v>
      </x:c>
      <x:c r="F786" s="38" t="n">
        <x:v>248982</x:v>
      </x:c>
      <x:c r="G786" s="38" t="n">
        <x:v>68850</x:v>
      </x:c>
      <x:c r="H786" s="38" t="n">
        <x:v>13800</x:v>
      </x:c>
      <x:c r="I786" s="38" t="n">
        <x:v>3172</x:v>
      </x:c>
      <x:c r="J786" s="38" t="n">
        <x:v>0</x:v>
      </x:c>
      <x:c r="K786" s="38" t="n">
        <x:v>0</x:v>
      </x:c>
      <x:c r="L786" s="38" t="n">
        <x:v>0</x:v>
      </x:c>
      <x:c r="M786" s="38" t="n">
        <x:v>0</x:v>
      </x:c>
      <x:c r="N786" s="38" t="n">
        <x:v>0</x:v>
      </x:c>
      <x:c r="O786" s="38" t="n">
        <x:v>0</x:v>
      </x:c>
      <x:c r="P786" s="38" t="n">
        <x:f>F786+G786-H786+I786+J786+K786+L786-M786-N786-O786</x:f>
        <x:v>307204</x:v>
      </x:c>
      <x:c r="Q786" s="38" t="n">
        <x:v>307204</x:v>
      </x:c>
      <x:c r="R786" s="38" t="n">
        <x:f>P786-Q786</x:f>
        <x:v>0</x:v>
      </x:c>
      <x:c r="S786" s="38" t="n">
        <x:v>55050</x:v>
      </x:c>
      <x:c r="T786" s="38" t="n">
        <x:v>9036</x:v>
      </x:c>
      <x:c r="U786" s="38" t="n">
        <x:v>64</x:v>
      </x:c>
      <x:c r="V786" s="38" t="n">
        <x:v>0</x:v>
      </x:c>
      <x:c r="W786" s="38" t="n">
        <x:v>0</x:v>
      </x:c>
      <x:c r="X786" s="44" t="n">
        <x:v>0</x:v>
      </x:c>
      <x:c r="Y786" s="38" t="n">
        <x:v>150</x:v>
      </x:c>
      <x:c r="Z786" s="38" t="n">
        <x:v>31</x:v>
      </x:c>
      <x:c r="AA786" s="38" t="n">
        <x:v>20</x:v>
      </x:c>
      <x:c r="AB786" s="38" t="n">
        <x:v>6</x:v>
      </x:c>
      <x:c r="AC786" s="38" t="n">
        <x:v>6900</x:v>
      </x:c>
      <x:c r="AD786" s="38" t="n">
        <x:v>0</x:v>
      </x:c>
      <x:c r="AE786" s="38" t="n">
        <x:f>IF(B786=1,0,F786-Q785)</x:f>
        <x:v>0</x:v>
      </x:c>
    </x:row>
    <x:row r="787" ht="27" customHeight="1">
      <x:c r="A787" s="28" t="str">
        <x:v>Returning F2P</x:v>
      </x:c>
      <x:c r="B787" s="38" t="n">
        <x:v>63</x:v>
      </x:c>
      <x:c r="C787" s="38" t="n">
        <x:v>32</x:v>
      </x:c>
      <x:c r="D787" s="38" t="n">
        <x:v>377832</x:v>
      </x:c>
      <x:c r="E787" s="38" t="n">
        <x:v>75</x:v>
      </x:c>
      <x:c r="F787" s="38" t="n">
        <x:v>307204</x:v>
      </x:c>
      <x:c r="G787" s="38" t="n">
        <x:v>69078</x:v>
      </x:c>
      <x:c r="H787" s="38" t="n">
        <x:v>14011</x:v>
      </x:c>
      <x:c r="I787" s="38" t="n">
        <x:v>17410</x:v>
      </x:c>
      <x:c r="J787" s="38" t="n">
        <x:v>810</x:v>
      </x:c>
      <x:c r="K787" s="38" t="n">
        <x:v>0</x:v>
      </x:c>
      <x:c r="L787" s="38" t="n">
        <x:v>0</x:v>
      </x:c>
      <x:c r="M787" s="38" t="n">
        <x:v>0</x:v>
      </x:c>
      <x:c r="N787" s="38" t="n">
        <x:v>0</x:v>
      </x:c>
      <x:c r="O787" s="38" t="n">
        <x:v>0</x:v>
      </x:c>
      <x:c r="P787" s="38" t="n">
        <x:f>F787+G787-H787+I787+J787+K787+L787-M787-N787-O787</x:f>
        <x:v>380491</x:v>
      </x:c>
      <x:c r="Q787" s="38" t="n">
        <x:v>380491</x:v>
      </x:c>
      <x:c r="R787" s="38" t="n">
        <x:f>P787-Q787</x:f>
        <x:v>0</x:v>
      </x:c>
      <x:c r="S787" s="38" t="n">
        <x:v>55217</x:v>
      </x:c>
      <x:c r="T787" s="38" t="n">
        <x:v>13285</x:v>
      </x:c>
      <x:c r="U787" s="38" t="n">
        <x:v>67</x:v>
      </x:c>
      <x:c r="V787" s="38" t="n">
        <x:v>3</x:v>
      </x:c>
      <x:c r="W787" s="38" t="n">
        <x:v>0</x:v>
      </x:c>
      <x:c r="X787" s="44" t="n">
        <x:v>0</x:v>
      </x:c>
      <x:c r="Y787" s="38" t="n">
        <x:v>150</x:v>
      </x:c>
      <x:c r="Z787" s="38" t="n">
        <x:v>32</x:v>
      </x:c>
      <x:c r="AA787" s="38" t="n">
        <x:v>20</x:v>
      </x:c>
      <x:c r="AB787" s="38" t="n">
        <x:v>6</x:v>
      </x:c>
      <x:c r="AC787" s="38" t="n">
        <x:v>7050</x:v>
      </x:c>
      <x:c r="AD787" s="38" t="n">
        <x:v>0</x:v>
      </x:c>
      <x:c r="AE787" s="38" t="n">
        <x:f>IF(B787=1,0,F787-Q786)</x:f>
        <x:v>0</x:v>
      </x:c>
    </x:row>
    <x:row r="788" ht="27" customHeight="1">
      <x:c r="A788" s="28" t="str">
        <x:v>Returning F2P</x:v>
      </x:c>
      <x:c r="B788" s="38" t="n">
        <x:v>64</x:v>
      </x:c>
      <x:c r="C788" s="38" t="n">
        <x:v>32</x:v>
      </x:c>
      <x:c r="D788" s="38" t="n">
        <x:v>386875</x:v>
      </x:c>
      <x:c r="E788" s="38" t="n">
        <x:v>75</x:v>
      </x:c>
      <x:c r="F788" s="38" t="n">
        <x:v>380491</x:v>
      </x:c>
      <x:c r="G788" s="38" t="n">
        <x:v>70200</x:v>
      </x:c>
      <x:c r="H788" s="38" t="n">
        <x:v>14100</x:v>
      </x:c>
      <x:c r="I788" s="38" t="n">
        <x:v>3233</x:v>
      </x:c>
      <x:c r="J788" s="38" t="n">
        <x:v>0</x:v>
      </x:c>
      <x:c r="K788" s="38" t="n">
        <x:v>0</x:v>
      </x:c>
      <x:c r="L788" s="38" t="n">
        <x:v>0</x:v>
      </x:c>
      <x:c r="M788" s="38" t="n">
        <x:v>0</x:v>
      </x:c>
      <x:c r="N788" s="38" t="n">
        <x:v>1200</x:v>
      </x:c>
      <x:c r="O788" s="38" t="n">
        <x:v>0</x:v>
      </x:c>
      <x:c r="P788" s="38" t="n">
        <x:f>F788+G788-H788+I788+J788+K788+L788-M788-N788-O788</x:f>
        <x:v>438624</x:v>
      </x:c>
      <x:c r="Q788" s="38" t="n">
        <x:v>438624</x:v>
      </x:c>
      <x:c r="R788" s="38" t="n">
        <x:f>P788-Q788</x:f>
        <x:v>0</x:v>
      </x:c>
      <x:c r="S788" s="38" t="n">
        <x:v>56100</x:v>
      </x:c>
      <x:c r="T788" s="38" t="n">
        <x:v>9043</x:v>
      </x:c>
      <x:c r="U788" s="38" t="n">
        <x:v>67</x:v>
      </x:c>
      <x:c r="V788" s="38" t="n">
        <x:v>0</x:v>
      </x:c>
      <x:c r="W788" s="38" t="n">
        <x:v>0</x:v>
      </x:c>
      <x:c r="X788" s="44" t="n">
        <x:v>0</x:v>
      </x:c>
      <x:c r="Y788" s="38" t="n">
        <x:v>150</x:v>
      </x:c>
      <x:c r="Z788" s="38" t="n">
        <x:v>32</x:v>
      </x:c>
      <x:c r="AA788" s="38" t="n">
        <x:v>21</x:v>
      </x:c>
      <x:c r="AB788" s="38" t="n">
        <x:v>6</x:v>
      </x:c>
      <x:c r="AC788" s="38" t="n">
        <x:v>7050</x:v>
      </x:c>
      <x:c r="AD788" s="38" t="n">
        <x:v>0</x:v>
      </x:c>
      <x:c r="AE788" s="38" t="n">
        <x:f>IF(B788=1,0,F788-Q787)</x:f>
        <x:v>0</x:v>
      </x:c>
    </x:row>
    <x:row r="789" ht="27" customHeight="1">
      <x:c r="A789" s="28" t="str">
        <x:v>Returning F2P</x:v>
      </x:c>
      <x:c r="B789" s="38" t="n">
        <x:v>65</x:v>
      </x:c>
      <x:c r="C789" s="38" t="n">
        <x:v>32</x:v>
      </x:c>
      <x:c r="D789" s="38" t="n">
        <x:v>395918</x:v>
      </x:c>
      <x:c r="E789" s="38" t="n">
        <x:v>75</x:v>
      </x:c>
      <x:c r="F789" s="38" t="n">
        <x:v>438624</x:v>
      </x:c>
      <x:c r="G789" s="38" t="n">
        <x:v>70200</x:v>
      </x:c>
      <x:c r="H789" s="38" t="n">
        <x:v>14100</x:v>
      </x:c>
      <x:c r="I789" s="38" t="n">
        <x:v>3233</x:v>
      </x:c>
      <x:c r="J789" s="38" t="n">
        <x:v>0</x:v>
      </x:c>
      <x:c r="K789" s="38" t="n">
        <x:v>0</x:v>
      </x:c>
      <x:c r="L789" s="38" t="n">
        <x:v>0</x:v>
      </x:c>
      <x:c r="M789" s="38" t="n">
        <x:v>0</x:v>
      </x:c>
      <x:c r="N789" s="38" t="n">
        <x:v>0</x:v>
      </x:c>
      <x:c r="O789" s="38" t="n">
        <x:v>0</x:v>
      </x:c>
      <x:c r="P789" s="38" t="n">
        <x:f>F789+G789-H789+I789+J789+K789+L789-M789-N789-O789</x:f>
        <x:v>497957</x:v>
      </x:c>
      <x:c r="Q789" s="38" t="n">
        <x:v>497957</x:v>
      </x:c>
      <x:c r="R789" s="38" t="n">
        <x:f>P789-Q789</x:f>
        <x:v>0</x:v>
      </x:c>
      <x:c r="S789" s="38" t="n">
        <x:v>56100</x:v>
      </x:c>
      <x:c r="T789" s="38" t="n">
        <x:v>9043</x:v>
      </x:c>
      <x:c r="U789" s="38" t="n">
        <x:v>67</x:v>
      </x:c>
      <x:c r="V789" s="38" t="n">
        <x:v>0</x:v>
      </x:c>
      <x:c r="W789" s="38" t="n">
        <x:v>0</x:v>
      </x:c>
      <x:c r="X789" s="44" t="n">
        <x:v>0</x:v>
      </x:c>
      <x:c r="Y789" s="38" t="n">
        <x:v>150</x:v>
      </x:c>
      <x:c r="Z789" s="38" t="n">
        <x:v>32</x:v>
      </x:c>
      <x:c r="AA789" s="38" t="n">
        <x:v>21</x:v>
      </x:c>
      <x:c r="AB789" s="38" t="n">
        <x:v>6</x:v>
      </x:c>
      <x:c r="AC789" s="38" t="n">
        <x:v>7050</x:v>
      </x:c>
      <x:c r="AD789" s="38" t="n">
        <x:v>0</x:v>
      </x:c>
      <x:c r="AE789" s="38" t="n">
        <x:f>IF(B789=1,0,F789-Q788)</x:f>
        <x:v>0</x:v>
      </x:c>
    </x:row>
    <x:row r="790" ht="27" customHeight="1">
      <x:c r="A790" s="28" t="str">
        <x:v>Returning F2P</x:v>
      </x:c>
      <x:c r="B790" s="38" t="n">
        <x:v>66</x:v>
      </x:c>
      <x:c r="C790" s="38" t="n">
        <x:v>33</x:v>
      </x:c>
      <x:c r="D790" s="38" t="n">
        <x:v>404961</x:v>
      </x:c>
      <x:c r="E790" s="38" t="n">
        <x:v>75</x:v>
      </x:c>
      <x:c r="F790" s="38" t="n">
        <x:v>497957</x:v>
      </x:c>
      <x:c r="G790" s="38" t="n">
        <x:v>70200</x:v>
      </x:c>
      <x:c r="H790" s="38" t="n">
        <x:v>14175</x:v>
      </x:c>
      <x:c r="I790" s="38" t="n">
        <x:v>3233</x:v>
      </x:c>
      <x:c r="J790" s="38" t="n">
        <x:v>825</x:v>
      </x:c>
      <x:c r="K790" s="38" t="n">
        <x:v>0</x:v>
      </x:c>
      <x:c r="L790" s="38" t="n">
        <x:v>0</x:v>
      </x:c>
      <x:c r="M790" s="38" t="n">
        <x:v>0</x:v>
      </x:c>
      <x:c r="N790" s="38" t="n">
        <x:v>0</x:v>
      </x:c>
      <x:c r="O790" s="38" t="n">
        <x:v>0</x:v>
      </x:c>
      <x:c r="P790" s="38" t="n">
        <x:f>F790+G790-H790+I790+J790+K790+L790-M790-N790-O790</x:f>
        <x:v>558040</x:v>
      </x:c>
      <x:c r="Q790" s="38" t="n">
        <x:v>558040</x:v>
      </x:c>
      <x:c r="R790" s="38" t="n">
        <x:f>P790-Q790</x:f>
        <x:v>0</x:v>
      </x:c>
      <x:c r="S790" s="38" t="n">
        <x:v>56100</x:v>
      </x:c>
      <x:c r="T790" s="38" t="n">
        <x:v>9043</x:v>
      </x:c>
      <x:c r="U790" s="38" t="n">
        <x:v>67</x:v>
      </x:c>
      <x:c r="V790" s="38" t="n">
        <x:v>0</x:v>
      </x:c>
      <x:c r="W790" s="38" t="n">
        <x:v>0</x:v>
      </x:c>
      <x:c r="X790" s="44" t="n">
        <x:v>0</x:v>
      </x:c>
      <x:c r="Y790" s="38" t="n">
        <x:v>150</x:v>
      </x:c>
      <x:c r="Z790" s="38" t="n">
        <x:v>32</x:v>
      </x:c>
      <x:c r="AA790" s="38" t="n">
        <x:v>21</x:v>
      </x:c>
      <x:c r="AB790" s="38" t="n">
        <x:v>6</x:v>
      </x:c>
      <x:c r="AC790" s="38" t="n">
        <x:v>7125</x:v>
      </x:c>
      <x:c r="AD790" s="38" t="n">
        <x:v>0</x:v>
      </x:c>
      <x:c r="AE790" s="38" t="n">
        <x:f>IF(B790=1,0,F790-Q789)</x:f>
        <x:v>0</x:v>
      </x:c>
    </x:row>
    <x:row r="791" ht="27" customHeight="1">
      <x:c r="A791" s="28" t="str">
        <x:v>Returning F2P</x:v>
      </x:c>
      <x:c r="B791" s="38" t="n">
        <x:v>67</x:v>
      </x:c>
      <x:c r="C791" s="38" t="n">
        <x:v>33</x:v>
      </x:c>
      <x:c r="D791" s="38" t="n">
        <x:v>414161</x:v>
      </x:c>
      <x:c r="E791" s="38" t="n">
        <x:v>75</x:v>
      </x:c>
      <x:c r="F791" s="38" t="n">
        <x:v>558040</x:v>
      </x:c>
      <x:c r="G791" s="38" t="n">
        <x:v>71400</x:v>
      </x:c>
      <x:c r="H791" s="38" t="n">
        <x:v>14250</x:v>
      </x:c>
      <x:c r="I791" s="38" t="n">
        <x:v>3294</x:v>
      </x:c>
      <x:c r="J791" s="38" t="n">
        <x:v>0</x:v>
      </x:c>
      <x:c r="K791" s="38" t="n">
        <x:v>0</x:v>
      </x:c>
      <x:c r="L791" s="38" t="n">
        <x:v>0</x:v>
      </x:c>
      <x:c r="M791" s="38" t="n">
        <x:v>0</x:v>
      </x:c>
      <x:c r="N791" s="38" t="n">
        <x:v>2710</x:v>
      </x:c>
      <x:c r="O791" s="38" t="n">
        <x:v>0</x:v>
      </x:c>
      <x:c r="P791" s="38" t="n">
        <x:f>F791+G791-H791+I791+J791+K791+L791-M791-N791-O791</x:f>
        <x:v>615774</x:v>
      </x:c>
      <x:c r="Q791" s="38" t="n">
        <x:v>615774</x:v>
      </x:c>
      <x:c r="R791" s="38" t="n">
        <x:f>P791-Q791</x:f>
        <x:v>0</x:v>
      </x:c>
      <x:c r="S791" s="38" t="n">
        <x:v>57150</x:v>
      </x:c>
      <x:c r="T791" s="38" t="n">
        <x:v>9200</x:v>
      </x:c>
      <x:c r="U791" s="38" t="n">
        <x:v>67</x:v>
      </x:c>
      <x:c r="V791" s="38" t="n">
        <x:v>0</x:v>
      </x:c>
      <x:c r="W791" s="38" t="n">
        <x:v>0</x:v>
      </x:c>
      <x:c r="X791" s="44" t="n">
        <x:v>0</x:v>
      </x:c>
      <x:c r="Y791" s="38" t="n">
        <x:v>150</x:v>
      </x:c>
      <x:c r="Z791" s="38" t="n">
        <x:v>33</x:v>
      </x:c>
      <x:c r="AA791" s="38" t="n">
        <x:v>22</x:v>
      </x:c>
      <x:c r="AB791" s="38" t="n">
        <x:v>6</x:v>
      </x:c>
      <x:c r="AC791" s="38" t="n">
        <x:v>7125</x:v>
      </x:c>
      <x:c r="AD791" s="38" t="n">
        <x:v>0</x:v>
      </x:c>
      <x:c r="AE791" s="38" t="n">
        <x:f>IF(B791=1,0,F791-Q790)</x:f>
        <x:v>0</x:v>
      </x:c>
    </x:row>
    <x:row r="792" ht="27" customHeight="1">
      <x:c r="A792" s="28" t="str">
        <x:v>Returning F2P</x:v>
      </x:c>
      <x:c r="B792" s="38" t="n">
        <x:v>68</x:v>
      </x:c>
      <x:c r="C792" s="38" t="n">
        <x:v>33</x:v>
      </x:c>
      <x:c r="D792" s="38" t="n">
        <x:v>423361</x:v>
      </x:c>
      <x:c r="E792" s="38" t="n">
        <x:v>75</x:v>
      </x:c>
      <x:c r="F792" s="38" t="n">
        <x:v>615774</x:v>
      </x:c>
      <x:c r="G792" s="38" t="n">
        <x:v>71400</x:v>
      </x:c>
      <x:c r="H792" s="38" t="n">
        <x:v>14250</x:v>
      </x:c>
      <x:c r="I792" s="38" t="n">
        <x:v>3294</x:v>
      </x:c>
      <x:c r="J792" s="38" t="n">
        <x:v>0</x:v>
      </x:c>
      <x:c r="K792" s="38" t="n">
        <x:v>0</x:v>
      </x:c>
      <x:c r="L792" s="38" t="n">
        <x:v>0</x:v>
      </x:c>
      <x:c r="M792" s="38" t="n">
        <x:v>0</x:v>
      </x:c>
      <x:c r="N792" s="38" t="n">
        <x:v>0</x:v>
      </x:c>
      <x:c r="O792" s="38" t="n">
        <x:v>0</x:v>
      </x:c>
      <x:c r="P792" s="38" t="n">
        <x:f>F792+G792-H792+I792+J792+K792+L792-M792-N792-O792</x:f>
        <x:v>676218</x:v>
      </x:c>
      <x:c r="Q792" s="38" t="n">
        <x:v>676218</x:v>
      </x:c>
      <x:c r="R792" s="38" t="n">
        <x:f>P792-Q792</x:f>
        <x:v>0</x:v>
      </x:c>
      <x:c r="S792" s="38" t="n">
        <x:v>57150</x:v>
      </x:c>
      <x:c r="T792" s="38" t="n">
        <x:v>9200</x:v>
      </x:c>
      <x:c r="U792" s="38" t="n">
        <x:v>67</x:v>
      </x:c>
      <x:c r="V792" s="38" t="n">
        <x:v>0</x:v>
      </x:c>
      <x:c r="W792" s="38" t="n">
        <x:v>0</x:v>
      </x:c>
      <x:c r="X792" s="44" t="n">
        <x:v>0</x:v>
      </x:c>
      <x:c r="Y792" s="38" t="n">
        <x:v>150</x:v>
      </x:c>
      <x:c r="Z792" s="38" t="n">
        <x:v>33</x:v>
      </x:c>
      <x:c r="AA792" s="38" t="n">
        <x:v>22</x:v>
      </x:c>
      <x:c r="AB792" s="38" t="n">
        <x:v>6</x:v>
      </x:c>
      <x:c r="AC792" s="38" t="n">
        <x:v>7125</x:v>
      </x:c>
      <x:c r="AD792" s="38" t="n">
        <x:v>0</x:v>
      </x:c>
      <x:c r="AE792" s="38" t="n">
        <x:f>IF(B792=1,0,F792-Q791)</x:f>
        <x:v>0</x:v>
      </x:c>
    </x:row>
    <x:row r="793" ht="27" customHeight="1">
      <x:c r="A793" s="28" t="str">
        <x:v>Returning F2P</x:v>
      </x:c>
      <x:c r="B793" s="38" t="n">
        <x:v>69</x:v>
      </x:c>
      <x:c r="C793" s="38" t="n">
        <x:v>33</x:v>
      </x:c>
      <x:c r="D793" s="38" t="n">
        <x:v>432561</x:v>
      </x:c>
      <x:c r="E793" s="38" t="n">
        <x:v>75</x:v>
      </x:c>
      <x:c r="F793" s="38" t="n">
        <x:v>676218</x:v>
      </x:c>
      <x:c r="G793" s="38" t="n">
        <x:v>71400</x:v>
      </x:c>
      <x:c r="H793" s="38" t="n">
        <x:v>14250</x:v>
      </x:c>
      <x:c r="I793" s="38" t="n">
        <x:v>3294</x:v>
      </x:c>
      <x:c r="J793" s="38" t="n">
        <x:v>0</x:v>
      </x:c>
      <x:c r="K793" s="38" t="n">
        <x:v>0</x:v>
      </x:c>
      <x:c r="L793" s="38" t="n">
        <x:v>0</x:v>
      </x:c>
      <x:c r="M793" s="38" t="n">
        <x:v>0</x:v>
      </x:c>
      <x:c r="N793" s="38" t="n">
        <x:v>0</x:v>
      </x:c>
      <x:c r="O793" s="38" t="n">
        <x:v>0</x:v>
      </x:c>
      <x:c r="P793" s="38" t="n">
        <x:f>F793+G793-H793+I793+J793+K793+L793-M793-N793-O793</x:f>
        <x:v>736662</x:v>
      </x:c>
      <x:c r="Q793" s="38" t="n">
        <x:v>736662</x:v>
      </x:c>
      <x:c r="R793" s="38" t="n">
        <x:f>P793-Q793</x:f>
        <x:v>0</x:v>
      </x:c>
      <x:c r="S793" s="38" t="n">
        <x:v>57150</x:v>
      </x:c>
      <x:c r="T793" s="38" t="n">
        <x:v>9200</x:v>
      </x:c>
      <x:c r="U793" s="38" t="n">
        <x:v>67</x:v>
      </x:c>
      <x:c r="V793" s="38" t="n">
        <x:v>0</x:v>
      </x:c>
      <x:c r="W793" s="38" t="n">
        <x:v>0</x:v>
      </x:c>
      <x:c r="X793" s="44" t="n">
        <x:v>0</x:v>
      </x:c>
      <x:c r="Y793" s="38" t="n">
        <x:v>150</x:v>
      </x:c>
      <x:c r="Z793" s="38" t="n">
        <x:v>33</x:v>
      </x:c>
      <x:c r="AA793" s="38" t="n">
        <x:v>22</x:v>
      </x:c>
      <x:c r="AB793" s="38" t="n">
        <x:v>6</x:v>
      </x:c>
      <x:c r="AC793" s="38" t="n">
        <x:v>7125</x:v>
      </x:c>
      <x:c r="AD793" s="38" t="n">
        <x:v>0</x:v>
      </x:c>
      <x:c r="AE793" s="38" t="n">
        <x:f>IF(B793=1,0,F793-Q792)</x:f>
        <x:v>0</x:v>
      </x:c>
    </x:row>
    <x:row r="794" ht="27" customHeight="1">
      <x:c r="A794" s="28" t="str">
        <x:v>Returning F2P</x:v>
      </x:c>
      <x:c r="B794" s="38" t="n">
        <x:v>70</x:v>
      </x:c>
      <x:c r="C794" s="38" t="n">
        <x:v>34</x:v>
      </x:c>
      <x:c r="D794" s="38" t="n">
        <x:v>447027</x:v>
      </x:c>
      <x:c r="E794" s="38" t="n">
        <x:v>85</x:v>
      </x:c>
      <x:c r="F794" s="38" t="n">
        <x:v>736662</x:v>
      </x:c>
      <x:c r="G794" s="38" t="n">
        <x:v>76925</x:v>
      </x:c>
      <x:c r="H794" s="38" t="n">
        <x:v>16490</x:v>
      </x:c>
      <x:c r="I794" s="38" t="n">
        <x:v>19460</x:v>
      </x:c>
      <x:c r="J794" s="38" t="n">
        <x:v>950</x:v>
      </x:c>
      <x:c r="K794" s="38" t="n">
        <x:v>0</x:v>
      </x:c>
      <x:c r="L794" s="38" t="n">
        <x:v>0</x:v>
      </x:c>
      <x:c r="M794" s="38" t="n">
        <x:v>600000</x:v>
      </x:c>
      <x:c r="N794" s="38" t="n">
        <x:v>1490</x:v>
      </x:c>
      <x:c r="O794" s="38" t="n">
        <x:v>144404</x:v>
      </x:c>
      <x:c r="P794" s="38" t="n">
        <x:f>F794+G794-H794+I794+J794+K794+L794-M794-N794-O794</x:f>
        <x:v>71613</x:v>
      </x:c>
      <x:c r="Q794" s="38" t="n">
        <x:v>71613</x:v>
      </x:c>
      <x:c r="R794" s="38" t="n">
        <x:f>P794-Q794</x:f>
        <x:v>0</x:v>
      </x:c>
      <x:c r="S794" s="38" t="n">
        <x:v>61555</x:v>
      </x:c>
      <x:c r="T794" s="38" t="n">
        <x:v>14466</x:v>
      </x:c>
      <x:c r="U794" s="38" t="n">
        <x:v>70</x:v>
      </x:c>
      <x:c r="V794" s="38" t="n">
        <x:v>3</x:v>
      </x:c>
      <x:c r="W794" s="38" t="n">
        <x:v>0</x:v>
      </x:c>
      <x:c r="X794" s="44" t="n">
        <x:v>0</x:v>
      </x:c>
      <x:c r="Y794" s="38" t="n">
        <x:v>160</x:v>
      </x:c>
      <x:c r="Z794" s="38" t="n">
        <x:v>34</x:v>
      </x:c>
      <x:c r="AA794" s="38" t="n">
        <x:v>23</x:v>
      </x:c>
      <x:c r="AB794" s="38" t="n">
        <x:v>6</x:v>
      </x:c>
      <x:c r="AC794" s="38" t="n">
        <x:v>8245</x:v>
      </x:c>
      <x:c r="AD794" s="38" t="n">
        <x:v>0</x:v>
      </x:c>
      <x:c r="AE794" s="38" t="n">
        <x:f>IF(B794=1,0,F794-Q793)</x:f>
        <x:v>0</x:v>
      </x:c>
    </x:row>
    <x:row r="795" ht="27" customHeight="1">
      <x:c r="A795" s="28" t="str">
        <x:v>Returning F2P</x:v>
      </x:c>
      <x:c r="B795" s="38" t="n">
        <x:v>71</x:v>
      </x:c>
      <x:c r="C795" s="38" t="n">
        <x:v>34</x:v>
      </x:c>
      <x:c r="D795" s="38" t="n">
        <x:v>457462</x:v>
      </x:c>
      <x:c r="E795" s="38" t="n">
        <x:v>85</x:v>
      </x:c>
      <x:c r="F795" s="38" t="n">
        <x:v>71613</x:v>
      </x:c>
      <x:c r="G795" s="38" t="n">
        <x:v>82450</x:v>
      </x:c>
      <x:c r="H795" s="38" t="n">
        <x:v>16490</x:v>
      </x:c>
      <x:c r="I795" s="38" t="n">
        <x:v>3802</x:v>
      </x:c>
      <x:c r="J795" s="38" t="n">
        <x:v>0</x:v>
      </x:c>
      <x:c r="K795" s="38" t="n">
        <x:v>0</x:v>
      </x:c>
      <x:c r="L795" s="38" t="n">
        <x:v>0</x:v>
      </x:c>
      <x:c r="M795" s="38" t="n">
        <x:v>0</x:v>
      </x:c>
      <x:c r="N795" s="38" t="n">
        <x:v>0</x:v>
      </x:c>
      <x:c r="O795" s="38" t="n">
        <x:v>45696</x:v>
      </x:c>
      <x:c r="P795" s="38" t="n">
        <x:f>F795+G795-H795+I795+J795+K795+L795-M795-N795-O795</x:f>
        <x:v>95679</x:v>
      </x:c>
      <x:c r="Q795" s="38" t="n">
        <x:v>95679</x:v>
      </x:c>
      <x:c r="R795" s="38" t="n">
        <x:f>P795-Q795</x:f>
        <x:v>0</x:v>
      </x:c>
      <x:c r="S795" s="38" t="n">
        <x:v>65960</x:v>
      </x:c>
      <x:c r="T795" s="38" t="n">
        <x:v>10435</x:v>
      </x:c>
      <x:c r="U795" s="38" t="n">
        <x:v>70</x:v>
      </x:c>
      <x:c r="V795" s="38" t="n">
        <x:v>0</x:v>
      </x:c>
      <x:c r="W795" s="38" t="n">
        <x:v>0</x:v>
      </x:c>
      <x:c r="X795" s="44" t="n">
        <x:v>0</x:v>
      </x:c>
      <x:c r="Y795" s="38" t="n">
        <x:v>170</x:v>
      </x:c>
      <x:c r="Z795" s="38" t="n">
        <x:v>34</x:v>
      </x:c>
      <x:c r="AA795" s="38" t="n">
        <x:v>23</x:v>
      </x:c>
      <x:c r="AB795" s="38" t="n">
        <x:v>7</x:v>
      </x:c>
      <x:c r="AC795" s="38" t="n">
        <x:v>8245</x:v>
      </x:c>
      <x:c r="AD795" s="38" t="n">
        <x:v>0</x:v>
      </x:c>
      <x:c r="AE795" s="38" t="n">
        <x:f>IF(B795=1,0,F795-Q794)</x:f>
        <x:v>0</x:v>
      </x:c>
    </x:row>
    <x:row r="796" ht="27" customHeight="1">
      <x:c r="A796" s="28" t="str">
        <x:v>Returning F2P</x:v>
      </x:c>
      <x:c r="B796" s="38" t="n">
        <x:v>72</x:v>
      </x:c>
      <x:c r="C796" s="38" t="n">
        <x:v>34</x:v>
      </x:c>
      <x:c r="D796" s="38" t="n">
        <x:v>467897</x:v>
      </x:c>
      <x:c r="E796" s="38" t="n">
        <x:v>85</x:v>
      </x:c>
      <x:c r="F796" s="38" t="n">
        <x:v>95679</x:v>
      </x:c>
      <x:c r="G796" s="38" t="n">
        <x:v>82450</x:v>
      </x:c>
      <x:c r="H796" s="38" t="n">
        <x:v>16490</x:v>
      </x:c>
      <x:c r="I796" s="38" t="n">
        <x:v>3802</x:v>
      </x:c>
      <x:c r="J796" s="38" t="n">
        <x:v>0</x:v>
      </x:c>
      <x:c r="K796" s="38" t="n">
        <x:v>0</x:v>
      </x:c>
      <x:c r="L796" s="38" t="n">
        <x:v>0</x:v>
      </x:c>
      <x:c r="M796" s="38" t="n">
        <x:v>0</x:v>
      </x:c>
      <x:c r="N796" s="38" t="n">
        <x:v>0</x:v>
      </x:c>
      <x:c r="O796" s="38" t="n">
        <x:v>0</x:v>
      </x:c>
      <x:c r="P796" s="38" t="n">
        <x:f>F796+G796-H796+I796+J796+K796+L796-M796-N796-O796</x:f>
        <x:v>165441</x:v>
      </x:c>
      <x:c r="Q796" s="38" t="n">
        <x:v>165441</x:v>
      </x:c>
      <x:c r="R796" s="38" t="n">
        <x:f>P796-Q796</x:f>
        <x:v>0</x:v>
      </x:c>
      <x:c r="S796" s="38" t="n">
        <x:v>65960</x:v>
      </x:c>
      <x:c r="T796" s="38" t="n">
        <x:v>10435</x:v>
      </x:c>
      <x:c r="U796" s="38" t="n">
        <x:v>70</x:v>
      </x:c>
      <x:c r="V796" s="38" t="n">
        <x:v>0</x:v>
      </x:c>
      <x:c r="W796" s="38" t="n">
        <x:v>0</x:v>
      </x:c>
      <x:c r="X796" s="44" t="n">
        <x:v>0</x:v>
      </x:c>
      <x:c r="Y796" s="38" t="n">
        <x:v>170</x:v>
      </x:c>
      <x:c r="Z796" s="38" t="n">
        <x:v>34</x:v>
      </x:c>
      <x:c r="AA796" s="38" t="n">
        <x:v>23</x:v>
      </x:c>
      <x:c r="AB796" s="38" t="n">
        <x:v>7</x:v>
      </x:c>
      <x:c r="AC796" s="38" t="n">
        <x:v>8245</x:v>
      </x:c>
      <x:c r="AD796" s="38" t="n">
        <x:v>0</x:v>
      </x:c>
      <x:c r="AE796" s="38" t="n">
        <x:f>IF(B796=1,0,F796-Q795)</x:f>
        <x:v>0</x:v>
      </x:c>
    </x:row>
    <x:row r="797" ht="27" customHeight="1">
      <x:c r="A797" s="28" t="str">
        <x:v>Returning F2P</x:v>
      </x:c>
      <x:c r="B797" s="38" t="n">
        <x:v>73</x:v>
      </x:c>
      <x:c r="C797" s="38" t="n">
        <x:v>34</x:v>
      </x:c>
      <x:c r="D797" s="38" t="n">
        <x:v>478332</x:v>
      </x:c>
      <x:c r="E797" s="38" t="n">
        <x:v>85</x:v>
      </x:c>
      <x:c r="F797" s="38" t="n">
        <x:v>165441</x:v>
      </x:c>
      <x:c r="G797" s="38" t="n">
        <x:v>82450</x:v>
      </x:c>
      <x:c r="H797" s="38" t="n">
        <x:v>16490</x:v>
      </x:c>
      <x:c r="I797" s="38" t="n">
        <x:v>3802</x:v>
      </x:c>
      <x:c r="J797" s="38" t="n">
        <x:v>0</x:v>
      </x:c>
      <x:c r="K797" s="38" t="n">
        <x:v>0</x:v>
      </x:c>
      <x:c r="L797" s="38" t="n">
        <x:v>0</x:v>
      </x:c>
      <x:c r="M797" s="38" t="n">
        <x:v>0</x:v>
      </x:c>
      <x:c r="N797" s="38" t="n">
        <x:v>2870</x:v>
      </x:c>
      <x:c r="O797" s="38" t="n">
        <x:v>0</x:v>
      </x:c>
      <x:c r="P797" s="38" t="n">
        <x:f>F797+G797-H797+I797+J797+K797+L797-M797-N797-O797</x:f>
        <x:v>232333</x:v>
      </x:c>
      <x:c r="Q797" s="38" t="n">
        <x:v>232333</x:v>
      </x:c>
      <x:c r="R797" s="38" t="n">
        <x:f>P797-Q797</x:f>
        <x:v>0</x:v>
      </x:c>
      <x:c r="S797" s="38" t="n">
        <x:v>65960</x:v>
      </x:c>
      <x:c r="T797" s="38" t="n">
        <x:v>10435</x:v>
      </x:c>
      <x:c r="U797" s="38" t="n">
        <x:v>70</x:v>
      </x:c>
      <x:c r="V797" s="38" t="n">
        <x:v>0</x:v>
      </x:c>
      <x:c r="W797" s="38" t="n">
        <x:v>0</x:v>
      </x:c>
      <x:c r="X797" s="44" t="n">
        <x:v>0</x:v>
      </x:c>
      <x:c r="Y797" s="38" t="n">
        <x:v>170</x:v>
      </x:c>
      <x:c r="Z797" s="38" t="n">
        <x:v>34</x:v>
      </x:c>
      <x:c r="AA797" s="38" t="n">
        <x:v>24</x:v>
      </x:c>
      <x:c r="AB797" s="38" t="n">
        <x:v>7</x:v>
      </x:c>
      <x:c r="AC797" s="38" t="n">
        <x:v>8245</x:v>
      </x:c>
      <x:c r="AD797" s="38" t="n">
        <x:v>0</x:v>
      </x:c>
      <x:c r="AE797" s="38" t="n">
        <x:f>IF(B797=1,0,F797-Q796)</x:f>
        <x:v>0</x:v>
      </x:c>
    </x:row>
    <x:row r="798" ht="27" customHeight="1">
      <x:c r="A798" s="28" t="str">
        <x:v>Returning F2P</x:v>
      </x:c>
      <x:c r="B798" s="38" t="n">
        <x:v>74</x:v>
      </x:c>
      <x:c r="C798" s="38" t="n">
        <x:v>35</x:v>
      </x:c>
      <x:c r="D798" s="38" t="n">
        <x:v>488796</x:v>
      </x:c>
      <x:c r="E798" s="38" t="n">
        <x:v>85</x:v>
      </x:c>
      <x:c r="F798" s="38" t="n">
        <x:v>232333</x:v>
      </x:c>
      <x:c r="G798" s="38" t="n">
        <x:v>82721</x:v>
      </x:c>
      <x:c r="H798" s="38" t="n">
        <x:v>17016</x:v>
      </x:c>
      <x:c r="I798" s="38" t="n">
        <x:v>3802</x:v>
      </x:c>
      <x:c r="J798" s="38" t="n">
        <x:v>970</x:v>
      </x:c>
      <x:c r="K798" s="38" t="n">
        <x:v>0</x:v>
      </x:c>
      <x:c r="L798" s="38" t="n">
        <x:v>0</x:v>
      </x:c>
      <x:c r="M798" s="38" t="n">
        <x:v>0</x:v>
      </x:c>
      <x:c r="N798" s="38" t="n">
        <x:v>0</x:v>
      </x:c>
      <x:c r="O798" s="38" t="n">
        <x:v>0</x:v>
      </x:c>
      <x:c r="P798" s="38" t="n">
        <x:f>F798+G798-H798+I798+J798+K798+L798-M798-N798-O798</x:f>
        <x:v>302810</x:v>
      </x:c>
      <x:c r="Q798" s="38" t="n">
        <x:v>302810</x:v>
      </x:c>
      <x:c r="R798" s="38" t="n">
        <x:f>P798-Q798</x:f>
        <x:v>0</x:v>
      </x:c>
      <x:c r="S798" s="38" t="n">
        <x:v>66160</x:v>
      </x:c>
      <x:c r="T798" s="38" t="n">
        <x:v>10464</x:v>
      </x:c>
      <x:c r="U798" s="38" t="n">
        <x:v>73</x:v>
      </x:c>
      <x:c r="V798" s="38" t="n">
        <x:v>3</x:v>
      </x:c>
      <x:c r="W798" s="38" t="n">
        <x:v>0</x:v>
      </x:c>
      <x:c r="X798" s="44" t="n">
        <x:v>0</x:v>
      </x:c>
      <x:c r="Y798" s="38" t="n">
        <x:v>169</x:v>
      </x:c>
      <x:c r="Z798" s="38" t="n">
        <x:v>34</x:v>
      </x:c>
      <x:c r="AA798" s="38" t="n">
        <x:v>24</x:v>
      </x:c>
      <x:c r="AB798" s="38" t="n">
        <x:v>7</x:v>
      </x:c>
      <x:c r="AC798" s="38" t="n">
        <x:v>8700</x:v>
      </x:c>
      <x:c r="AD798" s="38" t="n">
        <x:v>0</x:v>
      </x:c>
      <x:c r="AE798" s="38" t="n">
        <x:f>IF(B798=1,0,F798-Q797)</x:f>
        <x:v>0</x:v>
      </x:c>
    </x:row>
    <x:row r="799" ht="27" customHeight="1">
      <x:c r="A799" s="28" t="str">
        <x:v>Returning F2P</x:v>
      </x:c>
      <x:c r="B799" s="38" t="n">
        <x:v>75</x:v>
      </x:c>
      <x:c r="C799" s="38" t="n">
        <x:v>35</x:v>
      </x:c>
      <x:c r="D799" s="38" t="n">
        <x:v>499297</x:v>
      </x:c>
      <x:c r="E799" s="38" t="n">
        <x:v>85</x:v>
      </x:c>
      <x:c r="F799" s="38" t="n">
        <x:v>302810</x:v>
      </x:c>
      <x:c r="G799" s="38" t="n">
        <x:v>82992</x:v>
      </x:c>
      <x:c r="H799" s="38" t="n">
        <x:v>16632</x:v>
      </x:c>
      <x:c r="I799" s="38" t="n">
        <x:v>3871</x:v>
      </x:c>
      <x:c r="J799" s="38" t="n">
        <x:v>0</x:v>
      </x:c>
      <x:c r="K799" s="38" t="n">
        <x:v>0</x:v>
      </x:c>
      <x:c r="L799" s="38" t="n">
        <x:v>0</x:v>
      </x:c>
      <x:c r="M799" s="38" t="n">
        <x:v>0</x:v>
      </x:c>
      <x:c r="N799" s="38" t="n">
        <x:v>0</x:v>
      </x:c>
      <x:c r="O799" s="38" t="n">
        <x:v>0</x:v>
      </x:c>
      <x:c r="P799" s="38" t="n">
        <x:f>F799+G799-H799+I799+J799+K799+L799-M799-N799-O799</x:f>
        <x:v>373041</x:v>
      </x:c>
      <x:c r="Q799" s="38" t="n">
        <x:v>373041</x:v>
      </x:c>
      <x:c r="R799" s="38" t="n">
        <x:f>P799-Q799</x:f>
        <x:v>0</x:v>
      </x:c>
      <x:c r="S799" s="38" t="n">
        <x:v>66360</x:v>
      </x:c>
      <x:c r="T799" s="38" t="n">
        <x:v>10501</x:v>
      </x:c>
      <x:c r="U799" s="38" t="n">
        <x:v>73</x:v>
      </x:c>
      <x:c r="V799" s="38" t="n">
        <x:v>0</x:v>
      </x:c>
      <x:c r="W799" s="38" t="n">
        <x:v>0</x:v>
      </x:c>
      <x:c r="X799" s="44" t="n">
        <x:v>0</x:v>
      </x:c>
      <x:c r="Y799" s="38" t="n">
        <x:v>168</x:v>
      </x:c>
      <x:c r="Z799" s="38" t="n">
        <x:v>34</x:v>
      </x:c>
      <x:c r="AA799" s="38" t="n">
        <x:v>24</x:v>
      </x:c>
      <x:c r="AB799" s="38" t="n">
        <x:v>7</x:v>
      </x:c>
      <x:c r="AC799" s="38" t="n">
        <x:v>8700</x:v>
      </x:c>
      <x:c r="AD799" s="38" t="n">
        <x:v>0</x:v>
      </x:c>
      <x:c r="AE799" s="38" t="n">
        <x:f>IF(B799=1,0,F799-Q798)</x:f>
        <x:v>0</x:v>
      </x:c>
    </x:row>
    <x:row r="800" ht="27" customHeight="1">
      <x:c r="A800" s="28" t="str">
        <x:v>Returning F2P</x:v>
      </x:c>
      <x:c r="B800" s="38" t="n">
        <x:v>76</x:v>
      </x:c>
      <x:c r="C800" s="38" t="n">
        <x:v>35</x:v>
      </x:c>
      <x:c r="D800" s="38" t="n">
        <x:v>510071</x:v>
      </x:c>
      <x:c r="E800" s="38" t="n">
        <x:v>85</x:v>
      </x:c>
      <x:c r="F800" s="38" t="n">
        <x:v>373041</x:v>
      </x:c>
      <x:c r="G800" s="38" t="n">
        <x:v>85406</x:v>
      </x:c>
      <x:c r="H800" s="38" t="n">
        <x:v>16830</x:v>
      </x:c>
      <x:c r="I800" s="38" t="n">
        <x:v>3871</x:v>
      </x:c>
      <x:c r="J800" s="38" t="n">
        <x:v>0</x:v>
      </x:c>
      <x:c r="K800" s="38" t="n">
        <x:v>0</x:v>
      </x:c>
      <x:c r="L800" s="38" t="n">
        <x:v>0</x:v>
      </x:c>
      <x:c r="M800" s="38" t="n">
        <x:v>0</x:v>
      </x:c>
      <x:c r="N800" s="38" t="n">
        <x:v>1575</x:v>
      </x:c>
      <x:c r="O800" s="38" t="n">
        <x:v>0</x:v>
      </x:c>
      <x:c r="P800" s="38" t="n">
        <x:f>F800+G800-H800+I800+J800+K800+L800-M800-N800-O800</x:f>
        <x:v>443913</x:v>
      </x:c>
      <x:c r="Q800" s="38" t="n">
        <x:v>443913</x:v>
      </x:c>
      <x:c r="R800" s="38" t="n">
        <x:f>P800-Q800</x:f>
        <x:v>0</x:v>
      </x:c>
      <x:c r="S800" s="38" t="n">
        <x:v>68291</x:v>
      </x:c>
      <x:c r="T800" s="38" t="n">
        <x:v>10774</x:v>
      </x:c>
      <x:c r="U800" s="38" t="n">
        <x:v>75</x:v>
      </x:c>
      <x:c r="V800" s="38" t="n">
        <x:v>2</x:v>
      </x:c>
      <x:c r="W800" s="38" t="n">
        <x:v>0</x:v>
      </x:c>
      <x:c r="X800" s="44" t="n">
        <x:v>0</x:v>
      </x:c>
      <x:c r="Y800" s="38" t="n">
        <x:v>170</x:v>
      </x:c>
      <x:c r="Z800" s="38" t="n">
        <x:v>35</x:v>
      </x:c>
      <x:c r="AA800" s="38" t="n">
        <x:v>25</x:v>
      </x:c>
      <x:c r="AB800" s="38" t="n">
        <x:v>7</x:v>
      </x:c>
      <x:c r="AC800" s="38" t="n">
        <x:v>8415</x:v>
      </x:c>
      <x:c r="AD800" s="38" t="n">
        <x:v>0</x:v>
      </x:c>
      <x:c r="AE800" s="38" t="n">
        <x:f>IF(B800=1,0,F800-Q799)</x:f>
        <x:v>0</x:v>
      </x:c>
    </x:row>
    <x:row r="801" ht="27" customHeight="1">
      <x:c r="A801" s="28" t="str">
        <x:v>Returning F2P</x:v>
      </x:c>
      <x:c r="B801" s="38" t="n">
        <x:v>77</x:v>
      </x:c>
      <x:c r="C801" s="38" t="n">
        <x:v>36</x:v>
      </x:c>
      <x:c r="D801" s="38" t="n">
        <x:v>526110</x:v>
      </x:c>
      <x:c r="E801" s="38" t="n">
        <x:v>90</x:v>
      </x:c>
      <x:c r="F801" s="38" t="n">
        <x:v>443913</x:v>
      </x:c>
      <x:c r="G801" s="38" t="n">
        <x:v>83980</x:v>
      </x:c>
      <x:c r="H801" s="38" t="n">
        <x:v>18487</x:v>
      </x:c>
      <x:c r="I801" s="38" t="n">
        <x:v>22881</x:v>
      </x:c>
      <x:c r="J801" s="38" t="n">
        <x:v>1045</x:v>
      </x:c>
      <x:c r="K801" s="38" t="n">
        <x:v>0</x:v>
      </x:c>
      <x:c r="L801" s="38" t="n">
        <x:v>0</x:v>
      </x:c>
      <x:c r="M801" s="38" t="n">
        <x:v>425000</x:v>
      </x:c>
      <x:c r="N801" s="38" t="n">
        <x:v>0</x:v>
      </x:c>
      <x:c r="O801" s="38" t="n">
        <x:v>0</x:v>
      </x:c>
      <x:c r="P801" s="38" t="n">
        <x:f>F801+G801-H801+I801+J801+K801+L801-M801-N801-O801</x:f>
        <x:v>108332</x:v>
      </x:c>
      <x:c r="Q801" s="38" t="n">
        <x:v>108332</x:v>
      </x:c>
      <x:c r="R801" s="38" t="n">
        <x:f>P801-Q801</x:f>
        <x:v>0</x:v>
      </x:c>
      <x:c r="S801" s="38" t="n">
        <x:v>67150</x:v>
      </x:c>
      <x:c r="T801" s="38" t="n">
        <x:v>16039</x:v>
      </x:c>
      <x:c r="U801" s="38" t="n">
        <x:v>78</x:v>
      </x:c>
      <x:c r="V801" s="38" t="n">
        <x:v>3</x:v>
      </x:c>
      <x:c r="W801" s="38" t="n">
        <x:v>0</x:v>
      </x:c>
      <x:c r="X801" s="44" t="n">
        <x:v>0</x:v>
      </x:c>
      <x:c r="Y801" s="38" t="n">
        <x:v>170</x:v>
      </x:c>
      <x:c r="Z801" s="38" t="n">
        <x:v>35</x:v>
      </x:c>
      <x:c r="AA801" s="38" t="n">
        <x:v>25</x:v>
      </x:c>
      <x:c r="AB801" s="38" t="n">
        <x:v>7</x:v>
      </x:c>
      <x:c r="AC801" s="38" t="n">
        <x:v>10072</x:v>
      </x:c>
      <x:c r="AD801" s="38" t="n">
        <x:v>0</x:v>
      </x:c>
      <x:c r="AE801" s="38" t="n">
        <x:f>IF(B801=1,0,F801-Q800)</x:f>
        <x:v>0</x:v>
      </x:c>
    </x:row>
    <x:row r="802" ht="27" customHeight="1">
      <x:c r="A802" s="28" t="str">
        <x:v>Returning F2P</x:v>
      </x:c>
      <x:c r="B802" s="38" t="n">
        <x:v>78</x:v>
      </x:c>
      <x:c r="C802" s="38" t="n">
        <x:v>36</x:v>
      </x:c>
      <x:c r="D802" s="38" t="n">
        <x:v>536462</x:v>
      </x:c>
      <x:c r="E802" s="38" t="n">
        <x:v>90</x:v>
      </x:c>
      <x:c r="F802" s="38" t="n">
        <x:v>108332</x:v>
      </x:c>
      <x:c r="G802" s="38" t="n">
        <x:v>99400</x:v>
      </x:c>
      <x:c r="H802" s="38" t="n">
        <x:v>19869</x:v>
      </x:c>
      <x:c r="I802" s="38" t="n">
        <x:v>4172</x:v>
      </x:c>
      <x:c r="J802" s="38" t="n">
        <x:v>0</x:v>
      </x:c>
      <x:c r="K802" s="38" t="n">
        <x:v>0</x:v>
      </x:c>
      <x:c r="L802" s="38" t="n">
        <x:v>0</x:v>
      </x:c>
      <x:c r="M802" s="38" t="n">
        <x:v>0</x:v>
      </x:c>
      <x:c r="N802" s="38" t="n">
        <x:v>0</x:v>
      </x:c>
      <x:c r="O802" s="38" t="n">
        <x:v>0</x:v>
      </x:c>
      <x:c r="P802" s="38" t="n">
        <x:f>F802+G802-H802+I802+J802+K802+L802-M802-N802-O802</x:f>
        <x:v>192035</x:v>
      </x:c>
      <x:c r="Q802" s="38" t="n">
        <x:v>192035</x:v>
      </x:c>
      <x:c r="R802" s="38" t="n">
        <x:f>P802-Q802</x:f>
        <x:v>0</x:v>
      </x:c>
      <x:c r="S802" s="38" t="n">
        <x:v>79449</x:v>
      </x:c>
      <x:c r="T802" s="38" t="n">
        <x:v>10352</x:v>
      </x:c>
      <x:c r="U802" s="38" t="n">
        <x:v>82</x:v>
      </x:c>
      <x:c r="V802" s="38" t="n">
        <x:v>4</x:v>
      </x:c>
      <x:c r="W802" s="38" t="n">
        <x:v>0</x:v>
      </x:c>
      <x:c r="X802" s="44" t="n">
        <x:v>0</x:v>
      </x:c>
      <x:c r="Y802" s="38" t="n">
        <x:v>179</x:v>
      </x:c>
      <x:c r="Z802" s="38" t="n">
        <x:v>36</x:v>
      </x:c>
      <x:c r="AA802" s="38" t="n">
        <x:v>25</x:v>
      </x:c>
      <x:c r="AB802" s="38" t="n">
        <x:v>7</x:v>
      </x:c>
      <x:c r="AC802" s="38" t="n">
        <x:v>9990</x:v>
      </x:c>
      <x:c r="AD802" s="38" t="n">
        <x:v>0</x:v>
      </x:c>
      <x:c r="AE802" s="38" t="n">
        <x:f>IF(B802=1,0,F802-Q801)</x:f>
        <x:v>0</x:v>
      </x:c>
    </x:row>
    <x:row r="803" ht="27" customHeight="1">
      <x:c r="A803" s="28" t="str">
        <x:v>Returning F2P</x:v>
      </x:c>
      <x:c r="B803" s="38" t="n">
        <x:v>79</x:v>
      </x:c>
      <x:c r="C803" s="38" t="n">
        <x:v>36</x:v>
      </x:c>
      <x:c r="D803" s="38" t="n">
        <x:v>546808</x:v>
      </x:c>
      <x:c r="E803" s="38" t="n">
        <x:v>90</x:v>
      </x:c>
      <x:c r="F803" s="38" t="n">
        <x:v>192035</x:v>
      </x:c>
      <x:c r="G803" s="38" t="n">
        <x:v>99540</x:v>
      </x:c>
      <x:c r="H803" s="38" t="n">
        <x:v>19980</x:v>
      </x:c>
      <x:c r="I803" s="38" t="n">
        <x:v>4172</x:v>
      </x:c>
      <x:c r="J803" s="38" t="n">
        <x:v>0</x:v>
      </x:c>
      <x:c r="K803" s="38" t="n">
        <x:v>0</x:v>
      </x:c>
      <x:c r="L803" s="38" t="n">
        <x:v>0</x:v>
      </x:c>
      <x:c r="M803" s="38" t="n">
        <x:v>0</x:v>
      </x:c>
      <x:c r="N803" s="38" t="n">
        <x:v>3900</x:v>
      </x:c>
      <x:c r="O803" s="38" t="n">
        <x:v>0</x:v>
      </x:c>
      <x:c r="P803" s="38" t="n">
        <x:f>F803+G803-H803+I803+J803+K803+L803-M803-N803-O803</x:f>
        <x:v>271867</x:v>
      </x:c>
      <x:c r="Q803" s="38" t="n">
        <x:v>271867</x:v>
      </x:c>
      <x:c r="R803" s="38" t="n">
        <x:f>P803-Q803</x:f>
        <x:v>0</x:v>
      </x:c>
      <x:c r="S803" s="38" t="n">
        <x:v>79560</x:v>
      </x:c>
      <x:c r="T803" s="38" t="n">
        <x:v>10346</x:v>
      </x:c>
      <x:c r="U803" s="38" t="n">
        <x:v>82</x:v>
      </x:c>
      <x:c r="V803" s="38" t="n">
        <x:v>0</x:v>
      </x:c>
      <x:c r="W803" s="38" t="n">
        <x:v>0</x:v>
      </x:c>
      <x:c r="X803" s="44" t="n">
        <x:v>0</x:v>
      </x:c>
      <x:c r="Y803" s="38" t="n">
        <x:v>180</x:v>
      </x:c>
      <x:c r="Z803" s="38" t="n">
        <x:v>36</x:v>
      </x:c>
      <x:c r="AA803" s="38" t="n">
        <x:v>26</x:v>
      </x:c>
      <x:c r="AB803" s="38" t="n">
        <x:v>7</x:v>
      </x:c>
      <x:c r="AC803" s="38" t="n">
        <x:v>9990</x:v>
      </x:c>
      <x:c r="AD803" s="38" t="n">
        <x:v>0</x:v>
      </x:c>
      <x:c r="AE803" s="38" t="n">
        <x:f>IF(B803=1,0,F803-Q802)</x:f>
        <x:v>0</x:v>
      </x:c>
    </x:row>
    <x:row r="804" ht="27" customHeight="1">
      <x:c r="A804" s="28" t="str">
        <x:v>Returning F2P</x:v>
      </x:c>
      <x:c r="B804" s="38" t="n">
        <x:v>80</x:v>
      </x:c>
      <x:c r="C804" s="38" t="n">
        <x:v>36</x:v>
      </x:c>
      <x:c r="D804" s="38" t="n">
        <x:v>557154</x:v>
      </x:c>
      <x:c r="E804" s="38" t="n">
        <x:v>90</x:v>
      </x:c>
      <x:c r="F804" s="38" t="n">
        <x:v>271867</x:v>
      </x:c>
      <x:c r="G804" s="38" t="n">
        <x:v>99540</x:v>
      </x:c>
      <x:c r="H804" s="38" t="n">
        <x:v>19980</x:v>
      </x:c>
      <x:c r="I804" s="38" t="n">
        <x:v>4172</x:v>
      </x:c>
      <x:c r="J804" s="38" t="n">
        <x:v>0</x:v>
      </x:c>
      <x:c r="K804" s="38" t="n">
        <x:v>0</x:v>
      </x:c>
      <x:c r="L804" s="38" t="n">
        <x:v>0</x:v>
      </x:c>
      <x:c r="M804" s="38" t="n">
        <x:v>0</x:v>
      </x:c>
      <x:c r="N804" s="38" t="n">
        <x:v>0</x:v>
      </x:c>
      <x:c r="O804" s="38" t="n">
        <x:v>0</x:v>
      </x:c>
      <x:c r="P804" s="38" t="n">
        <x:f>F804+G804-H804+I804+J804+K804+L804-M804-N804-O804</x:f>
        <x:v>355599</x:v>
      </x:c>
      <x:c r="Q804" s="38" t="n">
        <x:v>355599</x:v>
      </x:c>
      <x:c r="R804" s="38" t="n">
        <x:f>P804-Q804</x:f>
        <x:v>0</x:v>
      </x:c>
      <x:c r="S804" s="38" t="n">
        <x:v>79560</x:v>
      </x:c>
      <x:c r="T804" s="38" t="n">
        <x:v>10346</x:v>
      </x:c>
      <x:c r="U804" s="38" t="n">
        <x:v>82</x:v>
      </x:c>
      <x:c r="V804" s="38" t="n">
        <x:v>0</x:v>
      </x:c>
      <x:c r="W804" s="38" t="n">
        <x:v>0</x:v>
      </x:c>
      <x:c r="X804" s="44" t="n">
        <x:v>0</x:v>
      </x:c>
      <x:c r="Y804" s="38" t="n">
        <x:v>180</x:v>
      </x:c>
      <x:c r="Z804" s="38" t="n">
        <x:v>36</x:v>
      </x:c>
      <x:c r="AA804" s="38" t="n">
        <x:v>26</x:v>
      </x:c>
      <x:c r="AB804" s="38" t="n">
        <x:v>7</x:v>
      </x:c>
      <x:c r="AC804" s="38" t="n">
        <x:v>9990</x:v>
      </x:c>
      <x:c r="AD804" s="38" t="n">
        <x:v>0</x:v>
      </x:c>
      <x:c r="AE804" s="38" t="n">
        <x:f>IF(B804=1,0,F804-Q803)</x:f>
        <x:v>0</x:v>
      </x:c>
    </x:row>
    <x:row r="805" ht="27" customHeight="1">
      <x:c r="A805" s="28" t="str">
        <x:v>Returning F2P</x:v>
      </x:c>
      <x:c r="B805" s="38" t="n">
        <x:v>81</x:v>
      </x:c>
      <x:c r="C805" s="38" t="n">
        <x:v>36</x:v>
      </x:c>
      <x:c r="D805" s="38" t="n">
        <x:v>567500</x:v>
      </x:c>
      <x:c r="E805" s="38" t="n">
        <x:v>90</x:v>
      </x:c>
      <x:c r="F805" s="38" t="n">
        <x:v>355599</x:v>
      </x:c>
      <x:c r="G805" s="38" t="n">
        <x:v>99540</x:v>
      </x:c>
      <x:c r="H805" s="38" t="n">
        <x:v>19980</x:v>
      </x:c>
      <x:c r="I805" s="38" t="n">
        <x:v>4172</x:v>
      </x:c>
      <x:c r="J805" s="38" t="n">
        <x:v>0</x:v>
      </x:c>
      <x:c r="K805" s="38" t="n">
        <x:v>0</x:v>
      </x:c>
      <x:c r="L805" s="38" t="n">
        <x:v>0</x:v>
      </x:c>
      <x:c r="M805" s="38" t="n">
        <x:v>0</x:v>
      </x:c>
      <x:c r="N805" s="38" t="n">
        <x:v>0</x:v>
      </x:c>
      <x:c r="O805" s="38" t="n">
        <x:v>0</x:v>
      </x:c>
      <x:c r="P805" s="38" t="n">
        <x:f>F805+G805-H805+I805+J805+K805+L805-M805-N805-O805</x:f>
        <x:v>439331</x:v>
      </x:c>
      <x:c r="Q805" s="38" t="n">
        <x:v>439331</x:v>
      </x:c>
      <x:c r="R805" s="38" t="n">
        <x:f>P805-Q805</x:f>
        <x:v>0</x:v>
      </x:c>
      <x:c r="S805" s="38" t="n">
        <x:v>79560</x:v>
      </x:c>
      <x:c r="T805" s="38" t="n">
        <x:v>10346</x:v>
      </x:c>
      <x:c r="U805" s="38" t="n">
        <x:v>82</x:v>
      </x:c>
      <x:c r="V805" s="38" t="n">
        <x:v>0</x:v>
      </x:c>
      <x:c r="W805" s="38" t="n">
        <x:v>0</x:v>
      </x:c>
      <x:c r="X805" s="44" t="n">
        <x:v>0</x:v>
      </x:c>
      <x:c r="Y805" s="38" t="n">
        <x:v>180</x:v>
      </x:c>
      <x:c r="Z805" s="38" t="n">
        <x:v>36</x:v>
      </x:c>
      <x:c r="AA805" s="38" t="n">
        <x:v>26</x:v>
      </x:c>
      <x:c r="AB805" s="38" t="n">
        <x:v>7</x:v>
      </x:c>
      <x:c r="AC805" s="38" t="n">
        <x:v>9990</x:v>
      </x:c>
      <x:c r="AD805" s="38" t="n">
        <x:v>0</x:v>
      </x:c>
      <x:c r="AE805" s="38" t="n">
        <x:f>IF(B805=1,0,F805-Q804)</x:f>
        <x:v>0</x:v>
      </x:c>
    </x:row>
    <x:row r="806" ht="27" customHeight="1">
      <x:c r="A806" s="28" t="str">
        <x:v>Returning F2P</x:v>
      </x:c>
      <x:c r="B806" s="38" t="n">
        <x:v>82</x:v>
      </x:c>
      <x:c r="C806" s="38" t="n">
        <x:v>37</x:v>
      </x:c>
      <x:c r="D806" s="38" t="n">
        <x:v>578329</x:v>
      </x:c>
      <x:c r="E806" s="38" t="n">
        <x:v>90</x:v>
      </x:c>
      <x:c r="F806" s="38" t="n">
        <x:v>439331</x:v>
      </x:c>
      <x:c r="G806" s="38" t="n">
        <x:v>95249</x:v>
      </x:c>
      <x:c r="H806" s="38" t="n">
        <x:v>18554</x:v>
      </x:c>
      <x:c r="I806" s="38" t="n">
        <x:v>4172</x:v>
      </x:c>
      <x:c r="J806" s="38" t="n">
        <x:v>1060</x:v>
      </x:c>
      <x:c r="K806" s="38" t="n">
        <x:v>0</x:v>
      </x:c>
      <x:c r="L806" s="38" t="n">
        <x:v>0</x:v>
      </x:c>
      <x:c r="M806" s="38" t="n">
        <x:v>0</x:v>
      </x:c>
      <x:c r="N806" s="38" t="n">
        <x:v>4005</x:v>
      </x:c>
      <x:c r="O806" s="38" t="n">
        <x:v>0</x:v>
      </x:c>
      <x:c r="P806" s="38" t="n">
        <x:f>F806+G806-H806+I806+J806+K806+L806-M806-N806-O806</x:f>
        <x:v>517253</x:v>
      </x:c>
      <x:c r="Q806" s="38" t="n">
        <x:v>517253</x:v>
      </x:c>
      <x:c r="R806" s="38" t="n">
        <x:f>P806-Q806</x:f>
        <x:v>0</x:v>
      </x:c>
      <x:c r="S806" s="38" t="n">
        <x:v>76181</x:v>
      </x:c>
      <x:c r="T806" s="38" t="n">
        <x:v>10829</x:v>
      </x:c>
      <x:c r="U806" s="38" t="n">
        <x:v>82</x:v>
      </x:c>
      <x:c r="V806" s="38" t="n">
        <x:v>0</x:v>
      </x:c>
      <x:c r="W806" s="38" t="n">
        <x:v>0</x:v>
      </x:c>
      <x:c r="X806" s="44" t="n">
        <x:v>0</x:v>
      </x:c>
      <x:c r="Y806" s="38" t="n">
        <x:v>179</x:v>
      </x:c>
      <x:c r="Z806" s="38" t="n">
        <x:v>36</x:v>
      </x:c>
      <x:c r="AA806" s="38" t="n">
        <x:v>27</x:v>
      </x:c>
      <x:c r="AB806" s="38" t="n">
        <x:v>7</x:v>
      </x:c>
      <x:c r="AC806" s="38" t="n">
        <x:v>9476</x:v>
      </x:c>
      <x:c r="AD806" s="38" t="n">
        <x:v>0</x:v>
      </x:c>
      <x:c r="AE806" s="38" t="n">
        <x:f>IF(B806=1,0,F806-Q805)</x:f>
        <x:v>0</x:v>
      </x:c>
    </x:row>
    <x:row r="807" ht="27" customHeight="1">
      <x:c r="A807" s="28" t="str">
        <x:v>Returning F2P</x:v>
      </x:c>
      <x:c r="B807" s="38" t="n">
        <x:v>83</x:v>
      </x:c>
      <x:c r="C807" s="38" t="n">
        <x:v>37</x:v>
      </x:c>
      <x:c r="D807" s="38" t="n">
        <x:v>589650</x:v>
      </x:c>
      <x:c r="E807" s="38" t="n">
        <x:v>90</x:v>
      </x:c>
      <x:c r="F807" s="38" t="n">
        <x:v>517253</x:v>
      </x:c>
      <x:c r="G807" s="38" t="n">
        <x:v>90958</x:v>
      </x:c>
      <x:c r="H807" s="38" t="n">
        <x:v>18156</x:v>
      </x:c>
      <x:c r="I807" s="38" t="n">
        <x:v>4244</x:v>
      </x:c>
      <x:c r="J807" s="38" t="n">
        <x:v>0</x:v>
      </x:c>
      <x:c r="K807" s="38" t="n">
        <x:v>0</x:v>
      </x:c>
      <x:c r="L807" s="38" t="n">
        <x:v>0</x:v>
      </x:c>
      <x:c r="M807" s="38" t="n">
        <x:v>0</x:v>
      </x:c>
      <x:c r="N807" s="38" t="n">
        <x:v>0</x:v>
      </x:c>
      <x:c r="O807" s="38" t="n">
        <x:v>0</x:v>
      </x:c>
      <x:c r="P807" s="38" t="n">
        <x:f>F807+G807-H807+I807+J807+K807+L807-M807-N807-O807</x:f>
        <x:v>594299</x:v>
      </x:c>
      <x:c r="Q807" s="38" t="n">
        <x:v>594299</x:v>
      </x:c>
      <x:c r="R807" s="38" t="n">
        <x:f>P807-Q807</x:f>
        <x:v>0</x:v>
      </x:c>
      <x:c r="S807" s="38" t="n">
        <x:v>72802</x:v>
      </x:c>
      <x:c r="T807" s="38" t="n">
        <x:v>11321</x:v>
      </x:c>
      <x:c r="U807" s="38" t="n">
        <x:v>82</x:v>
      </x:c>
      <x:c r="V807" s="38" t="n">
        <x:v>0</x:v>
      </x:c>
      <x:c r="W807" s="38" t="n">
        <x:v>0</x:v>
      </x:c>
      <x:c r="X807" s="44" t="n">
        <x:v>0</x:v>
      </x:c>
      <x:c r="Y807" s="38" t="n">
        <x:v>178</x:v>
      </x:c>
      <x:c r="Z807" s="38" t="n">
        <x:v>36</x:v>
      </x:c>
      <x:c r="AA807" s="38" t="n">
        <x:v>27</x:v>
      </x:c>
      <x:c r="AB807" s="38" t="n">
        <x:v>7</x:v>
      </x:c>
      <x:c r="AC807" s="38" t="n">
        <x:v>9476</x:v>
      </x:c>
      <x:c r="AD807" s="38" t="n">
        <x:v>0</x:v>
      </x:c>
      <x:c r="AE807" s="38" t="n">
        <x:f>IF(B807=1,0,F807-Q806)</x:f>
        <x:v>0</x:v>
      </x:c>
    </x:row>
    <x:row r="808" ht="27" customHeight="1">
      <x:c r="A808" s="28" t="str">
        <x:v>Returning F2P</x:v>
      </x:c>
      <x:c r="B808" s="38" t="n">
        <x:v>84</x:v>
      </x:c>
      <x:c r="C808" s="38" t="n">
        <x:v>37</x:v>
      </x:c>
      <x:c r="D808" s="38" t="n">
        <x:v>607080</x:v>
      </x:c>
      <x:c r="E808" s="38" t="n">
        <x:v>90</x:v>
      </x:c>
      <x:c r="F808" s="38" t="n">
        <x:v>594299</x:v>
      </x:c>
      <x:c r="G808" s="38" t="n">
        <x:v>93458</x:v>
      </x:c>
      <x:c r="H808" s="38" t="n">
        <x:v>18360</x:v>
      </x:c>
      <x:c r="I808" s="38" t="n">
        <x:v>25102</x:v>
      </x:c>
      <x:c r="J808" s="38" t="n">
        <x:v>0</x:v>
      </x:c>
      <x:c r="K808" s="38" t="n">
        <x:v>0</x:v>
      </x:c>
      <x:c r="L808" s="38" t="n">
        <x:v>0</x:v>
      </x:c>
      <x:c r="M808" s="38" t="n">
        <x:v>0</x:v>
      </x:c>
      <x:c r="N808" s="38" t="n">
        <x:v>0</x:v>
      </x:c>
      <x:c r="O808" s="38" t="n">
        <x:v>0</x:v>
      </x:c>
      <x:c r="P808" s="38" t="n">
        <x:f>F808+G808-H808+I808+J808+K808+L808-M808-N808-O808</x:f>
        <x:v>694499</x:v>
      </x:c>
      <x:c r="Q808" s="38" t="n">
        <x:v>694499</x:v>
      </x:c>
      <x:c r="R808" s="38" t="n">
        <x:f>P808-Q808</x:f>
        <x:v>0</x:v>
      </x:c>
      <x:c r="S808" s="38" t="n">
        <x:v>74802</x:v>
      </x:c>
      <x:c r="T808" s="38" t="n">
        <x:v>17430</x:v>
      </x:c>
      <x:c r="U808" s="38" t="n">
        <x:v>84</x:v>
      </x:c>
      <x:c r="V808" s="38" t="n">
        <x:v>2</x:v>
      </x:c>
      <x:c r="W808" s="38" t="n">
        <x:v>0</x:v>
      </x:c>
      <x:c r="X808" s="44" t="n">
        <x:v>0</x:v>
      </x:c>
      <x:c r="Y808" s="38" t="n">
        <x:v>180</x:v>
      </x:c>
      <x:c r="Z808" s="38" t="n">
        <x:v>37</x:v>
      </x:c>
      <x:c r="AA808" s="38" t="n">
        <x:v>27</x:v>
      </x:c>
      <x:c r="AB808" s="38" t="n">
        <x:v>7</x:v>
      </x:c>
      <x:c r="AC808" s="38" t="n">
        <x:v>9180</x:v>
      </x:c>
      <x:c r="AD808" s="38" t="n">
        <x:v>0</x:v>
      </x:c>
      <x:c r="AE808" s="38" t="n">
        <x:f>IF(B808=1,0,F808-Q807)</x:f>
        <x:v>0</x:v>
      </x:c>
    </x:row>
    <x:row r="809" ht="27" customHeight="1">
      <x:c r="A809" s="28" t="str">
        <x:v>Returning F2P</x:v>
      </x:c>
      <x:c r="B809" s="38" t="n">
        <x:v>85</x:v>
      </x:c>
      <x:c r="C809" s="38" t="n">
        <x:v>37</x:v>
      </x:c>
      <x:c r="D809" s="38" t="n">
        <x:v>618515</x:v>
      </x:c>
      <x:c r="E809" s="38" t="n">
        <x:v>90</x:v>
      </x:c>
      <x:c r="F809" s="38" t="n">
        <x:v>694499</x:v>
      </x:c>
      <x:c r="G809" s="38" t="n">
        <x:v>91980</x:v>
      </x:c>
      <x:c r="H809" s="38" t="n">
        <x:v>18360</x:v>
      </x:c>
      <x:c r="I809" s="38" t="n">
        <x:v>4244</x:v>
      </x:c>
      <x:c r="J809" s="38" t="n">
        <x:v>0</x:v>
      </x:c>
      <x:c r="K809" s="38" t="n">
        <x:v>0</x:v>
      </x:c>
      <x:c r="L809" s="38" t="n">
        <x:v>0</x:v>
      </x:c>
      <x:c r="M809" s="38" t="n">
        <x:v>0</x:v>
      </x:c>
      <x:c r="N809" s="38" t="n">
        <x:v>4565</x:v>
      </x:c>
      <x:c r="O809" s="38" t="n">
        <x:v>0</x:v>
      </x:c>
      <x:c r="P809" s="38" t="n">
        <x:f>F809+G809-H809+I809+J809+K809+L809-M809-N809-O809</x:f>
        <x:v>767798</x:v>
      </x:c>
      <x:c r="Q809" s="38" t="n">
        <x:v>767798</x:v>
      </x:c>
      <x:c r="R809" s="38" t="n">
        <x:f>P809-Q809</x:f>
        <x:v>0</x:v>
      </x:c>
      <x:c r="S809" s="38" t="n">
        <x:v>73620</x:v>
      </x:c>
      <x:c r="T809" s="38" t="n">
        <x:v>11435</x:v>
      </x:c>
      <x:c r="U809" s="38" t="n">
        <x:v>84</x:v>
      </x:c>
      <x:c r="V809" s="38" t="n">
        <x:v>0</x:v>
      </x:c>
      <x:c r="W809" s="38" t="n">
        <x:v>0</x:v>
      </x:c>
      <x:c r="X809" s="44" t="n">
        <x:v>0</x:v>
      </x:c>
      <x:c r="Y809" s="38" t="n">
        <x:v>180</x:v>
      </x:c>
      <x:c r="Z809" s="38" t="n">
        <x:v>37</x:v>
      </x:c>
      <x:c r="AA809" s="38" t="n">
        <x:v>28</x:v>
      </x:c>
      <x:c r="AB809" s="38" t="n">
        <x:v>7</x:v>
      </x:c>
      <x:c r="AC809" s="38" t="n">
        <x:v>9180</x:v>
      </x:c>
      <x:c r="AD809" s="38" t="n">
        <x:v>0</x:v>
      </x:c>
      <x:c r="AE809" s="38" t="n">
        <x:f>IF(B809=1,0,F809-Q808)</x:f>
        <x:v>0</x:v>
      </x:c>
    </x:row>
    <x:row r="810" ht="27" customHeight="1">
      <x:c r="A810" s="28" t="str">
        <x:v>Returning F2P</x:v>
      </x:c>
      <x:c r="B810" s="38" t="n">
        <x:v>86</x:v>
      </x:c>
      <x:c r="C810" s="38" t="n">
        <x:v>38</x:v>
      </x:c>
      <x:c r="D810" s="38" t="n">
        <x:v>630241</x:v>
      </x:c>
      <x:c r="E810" s="38" t="n">
        <x:v>95</x:v>
      </x:c>
      <x:c r="F810" s="38" t="n">
        <x:v>767798</x:v>
      </x:c>
      <x:c r="G810" s="38" t="n">
        <x:v>95338</x:v>
      </x:c>
      <x:c r="H810" s="38" t="n">
        <x:v>19750</x:v>
      </x:c>
      <x:c r="I810" s="38" t="n">
        <x:v>4244</x:v>
      </x:c>
      <x:c r="J810" s="38" t="n">
        <x:v>1140</x:v>
      </x:c>
      <x:c r="K810" s="38" t="n">
        <x:v>0</x:v>
      </x:c>
      <x:c r="L810" s="38" t="n">
        <x:v>0</x:v>
      </x:c>
      <x:c r="M810" s="38" t="n">
        <x:v>600000</x:v>
      </x:c>
      <x:c r="N810" s="38" t="n">
        <x:v>0</x:v>
      </x:c>
      <x:c r="O810" s="38" t="n">
        <x:v>162937</x:v>
      </x:c>
      <x:c r="P810" s="38" t="n">
        <x:f>F810+G810-H810+I810+J810+K810+L810-M810-N810-O810</x:f>
        <x:v>85833</x:v>
      </x:c>
      <x:c r="Q810" s="38" t="n">
        <x:v>85833</x:v>
      </x:c>
      <x:c r="R810" s="38" t="n">
        <x:f>P810-Q810</x:f>
        <x:v>0</x:v>
      </x:c>
      <x:c r="S810" s="38" t="n">
        <x:v>76288</x:v>
      </x:c>
      <x:c r="T810" s="38" t="n">
        <x:v>11726</x:v>
      </x:c>
      <x:c r="U810" s="38" t="n">
        <x:v>85</x:v>
      </x:c>
      <x:c r="V810" s="38" t="n">
        <x:v>1</x:v>
      </x:c>
      <x:c r="W810" s="38" t="n">
        <x:v>0</x:v>
      </x:c>
      <x:c r="X810" s="44" t="n">
        <x:v>0</x:v>
      </x:c>
      <x:c r="Y810" s="38" t="n">
        <x:v>185</x:v>
      </x:c>
      <x:c r="Z810" s="38" t="n">
        <x:v>38</x:v>
      </x:c>
      <x:c r="AA810" s="38" t="n">
        <x:v>28</x:v>
      </x:c>
      <x:c r="AB810" s="38" t="n">
        <x:v>7</x:v>
      </x:c>
      <x:c r="AC810" s="38" t="n">
        <x:v>9880</x:v>
      </x:c>
      <x:c r="AD810" s="38" t="n">
        <x:v>0</x:v>
      </x:c>
      <x:c r="AE810" s="38" t="n">
        <x:f>IF(B810=1,0,F810-Q809)</x:f>
        <x:v>0</x:v>
      </x:c>
    </x:row>
    <x:row r="811" ht="27" customHeight="1">
      <x:c r="A811" s="28" t="str">
        <x:v>Returning F2P</x:v>
      </x:c>
      <x:c r="B811" s="38" t="n">
        <x:v>87</x:v>
      </x:c>
      <x:c r="C811" s="38" t="n">
        <x:v>38</x:v>
      </x:c>
      <x:c r="D811" s="38" t="n">
        <x:v>642320</x:v>
      </x:c>
      <x:c r="E811" s="38" t="n">
        <x:v>95</x:v>
      </x:c>
      <x:c r="F811" s="38" t="n">
        <x:v>85833</x:v>
      </x:c>
      <x:c r="G811" s="38" t="n">
        <x:v>98800</x:v>
      </x:c>
      <x:c r="H811" s="38" t="n">
        <x:v>19760</x:v>
      </x:c>
      <x:c r="I811" s="38" t="n">
        <x:v>4557</x:v>
      </x:c>
      <x:c r="J811" s="38" t="n">
        <x:v>0</x:v>
      </x:c>
      <x:c r="K811" s="38" t="n">
        <x:v>0</x:v>
      </x:c>
      <x:c r="L811" s="38" t="n">
        <x:v>0</x:v>
      </x:c>
      <x:c r="M811" s="38" t="n">
        <x:v>0</x:v>
      </x:c>
      <x:c r="N811" s="38" t="n">
        <x:v>0</x:v>
      </x:c>
      <x:c r="O811" s="38" t="n">
        <x:v>83597</x:v>
      </x:c>
      <x:c r="P811" s="38" t="n">
        <x:f>F811+G811-H811+I811+J811+K811+L811-M811-N811-O811</x:f>
        <x:v>85833</x:v>
      </x:c>
      <x:c r="Q811" s="38" t="n">
        <x:v>85833</x:v>
      </x:c>
      <x:c r="R811" s="38" t="n">
        <x:f>P811-Q811</x:f>
        <x:v>0</x:v>
      </x:c>
      <x:c r="S811" s="38" t="n">
        <x:v>79040</x:v>
      </x:c>
      <x:c r="T811" s="38" t="n">
        <x:v>12079</x:v>
      </x:c>
      <x:c r="U811" s="38" t="n">
        <x:v>85</x:v>
      </x:c>
      <x:c r="V811" s="38" t="n">
        <x:v>0</x:v>
      </x:c>
      <x:c r="W811" s="38" t="n">
        <x:v>0</x:v>
      </x:c>
      <x:c r="X811" s="44" t="n">
        <x:v>0</x:v>
      </x:c>
      <x:c r="Y811" s="38" t="n">
        <x:v>190</x:v>
      </x:c>
      <x:c r="Z811" s="38" t="n">
        <x:v>38</x:v>
      </x:c>
      <x:c r="AA811" s="38" t="n">
        <x:v>28</x:v>
      </x:c>
      <x:c r="AB811" s="38" t="n">
        <x:v>7</x:v>
      </x:c>
      <x:c r="AC811" s="38" t="n">
        <x:v>9880</x:v>
      </x:c>
      <x:c r="AD811" s="38" t="n">
        <x:v>0</x:v>
      </x:c>
      <x:c r="AE811" s="38" t="n">
        <x:f>IF(B811=1,0,F811-Q810)</x:f>
        <x:v>0</x:v>
      </x:c>
    </x:row>
    <x:row r="812" ht="27" customHeight="1">
      <x:c r="A812" s="28" t="str">
        <x:v>Returning F2P</x:v>
      </x:c>
      <x:c r="B812" s="38" t="n">
        <x:v>88</x:v>
      </x:c>
      <x:c r="C812" s="38" t="n">
        <x:v>38</x:v>
      </x:c>
      <x:c r="D812" s="38" t="n">
        <x:v>654399</x:v>
      </x:c>
      <x:c r="E812" s="38" t="n">
        <x:v>95</x:v>
      </x:c>
      <x:c r="F812" s="38" t="n">
        <x:v>85833</x:v>
      </x:c>
      <x:c r="G812" s="38" t="n">
        <x:v>98800</x:v>
      </x:c>
      <x:c r="H812" s="38" t="n">
        <x:v>19760</x:v>
      </x:c>
      <x:c r="I812" s="38" t="n">
        <x:v>4557</x:v>
      </x:c>
      <x:c r="J812" s="38" t="n">
        <x:v>0</x:v>
      </x:c>
      <x:c r="K812" s="38" t="n">
        <x:v>0</x:v>
      </x:c>
      <x:c r="L812" s="38" t="n">
        <x:v>0</x:v>
      </x:c>
      <x:c r="M812" s="38" t="n">
        <x:v>0</x:v>
      </x:c>
      <x:c r="N812" s="38" t="n">
        <x:v>7940</x:v>
      </x:c>
      <x:c r="O812" s="38" t="n">
        <x:v>57276</x:v>
      </x:c>
      <x:c r="P812" s="38" t="n">
        <x:f>F812+G812-H812+I812+J812+K812+L812-M812-N812-O812</x:f>
        <x:v>104214</x:v>
      </x:c>
      <x:c r="Q812" s="38" t="n">
        <x:v>104214</x:v>
      </x:c>
      <x:c r="R812" s="38" t="n">
        <x:f>P812-Q812</x:f>
        <x:v>0</x:v>
      </x:c>
      <x:c r="S812" s="38" t="n">
        <x:v>79040</x:v>
      </x:c>
      <x:c r="T812" s="38" t="n">
        <x:v>12079</x:v>
      </x:c>
      <x:c r="U812" s="38" t="n">
        <x:v>85</x:v>
      </x:c>
      <x:c r="V812" s="38" t="n">
        <x:v>0</x:v>
      </x:c>
      <x:c r="W812" s="38" t="n">
        <x:v>0</x:v>
      </x:c>
      <x:c r="X812" s="44" t="n">
        <x:v>0</x:v>
      </x:c>
      <x:c r="Y812" s="38" t="n">
        <x:v>190</x:v>
      </x:c>
      <x:c r="Z812" s="38" t="n">
        <x:v>38</x:v>
      </x:c>
      <x:c r="AA812" s="38" t="n">
        <x:v>29</x:v>
      </x:c>
      <x:c r="AB812" s="38" t="n">
        <x:v>8</x:v>
      </x:c>
      <x:c r="AC812" s="38" t="n">
        <x:v>9880</x:v>
      </x:c>
      <x:c r="AD812" s="38" t="n">
        <x:v>0</x:v>
      </x:c>
      <x:c r="AE812" s="38" t="n">
        <x:f>IF(B812=1,0,F812-Q811)</x:f>
        <x:v>0</x:v>
      </x:c>
    </x:row>
    <x:row r="813" ht="27" customHeight="1">
      <x:c r="A813" s="28" t="str">
        <x:v>Returning F2P</x:v>
      </x:c>
      <x:c r="B813" s="38" t="n">
        <x:v>89</x:v>
      </x:c>
      <x:c r="C813" s="38" t="n">
        <x:v>38</x:v>
      </x:c>
      <x:c r="D813" s="38" t="n">
        <x:v>666478</x:v>
      </x:c>
      <x:c r="E813" s="38" t="n">
        <x:v>95</x:v>
      </x:c>
      <x:c r="F813" s="38" t="n">
        <x:v>104214</x:v>
      </x:c>
      <x:c r="G813" s="38" t="n">
        <x:v>98800</x:v>
      </x:c>
      <x:c r="H813" s="38" t="n">
        <x:v>19760</x:v>
      </x:c>
      <x:c r="I813" s="38" t="n">
        <x:v>4557</x:v>
      </x:c>
      <x:c r="J813" s="38" t="n">
        <x:v>0</x:v>
      </x:c>
      <x:c r="K813" s="38" t="n">
        <x:v>0</x:v>
      </x:c>
      <x:c r="L813" s="38" t="n">
        <x:v>0</x:v>
      </x:c>
      <x:c r="M813" s="38" t="n">
        <x:v>0</x:v>
      </x:c>
      <x:c r="N813" s="38" t="n">
        <x:v>0</x:v>
      </x:c>
      <x:c r="O813" s="38" t="n">
        <x:v>0</x:v>
      </x:c>
      <x:c r="P813" s="38" t="n">
        <x:f>F813+G813-H813+I813+J813+K813+L813-M813-N813-O813</x:f>
        <x:v>187811</x:v>
      </x:c>
      <x:c r="Q813" s="38" t="n">
        <x:v>187811</x:v>
      </x:c>
      <x:c r="R813" s="38" t="n">
        <x:f>P813-Q813</x:f>
        <x:v>0</x:v>
      </x:c>
      <x:c r="S813" s="38" t="n">
        <x:v>79040</x:v>
      </x:c>
      <x:c r="T813" s="38" t="n">
        <x:v>12079</x:v>
      </x:c>
      <x:c r="U813" s="38" t="n">
        <x:v>85</x:v>
      </x:c>
      <x:c r="V813" s="38" t="n">
        <x:v>0</x:v>
      </x:c>
      <x:c r="W813" s="38" t="n">
        <x:v>0</x:v>
      </x:c>
      <x:c r="X813" s="44" t="n">
        <x:v>0</x:v>
      </x:c>
      <x:c r="Y813" s="38" t="n">
        <x:v>190</x:v>
      </x:c>
      <x:c r="Z813" s="38" t="n">
        <x:v>38</x:v>
      </x:c>
      <x:c r="AA813" s="38" t="n">
        <x:v>29</x:v>
      </x:c>
      <x:c r="AB813" s="38" t="n">
        <x:v>8</x:v>
      </x:c>
      <x:c r="AC813" s="38" t="n">
        <x:v>9880</x:v>
      </x:c>
      <x:c r="AD813" s="38" t="n">
        <x:v>0</x:v>
      </x:c>
      <x:c r="AE813" s="38" t="n">
        <x:f>IF(B813=1,0,F813-Q812)</x:f>
        <x:v>0</x:v>
      </x:c>
    </x:row>
    <x:row r="814" ht="27" customHeight="1">
      <x:c r="A814" s="28" t="str">
        <x:v>Returning F2P</x:v>
      </x:c>
      <x:c r="B814" s="38" t="n">
        <x:v>90</x:v>
      </x:c>
      <x:c r="C814" s="38" t="n">
        <x:v>38</x:v>
      </x:c>
      <x:c r="D814" s="38" t="n">
        <x:v>678557</x:v>
      </x:c>
      <x:c r="E814" s="38" t="n">
        <x:v>95</x:v>
      </x:c>
      <x:c r="F814" s="38" t="n">
        <x:v>187811</x:v>
      </x:c>
      <x:c r="G814" s="38" t="n">
        <x:v>98800</x:v>
      </x:c>
      <x:c r="H814" s="38" t="n">
        <x:v>19760</x:v>
      </x:c>
      <x:c r="I814" s="38" t="n">
        <x:v>4557</x:v>
      </x:c>
      <x:c r="J814" s="38" t="n">
        <x:v>0</x:v>
      </x:c>
      <x:c r="K814" s="38" t="n">
        <x:v>0</x:v>
      </x:c>
      <x:c r="L814" s="38" t="n">
        <x:v>0</x:v>
      </x:c>
      <x:c r="M814" s="38" t="n">
        <x:v>0</x:v>
      </x:c>
      <x:c r="N814" s="38" t="n">
        <x:v>0</x:v>
      </x:c>
      <x:c r="O814" s="38" t="n">
        <x:v>0</x:v>
      </x:c>
      <x:c r="P814" s="38" t="n">
        <x:f>F814+G814-H814+I814+J814+K814+L814-M814-N814-O814</x:f>
        <x:v>271408</x:v>
      </x:c>
      <x:c r="Q814" s="38" t="n">
        <x:v>271408</x:v>
      </x:c>
      <x:c r="R814" s="38" t="n">
        <x:f>P814-Q814</x:f>
        <x:v>0</x:v>
      </x:c>
      <x:c r="S814" s="38" t="n">
        <x:v>79040</x:v>
      </x:c>
      <x:c r="T814" s="38" t="n">
        <x:v>12079</x:v>
      </x:c>
      <x:c r="U814" s="38" t="n">
        <x:v>85</x:v>
      </x:c>
      <x:c r="V814" s="38" t="n">
        <x:v>0</x:v>
      </x:c>
      <x:c r="W814" s="38" t="n">
        <x:v>0</x:v>
      </x:c>
      <x:c r="X814" s="44" t="n">
        <x:v>0</x:v>
      </x:c>
      <x:c r="Y814" s="38" t="n">
        <x:v>190</x:v>
      </x:c>
      <x:c r="Z814" s="38" t="n">
        <x:v>38</x:v>
      </x:c>
      <x:c r="AA814" s="38" t="n">
        <x:v>29</x:v>
      </x:c>
      <x:c r="AB814" s="38" t="n">
        <x:v>8</x:v>
      </x:c>
      <x:c r="AC814" s="38" t="n">
        <x:v>9880</x:v>
      </x:c>
      <x:c r="AD814" s="38" t="n">
        <x:v>0</x:v>
      </x:c>
      <x:c r="AE814" s="38" t="n">
        <x:f>IF(B814=1,0,F814-Q813)</x:f>
        <x:v>0</x:v>
      </x:c>
    </x:row>
    <x:row r="815" ht="27" customHeight="1">
      <x:c r="A815" s="28" t="str">
        <x:v>Returning F2P</x:v>
      </x:c>
      <x:c r="B815" s="38" t="n">
        <x:v>91</x:v>
      </x:c>
      <x:c r="C815" s="38" t="n">
        <x:v>39</x:v>
      </x:c>
      <x:c r="D815" s="38" t="n">
        <x:v>695997</x:v>
      </x:c>
      <x:c r="E815" s="38" t="n">
        <x:v>95</x:v>
      </x:c>
      <x:c r="F815" s="38" t="n">
        <x:v>271408</x:v>
      </x:c>
      <x:c r="G815" s="38" t="n">
        <x:v>104159</x:v>
      </x:c>
      <x:c r="H815" s="38" t="n">
        <x:v>21953</x:v>
      </x:c>
      <x:c r="I815" s="38" t="n">
        <x:v>25779</x:v>
      </x:c>
      <x:c r="J815" s="38" t="n">
        <x:v>1160</x:v>
      </x:c>
      <x:c r="K815" s="38" t="n">
        <x:v>0</x:v>
      </x:c>
      <x:c r="L815" s="38" t="n">
        <x:v>0</x:v>
      </x:c>
      <x:c r="M815" s="38" t="n">
        <x:v>0</x:v>
      </x:c>
      <x:c r="N815" s="38" t="n">
        <x:v>4340</x:v>
      </x:c>
      <x:c r="O815" s="38" t="n">
        <x:v>0</x:v>
      </x:c>
      <x:c r="P815" s="38" t="n">
        <x:f>F815+G815-H815+I815+J815+K815+L815-M815-N815-O815</x:f>
        <x:v>376213</x:v>
      </x:c>
      <x:c r="Q815" s="38" t="n">
        <x:v>376213</x:v>
      </x:c>
      <x:c r="R815" s="38" t="n">
        <x:f>P815-Q815</x:f>
        <x:v>0</x:v>
      </x:c>
      <x:c r="S815" s="38" t="n">
        <x:v>83346</x:v>
      </x:c>
      <x:c r="T815" s="38" t="n">
        <x:v>17440</x:v>
      </x:c>
      <x:c r="U815" s="38" t="n">
        <x:v>87</x:v>
      </x:c>
      <x:c r="V815" s="38" t="n">
        <x:v>2</x:v>
      </x:c>
      <x:c r="W815" s="38" t="n">
        <x:v>0</x:v>
      </x:c>
      <x:c r="X815" s="44" t="n">
        <x:v>0</x:v>
      </x:c>
      <x:c r="Y815" s="38" t="n">
        <x:v>190</x:v>
      </x:c>
      <x:c r="Z815" s="38" t="n">
        <x:v>39</x:v>
      </x:c>
      <x:c r="AA815" s="38" t="n">
        <x:v>30</x:v>
      </x:c>
      <x:c r="AB815" s="38" t="n">
        <x:v>8</x:v>
      </x:c>
      <x:c r="AC815" s="38" t="n">
        <x:v>11020</x:v>
      </x:c>
      <x:c r="AD815" s="38" t="n">
        <x:v>0</x:v>
      </x:c>
      <x:c r="AE815" s="38" t="n">
        <x:f>IF(B815=1,0,F815-Q814)</x:f>
        <x:v>0</x:v>
      </x:c>
    </x:row>
    <x:row r="816" ht="27" customHeight="1">
      <x:c r="A816" s="28" t="str">
        <x:v>Returning F2P</x:v>
      </x:c>
      <x:c r="B816" s="38" t="n">
        <x:v>92</x:v>
      </x:c>
      <x:c r="C816" s="38" t="n">
        <x:v>39</x:v>
      </x:c>
      <x:c r="D816" s="38" t="n">
        <x:v>707136</x:v>
      </x:c>
      <x:c r="E816" s="38" t="n">
        <x:v>95</x:v>
      </x:c>
      <x:c r="F816" s="38" t="n">
        <x:v>376213</x:v>
      </x:c>
      <x:c r="G816" s="38" t="n">
        <x:v>110390</x:v>
      </x:c>
      <x:c r="H816" s="38" t="n">
        <x:v>22040</x:v>
      </x:c>
      <x:c r="I816" s="38" t="n">
        <x:v>4634</x:v>
      </x:c>
      <x:c r="J816" s="38" t="n">
        <x:v>0</x:v>
      </x:c>
      <x:c r="K816" s="38" t="n">
        <x:v>0</x:v>
      </x:c>
      <x:c r="L816" s="38" t="n">
        <x:v>0</x:v>
      </x:c>
      <x:c r="M816" s="38" t="n">
        <x:v>0</x:v>
      </x:c>
      <x:c r="N816" s="38" t="n">
        <x:v>0</x:v>
      </x:c>
      <x:c r="O816" s="38" t="n">
        <x:v>0</x:v>
      </x:c>
      <x:c r="P816" s="38" t="n">
        <x:f>F816+G816-H816+I816+J816+K816+L816-M816-N816-O816</x:f>
        <x:v>469197</x:v>
      </x:c>
      <x:c r="Q816" s="38" t="n">
        <x:v>469197</x:v>
      </x:c>
      <x:c r="R816" s="38" t="n">
        <x:f>P816-Q816</x:f>
        <x:v>0</x:v>
      </x:c>
      <x:c r="S816" s="38" t="n">
        <x:v>88350</x:v>
      </x:c>
      <x:c r="T816" s="38" t="n">
        <x:v>11139</x:v>
      </x:c>
      <x:c r="U816" s="38" t="n">
        <x:v>87</x:v>
      </x:c>
      <x:c r="V816" s="38" t="n">
        <x:v>0</x:v>
      </x:c>
      <x:c r="W816" s="38" t="n">
        <x:v>0</x:v>
      </x:c>
      <x:c r="X816" s="44" t="n">
        <x:v>0</x:v>
      </x:c>
      <x:c r="Y816" s="38" t="n">
        <x:v>190</x:v>
      </x:c>
      <x:c r="Z816" s="38" t="n">
        <x:v>39</x:v>
      </x:c>
      <x:c r="AA816" s="38" t="n">
        <x:v>30</x:v>
      </x:c>
      <x:c r="AB816" s="38" t="n">
        <x:v>8</x:v>
      </x:c>
      <x:c r="AC816" s="38" t="n">
        <x:v>11020</x:v>
      </x:c>
      <x:c r="AD816" s="38" t="n">
        <x:v>0</x:v>
      </x:c>
      <x:c r="AE816" s="38" t="n">
        <x:f>IF(B816=1,0,F816-Q815)</x:f>
        <x:v>0</x:v>
      </x:c>
    </x:row>
    <x:row r="817" ht="27" customHeight="1">
      <x:c r="A817" s="28" t="str">
        <x:v>Returning F2P</x:v>
      </x:c>
      <x:c r="B817" s="38" t="n">
        <x:v>93</x:v>
      </x:c>
      <x:c r="C817" s="38" t="n">
        <x:v>39</x:v>
      </x:c>
      <x:c r="D817" s="38" t="n">
        <x:v>718275</x:v>
      </x:c>
      <x:c r="E817" s="38" t="n">
        <x:v>95</x:v>
      </x:c>
      <x:c r="F817" s="38" t="n">
        <x:v>469197</x:v>
      </x:c>
      <x:c r="G817" s="38" t="n">
        <x:v>110390</x:v>
      </x:c>
      <x:c r="H817" s="38" t="n">
        <x:v>22040</x:v>
      </x:c>
      <x:c r="I817" s="38" t="n">
        <x:v>4634</x:v>
      </x:c>
      <x:c r="J817" s="38" t="n">
        <x:v>0</x:v>
      </x:c>
      <x:c r="K817" s="38" t="n">
        <x:v>0</x:v>
      </x:c>
      <x:c r="L817" s="38" t="n">
        <x:v>0</x:v>
      </x:c>
      <x:c r="M817" s="38" t="n">
        <x:v>0</x:v>
      </x:c>
      <x:c r="N817" s="38" t="n">
        <x:v>0</x:v>
      </x:c>
      <x:c r="O817" s="38" t="n">
        <x:v>0</x:v>
      </x:c>
      <x:c r="P817" s="38" t="n">
        <x:f>F817+G817-H817+I817+J817+K817+L817-M817-N817-O817</x:f>
        <x:v>562181</x:v>
      </x:c>
      <x:c r="Q817" s="38" t="n">
        <x:v>562181</x:v>
      </x:c>
      <x:c r="R817" s="38" t="n">
        <x:f>P817-Q817</x:f>
        <x:v>0</x:v>
      </x:c>
      <x:c r="S817" s="38" t="n">
        <x:v>88350</x:v>
      </x:c>
      <x:c r="T817" s="38" t="n">
        <x:v>11139</x:v>
      </x:c>
      <x:c r="U817" s="38" t="n">
        <x:v>87</x:v>
      </x:c>
      <x:c r="V817" s="38" t="n">
        <x:v>0</x:v>
      </x:c>
      <x:c r="W817" s="38" t="n">
        <x:v>0</x:v>
      </x:c>
      <x:c r="X817" s="44" t="n">
        <x:v>0</x:v>
      </x:c>
      <x:c r="Y817" s="38" t="n">
        <x:v>190</x:v>
      </x:c>
      <x:c r="Z817" s="38" t="n">
        <x:v>39</x:v>
      </x:c>
      <x:c r="AA817" s="38" t="n">
        <x:v>30</x:v>
      </x:c>
      <x:c r="AB817" s="38" t="n">
        <x:v>8</x:v>
      </x:c>
      <x:c r="AC817" s="38" t="n">
        <x:v>11020</x:v>
      </x:c>
      <x:c r="AD817" s="38" t="n">
        <x:v>0</x:v>
      </x:c>
      <x:c r="AE817" s="38" t="n">
        <x:f>IF(B817=1,0,F817-Q816)</x:f>
        <x:v>0</x:v>
      </x:c>
    </x:row>
    <x:row r="818" ht="27" customHeight="1">
      <x:c r="A818" s="28" t="str">
        <x:v>Returning F2P</x:v>
      </x:c>
      <x:c r="B818" s="38" t="n">
        <x:v>94</x:v>
      </x:c>
      <x:c r="C818" s="38" t="n">
        <x:v>39</x:v>
      </x:c>
      <x:c r="D818" s="38" t="n">
        <x:v>729414</x:v>
      </x:c>
      <x:c r="E818" s="38" t="n">
        <x:v>95</x:v>
      </x:c>
      <x:c r="F818" s="38" t="n">
        <x:v>562181</x:v>
      </x:c>
      <x:c r="G818" s="38" t="n">
        <x:v>110390</x:v>
      </x:c>
      <x:c r="H818" s="38" t="n">
        <x:v>22040</x:v>
      </x:c>
      <x:c r="I818" s="38" t="n">
        <x:v>4634</x:v>
      </x:c>
      <x:c r="J818" s="38" t="n">
        <x:v>0</x:v>
      </x:c>
      <x:c r="K818" s="38" t="n">
        <x:v>0</x:v>
      </x:c>
      <x:c r="L818" s="38" t="n">
        <x:v>0</x:v>
      </x:c>
      <x:c r="M818" s="38" t="n">
        <x:v>0</x:v>
      </x:c>
      <x:c r="N818" s="38" t="n">
        <x:v>9170</x:v>
      </x:c>
      <x:c r="O818" s="38" t="n">
        <x:v>0</x:v>
      </x:c>
      <x:c r="P818" s="38" t="n">
        <x:f>F818+G818-H818+I818+J818+K818+L818-M818-N818-O818</x:f>
        <x:v>645995</x:v>
      </x:c>
      <x:c r="Q818" s="38" t="n">
        <x:v>645995</x:v>
      </x:c>
      <x:c r="R818" s="38" t="n">
        <x:f>P818-Q818</x:f>
        <x:v>0</x:v>
      </x:c>
      <x:c r="S818" s="38" t="n">
        <x:v>88350</x:v>
      </x:c>
      <x:c r="T818" s="38" t="n">
        <x:v>11139</x:v>
      </x:c>
      <x:c r="U818" s="38" t="n">
        <x:v>87</x:v>
      </x:c>
      <x:c r="V818" s="38" t="n">
        <x:v>0</x:v>
      </x:c>
      <x:c r="W818" s="38" t="n">
        <x:v>0</x:v>
      </x:c>
      <x:c r="X818" s="44" t="n">
        <x:v>0</x:v>
      </x:c>
      <x:c r="Y818" s="38" t="n">
        <x:v>190</x:v>
      </x:c>
      <x:c r="Z818" s="38" t="n">
        <x:v>39</x:v>
      </x:c>
      <x:c r="AA818" s="38" t="n">
        <x:v>31</x:v>
      </x:c>
      <x:c r="AB818" s="38" t="n">
        <x:v>8</x:v>
      </x:c>
      <x:c r="AC818" s="38" t="n">
        <x:v>11020</x:v>
      </x:c>
      <x:c r="AD818" s="38" t="n">
        <x:v>0</x:v>
      </x:c>
      <x:c r="AE818" s="38" t="n">
        <x:f>IF(B818=1,0,F818-Q817)</x:f>
        <x:v>0</x:v>
      </x:c>
    </x:row>
    <x:row r="819" ht="27" customHeight="1">
      <x:c r="A819" s="28" t="str">
        <x:v>Returning F2P</x:v>
      </x:c>
      <x:c r="B819" s="38" t="n">
        <x:v>95</x:v>
      </x:c>
      <x:c r="C819" s="38" t="n">
        <x:v>39</x:v>
      </x:c>
      <x:c r="D819" s="38" t="n">
        <x:v>740553</x:v>
      </x:c>
      <x:c r="E819" s="38" t="n">
        <x:v>95</x:v>
      </x:c>
      <x:c r="F819" s="38" t="n">
        <x:v>645995</x:v>
      </x:c>
      <x:c r="G819" s="38" t="n">
        <x:v>110390</x:v>
      </x:c>
      <x:c r="H819" s="38" t="n">
        <x:v>22040</x:v>
      </x:c>
      <x:c r="I819" s="38" t="n">
        <x:v>4634</x:v>
      </x:c>
      <x:c r="J819" s="38" t="n">
        <x:v>0</x:v>
      </x:c>
      <x:c r="K819" s="38" t="n">
        <x:v>0</x:v>
      </x:c>
      <x:c r="L819" s="38" t="n">
        <x:v>0</x:v>
      </x:c>
      <x:c r="M819" s="38" t="n">
        <x:v>0</x:v>
      </x:c>
      <x:c r="N819" s="38" t="n">
        <x:v>0</x:v>
      </x:c>
      <x:c r="O819" s="38" t="n">
        <x:v>0</x:v>
      </x:c>
      <x:c r="P819" s="38" t="n">
        <x:f>F819+G819-H819+I819+J819+K819+L819-M819-N819-O819</x:f>
        <x:v>738979</x:v>
      </x:c>
      <x:c r="Q819" s="38" t="n">
        <x:v>738979</x:v>
      </x:c>
      <x:c r="R819" s="38" t="n">
        <x:f>P819-Q819</x:f>
        <x:v>0</x:v>
      </x:c>
      <x:c r="S819" s="38" t="n">
        <x:v>88350</x:v>
      </x:c>
      <x:c r="T819" s="38" t="n">
        <x:v>11139</x:v>
      </x:c>
      <x:c r="U819" s="38" t="n">
        <x:v>87</x:v>
      </x:c>
      <x:c r="V819" s="38" t="n">
        <x:v>0</x:v>
      </x:c>
      <x:c r="W819" s="38" t="n">
        <x:v>0</x:v>
      </x:c>
      <x:c r="X819" s="44" t="n">
        <x:v>0</x:v>
      </x:c>
      <x:c r="Y819" s="38" t="n">
        <x:v>190</x:v>
      </x:c>
      <x:c r="Z819" s="38" t="n">
        <x:v>39</x:v>
      </x:c>
      <x:c r="AA819" s="38" t="n">
        <x:v>31</x:v>
      </x:c>
      <x:c r="AB819" s="38" t="n">
        <x:v>8</x:v>
      </x:c>
      <x:c r="AC819" s="38" t="n">
        <x:v>11020</x:v>
      </x:c>
      <x:c r="AD819" s="38" t="n">
        <x:v>0</x:v>
      </x:c>
      <x:c r="AE819" s="38" t="n">
        <x:f>IF(B819=1,0,F819-Q818)</x:f>
        <x:v>0</x:v>
      </x:c>
    </x:row>
    <x:row r="820" ht="27" customHeight="1">
      <x:c r="A820" s="28" t="str">
        <x:v>Returning F2P</x:v>
      </x:c>
      <x:c r="B820" s="38" t="n">
        <x:v>96</x:v>
      </x:c>
      <x:c r="C820" s="38" t="n">
        <x:v>40</x:v>
      </x:c>
      <x:c r="D820" s="38" t="n">
        <x:v>742640</x:v>
      </x:c>
      <x:c r="E820" s="38" t="n">
        <x:v>100</x:v>
      </x:c>
      <x:c r="F820" s="38" t="n">
        <x:v>738979</x:v>
      </x:c>
      <x:c r="G820" s="38" t="n">
        <x:v>108457</x:v>
      </x:c>
      <x:c r="H820" s="38" t="n">
        <x:v>21802</x:v>
      </x:c>
      <x:c r="I820" s="38" t="n">
        <x:v>4634</x:v>
      </x:c>
      <x:c r="J820" s="38" t="n">
        <x:v>1240</x:v>
      </x:c>
      <x:c r="K820" s="38" t="n">
        <x:v>0</x:v>
      </x:c>
      <x:c r="L820" s="38" t="n">
        <x:v>0</x:v>
      </x:c>
      <x:c r="M820" s="38" t="n">
        <x:v>700000</x:v>
      </x:c>
      <x:c r="N820" s="38" t="n">
        <x:v>0</x:v>
      </x:c>
      <x:c r="O820" s="38" t="n">
        <x:v>120708</x:v>
      </x:c>
      <x:c r="P820" s="38" t="n">
        <x:f>F820+G820-H820+I820+J820+K820+L820-M820-N820-O820</x:f>
        <x:v>10800</x:v>
      </x:c>
      <x:c r="Q820" s="38" t="n">
        <x:v>10800</x:v>
      </x:c>
      <x:c r="R820" s="38" t="n">
        <x:f>P820-Q820</x:f>
        <x:v>0</x:v>
      </x:c>
      <x:c r="S820" s="38" t="n">
        <x:v>86745</x:v>
      </x:c>
      <x:c r="T820" s="38" t="n">
        <x:v>2087</x:v>
      </x:c>
      <x:c r="U820" s="38" t="n">
        <x:v>90</x:v>
      </x:c>
      <x:c r="V820" s="38" t="n">
        <x:v>3</x:v>
      </x:c>
      <x:c r="W820" s="38" t="n">
        <x:v>0</x:v>
      </x:c>
      <x:c r="X820" s="44" t="n">
        <x:v>0</x:v>
      </x:c>
      <x:c r="Y820" s="38" t="n">
        <x:v>194</x:v>
      </x:c>
      <x:c r="Z820" s="38" t="n">
        <x:v>39</x:v>
      </x:c>
      <x:c r="AA820" s="38" t="n">
        <x:v>31</x:v>
      </x:c>
      <x:c r="AB820" s="38" t="n">
        <x:v>8</x:v>
      </x:c>
      <x:c r="AC820" s="38" t="n">
        <x:v>11110</x:v>
      </x:c>
      <x:c r="AD820" s="38" t="n">
        <x:v>0</x:v>
      </x:c>
      <x:c r="AE820" s="38" t="n">
        <x:f>IF(B820=1,0,F820-Q819)</x:f>
        <x:v>0</x:v>
      </x:c>
    </x:row>
    <x:row r="821" ht="27" customHeight="1">
      <x:c r="A821" s="28" t="str">
        <x:v>Returning F2P</x:v>
      </x:c>
      <x:c r="B821" s="38" t="n">
        <x:v>97</x:v>
      </x:c>
      <x:c r="C821" s="38" t="n">
        <x:v>40</x:v>
      </x:c>
      <x:c r="D821" s="38" t="n">
        <x:v>742640</x:v>
      </x:c>
      <x:c r="E821" s="38" t="n">
        <x:v>100</x:v>
      </x:c>
      <x:c r="F821" s="38" t="n">
        <x:v>10800</x:v>
      </x:c>
      <x:c r="G821" s="38" t="n">
        <x:v>106524</x:v>
      </x:c>
      <x:c r="H821" s="38" t="n">
        <x:v>21384</x:v>
      </x:c>
      <x:c r="I821" s="38" t="n">
        <x:v>4959</x:v>
      </x:c>
      <x:c r="J821" s="38" t="n">
        <x:v>0</x:v>
      </x:c>
      <x:c r="K821" s="38" t="n">
        <x:v>0</x:v>
      </x:c>
      <x:c r="L821" s="38" t="n">
        <x:v>0</x:v>
      </x:c>
      <x:c r="M821" s="38" t="n">
        <x:v>0</x:v>
      </x:c>
      <x:c r="N821" s="38" t="n">
        <x:v>5005</x:v>
      </x:c>
      <x:c r="O821" s="38" t="n">
        <x:v>85094</x:v>
      </x:c>
      <x:c r="P821" s="38" t="n">
        <x:f>F821+G821-H821+I821+J821+K821+L821-M821-N821-O821</x:f>
        <x:v>10800</x:v>
      </x:c>
      <x:c r="Q821" s="38" t="n">
        <x:v>10800</x:v>
      </x:c>
      <x:c r="R821" s="38" t="n">
        <x:f>P821-Q821</x:f>
        <x:v>0</x:v>
      </x:c>
      <x:c r="S821" s="38" t="n">
        <x:v>85140</x:v>
      </x:c>
      <x:c r="T821" s="38" t="n">
        <x:v>0</x:v>
      </x:c>
      <x:c r="U821" s="38" t="n">
        <x:v>90</x:v>
      </x:c>
      <x:c r="V821" s="38" t="n">
        <x:v>0</x:v>
      </x:c>
      <x:c r="W821" s="38" t="n">
        <x:v>0</x:v>
      </x:c>
      <x:c r="X821" s="44" t="n">
        <x:v>0</x:v>
      </x:c>
      <x:c r="Y821" s="38" t="n">
        <x:v>198</x:v>
      </x:c>
      <x:c r="Z821" s="38" t="n">
        <x:v>39</x:v>
      </x:c>
      <x:c r="AA821" s="38" t="n">
        <x:v>32</x:v>
      </x:c>
      <x:c r="AB821" s="38" t="n">
        <x:v>8</x:v>
      </x:c>
      <x:c r="AC821" s="38" t="n">
        <x:v>11110</x:v>
      </x:c>
      <x:c r="AD821" s="38" t="n">
        <x:v>0</x:v>
      </x:c>
      <x:c r="AE821" s="38" t="n">
        <x:f>IF(B821=1,0,F821-Q820)</x:f>
        <x:v>0</x:v>
      </x:c>
    </x:row>
    <x:row r="822" ht="27" customHeight="1">
      <x:c r="A822" s="28" t="str">
        <x:v>Returning F2P</x:v>
      </x:c>
      <x:c r="B822" s="38" t="n">
        <x:v>98</x:v>
      </x:c>
      <x:c r="C822" s="38" t="n">
        <x:v>40</x:v>
      </x:c>
      <x:c r="D822" s="38" t="n">
        <x:v>742640</x:v>
      </x:c>
      <x:c r="E822" s="38" t="n">
        <x:v>100</x:v>
      </x:c>
      <x:c r="F822" s="38" t="n">
        <x:v>10800</x:v>
      </x:c>
      <x:c r="G822" s="38" t="n">
        <x:v>109153</x:v>
      </x:c>
      <x:c r="H822" s="38" t="n">
        <x:v>21600</x:v>
      </x:c>
      <x:c r="I822" s="38" t="n">
        <x:v>28130</x:v>
      </x:c>
      <x:c r="J822" s="38" t="n">
        <x:v>0</x:v>
      </x:c>
      <x:c r="K822" s="38" t="n">
        <x:v>0</x:v>
      </x:c>
      <x:c r="L822" s="38" t="n">
        <x:v>0</x:v>
      </x:c>
      <x:c r="M822" s="38" t="n">
        <x:v>0</x:v>
      </x:c>
      <x:c r="N822" s="38" t="n">
        <x:v>0</x:v>
      </x:c>
      <x:c r="O822" s="38" t="n">
        <x:v>115683</x:v>
      </x:c>
      <x:c r="P822" s="38" t="n">
        <x:f>F822+G822-H822+I822+J822+K822+L822-M822-N822-O822</x:f>
        <x:v>10800</x:v>
      </x:c>
      <x:c r="Q822" s="38" t="n">
        <x:v>10800</x:v>
      </x:c>
      <x:c r="R822" s="38" t="n">
        <x:f>P822-Q822</x:f>
        <x:v>0</x:v>
      </x:c>
      <x:c r="S822" s="38" t="n">
        <x:v>87243</x:v>
      </x:c>
      <x:c r="T822" s="38" t="n">
        <x:v>0</x:v>
      </x:c>
      <x:c r="U822" s="38" t="n">
        <x:v>94</x:v>
      </x:c>
      <x:c r="V822" s="38" t="n">
        <x:v>4</x:v>
      </x:c>
      <x:c r="W822" s="38" t="n">
        <x:v>0</x:v>
      </x:c>
      <x:c r="X822" s="44" t="n">
        <x:v>0</x:v>
      </x:c>
      <x:c r="Y822" s="38" t="n">
        <x:v>200</x:v>
      </x:c>
      <x:c r="Z822" s="38" t="n">
        <x:v>40</x:v>
      </x:c>
      <x:c r="AA822" s="38" t="n">
        <x:v>32</x:v>
      </x:c>
      <x:c r="AB822" s="38" t="n">
        <x:v>8</x:v>
      </x:c>
      <x:c r="AC822" s="38" t="n">
        <x:v>10800</x:v>
      </x:c>
      <x:c r="AD822" s="38" t="n">
        <x:v>0</x:v>
      </x:c>
      <x:c r="AE822" s="38" t="n">
        <x:f>IF(B822=1,0,F822-Q821)</x:f>
        <x:v>0</x:v>
      </x:c>
    </x:row>
    <x:row r="823" ht="27" customHeight="1">
      <x:c r="A823" s="28" t="str">
        <x:v>Returning F2P</x:v>
      </x:c>
      <x:c r="B823" s="38" t="n">
        <x:v>99</x:v>
      </x:c>
      <x:c r="C823" s="38" t="n">
        <x:v>40</x:v>
      </x:c>
      <x:c r="D823" s="38" t="n">
        <x:v>742640</x:v>
      </x:c>
      <x:c r="E823" s="38" t="n">
        <x:v>100</x:v>
      </x:c>
      <x:c r="F823" s="38" t="n">
        <x:v>10800</x:v>
      </x:c>
      <x:c r="G823" s="38" t="n">
        <x:v>107600</x:v>
      </x:c>
      <x:c r="H823" s="38" t="n">
        <x:v>21600</x:v>
      </x:c>
      <x:c r="I823" s="38" t="n">
        <x:v>4959</x:v>
      </x:c>
      <x:c r="J823" s="38" t="n">
        <x:v>0</x:v>
      </x:c>
      <x:c r="K823" s="38" t="n">
        <x:v>0</x:v>
      </x:c>
      <x:c r="L823" s="38" t="n">
        <x:v>0</x:v>
      </x:c>
      <x:c r="M823" s="38" t="n">
        <x:v>0</x:v>
      </x:c>
      <x:c r="N823" s="38" t="n">
        <x:v>0</x:v>
      </x:c>
      <x:c r="O823" s="38" t="n">
        <x:v>90959</x:v>
      </x:c>
      <x:c r="P823" s="38" t="n">
        <x:f>F823+G823-H823+I823+J823+K823+L823-M823-N823-O823</x:f>
        <x:v>10800</x:v>
      </x:c>
      <x:c r="Q823" s="38" t="n">
        <x:v>10800</x:v>
      </x:c>
      <x:c r="R823" s="38" t="n">
        <x:f>P823-Q823</x:f>
        <x:v>0</x:v>
      </x:c>
      <x:c r="S823" s="38" t="n">
        <x:v>86000</x:v>
      </x:c>
      <x:c r="T823" s="38" t="n">
        <x:v>0</x:v>
      </x:c>
      <x:c r="U823" s="38" t="n">
        <x:v>94</x:v>
      </x:c>
      <x:c r="V823" s="38" t="n">
        <x:v>0</x:v>
      </x:c>
      <x:c r="W823" s="38" t="n">
        <x:v>0</x:v>
      </x:c>
      <x:c r="X823" s="44" t="n">
        <x:v>0</x:v>
      </x:c>
      <x:c r="Y823" s="38" t="n">
        <x:v>200</x:v>
      </x:c>
      <x:c r="Z823" s="38" t="n">
        <x:v>40</x:v>
      </x:c>
      <x:c r="AA823" s="38" t="n">
        <x:v>32</x:v>
      </x:c>
      <x:c r="AB823" s="38" t="n">
        <x:v>8</x:v>
      </x:c>
      <x:c r="AC823" s="38" t="n">
        <x:v>10800</x:v>
      </x:c>
      <x:c r="AD823" s="38" t="n">
        <x:v>0</x:v>
      </x:c>
      <x:c r="AE823" s="38" t="n">
        <x:f>IF(B823=1,0,F823-Q822)</x:f>
        <x:v>0</x:v>
      </x:c>
    </x:row>
    <x:row r="824" ht="27" customHeight="1">
      <x:c r="A824" s="28" t="str">
        <x:v>Returning F2P</x:v>
      </x:c>
      <x:c r="B824" s="38" t="n">
        <x:v>100</x:v>
      </x:c>
      <x:c r="C824" s="38" t="n">
        <x:v>40</x:v>
      </x:c>
      <x:c r="D824" s="38" t="n">
        <x:v>742640</x:v>
      </x:c>
      <x:c r="E824" s="38" t="n">
        <x:v>100</x:v>
      </x:c>
      <x:c r="F824" s="38" t="n">
        <x:v>10800</x:v>
      </x:c>
      <x:c r="G824" s="38" t="n">
        <x:v>107600</x:v>
      </x:c>
      <x:c r="H824" s="38" t="n">
        <x:v>21600</x:v>
      </x:c>
      <x:c r="I824" s="38" t="n">
        <x:v>4959</x:v>
      </x:c>
      <x:c r="J824" s="38" t="n">
        <x:v>0</x:v>
      </x:c>
      <x:c r="K824" s="38" t="n">
        <x:v>0</x:v>
      </x:c>
      <x:c r="L824" s="38" t="n">
        <x:v>0</x:v>
      </x:c>
      <x:c r="M824" s="38" t="n">
        <x:v>0</x:v>
      </x:c>
      <x:c r="N824" s="38" t="n">
        <x:v>5120</x:v>
      </x:c>
      <x:c r="O824" s="38" t="n">
        <x:v>83456</x:v>
      </x:c>
      <x:c r="P824" s="38" t="n">
        <x:f>F824+G824-H824+I824+J824+K824+L824-M824-N824-O824</x:f>
        <x:v>13183</x:v>
      </x:c>
      <x:c r="Q824" s="38" t="n">
        <x:v>13183</x:v>
      </x:c>
      <x:c r="R824" s="38" t="n">
        <x:f>P824-Q824</x:f>
        <x:v>0</x:v>
      </x:c>
      <x:c r="S824" s="38" t="n">
        <x:v>86000</x:v>
      </x:c>
      <x:c r="T824" s="38" t="n">
        <x:v>0</x:v>
      </x:c>
      <x:c r="U824" s="38" t="n">
        <x:v>94</x:v>
      </x:c>
      <x:c r="V824" s="38" t="n">
        <x:v>0</x:v>
      </x:c>
      <x:c r="W824" s="38" t="n">
        <x:v>0</x:v>
      </x:c>
      <x:c r="X824" s="44" t="n">
        <x:v>0</x:v>
      </x:c>
      <x:c r="Y824" s="38" t="n">
        <x:v>200</x:v>
      </x:c>
      <x:c r="Z824" s="38" t="n">
        <x:v>40</x:v>
      </x:c>
      <x:c r="AA824" s="38" t="n">
        <x:v>33</x:v>
      </x:c>
      <x:c r="AB824" s="38" t="n">
        <x:v>9</x:v>
      </x:c>
      <x:c r="AC824" s="38" t="n">
        <x:v>10800</x:v>
      </x:c>
      <x:c r="AD824" s="38" t="n">
        <x:v>0</x:v>
      </x:c>
      <x:c r="AE824" s="38" t="n">
        <x:f>IF(B824=1,0,F824-Q823)</x:f>
        <x:v>0</x:v>
      </x:c>
    </x:row>
    <x:row r="825" ht="27" customHeight="1">
      <x:c r="A825" s="28" t="str">
        <x:v>Returning F2P</x:v>
      </x:c>
      <x:c r="B825" s="38" t="n">
        <x:v>101</x:v>
      </x:c>
      <x:c r="C825" s="38" t="n">
        <x:v>40</x:v>
      </x:c>
      <x:c r="D825" s="38" t="n">
        <x:v>742640</x:v>
      </x:c>
      <x:c r="E825" s="38" t="n">
        <x:v>100</x:v>
      </x:c>
      <x:c r="F825" s="38" t="n">
        <x:v>13183</x:v>
      </x:c>
      <x:c r="G825" s="38" t="n">
        <x:v>107600</x:v>
      </x:c>
      <x:c r="H825" s="38" t="n">
        <x:v>21600</x:v>
      </x:c>
      <x:c r="I825" s="38" t="n">
        <x:v>4959</x:v>
      </x:c>
      <x:c r="J825" s="38" t="n">
        <x:v>0</x:v>
      </x:c>
      <x:c r="K825" s="38" t="n">
        <x:v>0</x:v>
      </x:c>
      <x:c r="L825" s="38" t="n">
        <x:v>0</x:v>
      </x:c>
      <x:c r="M825" s="38" t="n">
        <x:v>0</x:v>
      </x:c>
      <x:c r="N825" s="38" t="n">
        <x:v>0</x:v>
      </x:c>
      <x:c r="O825" s="38" t="n">
        <x:v>93342</x:v>
      </x:c>
      <x:c r="P825" s="38" t="n">
        <x:f>F825+G825-H825+I825+J825+K825+L825-M825-N825-O825</x:f>
        <x:v>10800</x:v>
      </x:c>
      <x:c r="Q825" s="38" t="n">
        <x:v>10800</x:v>
      </x:c>
      <x:c r="R825" s="38" t="n">
        <x:f>P825-Q825</x:f>
        <x:v>0</x:v>
      </x:c>
      <x:c r="S825" s="38" t="n">
        <x:v>86000</x:v>
      </x:c>
      <x:c r="T825" s="38" t="n">
        <x:v>0</x:v>
      </x:c>
      <x:c r="U825" s="38" t="n">
        <x:v>94</x:v>
      </x:c>
      <x:c r="V825" s="38" t="n">
        <x:v>0</x:v>
      </x:c>
      <x:c r="W825" s="38" t="n">
        <x:v>0</x:v>
      </x:c>
      <x:c r="X825" s="44" t="n">
        <x:v>0</x:v>
      </x:c>
      <x:c r="Y825" s="38" t="n">
        <x:v>200</x:v>
      </x:c>
      <x:c r="Z825" s="38" t="n">
        <x:v>40</x:v>
      </x:c>
      <x:c r="AA825" s="38" t="n">
        <x:v>33</x:v>
      </x:c>
      <x:c r="AB825" s="38" t="n">
        <x:v>9</x:v>
      </x:c>
      <x:c r="AC825" s="38" t="n">
        <x:v>10800</x:v>
      </x:c>
      <x:c r="AD825" s="38" t="n">
        <x:v>0</x:v>
      </x:c>
      <x:c r="AE825" s="38" t="n">
        <x:f>IF(B825=1,0,F825-Q824)</x:f>
        <x:v>0</x:v>
      </x:c>
    </x:row>
    <x:row r="826" ht="27" customHeight="1">
      <x:c r="A826" s="28" t="str">
        <x:v>Returning F2P</x:v>
      </x:c>
      <x:c r="B826" s="38" t="n">
        <x:v>102</x:v>
      </x:c>
      <x:c r="C826" s="38" t="n">
        <x:v>40</x:v>
      </x:c>
      <x:c r="D826" s="38" t="n">
        <x:v>742640</x:v>
      </x:c>
      <x:c r="E826" s="38" t="n">
        <x:v>100</x:v>
      </x:c>
      <x:c r="F826" s="38" t="n">
        <x:v>10800</x:v>
      </x:c>
      <x:c r="G826" s="38" t="n">
        <x:v>107600</x:v>
      </x:c>
      <x:c r="H826" s="38" t="n">
        <x:v>21600</x:v>
      </x:c>
      <x:c r="I826" s="38" t="n">
        <x:v>4959</x:v>
      </x:c>
      <x:c r="J826" s="38" t="n">
        <x:v>0</x:v>
      </x:c>
      <x:c r="K826" s="38" t="n">
        <x:v>0</x:v>
      </x:c>
      <x:c r="L826" s="38" t="n">
        <x:v>0</x:v>
      </x:c>
      <x:c r="M826" s="38" t="n">
        <x:v>0</x:v>
      </x:c>
      <x:c r="N826" s="38" t="n">
        <x:v>0</x:v>
      </x:c>
      <x:c r="O826" s="38" t="n">
        <x:v>90959</x:v>
      </x:c>
      <x:c r="P826" s="38" t="n">
        <x:f>F826+G826-H826+I826+J826+K826+L826-M826-N826-O826</x:f>
        <x:v>10800</x:v>
      </x:c>
      <x:c r="Q826" s="38" t="n">
        <x:v>10800</x:v>
      </x:c>
      <x:c r="R826" s="38" t="n">
        <x:f>P826-Q826</x:f>
        <x:v>0</x:v>
      </x:c>
      <x:c r="S826" s="38" t="n">
        <x:v>86000</x:v>
      </x:c>
      <x:c r="T826" s="38" t="n">
        <x:v>0</x:v>
      </x:c>
      <x:c r="U826" s="38" t="n">
        <x:v>94</x:v>
      </x:c>
      <x:c r="V826" s="38" t="n">
        <x:v>0</x:v>
      </x:c>
      <x:c r="W826" s="38" t="n">
        <x:v>0</x:v>
      </x:c>
      <x:c r="X826" s="44" t="n">
        <x:v>0</x:v>
      </x:c>
      <x:c r="Y826" s="38" t="n">
        <x:v>200</x:v>
      </x:c>
      <x:c r="Z826" s="38" t="n">
        <x:v>40</x:v>
      </x:c>
      <x:c r="AA826" s="38" t="n">
        <x:v>33</x:v>
      </x:c>
      <x:c r="AB826" s="38" t="n">
        <x:v>9</x:v>
      </x:c>
      <x:c r="AC826" s="38" t="n">
        <x:v>10800</x:v>
      </x:c>
      <x:c r="AD826" s="38" t="n">
        <x:v>0</x:v>
      </x:c>
      <x:c r="AE826" s="38" t="n">
        <x:f>IF(B826=1,0,F826-Q825)</x:f>
        <x:v>0</x:v>
      </x:c>
    </x:row>
    <x:row r="827" ht="27" customHeight="1">
      <x:c r="A827" s="28" t="str">
        <x:v>Returning F2P</x:v>
      </x:c>
      <x:c r="B827" s="38" t="n">
        <x:v>103</x:v>
      </x:c>
      <x:c r="C827" s="38" t="n">
        <x:v>40</x:v>
      </x:c>
      <x:c r="D827" s="38" t="n">
        <x:v>742640</x:v>
      </x:c>
      <x:c r="E827" s="38" t="n">
        <x:v>100</x:v>
      </x:c>
      <x:c r="F827" s="38" t="n">
        <x:v>10800</x:v>
      </x:c>
      <x:c r="G827" s="38" t="n">
        <x:v>107600</x:v>
      </x:c>
      <x:c r="H827" s="38" t="n">
        <x:v>21600</x:v>
      </x:c>
      <x:c r="I827" s="38" t="n">
        <x:v>4959</x:v>
      </x:c>
      <x:c r="J827" s="38" t="n">
        <x:v>0</x:v>
      </x:c>
      <x:c r="K827" s="38" t="n">
        <x:v>0</x:v>
      </x:c>
      <x:c r="L827" s="38" t="n">
        <x:v>0</x:v>
      </x:c>
      <x:c r="M827" s="38" t="n">
        <x:v>0</x:v>
      </x:c>
      <x:c r="N827" s="38" t="n">
        <x:v>9820</x:v>
      </x:c>
      <x:c r="O827" s="38" t="n">
        <x:v>81139</x:v>
      </x:c>
      <x:c r="P827" s="38" t="n">
        <x:f>F827+G827-H827+I827+J827+K827+L827-M827-N827-O827</x:f>
        <x:v>10800</x:v>
      </x:c>
      <x:c r="Q827" s="38" t="n">
        <x:v>10800</x:v>
      </x:c>
      <x:c r="R827" s="38" t="n">
        <x:f>P827-Q827</x:f>
        <x:v>0</x:v>
      </x:c>
      <x:c r="S827" s="38" t="n">
        <x:v>86000</x:v>
      </x:c>
      <x:c r="T827" s="38" t="n">
        <x:v>0</x:v>
      </x:c>
      <x:c r="U827" s="38" t="n">
        <x:v>94</x:v>
      </x:c>
      <x:c r="V827" s="38" t="n">
        <x:v>0</x:v>
      </x:c>
      <x:c r="W827" s="38" t="n">
        <x:v>0</x:v>
      </x:c>
      <x:c r="X827" s="44" t="n">
        <x:v>0</x:v>
      </x:c>
      <x:c r="Y827" s="38" t="n">
        <x:v>200</x:v>
      </x:c>
      <x:c r="Z827" s="38" t="n">
        <x:v>40</x:v>
      </x:c>
      <x:c r="AA827" s="38" t="n">
        <x:v>34</x:v>
      </x:c>
      <x:c r="AB827" s="38" t="n">
        <x:v>9</x:v>
      </x:c>
      <x:c r="AC827" s="38" t="n">
        <x:v>10800</x:v>
      </x:c>
      <x:c r="AD827" s="38" t="n">
        <x:v>0</x:v>
      </x:c>
      <x:c r="AE827" s="38" t="n">
        <x:f>IF(B827=1,0,F827-Q826)</x:f>
        <x:v>0</x:v>
      </x:c>
    </x:row>
    <x:row r="828" ht="27" customHeight="1">
      <x:c r="A828" s="28" t="str">
        <x:v>Returning F2P</x:v>
      </x:c>
      <x:c r="B828" s="38" t="n">
        <x:v>104</x:v>
      </x:c>
      <x:c r="C828" s="38" t="n">
        <x:v>40</x:v>
      </x:c>
      <x:c r="D828" s="38" t="n">
        <x:v>742640</x:v>
      </x:c>
      <x:c r="E828" s="38" t="n">
        <x:v>100</x:v>
      </x:c>
      <x:c r="F828" s="38" t="n">
        <x:v>10800</x:v>
      </x:c>
      <x:c r="G828" s="38" t="n">
        <x:v>107600</x:v>
      </x:c>
      <x:c r="H828" s="38" t="n">
        <x:v>21600</x:v>
      </x:c>
      <x:c r="I828" s="38" t="n">
        <x:v>4959</x:v>
      </x:c>
      <x:c r="J828" s="38" t="n">
        <x:v>0</x:v>
      </x:c>
      <x:c r="K828" s="38" t="n">
        <x:v>0</x:v>
      </x:c>
      <x:c r="L828" s="38" t="n">
        <x:v>0</x:v>
      </x:c>
      <x:c r="M828" s="38" t="n">
        <x:v>0</x:v>
      </x:c>
      <x:c r="N828" s="38" t="n">
        <x:v>0</x:v>
      </x:c>
      <x:c r="O828" s="38" t="n">
        <x:v>90959</x:v>
      </x:c>
      <x:c r="P828" s="38" t="n">
        <x:f>F828+G828-H828+I828+J828+K828+L828-M828-N828-O828</x:f>
        <x:v>10800</x:v>
      </x:c>
      <x:c r="Q828" s="38" t="n">
        <x:v>10800</x:v>
      </x:c>
      <x:c r="R828" s="38" t="n">
        <x:f>P828-Q828</x:f>
        <x:v>0</x:v>
      </x:c>
      <x:c r="S828" s="38" t="n">
        <x:v>86000</x:v>
      </x:c>
      <x:c r="T828" s="38" t="n">
        <x:v>0</x:v>
      </x:c>
      <x:c r="U828" s="38" t="n">
        <x:v>94</x:v>
      </x:c>
      <x:c r="V828" s="38" t="n">
        <x:v>0</x:v>
      </x:c>
      <x:c r="W828" s="38" t="n">
        <x:v>0</x:v>
      </x:c>
      <x:c r="X828" s="44" t="n">
        <x:v>0</x:v>
      </x:c>
      <x:c r="Y828" s="38" t="n">
        <x:v>200</x:v>
      </x:c>
      <x:c r="Z828" s="38" t="n">
        <x:v>40</x:v>
      </x:c>
      <x:c r="AA828" s="38" t="n">
        <x:v>34</x:v>
      </x:c>
      <x:c r="AB828" s="38" t="n">
        <x:v>9</x:v>
      </x:c>
      <x:c r="AC828" s="38" t="n">
        <x:v>10800</x:v>
      </x:c>
      <x:c r="AD828" s="38" t="n">
        <x:v>0</x:v>
      </x:c>
      <x:c r="AE828" s="38" t="n">
        <x:f>IF(B828=1,0,F828-Q827)</x:f>
        <x:v>0</x:v>
      </x:c>
    </x:row>
    <x:row r="829" ht="27" customHeight="1">
      <x:c r="A829" s="28" t="str">
        <x:v>Returning F2P</x:v>
      </x:c>
      <x:c r="B829" s="38" t="n">
        <x:v>105</x:v>
      </x:c>
      <x:c r="C829" s="38" t="n">
        <x:v>40</x:v>
      </x:c>
      <x:c r="D829" s="38" t="n">
        <x:v>742640</x:v>
      </x:c>
      <x:c r="E829" s="38" t="n">
        <x:v>100</x:v>
      </x:c>
      <x:c r="F829" s="38" t="n">
        <x:v>10800</x:v>
      </x:c>
      <x:c r="G829" s="38" t="n">
        <x:v>107600</x:v>
      </x:c>
      <x:c r="H829" s="38" t="n">
        <x:v>21600</x:v>
      </x:c>
      <x:c r="I829" s="38" t="n">
        <x:v>29754</x:v>
      </x:c>
      <x:c r="J829" s="38" t="n">
        <x:v>0</x:v>
      </x:c>
      <x:c r="K829" s="38" t="n">
        <x:v>0</x:v>
      </x:c>
      <x:c r="L829" s="38" t="n">
        <x:v>0</x:v>
      </x:c>
      <x:c r="M829" s="38" t="n">
        <x:v>0</x:v>
      </x:c>
      <x:c r="N829" s="38" t="n">
        <x:v>0</x:v>
      </x:c>
      <x:c r="O829" s="38" t="n">
        <x:v>115754</x:v>
      </x:c>
      <x:c r="P829" s="38" t="n">
        <x:f>F829+G829-H829+I829+J829+K829+L829-M829-N829-O829</x:f>
        <x:v>10800</x:v>
      </x:c>
      <x:c r="Q829" s="38" t="n">
        <x:v>10800</x:v>
      </x:c>
      <x:c r="R829" s="38" t="n">
        <x:f>P829-Q829</x:f>
        <x:v>0</x:v>
      </x:c>
      <x:c r="S829" s="38" t="n">
        <x:v>86000</x:v>
      </x:c>
      <x:c r="T829" s="38" t="n">
        <x:v>0</x:v>
      </x:c>
      <x:c r="U829" s="38" t="n">
        <x:v>96</x:v>
      </x:c>
      <x:c r="V829" s="38" t="n">
        <x:v>2</x:v>
      </x:c>
      <x:c r="W829" s="38" t="n">
        <x:v>0</x:v>
      </x:c>
      <x:c r="X829" s="44" t="n">
        <x:v>0</x:v>
      </x:c>
      <x:c r="Y829" s="38" t="n">
        <x:v>200</x:v>
      </x:c>
      <x:c r="Z829" s="38" t="n">
        <x:v>40</x:v>
      </x:c>
      <x:c r="AA829" s="38" t="n">
        <x:v>34</x:v>
      </x:c>
      <x:c r="AB829" s="38" t="n">
        <x:v>9</x:v>
      </x:c>
      <x:c r="AC829" s="38" t="n">
        <x:v>10800</x:v>
      </x:c>
      <x:c r="AD829" s="38" t="n">
        <x:v>0</x:v>
      </x:c>
      <x:c r="AE829" s="38" t="n">
        <x:f>IF(B829=1,0,F829-Q828)</x:f>
        <x:v>0</x:v>
      </x:c>
    </x:row>
    <x:row r="830" ht="27" customHeight="1">
      <x:c r="A830" s="28" t="str">
        <x:v>Returning F2P</x:v>
      </x:c>
      <x:c r="B830" s="38" t="n">
        <x:v>106</x:v>
      </x:c>
      <x:c r="C830" s="38" t="n">
        <x:v>40</x:v>
      </x:c>
      <x:c r="D830" s="38" t="n">
        <x:v>742640</x:v>
      </x:c>
      <x:c r="E830" s="38" t="n">
        <x:v>100</x:v>
      </x:c>
      <x:c r="F830" s="38" t="n">
        <x:v>10800</x:v>
      </x:c>
      <x:c r="G830" s="38" t="n">
        <x:v>107600</x:v>
      </x:c>
      <x:c r="H830" s="38" t="n">
        <x:v>21600</x:v>
      </x:c>
      <x:c r="I830" s="38" t="n">
        <x:v>4959</x:v>
      </x:c>
      <x:c r="J830" s="38" t="n">
        <x:v>0</x:v>
      </x:c>
      <x:c r="K830" s="38" t="n">
        <x:v>0</x:v>
      </x:c>
      <x:c r="L830" s="38" t="n">
        <x:v>0</x:v>
      </x:c>
      <x:c r="M830" s="38" t="n">
        <x:v>0</x:v>
      </x:c>
      <x:c r="N830" s="38" t="n">
        <x:v>11865</x:v>
      </x:c>
      <x:c r="O830" s="38" t="n">
        <x:v>74021</x:v>
      </x:c>
      <x:c r="P830" s="38" t="n">
        <x:f>F830+G830-H830+I830+J830+K830+L830-M830-N830-O830</x:f>
        <x:v>15873</x:v>
      </x:c>
      <x:c r="Q830" s="38" t="n">
        <x:v>15873</x:v>
      </x:c>
      <x:c r="R830" s="38" t="n">
        <x:f>P830-Q830</x:f>
        <x:v>0</x:v>
      </x:c>
      <x:c r="S830" s="38" t="n">
        <x:v>86000</x:v>
      </x:c>
      <x:c r="T830" s="38" t="n">
        <x:v>0</x:v>
      </x:c>
      <x:c r="U830" s="38" t="n">
        <x:v>100</x:v>
      </x:c>
      <x:c r="V830" s="38" t="n">
        <x:v>4</x:v>
      </x:c>
      <x:c r="W830" s="38" t="n">
        <x:v>0</x:v>
      </x:c>
      <x:c r="X830" s="44" t="n">
        <x:v>0</x:v>
      </x:c>
      <x:c r="Y830" s="38" t="n">
        <x:v>200</x:v>
      </x:c>
      <x:c r="Z830" s="38" t="n">
        <x:v>40</x:v>
      </x:c>
      <x:c r="AA830" s="38" t="n">
        <x:v>35</x:v>
      </x:c>
      <x:c r="AB830" s="38" t="n">
        <x:v>9</x:v>
      </x:c>
      <x:c r="AC830" s="38" t="n">
        <x:v>10800</x:v>
      </x:c>
      <x:c r="AD830" s="38" t="n">
        <x:v>0</x:v>
      </x:c>
      <x:c r="AE830" s="38" t="n">
        <x:f>IF(B830=1,0,F830-Q829)</x:f>
        <x:v>0</x:v>
      </x:c>
    </x:row>
    <x:row r="831" ht="27" customHeight="1">
      <x:c r="A831" s="28" t="str">
        <x:v>Returning F2P</x:v>
      </x:c>
      <x:c r="B831" s="38" t="n">
        <x:v>107</x:v>
      </x:c>
      <x:c r="C831" s="38" t="n">
        <x:v>40</x:v>
      </x:c>
      <x:c r="D831" s="38" t="n">
        <x:v>742640</x:v>
      </x:c>
      <x:c r="E831" s="38" t="n">
        <x:v>100</x:v>
      </x:c>
      <x:c r="F831" s="38" t="n">
        <x:v>15873</x:v>
      </x:c>
      <x:c r="G831" s="38" t="n">
        <x:v>107600</x:v>
      </x:c>
      <x:c r="H831" s="38" t="n">
        <x:v>21600</x:v>
      </x:c>
      <x:c r="I831" s="38" t="n">
        <x:v>4959</x:v>
      </x:c>
      <x:c r="J831" s="38" t="n">
        <x:v>0</x:v>
      </x:c>
      <x:c r="K831" s="38" t="n">
        <x:v>0</x:v>
      </x:c>
      <x:c r="L831" s="38" t="n">
        <x:v>0</x:v>
      </x:c>
      <x:c r="M831" s="38" t="n">
        <x:v>0</x:v>
      </x:c>
      <x:c r="N831" s="38" t="n">
        <x:v>0</x:v>
      </x:c>
      <x:c r="O831" s="38" t="n">
        <x:v>30100</x:v>
      </x:c>
      <x:c r="P831" s="38" t="n">
        <x:f>F831+G831-H831+I831+J831+K831+L831-M831-N831-O831</x:f>
        <x:v>76732</x:v>
      </x:c>
      <x:c r="Q831" s="38" t="n">
        <x:v>76732</x:v>
      </x:c>
      <x:c r="R831" s="38" t="n">
        <x:f>P831-Q831</x:f>
        <x:v>0</x:v>
      </x:c>
      <x:c r="S831" s="38" t="n">
        <x:v>86000</x:v>
      </x:c>
      <x:c r="T831" s="38" t="n">
        <x:v>0</x:v>
      </x:c>
      <x:c r="U831" s="38" t="n">
        <x:v>100</x:v>
      </x:c>
      <x:c r="V831" s="38" t="n">
        <x:v>0</x:v>
      </x:c>
      <x:c r="W831" s="38" t="n">
        <x:v>0</x:v>
      </x:c>
      <x:c r="X831" s="44" t="n">
        <x:v>0</x:v>
      </x:c>
      <x:c r="Y831" s="38" t="n">
        <x:v>200</x:v>
      </x:c>
      <x:c r="Z831" s="38" t="n">
        <x:v>40</x:v>
      </x:c>
      <x:c r="AA831" s="38" t="n">
        <x:v>35</x:v>
      </x:c>
      <x:c r="AB831" s="38" t="n">
        <x:v>9</x:v>
      </x:c>
      <x:c r="AC831" s="38" t="n">
        <x:v>10800</x:v>
      </x:c>
      <x:c r="AD831" s="38" t="n">
        <x:v>0</x:v>
      </x:c>
      <x:c r="AE831" s="38" t="n">
        <x:f>IF(B831=1,0,F831-Q830)</x:f>
        <x:v>0</x:v>
      </x:c>
    </x:row>
    <x:row r="832" ht="27" customHeight="1">
      <x:c r="A832" s="28" t="str">
        <x:v>Returning F2P</x:v>
      </x:c>
      <x:c r="B832" s="38" t="n">
        <x:v>108</x:v>
      </x:c>
      <x:c r="C832" s="38" t="n">
        <x:v>40</x:v>
      </x:c>
      <x:c r="D832" s="38" t="n">
        <x:v>742640</x:v>
      </x:c>
      <x:c r="E832" s="38" t="n">
        <x:v>100</x:v>
      </x:c>
      <x:c r="F832" s="38" t="n">
        <x:v>76732</x:v>
      </x:c>
      <x:c r="G832" s="38" t="n">
        <x:v>107600</x:v>
      </x:c>
      <x:c r="H832" s="38" t="n">
        <x:v>21600</x:v>
      </x:c>
      <x:c r="I832" s="38" t="n">
        <x:v>4959</x:v>
      </x:c>
      <x:c r="J832" s="38" t="n">
        <x:v>0</x:v>
      </x:c>
      <x:c r="K832" s="38" t="n">
        <x:v>0</x:v>
      </x:c>
      <x:c r="L832" s="38" t="n">
        <x:v>0</x:v>
      </x:c>
      <x:c r="M832" s="38" t="n">
        <x:v>0</x:v>
      </x:c>
      <x:c r="N832" s="38" t="n">
        <x:v>0</x:v>
      </x:c>
      <x:c r="O832" s="38" t="n">
        <x:v>30100</x:v>
      </x:c>
      <x:c r="P832" s="38" t="n">
        <x:f>F832+G832-H832+I832+J832+K832+L832-M832-N832-O832</x:f>
        <x:v>137591</x:v>
      </x:c>
      <x:c r="Q832" s="38" t="n">
        <x:v>137591</x:v>
      </x:c>
      <x:c r="R832" s="38" t="n">
        <x:f>P832-Q832</x:f>
        <x:v>0</x:v>
      </x:c>
      <x:c r="S832" s="38" t="n">
        <x:v>86000</x:v>
      </x:c>
      <x:c r="T832" s="38" t="n">
        <x:v>0</x:v>
      </x:c>
      <x:c r="U832" s="38" t="n">
        <x:v>100</x:v>
      </x:c>
      <x:c r="V832" s="38" t="n">
        <x:v>0</x:v>
      </x:c>
      <x:c r="W832" s="38" t="n">
        <x:v>0</x:v>
      </x:c>
      <x:c r="X832" s="44" t="n">
        <x:v>0</x:v>
      </x:c>
      <x:c r="Y832" s="38" t="n">
        <x:v>200</x:v>
      </x:c>
      <x:c r="Z832" s="38" t="n">
        <x:v>40</x:v>
      </x:c>
      <x:c r="AA832" s="38" t="n">
        <x:v>35</x:v>
      </x:c>
      <x:c r="AB832" s="38" t="n">
        <x:v>9</x:v>
      </x:c>
      <x:c r="AC832" s="38" t="n">
        <x:v>10800</x:v>
      </x:c>
      <x:c r="AD832" s="38" t="n">
        <x:v>0</x:v>
      </x:c>
      <x:c r="AE832" s="38" t="n">
        <x:f>IF(B832=1,0,F832-Q831)</x:f>
        <x:v>0</x:v>
      </x:c>
    </x:row>
    <x:row r="833" ht="27" customHeight="1">
      <x:c r="A833" s="28" t="str">
        <x:v>Returning F2P</x:v>
      </x:c>
      <x:c r="B833" s="38" t="n">
        <x:v>109</x:v>
      </x:c>
      <x:c r="C833" s="38" t="n">
        <x:v>40</x:v>
      </x:c>
      <x:c r="D833" s="38" t="n">
        <x:v>742640</x:v>
      </x:c>
      <x:c r="E833" s="38" t="n">
        <x:v>100</x:v>
      </x:c>
      <x:c r="F833" s="38" t="n">
        <x:v>137591</x:v>
      </x:c>
      <x:c r="G833" s="38" t="n">
        <x:v>107600</x:v>
      </x:c>
      <x:c r="H833" s="38" t="n">
        <x:v>21600</x:v>
      </x:c>
      <x:c r="I833" s="38" t="n">
        <x:v>4959</x:v>
      </x:c>
      <x:c r="J833" s="38" t="n">
        <x:v>0</x:v>
      </x:c>
      <x:c r="K833" s="38" t="n">
        <x:v>0</x:v>
      </x:c>
      <x:c r="L833" s="38" t="n">
        <x:v>0</x:v>
      </x:c>
      <x:c r="M833" s="38" t="n">
        <x:v>0</x:v>
      </x:c>
      <x:c r="N833" s="38" t="n">
        <x:v>12120</x:v>
      </x:c>
      <x:c r="O833" s="38" t="n">
        <x:v>30100</x:v>
      </x:c>
      <x:c r="P833" s="38" t="n">
        <x:f>F833+G833-H833+I833+J833+K833+L833-M833-N833-O833</x:f>
        <x:v>186330</x:v>
      </x:c>
      <x:c r="Q833" s="38" t="n">
        <x:v>186330</x:v>
      </x:c>
      <x:c r="R833" s="38" t="n">
        <x:f>P833-Q833</x:f>
        <x:v>0</x:v>
      </x:c>
      <x:c r="S833" s="38" t="n">
        <x:v>86000</x:v>
      </x:c>
      <x:c r="T833" s="38" t="n">
        <x:v>0</x:v>
      </x:c>
      <x:c r="U833" s="38" t="n">
        <x:v>100</x:v>
      </x:c>
      <x:c r="V833" s="38" t="n">
        <x:v>0</x:v>
      </x:c>
      <x:c r="W833" s="38" t="n">
        <x:v>0</x:v>
      </x:c>
      <x:c r="X833" s="44" t="n">
        <x:v>0</x:v>
      </x:c>
      <x:c r="Y833" s="38" t="n">
        <x:v>200</x:v>
      </x:c>
      <x:c r="Z833" s="38" t="n">
        <x:v>40</x:v>
      </x:c>
      <x:c r="AA833" s="38" t="n">
        <x:v>36</x:v>
      </x:c>
      <x:c r="AB833" s="38" t="n">
        <x:v>9</x:v>
      </x:c>
      <x:c r="AC833" s="38" t="n">
        <x:v>10800</x:v>
      </x:c>
      <x:c r="AD833" s="38" t="n">
        <x:v>0</x:v>
      </x:c>
      <x:c r="AE833" s="38" t="n">
        <x:f>IF(B833=1,0,F833-Q832)</x:f>
        <x:v>0</x:v>
      </x:c>
    </x:row>
    <x:row r="834" ht="27" customHeight="1">
      <x:c r="A834" s="28" t="str">
        <x:v>Returning F2P</x:v>
      </x:c>
      <x:c r="B834" s="38" t="n">
        <x:v>110</x:v>
      </x:c>
      <x:c r="C834" s="38" t="n">
        <x:v>40</x:v>
      </x:c>
      <x:c r="D834" s="38" t="n">
        <x:v>742640</x:v>
      </x:c>
      <x:c r="E834" s="38" t="n">
        <x:v>100</x:v>
      </x:c>
      <x:c r="F834" s="38" t="n">
        <x:v>186330</x:v>
      </x:c>
      <x:c r="G834" s="38" t="n">
        <x:v>107600</x:v>
      </x:c>
      <x:c r="H834" s="38" t="n">
        <x:v>21600</x:v>
      </x:c>
      <x:c r="I834" s="38" t="n">
        <x:v>4959</x:v>
      </x:c>
      <x:c r="J834" s="38" t="n">
        <x:v>0</x:v>
      </x:c>
      <x:c r="K834" s="38" t="n">
        <x:v>0</x:v>
      </x:c>
      <x:c r="L834" s="38" t="n">
        <x:v>0</x:v>
      </x:c>
      <x:c r="M834" s="38" t="n">
        <x:v>0</x:v>
      </x:c>
      <x:c r="N834" s="38" t="n">
        <x:v>0</x:v>
      </x:c>
      <x:c r="O834" s="38" t="n">
        <x:v>30100</x:v>
      </x:c>
      <x:c r="P834" s="38" t="n">
        <x:f>F834+G834-H834+I834+J834+K834+L834-M834-N834-O834</x:f>
        <x:v>247189</x:v>
      </x:c>
      <x:c r="Q834" s="38" t="n">
        <x:v>247189</x:v>
      </x:c>
      <x:c r="R834" s="38" t="n">
        <x:f>P834-Q834</x:f>
        <x:v>0</x:v>
      </x:c>
      <x:c r="S834" s="38" t="n">
        <x:v>86000</x:v>
      </x:c>
      <x:c r="T834" s="38" t="n">
        <x:v>0</x:v>
      </x:c>
      <x:c r="U834" s="38" t="n">
        <x:v>100</x:v>
      </x:c>
      <x:c r="V834" s="38" t="n">
        <x:v>0</x:v>
      </x:c>
      <x:c r="W834" s="38" t="n">
        <x:v>0</x:v>
      </x:c>
      <x:c r="X834" s="44" t="n">
        <x:v>0</x:v>
      </x:c>
      <x:c r="Y834" s="38" t="n">
        <x:v>200</x:v>
      </x:c>
      <x:c r="Z834" s="38" t="n">
        <x:v>40</x:v>
      </x:c>
      <x:c r="AA834" s="38" t="n">
        <x:v>36</x:v>
      </x:c>
      <x:c r="AB834" s="38" t="n">
        <x:v>9</x:v>
      </x:c>
      <x:c r="AC834" s="38" t="n">
        <x:v>10800</x:v>
      </x:c>
      <x:c r="AD834" s="38" t="n">
        <x:v>0</x:v>
      </x:c>
      <x:c r="AE834" s="38" t="n">
        <x:f>IF(B834=1,0,F834-Q833)</x:f>
        <x:v>0</x:v>
      </x:c>
    </x:row>
    <x:row r="835" ht="27" customHeight="1">
      <x:c r="A835" s="28" t="str">
        <x:v>Returning F2P</x:v>
      </x:c>
      <x:c r="B835" s="38" t="n">
        <x:v>111</x:v>
      </x:c>
      <x:c r="C835" s="38" t="n">
        <x:v>40</x:v>
      </x:c>
      <x:c r="D835" s="38" t="n">
        <x:v>742640</x:v>
      </x:c>
      <x:c r="E835" s="38" t="n">
        <x:v>100</x:v>
      </x:c>
      <x:c r="F835" s="38" t="n">
        <x:v>247189</x:v>
      </x:c>
      <x:c r="G835" s="38" t="n">
        <x:v>107600</x:v>
      </x:c>
      <x:c r="H835" s="38" t="n">
        <x:v>21600</x:v>
      </x:c>
      <x:c r="I835" s="38" t="n">
        <x:v>4959</x:v>
      </x:c>
      <x:c r="J835" s="38" t="n">
        <x:v>0</x:v>
      </x:c>
      <x:c r="K835" s="38" t="n">
        <x:v>0</x:v>
      </x:c>
      <x:c r="L835" s="38" t="n">
        <x:v>0</x:v>
      </x:c>
      <x:c r="M835" s="38" t="n">
        <x:v>0</x:v>
      </x:c>
      <x:c r="N835" s="38" t="n">
        <x:v>0</x:v>
      </x:c>
      <x:c r="O835" s="38" t="n">
        <x:v>30100</x:v>
      </x:c>
      <x:c r="P835" s="38" t="n">
        <x:f>F835+G835-H835+I835+J835+K835+L835-M835-N835-O835</x:f>
        <x:v>308048</x:v>
      </x:c>
      <x:c r="Q835" s="38" t="n">
        <x:v>308048</x:v>
      </x:c>
      <x:c r="R835" s="38" t="n">
        <x:f>P835-Q835</x:f>
        <x:v>0</x:v>
      </x:c>
      <x:c r="S835" s="38" t="n">
        <x:v>86000</x:v>
      </x:c>
      <x:c r="T835" s="38" t="n">
        <x:v>0</x:v>
      </x:c>
      <x:c r="U835" s="38" t="n">
        <x:v>100</x:v>
      </x:c>
      <x:c r="V835" s="38" t="n">
        <x:v>0</x:v>
      </x:c>
      <x:c r="W835" s="38" t="n">
        <x:v>0</x:v>
      </x:c>
      <x:c r="X835" s="44" t="n">
        <x:v>0</x:v>
      </x:c>
      <x:c r="Y835" s="38" t="n">
        <x:v>200</x:v>
      </x:c>
      <x:c r="Z835" s="38" t="n">
        <x:v>40</x:v>
      </x:c>
      <x:c r="AA835" s="38" t="n">
        <x:v>36</x:v>
      </x:c>
      <x:c r="AB835" s="38" t="n">
        <x:v>9</x:v>
      </x:c>
      <x:c r="AC835" s="38" t="n">
        <x:v>10800</x:v>
      </x:c>
      <x:c r="AD835" s="38" t="n">
        <x:v>0</x:v>
      </x:c>
      <x:c r="AE835" s="38" t="n">
        <x:f>IF(B835=1,0,F835-Q834)</x:f>
        <x:v>0</x:v>
      </x:c>
    </x:row>
    <x:row r="836" ht="27" customHeight="1">
      <x:c r="A836" s="28" t="str">
        <x:v>Returning F2P</x:v>
      </x:c>
      <x:c r="B836" s="38" t="n">
        <x:v>112</x:v>
      </x:c>
      <x:c r="C836" s="38" t="n">
        <x:v>40</x:v>
      </x:c>
      <x:c r="D836" s="38" t="n">
        <x:v>742640</x:v>
      </x:c>
      <x:c r="E836" s="38" t="n">
        <x:v>100</x:v>
      </x:c>
      <x:c r="F836" s="38" t="n">
        <x:v>308048</x:v>
      </x:c>
      <x:c r="G836" s="38" t="n">
        <x:v>107600</x:v>
      </x:c>
      <x:c r="H836" s="38" t="n">
        <x:v>21600</x:v>
      </x:c>
      <x:c r="I836" s="38" t="n">
        <x:v>29754</x:v>
      </x:c>
      <x:c r="J836" s="38" t="n">
        <x:v>0</x:v>
      </x:c>
      <x:c r="K836" s="38" t="n">
        <x:v>0</x:v>
      </x:c>
      <x:c r="L836" s="38" t="n">
        <x:v>0</x:v>
      </x:c>
      <x:c r="M836" s="38" t="n">
        <x:v>0</x:v>
      </x:c>
      <x:c r="N836" s="38" t="n">
        <x:v>12375</x:v>
      </x:c>
      <x:c r="O836" s="38" t="n">
        <x:v>30100</x:v>
      </x:c>
      <x:c r="P836" s="38" t="n">
        <x:f>F836+G836-H836+I836+J836+K836+L836-M836-N836-O836</x:f>
        <x:v>381327</x:v>
      </x:c>
      <x:c r="Q836" s="38" t="n">
        <x:v>381327</x:v>
      </x:c>
      <x:c r="R836" s="38" t="n">
        <x:f>P836-Q836</x:f>
        <x:v>0</x:v>
      </x:c>
      <x:c r="S836" s="38" t="n">
        <x:v>86000</x:v>
      </x:c>
      <x:c r="T836" s="38" t="n">
        <x:v>0</x:v>
      </x:c>
      <x:c r="U836" s="38" t="n">
        <x:v>102</x:v>
      </x:c>
      <x:c r="V836" s="38" t="n">
        <x:v>2</x:v>
      </x:c>
      <x:c r="W836" s="38" t="n">
        <x:v>0</x:v>
      </x:c>
      <x:c r="X836" s="44" t="n">
        <x:v>0</x:v>
      </x:c>
      <x:c r="Y836" s="38" t="n">
        <x:v>200</x:v>
      </x:c>
      <x:c r="Z836" s="38" t="n">
        <x:v>40</x:v>
      </x:c>
      <x:c r="AA836" s="38" t="n">
        <x:v>37</x:v>
      </x:c>
      <x:c r="AB836" s="38" t="n">
        <x:v>9</x:v>
      </x:c>
      <x:c r="AC836" s="38" t="n">
        <x:v>10800</x:v>
      </x:c>
      <x:c r="AD836" s="38" t="n">
        <x:v>0</x:v>
      </x:c>
      <x:c r="AE836" s="38" t="n">
        <x:f>IF(B836=1,0,F836-Q835)</x:f>
        <x:v>0</x:v>
      </x:c>
    </x:row>
    <x:row r="837" ht="27" customHeight="1">
      <x:c r="A837" s="28" t="str">
        <x:v>Returning F2P</x:v>
      </x:c>
      <x:c r="B837" s="38" t="n">
        <x:v>113</x:v>
      </x:c>
      <x:c r="C837" s="38" t="n">
        <x:v>40</x:v>
      </x:c>
      <x:c r="D837" s="38" t="n">
        <x:v>742640</x:v>
      </x:c>
      <x:c r="E837" s="38" t="n">
        <x:v>100</x:v>
      </x:c>
      <x:c r="F837" s="38" t="n">
        <x:v>381327</x:v>
      </x:c>
      <x:c r="G837" s="38" t="n">
        <x:v>107600</x:v>
      </x:c>
      <x:c r="H837" s="38" t="n">
        <x:v>21600</x:v>
      </x:c>
      <x:c r="I837" s="38" t="n">
        <x:v>4959</x:v>
      </x:c>
      <x:c r="J837" s="38" t="n">
        <x:v>0</x:v>
      </x:c>
      <x:c r="K837" s="38" t="n">
        <x:v>0</x:v>
      </x:c>
      <x:c r="L837" s="38" t="n">
        <x:v>0</x:v>
      </x:c>
      <x:c r="M837" s="38" t="n">
        <x:v>0</x:v>
      </x:c>
      <x:c r="N837" s="38" t="n">
        <x:v>0</x:v>
      </x:c>
      <x:c r="O837" s="38" t="n">
        <x:v>30100</x:v>
      </x:c>
      <x:c r="P837" s="38" t="n">
        <x:f>F837+G837-H837+I837+J837+K837+L837-M837-N837-O837</x:f>
        <x:v>442186</x:v>
      </x:c>
      <x:c r="Q837" s="38" t="n">
        <x:v>442186</x:v>
      </x:c>
      <x:c r="R837" s="38" t="n">
        <x:f>P837-Q837</x:f>
        <x:v>0</x:v>
      </x:c>
      <x:c r="S837" s="38" t="n">
        <x:v>86000</x:v>
      </x:c>
      <x:c r="T837" s="38" t="n">
        <x:v>0</x:v>
      </x:c>
      <x:c r="U837" s="38" t="n">
        <x:v>102</x:v>
      </x:c>
      <x:c r="V837" s="38" t="n">
        <x:v>0</x:v>
      </x:c>
      <x:c r="W837" s="38" t="n">
        <x:v>0</x:v>
      </x:c>
      <x:c r="X837" s="44" t="n">
        <x:v>0</x:v>
      </x:c>
      <x:c r="Y837" s="38" t="n">
        <x:v>200</x:v>
      </x:c>
      <x:c r="Z837" s="38" t="n">
        <x:v>40</x:v>
      </x:c>
      <x:c r="AA837" s="38" t="n">
        <x:v>37</x:v>
      </x:c>
      <x:c r="AB837" s="38" t="n">
        <x:v>9</x:v>
      </x:c>
      <x:c r="AC837" s="38" t="n">
        <x:v>10800</x:v>
      </x:c>
      <x:c r="AD837" s="38" t="n">
        <x:v>0</x:v>
      </x:c>
      <x:c r="AE837" s="38" t="n">
        <x:f>IF(B837=1,0,F837-Q836)</x:f>
        <x:v>0</x:v>
      </x:c>
    </x:row>
    <x:row r="838" ht="27" customHeight="1">
      <x:c r="A838" s="28" t="str">
        <x:v>Returning F2P</x:v>
      </x:c>
      <x:c r="B838" s="38" t="n">
        <x:v>114</x:v>
      </x:c>
      <x:c r="C838" s="38" t="n">
        <x:v>40</x:v>
      </x:c>
      <x:c r="D838" s="38" t="n">
        <x:v>742640</x:v>
      </x:c>
      <x:c r="E838" s="38" t="n">
        <x:v>100</x:v>
      </x:c>
      <x:c r="F838" s="38" t="n">
        <x:v>442186</x:v>
      </x:c>
      <x:c r="G838" s="38" t="n">
        <x:v>107600</x:v>
      </x:c>
      <x:c r="H838" s="38" t="n">
        <x:v>21600</x:v>
      </x:c>
      <x:c r="I838" s="38" t="n">
        <x:v>4959</x:v>
      </x:c>
      <x:c r="J838" s="38" t="n">
        <x:v>0</x:v>
      </x:c>
      <x:c r="K838" s="38" t="n">
        <x:v>0</x:v>
      </x:c>
      <x:c r="L838" s="38" t="n">
        <x:v>0</x:v>
      </x:c>
      <x:c r="M838" s="38" t="n">
        <x:v>0</x:v>
      </x:c>
      <x:c r="N838" s="38" t="n">
        <x:v>0</x:v>
      </x:c>
      <x:c r="O838" s="38" t="n">
        <x:v>30100</x:v>
      </x:c>
      <x:c r="P838" s="38" t="n">
        <x:f>F838+G838-H838+I838+J838+K838+L838-M838-N838-O838</x:f>
        <x:v>503045</x:v>
      </x:c>
      <x:c r="Q838" s="38" t="n">
        <x:v>503045</x:v>
      </x:c>
      <x:c r="R838" s="38" t="n">
        <x:f>P838-Q838</x:f>
        <x:v>0</x:v>
      </x:c>
      <x:c r="S838" s="38" t="n">
        <x:v>86000</x:v>
      </x:c>
      <x:c r="T838" s="38" t="n">
        <x:v>0</x:v>
      </x:c>
      <x:c r="U838" s="38" t="n">
        <x:v>102</x:v>
      </x:c>
      <x:c r="V838" s="38" t="n">
        <x:v>0</x:v>
      </x:c>
      <x:c r="W838" s="38" t="n">
        <x:v>0</x:v>
      </x:c>
      <x:c r="X838" s="44" t="n">
        <x:v>0</x:v>
      </x:c>
      <x:c r="Y838" s="38" t="n">
        <x:v>200</x:v>
      </x:c>
      <x:c r="Z838" s="38" t="n">
        <x:v>40</x:v>
      </x:c>
      <x:c r="AA838" s="38" t="n">
        <x:v>37</x:v>
      </x:c>
      <x:c r="AB838" s="38" t="n">
        <x:v>9</x:v>
      </x:c>
      <x:c r="AC838" s="38" t="n">
        <x:v>10800</x:v>
      </x:c>
      <x:c r="AD838" s="38" t="n">
        <x:v>0</x:v>
      </x:c>
      <x:c r="AE838" s="38" t="n">
        <x:f>IF(B838=1,0,F838-Q837)</x:f>
        <x:v>0</x:v>
      </x:c>
    </x:row>
    <x:row r="839" ht="27" customHeight="1">
      <x:c r="A839" s="28" t="str">
        <x:v>Returning F2P</x:v>
      </x:c>
      <x:c r="B839" s="38" t="n">
        <x:v>115</x:v>
      </x:c>
      <x:c r="C839" s="38" t="n">
        <x:v>40</x:v>
      </x:c>
      <x:c r="D839" s="38" t="n">
        <x:v>742640</x:v>
      </x:c>
      <x:c r="E839" s="38" t="n">
        <x:v>100</x:v>
      </x:c>
      <x:c r="F839" s="38" t="n">
        <x:v>503045</x:v>
      </x:c>
      <x:c r="G839" s="38" t="n">
        <x:v>107600</x:v>
      </x:c>
      <x:c r="H839" s="38" t="n">
        <x:v>21600</x:v>
      </x:c>
      <x:c r="I839" s="38" t="n">
        <x:v>4959</x:v>
      </x:c>
      <x:c r="J839" s="38" t="n">
        <x:v>0</x:v>
      </x:c>
      <x:c r="K839" s="38" t="n">
        <x:v>0</x:v>
      </x:c>
      <x:c r="L839" s="38" t="n">
        <x:v>0</x:v>
      </x:c>
      <x:c r="M839" s="38" t="n">
        <x:v>0</x:v>
      </x:c>
      <x:c r="N839" s="38" t="n">
        <x:v>13605</x:v>
      </x:c>
      <x:c r="O839" s="38" t="n">
        <x:v>30100</x:v>
      </x:c>
      <x:c r="P839" s="38" t="n">
        <x:f>F839+G839-H839+I839+J839+K839+L839-M839-N839-O839</x:f>
        <x:v>550299</x:v>
      </x:c>
      <x:c r="Q839" s="38" t="n">
        <x:v>550299</x:v>
      </x:c>
      <x:c r="R839" s="38" t="n">
        <x:f>P839-Q839</x:f>
        <x:v>0</x:v>
      </x:c>
      <x:c r="S839" s="38" t="n">
        <x:v>86000</x:v>
      </x:c>
      <x:c r="T839" s="38" t="n">
        <x:v>0</x:v>
      </x:c>
      <x:c r="U839" s="38" t="n">
        <x:v>102</x:v>
      </x:c>
      <x:c r="V839" s="38" t="n">
        <x:v>0</x:v>
      </x:c>
      <x:c r="W839" s="38" t="n">
        <x:v>0</x:v>
      </x:c>
      <x:c r="X839" s="44" t="n">
        <x:v>0</x:v>
      </x:c>
      <x:c r="Y839" s="38" t="n">
        <x:v>200</x:v>
      </x:c>
      <x:c r="Z839" s="38" t="n">
        <x:v>40</x:v>
      </x:c>
      <x:c r="AA839" s="38" t="n">
        <x:v>38</x:v>
      </x:c>
      <x:c r="AB839" s="38" t="n">
        <x:v>9</x:v>
      </x:c>
      <x:c r="AC839" s="38" t="n">
        <x:v>10800</x:v>
      </x:c>
      <x:c r="AD839" s="38" t="n">
        <x:v>0</x:v>
      </x:c>
      <x:c r="AE839" s="38" t="n">
        <x:f>IF(B839=1,0,F839-Q838)</x:f>
        <x:v>0</x:v>
      </x:c>
    </x:row>
    <x:row r="840" ht="27" customHeight="1">
      <x:c r="A840" s="28" t="str">
        <x:v>Returning F2P</x:v>
      </x:c>
      <x:c r="B840" s="38" t="n">
        <x:v>116</x:v>
      </x:c>
      <x:c r="C840" s="38" t="n">
        <x:v>40</x:v>
      </x:c>
      <x:c r="D840" s="38" t="n">
        <x:v>742640</x:v>
      </x:c>
      <x:c r="E840" s="38" t="n">
        <x:v>100</x:v>
      </x:c>
      <x:c r="F840" s="38" t="n">
        <x:v>550299</x:v>
      </x:c>
      <x:c r="G840" s="38" t="n">
        <x:v>107600</x:v>
      </x:c>
      <x:c r="H840" s="38" t="n">
        <x:v>21600</x:v>
      </x:c>
      <x:c r="I840" s="38" t="n">
        <x:v>4959</x:v>
      </x:c>
      <x:c r="J840" s="38" t="n">
        <x:v>0</x:v>
      </x:c>
      <x:c r="K840" s="38" t="n">
        <x:v>0</x:v>
      </x:c>
      <x:c r="L840" s="38" t="n">
        <x:v>0</x:v>
      </x:c>
      <x:c r="M840" s="38" t="n">
        <x:v>0</x:v>
      </x:c>
      <x:c r="N840" s="38" t="n">
        <x:v>0</x:v>
      </x:c>
      <x:c r="O840" s="38" t="n">
        <x:v>30100</x:v>
      </x:c>
      <x:c r="P840" s="38" t="n">
        <x:f>F840+G840-H840+I840+J840+K840+L840-M840-N840-O840</x:f>
        <x:v>611158</x:v>
      </x:c>
      <x:c r="Q840" s="38" t="n">
        <x:v>611158</x:v>
      </x:c>
      <x:c r="R840" s="38" t="n">
        <x:f>P840-Q840</x:f>
        <x:v>0</x:v>
      </x:c>
      <x:c r="S840" s="38" t="n">
        <x:v>86000</x:v>
      </x:c>
      <x:c r="T840" s="38" t="n">
        <x:v>0</x:v>
      </x:c>
      <x:c r="U840" s="38" t="n">
        <x:v>102</x:v>
      </x:c>
      <x:c r="V840" s="38" t="n">
        <x:v>0</x:v>
      </x:c>
      <x:c r="W840" s="38" t="n">
        <x:v>0</x:v>
      </x:c>
      <x:c r="X840" s="44" t="n">
        <x:v>0</x:v>
      </x:c>
      <x:c r="Y840" s="38" t="n">
        <x:v>200</x:v>
      </x:c>
      <x:c r="Z840" s="38" t="n">
        <x:v>40</x:v>
      </x:c>
      <x:c r="AA840" s="38" t="n">
        <x:v>38</x:v>
      </x:c>
      <x:c r="AB840" s="38" t="n">
        <x:v>9</x:v>
      </x:c>
      <x:c r="AC840" s="38" t="n">
        <x:v>10800</x:v>
      </x:c>
      <x:c r="AD840" s="38" t="n">
        <x:v>0</x:v>
      </x:c>
      <x:c r="AE840" s="38" t="n">
        <x:f>IF(B840=1,0,F840-Q839)</x:f>
        <x:v>0</x:v>
      </x:c>
    </x:row>
    <x:row r="841" ht="27" customHeight="1">
      <x:c r="A841" s="28" t="str">
        <x:v>Returning F2P</x:v>
      </x:c>
      <x:c r="B841" s="38" t="n">
        <x:v>117</x:v>
      </x:c>
      <x:c r="C841" s="38" t="n">
        <x:v>40</x:v>
      </x:c>
      <x:c r="D841" s="38" t="n">
        <x:v>742640</x:v>
      </x:c>
      <x:c r="E841" s="38" t="n">
        <x:v>100</x:v>
      </x:c>
      <x:c r="F841" s="38" t="n">
        <x:v>611158</x:v>
      </x:c>
      <x:c r="G841" s="38" t="n">
        <x:v>107600</x:v>
      </x:c>
      <x:c r="H841" s="38" t="n">
        <x:v>21600</x:v>
      </x:c>
      <x:c r="I841" s="38" t="n">
        <x:v>4959</x:v>
      </x:c>
      <x:c r="J841" s="38" t="n">
        <x:v>0</x:v>
      </x:c>
      <x:c r="K841" s="38" t="n">
        <x:v>0</x:v>
      </x:c>
      <x:c r="L841" s="38" t="n">
        <x:v>0</x:v>
      </x:c>
      <x:c r="M841" s="38" t="n">
        <x:v>0</x:v>
      </x:c>
      <x:c r="N841" s="38" t="n">
        <x:v>0</x:v>
      </x:c>
      <x:c r="O841" s="38" t="n">
        <x:v>30100</x:v>
      </x:c>
      <x:c r="P841" s="38" t="n">
        <x:f>F841+G841-H841+I841+J841+K841+L841-M841-N841-O841</x:f>
        <x:v>672017</x:v>
      </x:c>
      <x:c r="Q841" s="38" t="n">
        <x:v>672017</x:v>
      </x:c>
      <x:c r="R841" s="38" t="n">
        <x:f>P841-Q841</x:f>
        <x:v>0</x:v>
      </x:c>
      <x:c r="S841" s="38" t="n">
        <x:v>86000</x:v>
      </x:c>
      <x:c r="T841" s="38" t="n">
        <x:v>0</x:v>
      </x:c>
      <x:c r="U841" s="38" t="n">
        <x:v>102</x:v>
      </x:c>
      <x:c r="V841" s="38" t="n">
        <x:v>0</x:v>
      </x:c>
      <x:c r="W841" s="38" t="n">
        <x:v>0</x:v>
      </x:c>
      <x:c r="X841" s="44" t="n">
        <x:v>0</x:v>
      </x:c>
      <x:c r="Y841" s="38" t="n">
        <x:v>200</x:v>
      </x:c>
      <x:c r="Z841" s="38" t="n">
        <x:v>40</x:v>
      </x:c>
      <x:c r="AA841" s="38" t="n">
        <x:v>38</x:v>
      </x:c>
      <x:c r="AB841" s="38" t="n">
        <x:v>9</x:v>
      </x:c>
      <x:c r="AC841" s="38" t="n">
        <x:v>10800</x:v>
      </x:c>
      <x:c r="AD841" s="38" t="n">
        <x:v>0</x:v>
      </x:c>
      <x:c r="AE841" s="38" t="n">
        <x:f>IF(B841=1,0,F841-Q840)</x:f>
        <x:v>0</x:v>
      </x:c>
    </x:row>
    <x:row r="842" ht="27" customHeight="1">
      <x:c r="A842" s="28" t="str">
        <x:v>Returning F2P</x:v>
      </x:c>
      <x:c r="B842" s="38" t="n">
        <x:v>118</x:v>
      </x:c>
      <x:c r="C842" s="38" t="n">
        <x:v>40</x:v>
      </x:c>
      <x:c r="D842" s="38" t="n">
        <x:v>742640</x:v>
      </x:c>
      <x:c r="E842" s="38" t="n">
        <x:v>100</x:v>
      </x:c>
      <x:c r="F842" s="38" t="n">
        <x:v>672017</x:v>
      </x:c>
      <x:c r="G842" s="38" t="n">
        <x:v>107600</x:v>
      </x:c>
      <x:c r="H842" s="38" t="n">
        <x:v>21600</x:v>
      </x:c>
      <x:c r="I842" s="38" t="n">
        <x:v>4959</x:v>
      </x:c>
      <x:c r="J842" s="38" t="n">
        <x:v>0</x:v>
      </x:c>
      <x:c r="K842" s="38" t="n">
        <x:v>0</x:v>
      </x:c>
      <x:c r="L842" s="38" t="n">
        <x:v>0</x:v>
      </x:c>
      <x:c r="M842" s="38" t="n">
        <x:v>0</x:v>
      </x:c>
      <x:c r="N842" s="38" t="n">
        <x:v>13880</x:v>
      </x:c>
      <x:c r="O842" s="38" t="n">
        <x:v>30100</x:v>
      </x:c>
      <x:c r="P842" s="38" t="n">
        <x:f>F842+G842-H842+I842+J842+K842+L842-M842-N842-O842</x:f>
        <x:v>718996</x:v>
      </x:c>
      <x:c r="Q842" s="38" t="n">
        <x:v>718996</x:v>
      </x:c>
      <x:c r="R842" s="38" t="n">
        <x:f>P842-Q842</x:f>
        <x:v>0</x:v>
      </x:c>
      <x:c r="S842" s="38" t="n">
        <x:v>86000</x:v>
      </x:c>
      <x:c r="T842" s="38" t="n">
        <x:v>0</x:v>
      </x:c>
      <x:c r="U842" s="38" t="n">
        <x:v>102</x:v>
      </x:c>
      <x:c r="V842" s="38" t="n">
        <x:v>0</x:v>
      </x:c>
      <x:c r="W842" s="38" t="n">
        <x:v>0</x:v>
      </x:c>
      <x:c r="X842" s="44" t="n">
        <x:v>0</x:v>
      </x:c>
      <x:c r="Y842" s="38" t="n">
        <x:v>200</x:v>
      </x:c>
      <x:c r="Z842" s="38" t="n">
        <x:v>40</x:v>
      </x:c>
      <x:c r="AA842" s="38" t="n">
        <x:v>39</x:v>
      </x:c>
      <x:c r="AB842" s="38" t="n">
        <x:v>9</x:v>
      </x:c>
      <x:c r="AC842" s="38" t="n">
        <x:v>10800</x:v>
      </x:c>
      <x:c r="AD842" s="38" t="n">
        <x:v>0</x:v>
      </x:c>
      <x:c r="AE842" s="38" t="n">
        <x:f>IF(B842=1,0,F842-Q841)</x:f>
        <x:v>0</x:v>
      </x:c>
    </x:row>
    <x:row r="843" ht="27" customHeight="1">
      <x:c r="A843" s="28" t="str">
        <x:v>Returning F2P</x:v>
      </x:c>
      <x:c r="B843" s="38" t="n">
        <x:v>119</x:v>
      </x:c>
      <x:c r="C843" s="38" t="n">
        <x:v>40</x:v>
      </x:c>
      <x:c r="D843" s="38" t="n">
        <x:v>742640</x:v>
      </x:c>
      <x:c r="E843" s="38" t="n">
        <x:v>100</x:v>
      </x:c>
      <x:c r="F843" s="38" t="n">
        <x:v>718996</x:v>
      </x:c>
      <x:c r="G843" s="38" t="n">
        <x:v>107600</x:v>
      </x:c>
      <x:c r="H843" s="38" t="n">
        <x:v>21600</x:v>
      </x:c>
      <x:c r="I843" s="38" t="n">
        <x:v>29754</x:v>
      </x:c>
      <x:c r="J843" s="38" t="n">
        <x:v>0</x:v>
      </x:c>
      <x:c r="K843" s="38" t="n">
        <x:v>0</x:v>
      </x:c>
      <x:c r="L843" s="38" t="n">
        <x:v>0</x:v>
      </x:c>
      <x:c r="M843" s="38" t="n">
        <x:v>0</x:v>
      </x:c>
      <x:c r="N843" s="38" t="n">
        <x:v>0</x:v>
      </x:c>
      <x:c r="O843" s="38" t="n">
        <x:v>30100</x:v>
      </x:c>
      <x:c r="P843" s="38" t="n">
        <x:f>F843+G843-H843+I843+J843+K843+L843-M843-N843-O843</x:f>
        <x:v>804650</x:v>
      </x:c>
      <x:c r="Q843" s="38" t="n">
        <x:v>804650</x:v>
      </x:c>
      <x:c r="R843" s="38" t="n">
        <x:f>P843-Q843</x:f>
        <x:v>0</x:v>
      </x:c>
      <x:c r="S843" s="38" t="n">
        <x:v>86000</x:v>
      </x:c>
      <x:c r="T843" s="38" t="n">
        <x:v>0</x:v>
      </x:c>
      <x:c r="U843" s="38" t="n">
        <x:v>104</x:v>
      </x:c>
      <x:c r="V843" s="38" t="n">
        <x:v>2</x:v>
      </x:c>
      <x:c r="W843" s="38" t="n">
        <x:v>0</x:v>
      </x:c>
      <x:c r="X843" s="44" t="n">
        <x:v>0</x:v>
      </x:c>
      <x:c r="Y843" s="38" t="n">
        <x:v>200</x:v>
      </x:c>
      <x:c r="Z843" s="38" t="n">
        <x:v>40</x:v>
      </x:c>
      <x:c r="AA843" s="38" t="n">
        <x:v>39</x:v>
      </x:c>
      <x:c r="AB843" s="38" t="n">
        <x:v>9</x:v>
      </x:c>
      <x:c r="AC843" s="38" t="n">
        <x:v>10800</x:v>
      </x:c>
      <x:c r="AD843" s="38" t="n">
        <x:v>0</x:v>
      </x:c>
      <x:c r="AE843" s="38" t="n">
        <x:f>IF(B843=1,0,F843-Q842)</x:f>
        <x:v>0</x:v>
      </x:c>
    </x:row>
    <x:row r="844" ht="27" customHeight="1">
      <x:c r="A844" s="28" t="str">
        <x:v>Returning F2P</x:v>
      </x:c>
      <x:c r="B844" s="38" t="n">
        <x:v>120</x:v>
      </x:c>
      <x:c r="C844" s="38" t="n">
        <x:v>40</x:v>
      </x:c>
      <x:c r="D844" s="38" t="n">
        <x:v>742640</x:v>
      </x:c>
      <x:c r="E844" s="38" t="n">
        <x:v>100</x:v>
      </x:c>
      <x:c r="F844" s="38" t="n">
        <x:v>804650</x:v>
      </x:c>
      <x:c r="G844" s="38" t="n">
        <x:v>107600</x:v>
      </x:c>
      <x:c r="H844" s="38" t="n">
        <x:v>21600</x:v>
      </x:c>
      <x:c r="I844" s="38" t="n">
        <x:v>4959</x:v>
      </x:c>
      <x:c r="J844" s="38" t="n">
        <x:v>0</x:v>
      </x:c>
      <x:c r="K844" s="38" t="n">
        <x:v>0</x:v>
      </x:c>
      <x:c r="L844" s="38" t="n">
        <x:v>0</x:v>
      </x:c>
      <x:c r="M844" s="38" t="n">
        <x:v>0</x:v>
      </x:c>
      <x:c r="N844" s="38" t="n">
        <x:v>0</x:v>
      </x:c>
      <x:c r="O844" s="38" t="n">
        <x:v>30100</x:v>
      </x:c>
      <x:c r="P844" s="38" t="n">
        <x:f>F844+G844-H844+I844+J844+K844+L844-M844-N844-O844</x:f>
        <x:v>865509</x:v>
      </x:c>
      <x:c r="Q844" s="38" t="n">
        <x:v>865509</x:v>
      </x:c>
      <x:c r="R844" s="38" t="n">
        <x:f>P844-Q844</x:f>
        <x:v>0</x:v>
      </x:c>
      <x:c r="S844" s="38" t="n">
        <x:v>86000</x:v>
      </x:c>
      <x:c r="T844" s="38" t="n">
        <x:v>0</x:v>
      </x:c>
      <x:c r="U844" s="38" t="n">
        <x:v>104</x:v>
      </x:c>
      <x:c r="V844" s="38" t="n">
        <x:v>0</x:v>
      </x:c>
      <x:c r="W844" s="38" t="n">
        <x:v>0</x:v>
      </x:c>
      <x:c r="X844" s="44" t="n">
        <x:v>0</x:v>
      </x:c>
      <x:c r="Y844" s="38" t="n">
        <x:v>200</x:v>
      </x:c>
      <x:c r="Z844" s="38" t="n">
        <x:v>40</x:v>
      </x:c>
      <x:c r="AA844" s="38" t="n">
        <x:v>39</x:v>
      </x:c>
      <x:c r="AB844" s="38" t="n">
        <x:v>9</x:v>
      </x:c>
      <x:c r="AC844" s="38" t="n">
        <x:v>10800</x:v>
      </x:c>
      <x:c r="AD844" s="38" t="n">
        <x:v>0</x:v>
      </x:c>
      <x:c r="AE844" s="38" t="n">
        <x:f>IF(B844=1,0,F844-Q843)</x:f>
        <x:v>0</x:v>
      </x:c>
    </x:row>
    <x:row r="845" ht="27" customHeight="1">
      <x:c r="A845" s="28" t="str">
        <x:v>Paid capacity ceiling</x:v>
      </x:c>
      <x:c r="B845" s="38" t="n">
        <x:v>1</x:v>
      </x:c>
      <x:c r="C845" s="38" t="n">
        <x:v>3</x:v>
      </x:c>
      <x:c r="D845" s="38" t="n">
        <x:v>370</x:v>
      </x:c>
      <x:c r="E845" s="38" t="n">
        <x:v>15</x:v>
      </x:c>
      <x:c r="F845" s="38" t="n">
        <x:v>731</x:v>
      </x:c>
      <x:c r="G845" s="38" t="n">
        <x:v>1155</x:v>
      </x:c>
      <x:c r="H845" s="38" t="n">
        <x:v>759</x:v>
      </x:c>
      <x:c r="I845" s="38" t="n">
        <x:v>0</x:v>
      </x:c>
      <x:c r="J845" s="38" t="n">
        <x:v>75</x:v>
      </x:c>
      <x:c r="K845" s="38" t="n">
        <x:v>0</x:v>
      </x:c>
      <x:c r="L845" s="38" t="n">
        <x:v>0</x:v>
      </x:c>
      <x:c r="M845" s="38" t="n">
        <x:v>0</x:v>
      </x:c>
      <x:c r="N845" s="38" t="n">
        <x:v>0</x:v>
      </x:c>
      <x:c r="O845" s="38" t="n">
        <x:v>0</x:v>
      </x:c>
      <x:c r="P845" s="38" t="n">
        <x:f>F845+G845-H845+I845+J845+K845+L845-M845-N845-O845</x:f>
        <x:v>1202</x:v>
      </x:c>
      <x:c r="Q845" s="38" t="n">
        <x:v>1202</x:v>
      </x:c>
      <x:c r="R845" s="38" t="n">
        <x:f>P845-Q845</x:f>
        <x:v>0</x:v>
      </x:c>
      <x:c r="S845" s="38" t="n">
        <x:v>933</x:v>
      </x:c>
      <x:c r="T845" s="38" t="n">
        <x:v>290</x:v>
      </x:c>
      <x:c r="U845" s="38" t="n">
        <x:v>118</x:v>
      </x:c>
      <x:c r="V845" s="38" t="n">
        <x:v>120</x:v>
      </x:c>
      <x:c r="W845" s="38" t="n">
        <x:v>3</x:v>
      </x:c>
      <x:c r="X845" s="44" t="n">
        <x:v>9.99</x:v>
      </x:c>
      <x:c r="Y845" s="38" t="n">
        <x:v>9</x:v>
      </x:c>
      <x:c r="Z845" s="38" t="n">
        <x:v>3</x:v>
      </x:c>
      <x:c r="AA845" s="38" t="n">
        <x:v>1</x:v>
      </x:c>
      <x:c r="AB845" s="38" t="n">
        <x:v>0</x:v>
      </x:c>
      <x:c r="AC845" s="38" t="n">
        <x:v>537</x:v>
      </x:c>
      <x:c r="AD845" s="38" t="n">
        <x:v>0</x:v>
      </x:c>
      <x:c r="AE845" s="38" t="n">
        <x:f>IF(B845=1,0,F845-Q844)</x:f>
        <x:v>0</x:v>
      </x:c>
    </x:row>
    <x:row r="846" ht="27" customHeight="1">
      <x:c r="A846" s="28" t="str">
        <x:v>Paid capacity ceiling</x:v>
      </x:c>
      <x:c r="B846" s="38" t="n">
        <x:v>2</x:v>
      </x:c>
      <x:c r="C846" s="38" t="n">
        <x:v>5</x:v>
      </x:c>
      <x:c r="D846" s="38" t="n">
        <x:v>1828</x:v>
      </x:c>
      <x:c r="E846" s="38" t="n">
        <x:v>15</x:v>
      </x:c>
      <x:c r="F846" s="38" t="n">
        <x:v>1202</x:v>
      </x:c>
      <x:c r="G846" s="38" t="n">
        <x:v>5505</x:v>
      </x:c>
      <x:c r="H846" s="38" t="n">
        <x:v>1323</x:v>
      </x:c>
      <x:c r="I846" s="38" t="n">
        <x:v>294</x:v>
      </x:c>
      <x:c r="J846" s="38" t="n">
        <x:v>155</x:v>
      </x:c>
      <x:c r="K846" s="38" t="n">
        <x:v>0</x:v>
      </x:c>
      <x:c r="L846" s="38" t="n">
        <x:v>0</x:v>
      </x:c>
      <x:c r="M846" s="38" t="n">
        <x:v>0</x:v>
      </x:c>
      <x:c r="N846" s="38" t="n">
        <x:v>0</x:v>
      </x:c>
      <x:c r="O846" s="38" t="n">
        <x:v>0</x:v>
      </x:c>
      <x:c r="P846" s="38" t="n">
        <x:f>F846+G846-H846+I846+J846+K846+L846-M846-N846-O846</x:f>
        <x:v>5833</x:v>
      </x:c>
      <x:c r="Q846" s="38" t="n">
        <x:v>5833</x:v>
      </x:c>
      <x:c r="R846" s="38" t="n">
        <x:f>P846-Q846</x:f>
        <x:v>0</x:v>
      </x:c>
      <x:c r="S846" s="38" t="n">
        <x:v>4459</x:v>
      </x:c>
      <x:c r="T846" s="38" t="n">
        <x:v>1458</x:v>
      </x:c>
      <x:c r="U846" s="38" t="n">
        <x:v>122</x:v>
      </x:c>
      <x:c r="V846" s="38" t="n">
        <x:v>4</x:v>
      </x:c>
      <x:c r="W846" s="38" t="n">
        <x:v>0</x:v>
      </x:c>
      <x:c r="X846" s="44" t="n">
        <x:v>9.99</x:v>
      </x:c>
      <x:c r="Y846" s="38" t="n">
        <x:v>28</x:v>
      </x:c>
      <x:c r="Z846" s="38" t="n">
        <x:v>6</x:v>
      </x:c>
      <x:c r="AA846" s="38" t="n">
        <x:v>1</x:v>
      </x:c>
      <x:c r="AB846" s="38" t="n">
        <x:v>0</x:v>
      </x:c>
      <x:c r="AC846" s="38" t="n">
        <x:v>814</x:v>
      </x:c>
      <x:c r="AD846" s="38" t="n">
        <x:v>0</x:v>
      </x:c>
      <x:c r="AE846" s="38" t="n">
        <x:f>IF(B846=1,0,F846-Q845)</x:f>
        <x:v>0</x:v>
      </x:c>
    </x:row>
    <x:row r="847" ht="27" customHeight="1">
      <x:c r="A847" s="28" t="str">
        <x:v>Paid capacity ceiling</x:v>
      </x:c>
      <x:c r="B847" s="38" t="n">
        <x:v>3</x:v>
      </x:c>
      <x:c r="C847" s="38" t="n">
        <x:v>7</x:v>
      </x:c>
      <x:c r="D847" s="38" t="n">
        <x:v>3301</x:v>
      </x:c>
      <x:c r="E847" s="38" t="n">
        <x:v>25</x:v>
      </x:c>
      <x:c r="F847" s="38" t="n">
        <x:v>5833</x:v>
      </x:c>
      <x:c r="G847" s="38" t="n">
        <x:v>6493</x:v>
      </x:c>
      <x:c r="H847" s="38" t="n">
        <x:v>1752</x:v>
      </x:c>
      <x:c r="I847" s="38" t="n">
        <x:v>319</x:v>
      </x:c>
      <x:c r="J847" s="38" t="n">
        <x:v>230</x:v>
      </x:c>
      <x:c r="K847" s="38" t="n">
        <x:v>0</x:v>
      </x:c>
      <x:c r="L847" s="38" t="n">
        <x:v>0</x:v>
      </x:c>
      <x:c r="M847" s="38" t="n">
        <x:v>0</x:v>
      </x:c>
      <x:c r="N847" s="38" t="n">
        <x:v>0</x:v>
      </x:c>
      <x:c r="O847" s="38" t="n">
        <x:v>0</x:v>
      </x:c>
      <x:c r="P847" s="38" t="n">
        <x:f>F847+G847-H847+I847+J847+K847+L847-M847-N847-O847</x:f>
        <x:v>11123</x:v>
      </x:c>
      <x:c r="Q847" s="38" t="n">
        <x:v>11123</x:v>
      </x:c>
      <x:c r="R847" s="38" t="n">
        <x:f>P847-Q847</x:f>
        <x:v>0</x:v>
      </x:c>
      <x:c r="S847" s="38" t="n">
        <x:v>5186</x:v>
      </x:c>
      <x:c r="T847" s="38" t="n">
        <x:v>1473</x:v>
      </x:c>
      <x:c r="U847" s="38" t="n">
        <x:v>108</x:v>
      </x:c>
      <x:c r="V847" s="38" t="n">
        <x:v>1</x:v>
      </x:c>
      <x:c r="W847" s="38" t="n">
        <x:v>15</x:v>
      </x:c>
      <x:c r="X847" s="44" t="n">
        <x:v>9.99</x:v>
      </x:c>
      <x:c r="Y847" s="38" t="n">
        <x:v>28</x:v>
      </x:c>
      <x:c r="Z847" s="38" t="n">
        <x:v>8</x:v>
      </x:c>
      <x:c r="AA847" s="38" t="n">
        <x:v>1</x:v>
      </x:c>
      <x:c r="AB847" s="38" t="n">
        <x:v>0</x:v>
      </x:c>
      <x:c r="AC847" s="38" t="n">
        <x:v>1259</x:v>
      </x:c>
      <x:c r="AD847" s="38" t="n">
        <x:v>0</x:v>
      </x:c>
      <x:c r="AE847" s="38" t="n">
        <x:f>IF(B847=1,0,F847-Q846)</x:f>
        <x:v>0</x:v>
      </x:c>
    </x:row>
    <x:row r="848" ht="27" customHeight="1">
      <x:c r="A848" s="28" t="str">
        <x:v>Paid capacity ceiling</x:v>
      </x:c>
      <x:c r="B848" s="38" t="n">
        <x:v>4</x:v>
      </x:c>
      <x:c r="C848" s="38" t="n">
        <x:v>8</x:v>
      </x:c>
      <x:c r="D848" s="38" t="n">
        <x:v>6124</x:v>
      </x:c>
      <x:c r="E848" s="38" t="n">
        <x:v>25</x:v>
      </x:c>
      <x:c r="F848" s="38" t="n">
        <x:v>11123</x:v>
      </x:c>
      <x:c r="G848" s="38" t="n">
        <x:v>11822</x:v>
      </x:c>
      <x:c r="H848" s="38" t="n">
        <x:v>2448</x:v>
      </x:c>
      <x:c r="I848" s="38" t="n">
        <x:v>572</x:v>
      </x:c>
      <x:c r="J848" s="38" t="n">
        <x:v>150</x:v>
      </x:c>
      <x:c r="K848" s="38" t="n">
        <x:v>0</x:v>
      </x:c>
      <x:c r="L848" s="38" t="n">
        <x:v>0</x:v>
      </x:c>
      <x:c r="M848" s="38" t="n">
        <x:v>0</x:v>
      </x:c>
      <x:c r="N848" s="38" t="n">
        <x:v>70</x:v>
      </x:c>
      <x:c r="O848" s="38" t="n">
        <x:v>0</x:v>
      </x:c>
      <x:c r="P848" s="38" t="n">
        <x:f>F848+G848-H848+I848+J848+K848+L848-M848-N848-O848</x:f>
        <x:v>21149</x:v>
      </x:c>
      <x:c r="Q848" s="38" t="n">
        <x:v>21149</x:v>
      </x:c>
      <x:c r="R848" s="38" t="n">
        <x:f>P848-Q848</x:f>
        <x:v>0</x:v>
      </x:c>
      <x:c r="S848" s="38" t="n">
        <x:v>9438</x:v>
      </x:c>
      <x:c r="T848" s="38" t="n">
        <x:v>2823</x:v>
      </x:c>
      <x:c r="U848" s="38" t="n">
        <x:v>111</x:v>
      </x:c>
      <x:c r="V848" s="38" t="n">
        <x:v>3</x:v>
      </x:c>
      <x:c r="W848" s="38" t="n">
        <x:v>0</x:v>
      </x:c>
      <x:c r="X848" s="44" t="n">
        <x:v>9.99</x:v>
      </x:c>
      <x:c r="Y848" s="38" t="n">
        <x:v>50</x:v>
      </x:c>
      <x:c r="Z848" s="38" t="n">
        <x:v>9</x:v>
      </x:c>
      <x:c r="AA848" s="38" t="n">
        <x:v>2</x:v>
      </x:c>
      <x:c r="AB848" s="38" t="n">
        <x:v>0</x:v>
      </x:c>
      <x:c r="AC848" s="38" t="n">
        <x:v>1323</x:v>
      </x:c>
      <x:c r="AD848" s="38" t="n">
        <x:v>0</x:v>
      </x:c>
      <x:c r="AE848" s="38" t="n">
        <x:f>IF(B848=1,0,F848-Q847)</x:f>
        <x:v>0</x:v>
      </x:c>
    </x:row>
    <x:row r="849" ht="27" customHeight="1">
      <x:c r="A849" s="28" t="str">
        <x:v>Paid capacity ceiling</x:v>
      </x:c>
      <x:c r="B849" s="38" t="n">
        <x:v>5</x:v>
      </x:c>
      <x:c r="C849" s="38" t="n">
        <x:v>9</x:v>
      </x:c>
      <x:c r="D849" s="38" t="n">
        <x:v>8627</x:v>
      </x:c>
      <x:c r="E849" s="38" t="n">
        <x:v>30</x:v>
      </x:c>
      <x:c r="F849" s="38" t="n">
        <x:v>21149</x:v>
      </x:c>
      <x:c r="G849" s="38" t="n">
        <x:v>12782</x:v>
      </x:c>
      <x:c r="H849" s="38" t="n">
        <x:v>2774</x:v>
      </x:c>
      <x:c r="I849" s="38" t="n">
        <x:v>592</x:v>
      </x:c>
      <x:c r="J849" s="38" t="n">
        <x:v>185</x:v>
      </x:c>
      <x:c r="K849" s="38" t="n">
        <x:v>0</x:v>
      </x:c>
      <x:c r="L849" s="38" t="n">
        <x:v>0</x:v>
      </x:c>
      <x:c r="M849" s="38" t="n">
        <x:v>0</x:v>
      </x:c>
      <x:c r="N849" s="38" t="n">
        <x:v>0</x:v>
      </x:c>
      <x:c r="O849" s="38" t="n">
        <x:v>0</x:v>
      </x:c>
      <x:c r="P849" s="38" t="n">
        <x:f>F849+G849-H849+I849+J849+K849+L849-M849-N849-O849</x:f>
        <x:v>31934</x:v>
      </x:c>
      <x:c r="Q849" s="38" t="n">
        <x:v>31934</x:v>
      </x:c>
      <x:c r="R849" s="38" t="n">
        <x:f>P849-Q849</x:f>
        <x:v>0</x:v>
      </x:c>
      <x:c r="S849" s="38" t="n">
        <x:v>10235</x:v>
      </x:c>
      <x:c r="T849" s="38" t="n">
        <x:v>2503</x:v>
      </x:c>
      <x:c r="U849" s="38" t="n">
        <x:v>98</x:v>
      </x:c>
      <x:c r="V849" s="38" t="n">
        <x:v>2</x:v>
      </x:c>
      <x:c r="W849" s="38" t="n">
        <x:v>15</x:v>
      </x:c>
      <x:c r="X849" s="44" t="n">
        <x:v>9.99</x:v>
      </x:c>
      <x:c r="Y849" s="38" t="n">
        <x:v>49</x:v>
      </x:c>
      <x:c r="Z849" s="38" t="n">
        <x:v>10</x:v>
      </x:c>
      <x:c r="AA849" s="38" t="n">
        <x:v>2</x:v>
      </x:c>
      <x:c r="AB849" s="38" t="n">
        <x:v>0</x:v>
      </x:c>
      <x:c r="AC849" s="38" t="n">
        <x:v>1550</x:v>
      </x:c>
      <x:c r="AD849" s="38" t="n">
        <x:v>0</x:v>
      </x:c>
      <x:c r="AE849" s="38" t="n">
        <x:f>IF(B849=1,0,F849-Q848)</x:f>
        <x:v>0</x:v>
      </x:c>
    </x:row>
    <x:row r="850" ht="27" customHeight="1">
      <x:c r="A850" s="28" t="str">
        <x:v>Paid capacity ceiling</x:v>
      </x:c>
      <x:c r="B850" s="38" t="n">
        <x:v>6</x:v>
      </x:c>
      <x:c r="C850" s="38" t="n">
        <x:v>10</x:v>
      </x:c>
      <x:c r="D850" s="38" t="n">
        <x:v>11604</x:v>
      </x:c>
      <x:c r="E850" s="38" t="n">
        <x:v>30</x:v>
      </x:c>
      <x:c r="F850" s="38" t="n">
        <x:v>31934</x:v>
      </x:c>
      <x:c r="G850" s="38" t="n">
        <x:v>15701</x:v>
      </x:c>
      <x:c r="H850" s="38" t="n">
        <x:v>3398</x:v>
      </x:c>
      <x:c r="I850" s="38" t="n">
        <x:v>734</x:v>
      </x:c>
      <x:c r="J850" s="38" t="n">
        <x:v>190</x:v>
      </x:c>
      <x:c r="K850" s="38" t="n">
        <x:v>0</x:v>
      </x:c>
      <x:c r="L850" s="38" t="n">
        <x:v>0</x:v>
      </x:c>
      <x:c r="M850" s="38" t="n">
        <x:v>0</x:v>
      </x:c>
      <x:c r="N850" s="38" t="n">
        <x:v>0</x:v>
      </x:c>
      <x:c r="O850" s="38" t="n">
        <x:v>0</x:v>
      </x:c>
      <x:c r="P850" s="38" t="n">
        <x:f>F850+G850-H850+I850+J850+K850+L850-M850-N850-O850</x:f>
        <x:v>45161</x:v>
      </x:c>
      <x:c r="Q850" s="38" t="n">
        <x:v>45161</x:v>
      </x:c>
      <x:c r="R850" s="38" t="n">
        <x:f>P850-Q850</x:f>
        <x:v>0</x:v>
      </x:c>
      <x:c r="S850" s="38" t="n">
        <x:v>12561</x:v>
      </x:c>
      <x:c r="T850" s="38" t="n">
        <x:v>2977</x:v>
      </x:c>
      <x:c r="U850" s="38" t="n">
        <x:v>101</x:v>
      </x:c>
      <x:c r="V850" s="38" t="n">
        <x:v>3</x:v>
      </x:c>
      <x:c r="W850" s="38" t="n">
        <x:v>0</x:v>
      </x:c>
      <x:c r="X850" s="44" t="n">
        <x:v>9.99</x:v>
      </x:c>
      <x:c r="Y850" s="38" t="n">
        <x:v>60</x:v>
      </x:c>
      <x:c r="Z850" s="38" t="n">
        <x:v>11</x:v>
      </x:c>
      <x:c r="AA850" s="38" t="n">
        <x:v>2</x:v>
      </x:c>
      <x:c r="AB850" s="38" t="n">
        <x:v>0</x:v>
      </x:c>
      <x:c r="AC850" s="38" t="n">
        <x:v>1808</x:v>
      </x:c>
      <x:c r="AD850" s="38" t="n">
        <x:v>0</x:v>
      </x:c>
      <x:c r="AE850" s="38" t="n">
        <x:f>IF(B850=1,0,F850-Q849)</x:f>
        <x:v>0</x:v>
      </x:c>
    </x:row>
    <x:row r="851" ht="27" customHeight="1">
      <x:c r="A851" s="28" t="str">
        <x:v>Paid capacity ceiling</x:v>
      </x:c>
      <x:c r="B851" s="38" t="n">
        <x:v>7</x:v>
      </x:c>
      <x:c r="C851" s="38" t="n">
        <x:v>10</x:v>
      </x:c>
      <x:c r="D851" s="38" t="n">
        <x:v>15277</x:v>
      </x:c>
      <x:c r="E851" s="38" t="n">
        <x:v>30</x:v>
      </x:c>
      <x:c r="F851" s="38" t="n">
        <x:v>45161</x:v>
      </x:c>
      <x:c r="G851" s="38" t="n">
        <x:v>15892</x:v>
      </x:c>
      <x:c r="H851" s="38" t="n">
        <x:v>3190</x:v>
      </x:c>
      <x:c r="I851" s="38" t="n">
        <x:v>2352</x:v>
      </x:c>
      <x:c r="J851" s="38" t="n">
        <x:v>0</x:v>
      </x:c>
      <x:c r="K851" s="38" t="n">
        <x:v>0</x:v>
      </x:c>
      <x:c r="L851" s="38" t="n">
        <x:v>0</x:v>
      </x:c>
      <x:c r="M851" s="38" t="n">
        <x:v>0</x:v>
      </x:c>
      <x:c r="N851" s="38" t="n">
        <x:v>70</x:v>
      </x:c>
      <x:c r="O851" s="38" t="n">
        <x:v>0</x:v>
      </x:c>
      <x:c r="P851" s="38" t="n">
        <x:f>F851+G851-H851+I851+J851+K851+L851-M851-N851-O851</x:f>
        <x:v>60145</x:v>
      </x:c>
      <x:c r="Q851" s="38" t="n">
        <x:v>60145</x:v>
      </x:c>
      <x:c r="R851" s="38" t="n">
        <x:f>P851-Q851</x:f>
        <x:v>0</x:v>
      </x:c>
      <x:c r="S851" s="38" t="n">
        <x:v>12702</x:v>
      </x:c>
      <x:c r="T851" s="38" t="n">
        <x:v>3673</x:v>
      </x:c>
      <x:c r="U851" s="38" t="n">
        <x:v>103</x:v>
      </x:c>
      <x:c r="V851" s="38" t="n">
        <x:v>2</x:v>
      </x:c>
      <x:c r="W851" s="38" t="n">
        <x:v>0</x:v>
      </x:c>
      <x:c r="X851" s="44" t="n">
        <x:v>9.99</x:v>
      </x:c>
      <x:c r="Y851" s="38" t="n">
        <x:v>58</x:v>
      </x:c>
      <x:c r="Z851" s="38" t="n">
        <x:v>11</x:v>
      </x:c>
      <x:c r="AA851" s="38" t="n">
        <x:v>3</x:v>
      </x:c>
      <x:c r="AB851" s="38" t="n">
        <x:v>0</x:v>
      </x:c>
      <x:c r="AC851" s="38" t="n">
        <x:v>1808</x:v>
      </x:c>
      <x:c r="AD851" s="38" t="n">
        <x:v>0</x:v>
      </x:c>
      <x:c r="AE851" s="38" t="n">
        <x:f>IF(B851=1,0,F851-Q850)</x:f>
        <x:v>0</x:v>
      </x:c>
    </x:row>
    <x:row r="852" ht="27" customHeight="1">
      <x:c r="A852" s="28" t="str">
        <x:v>Paid capacity ceiling</x:v>
      </x:c>
      <x:c r="B852" s="38" t="n">
        <x:v>8</x:v>
      </x:c>
      <x:c r="C852" s="38" t="n">
        <x:v>11</x:v>
      </x:c>
      <x:c r="D852" s="38" t="n">
        <x:v>18410</x:v>
      </x:c>
      <x:c r="E852" s="38" t="n">
        <x:v>30</x:v>
      </x:c>
      <x:c r="F852" s="38" t="n">
        <x:v>60145</x:v>
      </x:c>
      <x:c r="G852" s="38" t="n">
        <x:v>17191</x:v>
      </x:c>
      <x:c r="H852" s="38" t="n">
        <x:v>3357</x:v>
      </x:c>
      <x:c r="I852" s="38" t="n">
        <x:v>759</x:v>
      </x:c>
      <x:c r="J852" s="38" t="n">
        <x:v>195</x:v>
      </x:c>
      <x:c r="K852" s="38" t="n">
        <x:v>0</x:v>
      </x:c>
      <x:c r="L852" s="38" t="n">
        <x:v>0</x:v>
      </x:c>
      <x:c r="M852" s="38" t="n">
        <x:v>0</x:v>
      </x:c>
      <x:c r="N852" s="38" t="n">
        <x:v>0</x:v>
      </x:c>
      <x:c r="O852" s="38" t="n">
        <x:v>1325</x:v>
      </x:c>
      <x:c r="P852" s="38" t="n">
        <x:f>F852+G852-H852+I852+J852+K852+L852-M852-N852-O852</x:f>
        <x:v>73608</x:v>
      </x:c>
      <x:c r="Q852" s="38" t="n">
        <x:v>73608</x:v>
      </x:c>
      <x:c r="R852" s="38" t="n">
        <x:f>P852-Q852</x:f>
        <x:v>0</x:v>
      </x:c>
      <x:c r="S852" s="38" t="n">
        <x:v>13736</x:v>
      </x:c>
      <x:c r="T852" s="38" t="n">
        <x:v>3133</x:v>
      </x:c>
      <x:c r="U852" s="38" t="n">
        <x:v>103</x:v>
      </x:c>
      <x:c r="V852" s="38" t="n">
        <x:v>0</x:v>
      </x:c>
      <x:c r="W852" s="38" t="n">
        <x:v>0</x:v>
      </x:c>
      <x:c r="X852" s="44" t="n">
        <x:v>9.99</x:v>
      </x:c>
      <x:c r="Y852" s="38" t="n">
        <x:v>59</x:v>
      </x:c>
      <x:c r="Z852" s="38" t="n">
        <x:v>13</x:v>
      </x:c>
      <x:c r="AA852" s="38" t="n">
        <x:v>3</x:v>
      </x:c>
      <x:c r="AB852" s="38" t="n">
        <x:v>1</x:v>
      </x:c>
      <x:c r="AC852" s="38" t="n">
        <x:v>1710</x:v>
      </x:c>
      <x:c r="AD852" s="38" t="n">
        <x:v>0</x:v>
      </x:c>
      <x:c r="AE852" s="38" t="n">
        <x:f>IF(B852=1,0,F852-Q851)</x:f>
        <x:v>0</x:v>
      </x:c>
    </x:row>
    <x:row r="853" ht="27" customHeight="1">
      <x:c r="A853" s="28" t="str">
        <x:v>Paid capacity ceiling</x:v>
      </x:c>
      <x:c r="B853" s="38" t="n">
        <x:v>9</x:v>
      </x:c>
      <x:c r="C853" s="38" t="n">
        <x:v>12</x:v>
      </x:c>
      <x:c r="D853" s="38" t="n">
        <x:v>21671</x:v>
      </x:c>
      <x:c r="E853" s="38" t="n">
        <x:v>35</x:v>
      </x:c>
      <x:c r="F853" s="38" t="n">
        <x:v>73608</x:v>
      </x:c>
      <x:c r="G853" s="38" t="n">
        <x:v>18384</x:v>
      </x:c>
      <x:c r="H853" s="38" t="n">
        <x:v>4171</x:v>
      </x:c>
      <x:c r="I853" s="38" t="n">
        <x:v>783</x:v>
      </x:c>
      <x:c r="J853" s="38" t="n">
        <x:v>235</x:v>
      </x:c>
      <x:c r="K853" s="38" t="n">
        <x:v>0</x:v>
      </x:c>
      <x:c r="L853" s="38" t="n">
        <x:v>0</x:v>
      </x:c>
      <x:c r="M853" s="38" t="n">
        <x:v>0</x:v>
      </x:c>
      <x:c r="N853" s="38" t="n">
        <x:v>0</x:v>
      </x:c>
      <x:c r="O853" s="38" t="n">
        <x:v>6325</x:v>
      </x:c>
      <x:c r="P853" s="38" t="n">
        <x:f>F853+G853-H853+I853+J853+K853+L853-M853-N853-O853</x:f>
        <x:v>82514</x:v>
      </x:c>
      <x:c r="Q853" s="38" t="n">
        <x:v>82514</x:v>
      </x:c>
      <x:c r="R853" s="38" t="n">
        <x:f>P853-Q853</x:f>
        <x:v>0</x:v>
      </x:c>
      <x:c r="S853" s="38" t="n">
        <x:v>14702</x:v>
      </x:c>
      <x:c r="T853" s="38" t="n">
        <x:v>3261</x:v>
      </x:c>
      <x:c r="U853" s="38" t="n">
        <x:v>79</x:v>
      </x:c>
      <x:c r="V853" s="38" t="n">
        <x:v>1</x:v>
      </x:c>
      <x:c r="W853" s="38" t="n">
        <x:v>25</x:v>
      </x:c>
      <x:c r="X853" s="44" t="n">
        <x:v>9.99</x:v>
      </x:c>
      <x:c r="Y853" s="38" t="n">
        <x:v>64</x:v>
      </x:c>
      <x:c r="Z853" s="38" t="n">
        <x:v>13</x:v>
      </x:c>
      <x:c r="AA853" s="38" t="n">
        <x:v>3</x:v>
      </x:c>
      <x:c r="AB853" s="38" t="n">
        <x:v>2</x:v>
      </x:c>
      <x:c r="AC853" s="38" t="n">
        <x:v>2199</x:v>
      </x:c>
      <x:c r="AD853" s="38" t="n">
        <x:v>0</x:v>
      </x:c>
      <x:c r="AE853" s="38" t="n">
        <x:f>IF(B853=1,0,F853-Q852)</x:f>
        <x:v>0</x:v>
      </x:c>
    </x:row>
    <x:row r="854" ht="27" customHeight="1">
      <x:c r="A854" s="28" t="str">
        <x:v>Paid capacity ceiling</x:v>
      </x:c>
      <x:c r="B854" s="38" t="n">
        <x:v>10</x:v>
      </x:c>
      <x:c r="C854" s="38" t="n">
        <x:v>12</x:v>
      </x:c>
      <x:c r="D854" s="38" t="n">
        <x:v>25172</x:v>
      </x:c>
      <x:c r="E854" s="38" t="n">
        <x:v>35</x:v>
      </x:c>
      <x:c r="F854" s="38" t="n">
        <x:v>82514</x:v>
      </x:c>
      <x:c r="G854" s="38" t="n">
        <x:v>19788</x:v>
      </x:c>
      <x:c r="H854" s="38" t="n">
        <x:v>3944</x:v>
      </x:c>
      <x:c r="I854" s="38" t="n">
        <x:v>942</x:v>
      </x:c>
      <x:c r="J854" s="38" t="n">
        <x:v>0</x:v>
      </x:c>
      <x:c r="K854" s="38" t="n">
        <x:v>0</x:v>
      </x:c>
      <x:c r="L854" s="38" t="n">
        <x:v>0</x:v>
      </x:c>
      <x:c r="M854" s="38" t="n">
        <x:v>0</x:v>
      </x:c>
      <x:c r="N854" s="38" t="n">
        <x:v>70</x:v>
      </x:c>
      <x:c r="O854" s="38" t="n">
        <x:v>0</x:v>
      </x:c>
      <x:c r="P854" s="38" t="n">
        <x:f>F854+G854-H854+I854+J854+K854+L854-M854-N854-O854</x:f>
        <x:v>99230</x:v>
      </x:c>
      <x:c r="Q854" s="38" t="n">
        <x:v>99230</x:v>
      </x:c>
      <x:c r="R854" s="38" t="n">
        <x:f>P854-Q854</x:f>
        <x:v>0</x:v>
      </x:c>
      <x:c r="S854" s="38" t="n">
        <x:v>15844</x:v>
      </x:c>
      <x:c r="T854" s="38" t="n">
        <x:v>3501</x:v>
      </x:c>
      <x:c r="U854" s="38" t="n">
        <x:v>79</x:v>
      </x:c>
      <x:c r="V854" s="38" t="n">
        <x:v>0</x:v>
      </x:c>
      <x:c r="W854" s="38" t="n">
        <x:v>0</x:v>
      </x:c>
      <x:c r="X854" s="44" t="n">
        <x:v>9.99</x:v>
      </x:c>
      <x:c r="Y854" s="38" t="n">
        <x:v>68</x:v>
      </x:c>
      <x:c r="Z854" s="38" t="n">
        <x:v>13</x:v>
      </x:c>
      <x:c r="AA854" s="38" t="n">
        <x:v>4</x:v>
      </x:c>
      <x:c r="AB854" s="38" t="n">
        <x:v>2</x:v>
      </x:c>
      <x:c r="AC854" s="38" t="n">
        <x:v>2199</x:v>
      </x:c>
      <x:c r="AD854" s="38" t="n">
        <x:v>0</x:v>
      </x:c>
      <x:c r="AE854" s="38" t="n">
        <x:f>IF(B854=1,0,F854-Q853)</x:f>
        <x:v>0</x:v>
      </x:c>
    </x:row>
    <x:row r="855" ht="27" customHeight="1">
      <x:c r="A855" s="28" t="str">
        <x:v>Paid capacity ceiling</x:v>
      </x:c>
      <x:c r="B855" s="38" t="n">
        <x:v>11</x:v>
      </x:c>
      <x:c r="C855" s="38" t="n">
        <x:v>13</x:v>
      </x:c>
      <x:c r="D855" s="38" t="n">
        <x:v>28887</x:v>
      </x:c>
      <x:c r="E855" s="38" t="n">
        <x:v>35</x:v>
      </x:c>
      <x:c r="F855" s="38" t="n">
        <x:v>99230</x:v>
      </x:c>
      <x:c r="G855" s="38" t="n">
        <x:v>21229</x:v>
      </x:c>
      <x:c r="H855" s="38" t="n">
        <x:v>4196</x:v>
      </x:c>
      <x:c r="I855" s="38" t="n">
        <x:v>942</x:v>
      </x:c>
      <x:c r="J855" s="38" t="n">
        <x:v>245</x:v>
      </x:c>
      <x:c r="K855" s="38" t="n">
        <x:v>0</x:v>
      </x:c>
      <x:c r="L855" s="38" t="n">
        <x:v>0</x:v>
      </x:c>
      <x:c r="M855" s="38" t="n">
        <x:v>0</x:v>
      </x:c>
      <x:c r="N855" s="38" t="n">
        <x:v>0</x:v>
      </x:c>
      <x:c r="O855" s="38" t="n">
        <x:v>0</x:v>
      </x:c>
      <x:c r="P855" s="38" t="n">
        <x:f>F855+G855-H855+I855+J855+K855+L855-M855-N855-O855</x:f>
        <x:v>117450</x:v>
      </x:c>
      <x:c r="Q855" s="38" t="n">
        <x:v>117450</x:v>
      </x:c>
      <x:c r="R855" s="38" t="n">
        <x:f>P855-Q855</x:f>
        <x:v>0</x:v>
      </x:c>
      <x:c r="S855" s="38" t="n">
        <x:v>16990</x:v>
      </x:c>
      <x:c r="T855" s="38" t="n">
        <x:v>3715</x:v>
      </x:c>
      <x:c r="U855" s="38" t="n">
        <x:v>79</x:v>
      </x:c>
      <x:c r="V855" s="38" t="n">
        <x:v>0</x:v>
      </x:c>
      <x:c r="W855" s="38" t="n">
        <x:v>0</x:v>
      </x:c>
      <x:c r="X855" s="44" t="n">
        <x:v>9.99</x:v>
      </x:c>
      <x:c r="Y855" s="38" t="n">
        <x:v>69</x:v>
      </x:c>
      <x:c r="Z855" s="38" t="n">
        <x:v>14</x:v>
      </x:c>
      <x:c r="AA855" s="38" t="n">
        <x:v>4</x:v>
      </x:c>
      <x:c r="AB855" s="38" t="n">
        <x:v>2</x:v>
      </x:c>
      <x:c r="AC855" s="38" t="n">
        <x:v>2156</x:v>
      </x:c>
      <x:c r="AD855" s="38" t="n">
        <x:v>0</x:v>
      </x:c>
      <x:c r="AE855" s="38" t="n">
        <x:f>IF(B855=1,0,F855-Q854)</x:f>
        <x:v>0</x:v>
      </x:c>
    </x:row>
    <x:row r="856" ht="27" customHeight="1">
      <x:c r="A856" s="28" t="str">
        <x:v>Paid capacity ceiling</x:v>
      </x:c>
      <x:c r="B856" s="38" t="n">
        <x:v>12</x:v>
      </x:c>
      <x:c r="C856" s="38" t="n">
        <x:v>14</x:v>
      </x:c>
      <x:c r="D856" s="38" t="n">
        <x:v>32596</x:v>
      </x:c>
      <x:c r="E856" s="38" t="n">
        <x:v>35</x:v>
      </x:c>
      <x:c r="F856" s="38" t="n">
        <x:v>117450</x:v>
      </x:c>
      <x:c r="G856" s="38" t="n">
        <x:v>21278</x:v>
      </x:c>
      <x:c r="H856" s="38" t="n">
        <x:v>4222</x:v>
      </x:c>
      <x:c r="I856" s="38" t="n">
        <x:v>970</x:v>
      </x:c>
      <x:c r="J856" s="38" t="n">
        <x:v>250</x:v>
      </x:c>
      <x:c r="K856" s="38" t="n">
        <x:v>0</x:v>
      </x:c>
      <x:c r="L856" s="38" t="n">
        <x:v>0</x:v>
      </x:c>
      <x:c r="M856" s="38" t="n">
        <x:v>0</x:v>
      </x:c>
      <x:c r="N856" s="38" t="n">
        <x:v>0</x:v>
      </x:c>
      <x:c r="O856" s="38" t="n">
        <x:v>0</x:v>
      </x:c>
      <x:c r="P856" s="38" t="n">
        <x:f>F856+G856-H856+I856+J856+K856+L856-M856-N856-O856</x:f>
        <x:v>135726</x:v>
      </x:c>
      <x:c r="Q856" s="38" t="n">
        <x:v>135726</x:v>
      </x:c>
      <x:c r="R856" s="38" t="n">
        <x:f>P856-Q856</x:f>
        <x:v>0</x:v>
      </x:c>
      <x:c r="S856" s="38" t="n">
        <x:v>17022</x:v>
      </x:c>
      <x:c r="T856" s="38" t="n">
        <x:v>3709</x:v>
      </x:c>
      <x:c r="U856" s="38" t="n">
        <x:v>82</x:v>
      </x:c>
      <x:c r="V856" s="38" t="n">
        <x:v>3</x:v>
      </x:c>
      <x:c r="W856" s="38" t="n">
        <x:v>0</x:v>
      </x:c>
      <x:c r="X856" s="44" t="n">
        <x:v>9.99</x:v>
      </x:c>
      <x:c r="Y856" s="38" t="n">
        <x:v>70</x:v>
      </x:c>
      <x:c r="Z856" s="38" t="n">
        <x:v>15</x:v>
      </x:c>
      <x:c r="AA856" s="38" t="n">
        <x:v>4</x:v>
      </x:c>
      <x:c r="AB856" s="38" t="n">
        <x:v>2</x:v>
      </x:c>
      <x:c r="AC856" s="38" t="n">
        <x:v>2122</x:v>
      </x:c>
      <x:c r="AD856" s="38" t="n">
        <x:v>0</x:v>
      </x:c>
      <x:c r="AE856" s="38" t="n">
        <x:f>IF(B856=1,0,F856-Q855)</x:f>
        <x:v>0</x:v>
      </x:c>
    </x:row>
    <x:row r="857" ht="27" customHeight="1">
      <x:c r="A857" s="28" t="str">
        <x:v>Paid capacity ceiling</x:v>
      </x:c>
      <x:c r="B857" s="38" t="n">
        <x:v>13</x:v>
      </x:c>
      <x:c r="C857" s="38" t="n">
        <x:v>14</x:v>
      </x:c>
      <x:c r="D857" s="38" t="n">
        <x:v>36232</x:v>
      </x:c>
      <x:c r="E857" s="38" t="n">
        <x:v>35</x:v>
      </x:c>
      <x:c r="F857" s="38" t="n">
        <x:v>135726</x:v>
      </x:c>
      <x:c r="G857" s="38" t="n">
        <x:v>21391</x:v>
      </x:c>
      <x:c r="H857" s="38" t="n">
        <x:v>4340</x:v>
      </x:c>
      <x:c r="I857" s="38" t="n">
        <x:v>999</x:v>
      </x:c>
      <x:c r="J857" s="38" t="n">
        <x:v>0</x:v>
      </x:c>
      <x:c r="K857" s="38" t="n">
        <x:v>0</x:v>
      </x:c>
      <x:c r="L857" s="38" t="n">
        <x:v>0</x:v>
      </x:c>
      <x:c r="M857" s="38" t="n">
        <x:v>0</x:v>
      </x:c>
      <x:c r="N857" s="38" t="n">
        <x:v>110</x:v>
      </x:c>
      <x:c r="O857" s="38" t="n">
        <x:v>0</x:v>
      </x:c>
      <x:c r="P857" s="38" t="n">
        <x:f>F857+G857-H857+I857+J857+K857+L857-M857-N857-O857</x:f>
        <x:v>153666</x:v>
      </x:c>
      <x:c r="Q857" s="38" t="n">
        <x:v>153666</x:v>
      </x:c>
      <x:c r="R857" s="38" t="n">
        <x:f>P857-Q857</x:f>
        <x:v>0</x:v>
      </x:c>
      <x:c r="S857" s="38" t="n">
        <x:v>17099</x:v>
      </x:c>
      <x:c r="T857" s="38" t="n">
        <x:v>3636</x:v>
      </x:c>
      <x:c r="U857" s="38" t="n">
        <x:v>82</x:v>
      </x:c>
      <x:c r="V857" s="38" t="n">
        <x:v>0</x:v>
      </x:c>
      <x:c r="W857" s="38" t="n">
        <x:v>0</x:v>
      </x:c>
      <x:c r="X857" s="44" t="n">
        <x:v>9.99</x:v>
      </x:c>
      <x:c r="Y857" s="38" t="n">
        <x:v>70</x:v>
      </x:c>
      <x:c r="Z857" s="38" t="n">
        <x:v>16</x:v>
      </x:c>
      <x:c r="AA857" s="38" t="n">
        <x:v>5</x:v>
      </x:c>
      <x:c r="AB857" s="38" t="n">
        <x:v>2</x:v>
      </x:c>
      <x:c r="AC857" s="38" t="n">
        <x:v>2170</x:v>
      </x:c>
      <x:c r="AD857" s="38" t="n">
        <x:v>0</x:v>
      </x:c>
      <x:c r="AE857" s="38" t="n">
        <x:f>IF(B857=1,0,F857-Q856)</x:f>
        <x:v>0</x:v>
      </x:c>
    </x:row>
    <x:row r="858" ht="27" customHeight="1">
      <x:c r="A858" s="28" t="str">
        <x:v>Paid capacity ceiling</x:v>
      </x:c>
      <x:c r="B858" s="38" t="n">
        <x:v>14</x:v>
      </x:c>
      <x:c r="C858" s="38" t="n">
        <x:v>15</x:v>
      </x:c>
      <x:c r="D858" s="38" t="n">
        <x:v>41332</x:v>
      </x:c>
      <x:c r="E858" s="38" t="n">
        <x:v>35</x:v>
      </x:c>
      <x:c r="F858" s="38" t="n">
        <x:v>153666</x:v>
      </x:c>
      <x:c r="G858" s="38" t="n">
        <x:v>23065</x:v>
      </x:c>
      <x:c r="H858" s="38" t="n">
        <x:v>4900</x:v>
      </x:c>
      <x:c r="I858" s="38" t="n">
        <x:v>4793</x:v>
      </x:c>
      <x:c r="J858" s="38" t="n">
        <x:v>255</x:v>
      </x:c>
      <x:c r="K858" s="38" t="n">
        <x:v>0</x:v>
      </x:c>
      <x:c r="L858" s="38" t="n">
        <x:v>0</x:v>
      </x:c>
      <x:c r="M858" s="38" t="n">
        <x:v>0</x:v>
      </x:c>
      <x:c r="N858" s="38" t="n">
        <x:v>0</x:v>
      </x:c>
      <x:c r="O858" s="38" t="n">
        <x:v>17115</x:v>
      </x:c>
      <x:c r="P858" s="38" t="n">
        <x:f>F858+G858-H858+I858+J858+K858+L858-M858-N858-O858</x:f>
        <x:v>159764</x:v>
      </x:c>
      <x:c r="Q858" s="38" t="n">
        <x:v>159764</x:v>
      </x:c>
      <x:c r="R858" s="38" t="n">
        <x:f>P858-Q858</x:f>
        <x:v>0</x:v>
      </x:c>
      <x:c r="S858" s="38" t="n">
        <x:v>18445</x:v>
      </x:c>
      <x:c r="T858" s="38" t="n">
        <x:v>5100</x:v>
      </x:c>
      <x:c r="U858" s="38" t="n">
        <x:v>87</x:v>
      </x:c>
      <x:c r="V858" s="38" t="n">
        <x:v>5</x:v>
      </x:c>
      <x:c r="W858" s="38" t="n">
        <x:v>0</x:v>
      </x:c>
      <x:c r="X858" s="44" t="n">
        <x:v>9.99</x:v>
      </x:c>
      <x:c r="Y858" s="38" t="n">
        <x:v>70</x:v>
      </x:c>
      <x:c r="Z858" s="38" t="n">
        <x:v>17</x:v>
      </x:c>
      <x:c r="AA858" s="38" t="n">
        <x:v>5</x:v>
      </x:c>
      <x:c r="AB858" s="38" t="n">
        <x:v>3</x:v>
      </x:c>
      <x:c r="AC858" s="38" t="n">
        <x:v>2450</x:v>
      </x:c>
      <x:c r="AD858" s="38" t="n">
        <x:v>0</x:v>
      </x:c>
      <x:c r="AE858" s="38" t="n">
        <x:f>IF(B858=1,0,F858-Q857)</x:f>
        <x:v>0</x:v>
      </x:c>
    </x:row>
    <x:row r="859" ht="27" customHeight="1">
      <x:c r="A859" s="28" t="str">
        <x:v>Paid capacity ceiling</x:v>
      </x:c>
      <x:c r="B859" s="38" t="n">
        <x:v>15</x:v>
      </x:c>
      <x:c r="C859" s="38" t="n">
        <x:v>15</x:v>
      </x:c>
      <x:c r="D859" s="38" t="n">
        <x:v>44725</x:v>
      </x:c>
      <x:c r="E859" s="38" t="n">
        <x:v>35</x:v>
      </x:c>
      <x:c r="F859" s="38" t="n">
        <x:v>159764</x:v>
      </x:c>
      <x:c r="G859" s="38" t="n">
        <x:v>24500</x:v>
      </x:c>
      <x:c r="H859" s="38" t="n">
        <x:v>4900</x:v>
      </x:c>
      <x:c r="I859" s="38" t="n">
        <x:v>1027</x:v>
      </x:c>
      <x:c r="J859" s="38" t="n">
        <x:v>0</x:v>
      </x:c>
      <x:c r="K859" s="38" t="n">
        <x:v>0</x:v>
      </x:c>
      <x:c r="L859" s="38" t="n">
        <x:v>0</x:v>
      </x:c>
      <x:c r="M859" s="38" t="n">
        <x:v>0</x:v>
      </x:c>
      <x:c r="N859" s="38" t="n">
        <x:v>0</x:v>
      </x:c>
      <x:c r="O859" s="38" t="n">
        <x:v>0</x:v>
      </x:c>
      <x:c r="P859" s="38" t="n">
        <x:f>F859+G859-H859+I859+J859+K859+L859-M859-N859-O859</x:f>
        <x:v>180391</x:v>
      </x:c>
      <x:c r="Q859" s="38" t="n">
        <x:v>180391</x:v>
      </x:c>
      <x:c r="R859" s="38" t="n">
        <x:f>P859-Q859</x:f>
        <x:v>0</x:v>
      </x:c>
      <x:c r="S859" s="38" t="n">
        <x:v>19600</x:v>
      </x:c>
      <x:c r="T859" s="38" t="n">
        <x:v>3393</x:v>
      </x:c>
      <x:c r="U859" s="38" t="n">
        <x:v>87</x:v>
      </x:c>
      <x:c r="V859" s="38" t="n">
        <x:v>0</x:v>
      </x:c>
      <x:c r="W859" s="38" t="n">
        <x:v>0</x:v>
      </x:c>
      <x:c r="X859" s="44" t="n">
        <x:v>9.99</x:v>
      </x:c>
      <x:c r="Y859" s="38" t="n">
        <x:v>70</x:v>
      </x:c>
      <x:c r="Z859" s="38" t="n">
        <x:v>17</x:v>
      </x:c>
      <x:c r="AA859" s="38" t="n">
        <x:v>5</x:v>
      </x:c>
      <x:c r="AB859" s="38" t="n">
        <x:v>3</x:v>
      </x:c>
      <x:c r="AC859" s="38" t="n">
        <x:v>2450</x:v>
      </x:c>
      <x:c r="AD859" s="38" t="n">
        <x:v>0</x:v>
      </x:c>
      <x:c r="AE859" s="38" t="n">
        <x:f>IF(B859=1,0,F859-Q858)</x:f>
        <x:v>0</x:v>
      </x:c>
    </x:row>
    <x:row r="860" ht="27" customHeight="1">
      <x:c r="A860" s="28" t="str">
        <x:v>Paid capacity ceiling</x:v>
      </x:c>
      <x:c r="B860" s="38" t="n">
        <x:v>16</x:v>
      </x:c>
      <x:c r="C860" s="38" t="n">
        <x:v>16</x:v>
      </x:c>
      <x:c r="D860" s="38" t="n">
        <x:v>48725</x:v>
      </x:c>
      <x:c r="E860" s="38" t="n">
        <x:v>45</x:v>
      </x:c>
      <x:c r="F860" s="38" t="n">
        <x:v>180391</x:v>
      </x:c>
      <x:c r="G860" s="38" t="n">
        <x:v>26594</x:v>
      </x:c>
      <x:c r="H860" s="38" t="n">
        <x:v>5846</x:v>
      </x:c>
      <x:c r="I860" s="38" t="n">
        <x:v>1027</x:v>
      </x:c>
      <x:c r="J860" s="38" t="n">
        <x:v>340</x:v>
      </x:c>
      <x:c r="K860" s="38" t="n">
        <x:v>0</x:v>
      </x:c>
      <x:c r="L860" s="38" t="n">
        <x:v>0</x:v>
      </x:c>
      <x:c r="M860" s="38" t="n">
        <x:v>0</x:v>
      </x:c>
      <x:c r="N860" s="38" t="n">
        <x:v>110</x:v>
      </x:c>
      <x:c r="O860" s="38" t="n">
        <x:v>0</x:v>
      </x:c>
      <x:c r="P860" s="38" t="n">
        <x:f>F860+G860-H860+I860+J860+K860+L860-M860-N860-O860</x:f>
        <x:v>202396</x:v>
      </x:c>
      <x:c r="Q860" s="38" t="n">
        <x:v>202396</x:v>
      </x:c>
      <x:c r="R860" s="38" t="n">
        <x:f>P860-Q860</x:f>
        <x:v>0</x:v>
      </x:c>
      <x:c r="S860" s="38" t="n">
        <x:v>21284</x:v>
      </x:c>
      <x:c r="T860" s="38" t="n">
        <x:v>4000</x:v>
      </x:c>
      <x:c r="U860" s="38" t="n">
        <x:v>53</x:v>
      </x:c>
      <x:c r="V860" s="38" t="n">
        <x:v>1</x:v>
      </x:c>
      <x:c r="W860" s="38" t="n">
        <x:v>35</x:v>
      </x:c>
      <x:c r="X860" s="44" t="n">
        <x:v>9.99</x:v>
      </x:c>
      <x:c r="Y860" s="38" t="n">
        <x:v>79</x:v>
      </x:c>
      <x:c r="Z860" s="38" t="n">
        <x:v>17</x:v>
      </x:c>
      <x:c r="AA860" s="38" t="n">
        <x:v>6</x:v>
      </x:c>
      <x:c r="AB860" s="38" t="n">
        <x:v>3</x:v>
      </x:c>
      <x:c r="AC860" s="38" t="n">
        <x:v>2986</x:v>
      </x:c>
      <x:c r="AD860" s="38" t="n">
        <x:v>0</x:v>
      </x:c>
      <x:c r="AE860" s="38" t="n">
        <x:f>IF(B860=1,0,F860-Q859)</x:f>
        <x:v>0</x:v>
      </x:c>
    </x:row>
    <x:row r="861" ht="27" customHeight="1">
      <x:c r="A861" s="28" t="str">
        <x:v>Paid capacity ceiling</x:v>
      </x:c>
      <x:c r="B861" s="38" t="n">
        <x:v>17</x:v>
      </x:c>
      <x:c r="C861" s="38" t="n">
        <x:v>16</x:v>
      </x:c>
      <x:c r="D861" s="38" t="n">
        <x:v>53586</x:v>
      </x:c>
      <x:c r="E861" s="38" t="n">
        <x:v>45</x:v>
      </x:c>
      <x:c r="F861" s="38" t="n">
        <x:v>202396</x:v>
      </x:c>
      <x:c r="G861" s="38" t="n">
        <x:v>29642</x:v>
      </x:c>
      <x:c r="H861" s="38" t="n">
        <x:v>5850</x:v>
      </x:c>
      <x:c r="I861" s="38" t="n">
        <x:v>1357</x:v>
      </x:c>
      <x:c r="J861" s="38" t="n">
        <x:v>0</x:v>
      </x:c>
      <x:c r="K861" s="38" t="n">
        <x:v>0</x:v>
      </x:c>
      <x:c r="L861" s="38" t="n">
        <x:v>0</x:v>
      </x:c>
      <x:c r="M861" s="38" t="n">
        <x:v>0</x:v>
      </x:c>
      <x:c r="N861" s="38" t="n">
        <x:v>0</x:v>
      </x:c>
      <x:c r="O861" s="38" t="n">
        <x:v>0</x:v>
      </x:c>
      <x:c r="P861" s="38" t="n">
        <x:f>F861+G861-H861+I861+J861+K861+L861-M861-N861-O861</x:f>
        <x:v>227545</x:v>
      </x:c>
      <x:c r="Q861" s="38" t="n">
        <x:v>227545</x:v>
      </x:c>
      <x:c r="R861" s="38" t="n">
        <x:f>P861-Q861</x:f>
        <x:v>0</x:v>
      </x:c>
      <x:c r="S861" s="38" t="n">
        <x:v>23731</x:v>
      </x:c>
      <x:c r="T861" s="38" t="n">
        <x:v>4861</x:v>
      </x:c>
      <x:c r="U861" s="38" t="n">
        <x:v>53</x:v>
      </x:c>
      <x:c r="V861" s="38" t="n">
        <x:v>0</x:v>
      </x:c>
      <x:c r="W861" s="38" t="n">
        <x:v>0</x:v>
      </x:c>
      <x:c r="X861" s="44" t="n">
        <x:v>9.99</x:v>
      </x:c>
      <x:c r="Y861" s="38" t="n">
        <x:v>90</x:v>
      </x:c>
      <x:c r="Z861" s="38" t="n">
        <x:v>18</x:v>
      </x:c>
      <x:c r="AA861" s="38" t="n">
        <x:v>6</x:v>
      </x:c>
      <x:c r="AB861" s="38" t="n">
        <x:v>3</x:v>
      </x:c>
      <x:c r="AC861" s="38" t="n">
        <x:v>2925</x:v>
      </x:c>
      <x:c r="AD861" s="38" t="n">
        <x:v>0</x:v>
      </x:c>
      <x:c r="AE861" s="38" t="n">
        <x:f>IF(B861=1,0,F861-Q860)</x:f>
        <x:v>0</x:v>
      </x:c>
    </x:row>
    <x:row r="862" ht="27" customHeight="1">
      <x:c r="A862" s="28" t="str">
        <x:v>Paid capacity ceiling</x:v>
      </x:c>
      <x:c r="B862" s="38" t="n">
        <x:v>18</x:v>
      </x:c>
      <x:c r="C862" s="38" t="n">
        <x:v>17</x:v>
      </x:c>
      <x:c r="D862" s="38" t="n">
        <x:v>58403</x:v>
      </x:c>
      <x:c r="E862" s="38" t="n">
        <x:v>45</x:v>
      </x:c>
      <x:c r="F862" s="38" t="n">
        <x:v>227545</x:v>
      </x:c>
      <x:c r="G862" s="38" t="n">
        <x:v>29340</x:v>
      </x:c>
      <x:c r="H862" s="38" t="n">
        <x:v>6134</x:v>
      </x:c>
      <x:c r="I862" s="38" t="n">
        <x:v>1357</x:v>
      </x:c>
      <x:c r="J862" s="38" t="n">
        <x:v>350</x:v>
      </x:c>
      <x:c r="K862" s="38" t="n">
        <x:v>0</x:v>
      </x:c>
      <x:c r="L862" s="38" t="n">
        <x:v>0</x:v>
      </x:c>
      <x:c r="M862" s="38" t="n">
        <x:v>0</x:v>
      </x:c>
      <x:c r="N862" s="38" t="n">
        <x:v>0</x:v>
      </x:c>
      <x:c r="O862" s="38" t="n">
        <x:v>0</x:v>
      </x:c>
      <x:c r="P862" s="38" t="n">
        <x:f>F862+G862-H862+I862+J862+K862+L862-M862-N862-O862</x:f>
        <x:v>252458</x:v>
      </x:c>
      <x:c r="Q862" s="38" t="n">
        <x:v>252458</x:v>
      </x:c>
      <x:c r="R862" s="38" t="n">
        <x:f>P862-Q862</x:f>
        <x:v>0</x:v>
      </x:c>
      <x:c r="S862" s="38" t="n">
        <x:v>23490</x:v>
      </x:c>
      <x:c r="T862" s="38" t="n">
        <x:v>4817</x:v>
      </x:c>
      <x:c r="U862" s="38" t="n">
        <x:v>53</x:v>
      </x:c>
      <x:c r="V862" s="38" t="n">
        <x:v>0</x:v>
      </x:c>
      <x:c r="W862" s="38" t="n">
        <x:v>0</x:v>
      </x:c>
      <x:c r="X862" s="44" t="n">
        <x:v>9.99</x:v>
      </x:c>
      <x:c r="Y862" s="38" t="n">
        <x:v>90</x:v>
      </x:c>
      <x:c r="Z862" s="38" t="n">
        <x:v>18</x:v>
      </x:c>
      <x:c r="AA862" s="38" t="n">
        <x:v>6</x:v>
      </x:c>
      <x:c r="AB862" s="38" t="n">
        <x:v>3</x:v>
      </x:c>
      <x:c r="AC862" s="38" t="n">
        <x:v>3209</x:v>
      </x:c>
      <x:c r="AD862" s="38" t="n">
        <x:v>0</x:v>
      </x:c>
      <x:c r="AE862" s="38" t="n">
        <x:f>IF(B862=1,0,F862-Q861)</x:f>
        <x:v>0</x:v>
      </x:c>
    </x:row>
    <x:row r="863" ht="27" customHeight="1">
      <x:c r="A863" s="28" t="str">
        <x:v>Paid capacity ceiling</x:v>
      </x:c>
      <x:c r="B863" s="38" t="n">
        <x:v>19</x:v>
      </x:c>
      <x:c r="C863" s="38" t="n">
        <x:v>17</x:v>
      </x:c>
      <x:c r="D863" s="38" t="n">
        <x:v>63128</x:v>
      </x:c>
      <x:c r="E863" s="38" t="n">
        <x:v>45</x:v>
      </x:c>
      <x:c r="F863" s="38" t="n">
        <x:v>252458</x:v>
      </x:c>
      <x:c r="G863" s="38" t="n">
        <x:v>29480</x:v>
      </x:c>
      <x:c r="H863" s="38" t="n">
        <x:v>5896</x:v>
      </x:c>
      <x:c r="I863" s="38" t="n">
        <x:v>1393</x:v>
      </x:c>
      <x:c r="J863" s="38" t="n">
        <x:v>0</x:v>
      </x:c>
      <x:c r="K863" s="38" t="n">
        <x:v>0</x:v>
      </x:c>
      <x:c r="L863" s="38" t="n">
        <x:v>0</x:v>
      </x:c>
      <x:c r="M863" s="38" t="n">
        <x:v>0</x:v>
      </x:c>
      <x:c r="N863" s="38" t="n">
        <x:v>305</x:v>
      </x:c>
      <x:c r="O863" s="38" t="n">
        <x:v>0</x:v>
      </x:c>
      <x:c r="P863" s="38" t="n">
        <x:f>F863+G863-H863+I863+J863+K863+L863-M863-N863-O863</x:f>
        <x:v>277130</x:v>
      </x:c>
      <x:c r="Q863" s="38" t="n">
        <x:v>277130</x:v>
      </x:c>
      <x:c r="R863" s="38" t="n">
        <x:f>P863-Q863</x:f>
        <x:v>0</x:v>
      </x:c>
      <x:c r="S863" s="38" t="n">
        <x:v>23584</x:v>
      </x:c>
      <x:c r="T863" s="38" t="n">
        <x:v>4725</x:v>
      </x:c>
      <x:c r="U863" s="38" t="n">
        <x:v>53</x:v>
      </x:c>
      <x:c r="V863" s="38" t="n">
        <x:v>0</x:v>
      </x:c>
      <x:c r="W863" s="38" t="n">
        <x:v>0</x:v>
      </x:c>
      <x:c r="X863" s="44" t="n">
        <x:v>9.99</x:v>
      </x:c>
      <x:c r="Y863" s="38" t="n">
        <x:v>88</x:v>
      </x:c>
      <x:c r="Z863" s="38" t="n">
        <x:v>18</x:v>
      </x:c>
      <x:c r="AA863" s="38" t="n">
        <x:v>7</x:v>
      </x:c>
      <x:c r="AB863" s="38" t="n">
        <x:v>3</x:v>
      </x:c>
      <x:c r="AC863" s="38" t="n">
        <x:v>3209</x:v>
      </x:c>
      <x:c r="AD863" s="38" t="n">
        <x:v>0</x:v>
      </x:c>
      <x:c r="AE863" s="38" t="n">
        <x:f>IF(B863=1,0,F863-Q862)</x:f>
        <x:v>0</x:v>
      </x:c>
    </x:row>
    <x:row r="864" ht="27" customHeight="1">
      <x:c r="A864" s="28" t="str">
        <x:v>Paid capacity ceiling</x:v>
      </x:c>
      <x:c r="B864" s="38" t="n">
        <x:v>20</x:v>
      </x:c>
      <x:c r="C864" s="38" t="n">
        <x:v>17</x:v>
      </x:c>
      <x:c r="D864" s="38" t="n">
        <x:v>68041</x:v>
      </x:c>
      <x:c r="E864" s="38" t="n">
        <x:v>45</x:v>
      </x:c>
      <x:c r="F864" s="38" t="n">
        <x:v>277130</x:v>
      </x:c>
      <x:c r="G864" s="38" t="n">
        <x:v>30785</x:v>
      </x:c>
      <x:c r="H864" s="38" t="n">
        <x:v>5963</x:v>
      </x:c>
      <x:c r="I864" s="38" t="n">
        <x:v>1393</x:v>
      </x:c>
      <x:c r="J864" s="38" t="n">
        <x:v>0</x:v>
      </x:c>
      <x:c r="K864" s="38" t="n">
        <x:v>0</x:v>
      </x:c>
      <x:c r="L864" s="38" t="n">
        <x:v>0</x:v>
      </x:c>
      <x:c r="M864" s="38" t="n">
        <x:v>0</x:v>
      </x:c>
      <x:c r="N864" s="38" t="n">
        <x:v>0</x:v>
      </x:c>
      <x:c r="O864" s="38" t="n">
        <x:v>0</x:v>
      </x:c>
      <x:c r="P864" s="38" t="n">
        <x:f>F864+G864-H864+I864+J864+K864+L864-M864-N864-O864</x:f>
        <x:v>303345</x:v>
      </x:c>
      <x:c r="Q864" s="38" t="n">
        <x:v>303345</x:v>
      </x:c>
      <x:c r="R864" s="38" t="n">
        <x:f>P864-Q864</x:f>
        <x:v>0</x:v>
      </x:c>
      <x:c r="S864" s="38" t="n">
        <x:v>24628</x:v>
      </x:c>
      <x:c r="T864" s="38" t="n">
        <x:v>4913</x:v>
      </x:c>
      <x:c r="U864" s="38" t="n">
        <x:v>53</x:v>
      </x:c>
      <x:c r="V864" s="38" t="n">
        <x:v>0</x:v>
      </x:c>
      <x:c r="W864" s="38" t="n">
        <x:v>0</x:v>
      </x:c>
      <x:c r="X864" s="44" t="n">
        <x:v>9.99</x:v>
      </x:c>
      <x:c r="Y864" s="38" t="n">
        <x:v>89</x:v>
      </x:c>
      <x:c r="Z864" s="38" t="n">
        <x:v>19</x:v>
      </x:c>
      <x:c r="AA864" s="38" t="n">
        <x:v>7</x:v>
      </x:c>
      <x:c r="AB864" s="38" t="n">
        <x:v>3</x:v>
      </x:c>
      <x:c r="AC864" s="38" t="n">
        <x:v>3015</x:v>
      </x:c>
      <x:c r="AD864" s="38" t="n">
        <x:v>0</x:v>
      </x:c>
      <x:c r="AE864" s="38" t="n">
        <x:f>IF(B864=1,0,F864-Q863)</x:f>
        <x:v>0</x:v>
      </x:c>
    </x:row>
    <x:row r="865" ht="27" customHeight="1">
      <x:c r="A865" s="28" t="str">
        <x:v>Paid capacity ceiling</x:v>
      </x:c>
      <x:c r="B865" s="38" t="n">
        <x:v>21</x:v>
      </x:c>
      <x:c r="C865" s="38" t="n">
        <x:v>18</x:v>
      </x:c>
      <x:c r="D865" s="38" t="n">
        <x:v>75020</x:v>
      </x:c>
      <x:c r="E865" s="38" t="n">
        <x:v>50</x:v>
      </x:c>
      <x:c r="F865" s="38" t="n">
        <x:v>303345</x:v>
      </x:c>
      <x:c r="G865" s="38" t="n">
        <x:v>31948</x:v>
      </x:c>
      <x:c r="H865" s="38" t="n">
        <x:v>6836</x:v>
      </x:c>
      <x:c r="I865" s="38" t="n">
        <x:v>6528</x:v>
      </x:c>
      <x:c r="J865" s="38" t="n">
        <x:v>395</x:v>
      </x:c>
      <x:c r="K865" s="38" t="n">
        <x:v>0</x:v>
      </x:c>
      <x:c r="L865" s="38" t="n">
        <x:v>0</x:v>
      </x:c>
      <x:c r="M865" s="38" t="n">
        <x:v>0</x:v>
      </x:c>
      <x:c r="N865" s="38" t="n">
        <x:v>0</x:v>
      </x:c>
      <x:c r="O865" s="38" t="n">
        <x:v>0</x:v>
      </x:c>
      <x:c r="P865" s="38" t="n">
        <x:f>F865+G865-H865+I865+J865+K865+L865-M865-N865-O865</x:f>
        <x:v>335380</x:v>
      </x:c>
      <x:c r="Q865" s="38" t="n">
        <x:v>335380</x:v>
      </x:c>
      <x:c r="R865" s="38" t="n">
        <x:f>P865-Q865</x:f>
        <x:v>0</x:v>
      </x:c>
      <x:c r="S865" s="38" t="n">
        <x:v>25547</x:v>
      </x:c>
      <x:c r="T865" s="38" t="n">
        <x:v>6979</x:v>
      </x:c>
      <x:c r="U865" s="38" t="n">
        <x:v>28</x:v>
      </x:c>
      <x:c r="V865" s="38" t="n">
        <x:v>5</x:v>
      </x:c>
      <x:c r="W865" s="38" t="n">
        <x:v>30</x:v>
      </x:c>
      <x:c r="X865" s="44" t="n">
        <x:v>9.99</x:v>
      </x:c>
      <x:c r="Y865" s="38" t="n">
        <x:v>95</x:v>
      </x:c>
      <x:c r="Z865" s="38" t="n">
        <x:v>20</x:v>
      </x:c>
      <x:c r="AA865" s="38" t="n">
        <x:v>7</x:v>
      </x:c>
      <x:c r="AB865" s="38" t="n">
        <x:v>3</x:v>
      </x:c>
      <x:c r="AC865" s="38" t="n">
        <x:v>3450</x:v>
      </x:c>
      <x:c r="AD865" s="38" t="n">
        <x:v>0</x:v>
      </x:c>
      <x:c r="AE865" s="38" t="n">
        <x:f>IF(B865=1,0,F865-Q864)</x:f>
        <x:v>0</x:v>
      </x:c>
    </x:row>
    <x:row r="866" ht="27" customHeight="1">
      <x:c r="A866" s="28" t="str">
        <x:v>Paid capacity ceiling</x:v>
      </x:c>
      <x:c r="B866" s="38" t="n">
        <x:v>22</x:v>
      </x:c>
      <x:c r="C866" s="38" t="n">
        <x:v>18</x:v>
      </x:c>
      <x:c r="D866" s="38" t="n">
        <x:v>80482</x:v>
      </x:c>
      <x:c r="E866" s="38" t="n">
        <x:v>50</x:v>
      </x:c>
      <x:c r="F866" s="38" t="n">
        <x:v>335380</x:v>
      </x:c>
      <x:c r="G866" s="38" t="n">
        <x:v>34400</x:v>
      </x:c>
      <x:c r="H866" s="38" t="n">
        <x:v>6900</x:v>
      </x:c>
      <x:c r="I866" s="38" t="n">
        <x:v>1589</x:v>
      </x:c>
      <x:c r="J866" s="38" t="n">
        <x:v>0</x:v>
      </x:c>
      <x:c r="K866" s="38" t="n">
        <x:v>0</x:v>
      </x:c>
      <x:c r="L866" s="38" t="n">
        <x:v>0</x:v>
      </x:c>
      <x:c r="M866" s="38" t="n">
        <x:v>0</x:v>
      </x:c>
      <x:c r="N866" s="38" t="n">
        <x:v>305</x:v>
      </x:c>
      <x:c r="O866" s="38" t="n">
        <x:v>0</x:v>
      </x:c>
      <x:c r="P866" s="38" t="n">
        <x:f>F866+G866-H866+I866+J866+K866+L866-M866-N866-O866</x:f>
        <x:v>364164</x:v>
      </x:c>
      <x:c r="Q866" s="38" t="n">
        <x:v>364164</x:v>
      </x:c>
      <x:c r="R866" s="38" t="n">
        <x:f>P866-Q866</x:f>
        <x:v>0</x:v>
      </x:c>
      <x:c r="S866" s="38" t="n">
        <x:v>27500</x:v>
      </x:c>
      <x:c r="T866" s="38" t="n">
        <x:v>5462</x:v>
      </x:c>
      <x:c r="U866" s="38" t="n">
        <x:v>32</x:v>
      </x:c>
      <x:c r="V866" s="38" t="n">
        <x:v>4</x:v>
      </x:c>
      <x:c r="W866" s="38" t="n">
        <x:v>0</x:v>
      </x:c>
      <x:c r="X866" s="44" t="n">
        <x:v>9.99</x:v>
      </x:c>
      <x:c r="Y866" s="38" t="n">
        <x:v>100</x:v>
      </x:c>
      <x:c r="Z866" s="38" t="n">
        <x:v>20</x:v>
      </x:c>
      <x:c r="AA866" s="38" t="n">
        <x:v>8</x:v>
      </x:c>
      <x:c r="AB866" s="38" t="n">
        <x:v>3</x:v>
      </x:c>
      <x:c r="AC866" s="38" t="n">
        <x:v>3450</x:v>
      </x:c>
      <x:c r="AD866" s="38" t="n">
        <x:v>0</x:v>
      </x:c>
      <x:c r="AE866" s="38" t="n">
        <x:f>IF(B866=1,0,F866-Q865)</x:f>
        <x:v>0</x:v>
      </x:c>
    </x:row>
    <x:row r="867" ht="27" customHeight="1">
      <x:c r="A867" s="28" t="str">
        <x:v>Paid capacity ceiling</x:v>
      </x:c>
      <x:c r="B867" s="38" t="n">
        <x:v>23</x:v>
      </x:c>
      <x:c r="C867" s="38" t="n">
        <x:v>19</x:v>
      </x:c>
      <x:c r="D867" s="38" t="n">
        <x:v>85944</x:v>
      </x:c>
      <x:c r="E867" s="38" t="n">
        <x:v>50</x:v>
      </x:c>
      <x:c r="F867" s="38" t="n">
        <x:v>364164</x:v>
      </x:c>
      <x:c r="G867" s="38" t="n">
        <x:v>34850</x:v>
      </x:c>
      <x:c r="H867" s="38" t="n">
        <x:v>7100</x:v>
      </x:c>
      <x:c r="I867" s="38" t="n">
        <x:v>1589</x:v>
      </x:c>
      <x:c r="J867" s="38" t="n">
        <x:v>405</x:v>
      </x:c>
      <x:c r="K867" s="38" t="n">
        <x:v>0</x:v>
      </x:c>
      <x:c r="L867" s="38" t="n">
        <x:v>0</x:v>
      </x:c>
      <x:c r="M867" s="38" t="n">
        <x:v>0</x:v>
      </x:c>
      <x:c r="N867" s="38" t="n">
        <x:v>0</x:v>
      </x:c>
      <x:c r="O867" s="38" t="n">
        <x:v>0</x:v>
      </x:c>
      <x:c r="P867" s="38" t="n">
        <x:f>F867+G867-H867+I867+J867+K867+L867-M867-N867-O867</x:f>
        <x:v>393908</x:v>
      </x:c>
      <x:c r="Q867" s="38" t="n">
        <x:v>393908</x:v>
      </x:c>
      <x:c r="R867" s="38" t="n">
        <x:f>P867-Q867</x:f>
        <x:v>0</x:v>
      </x:c>
      <x:c r="S867" s="38" t="n">
        <x:v>27850</x:v>
      </x:c>
      <x:c r="T867" s="38" t="n">
        <x:v>5462</x:v>
      </x:c>
      <x:c r="U867" s="38" t="n">
        <x:v>32</x:v>
      </x:c>
      <x:c r="V867" s="38" t="n">
        <x:v>0</x:v>
      </x:c>
      <x:c r="W867" s="38" t="n">
        <x:v>0</x:v>
      </x:c>
      <x:c r="X867" s="44" t="n">
        <x:v>9.99</x:v>
      </x:c>
      <x:c r="Y867" s="38" t="n">
        <x:v>100</x:v>
      </x:c>
      <x:c r="Z867" s="38" t="n">
        <x:v>21</x:v>
      </x:c>
      <x:c r="AA867" s="38" t="n">
        <x:v>8</x:v>
      </x:c>
      <x:c r="AB867" s="38" t="n">
        <x:v>3</x:v>
      </x:c>
      <x:c r="AC867" s="38" t="n">
        <x:v>3550</x:v>
      </x:c>
      <x:c r="AD867" s="38" t="n">
        <x:v>0</x:v>
      </x:c>
      <x:c r="AE867" s="38" t="n">
        <x:f>IF(B867=1,0,F867-Q866)</x:f>
        <x:v>0</x:v>
      </x:c>
    </x:row>
    <x:row r="868" ht="27" customHeight="1">
      <x:c r="A868" s="28" t="str">
        <x:v>Paid capacity ceiling</x:v>
      </x:c>
      <x:c r="B868" s="38" t="n">
        <x:v>24</x:v>
      </x:c>
      <x:c r="C868" s="38" t="n">
        <x:v>19</x:v>
      </x:c>
      <x:c r="D868" s="38" t="n">
        <x:v>91410</x:v>
      </x:c>
      <x:c r="E868" s="38" t="n">
        <x:v>50</x:v>
      </x:c>
      <x:c r="F868" s="38" t="n">
        <x:v>393908</x:v>
      </x:c>
      <x:c r="G868" s="38" t="n">
        <x:v>35300</x:v>
      </x:c>
      <x:c r="H868" s="38" t="n">
        <x:v>7100</x:v>
      </x:c>
      <x:c r="I868" s="38" t="n">
        <x:v>1629</x:v>
      </x:c>
      <x:c r="J868" s="38" t="n">
        <x:v>0</x:v>
      </x:c>
      <x:c r="K868" s="38" t="n">
        <x:v>0</x:v>
      </x:c>
      <x:c r="L868" s="38" t="n">
        <x:v>0</x:v>
      </x:c>
      <x:c r="M868" s="38" t="n">
        <x:v>0</x:v>
      </x:c>
      <x:c r="N868" s="38" t="n">
        <x:v>0</x:v>
      </x:c>
      <x:c r="O868" s="38" t="n">
        <x:v>0</x:v>
      </x:c>
      <x:c r="P868" s="38" t="n">
        <x:f>F868+G868-H868+I868+J868+K868+L868-M868-N868-O868</x:f>
        <x:v>423737</x:v>
      </x:c>
      <x:c r="Q868" s="38" t="n">
        <x:v>423737</x:v>
      </x:c>
      <x:c r="R868" s="38" t="n">
        <x:f>P868-Q868</x:f>
        <x:v>0</x:v>
      </x:c>
      <x:c r="S868" s="38" t="n">
        <x:v>28200</x:v>
      </x:c>
      <x:c r="T868" s="38" t="n">
        <x:v>5466</x:v>
      </x:c>
      <x:c r="U868" s="38" t="n">
        <x:v>32</x:v>
      </x:c>
      <x:c r="V868" s="38" t="n">
        <x:v>0</x:v>
      </x:c>
      <x:c r="W868" s="38" t="n">
        <x:v>0</x:v>
      </x:c>
      <x:c r="X868" s="44" t="n">
        <x:v>9.99</x:v>
      </x:c>
      <x:c r="Y868" s="38" t="n">
        <x:v>100</x:v>
      </x:c>
      <x:c r="Z868" s="38" t="n">
        <x:v>21</x:v>
      </x:c>
      <x:c r="AA868" s="38" t="n">
        <x:v>8</x:v>
      </x:c>
      <x:c r="AB868" s="38" t="n">
        <x:v>3</x:v>
      </x:c>
      <x:c r="AC868" s="38" t="n">
        <x:v>3550</x:v>
      </x:c>
      <x:c r="AD868" s="38" t="n">
        <x:v>0</x:v>
      </x:c>
      <x:c r="AE868" s="38" t="n">
        <x:f>IF(B868=1,0,F868-Q867)</x:f>
        <x:v>0</x:v>
      </x:c>
    </x:row>
    <x:row r="869" ht="27" customHeight="1">
      <x:c r="A869" s="28" t="str">
        <x:v>Paid capacity ceiling</x:v>
      </x:c>
      <x:c r="B869" s="38" t="n">
        <x:v>25</x:v>
      </x:c>
      <x:c r="C869" s="38" t="n">
        <x:v>19</x:v>
      </x:c>
      <x:c r="D869" s="38" t="n">
        <x:v>96876</x:v>
      </x:c>
      <x:c r="E869" s="38" t="n">
        <x:v>50</x:v>
      </x:c>
      <x:c r="F869" s="38" t="n">
        <x:v>423737</x:v>
      </x:c>
      <x:c r="G869" s="38" t="n">
        <x:v>35300</x:v>
      </x:c>
      <x:c r="H869" s="38" t="n">
        <x:v>7100</x:v>
      </x:c>
      <x:c r="I869" s="38" t="n">
        <x:v>1629</x:v>
      </x:c>
      <x:c r="J869" s="38" t="n">
        <x:v>0</x:v>
      </x:c>
      <x:c r="K869" s="38" t="n">
        <x:v>0</x:v>
      </x:c>
      <x:c r="L869" s="38" t="n">
        <x:v>0</x:v>
      </x:c>
      <x:c r="M869" s="38" t="n">
        <x:v>0</x:v>
      </x:c>
      <x:c r="N869" s="38" t="n">
        <x:v>320</x:v>
      </x:c>
      <x:c r="O869" s="38" t="n">
        <x:v>0</x:v>
      </x:c>
      <x:c r="P869" s="38" t="n">
        <x:f>F869+G869-H869+I869+J869+K869+L869-M869-N869-O869</x:f>
        <x:v>453246</x:v>
      </x:c>
      <x:c r="Q869" s="38" t="n">
        <x:v>453246</x:v>
      </x:c>
      <x:c r="R869" s="38" t="n">
        <x:f>P869-Q869</x:f>
        <x:v>0</x:v>
      </x:c>
      <x:c r="S869" s="38" t="n">
        <x:v>28200</x:v>
      </x:c>
      <x:c r="T869" s="38" t="n">
        <x:v>5466</x:v>
      </x:c>
      <x:c r="U869" s="38" t="n">
        <x:v>32</x:v>
      </x:c>
      <x:c r="V869" s="38" t="n">
        <x:v>0</x:v>
      </x:c>
      <x:c r="W869" s="38" t="n">
        <x:v>0</x:v>
      </x:c>
      <x:c r="X869" s="44" t="n">
        <x:v>9.99</x:v>
      </x:c>
      <x:c r="Y869" s="38" t="n">
        <x:v>100</x:v>
      </x:c>
      <x:c r="Z869" s="38" t="n">
        <x:v>21</x:v>
      </x:c>
      <x:c r="AA869" s="38" t="n">
        <x:v>9</x:v>
      </x:c>
      <x:c r="AB869" s="38" t="n">
        <x:v>3</x:v>
      </x:c>
      <x:c r="AC869" s="38" t="n">
        <x:v>3550</x:v>
      </x:c>
      <x:c r="AD869" s="38" t="n">
        <x:v>0</x:v>
      </x:c>
      <x:c r="AE869" s="38" t="n">
        <x:f>IF(B869=1,0,F869-Q868)</x:f>
        <x:v>0</x:v>
      </x:c>
    </x:row>
    <x:row r="870" ht="27" customHeight="1">
      <x:c r="A870" s="28" t="str">
        <x:v>Paid capacity ceiling</x:v>
      </x:c>
      <x:c r="B870" s="38" t="n">
        <x:v>26</x:v>
      </x:c>
      <x:c r="C870" s="38" t="n">
        <x:v>20</x:v>
      </x:c>
      <x:c r="D870" s="38" t="n">
        <x:v>102342</x:v>
      </x:c>
      <x:c r="E870" s="38" t="n">
        <x:v>50</x:v>
      </x:c>
      <x:c r="F870" s="38" t="n">
        <x:v>453246</x:v>
      </x:c>
      <x:c r="G870" s="38" t="n">
        <x:v>35339</x:v>
      </x:c>
      <x:c r="H870" s="38" t="n">
        <x:v>7195</x:v>
      </x:c>
      <x:c r="I870" s="38" t="n">
        <x:v>1629</x:v>
      </x:c>
      <x:c r="J870" s="38" t="n">
        <x:v>415</x:v>
      </x:c>
      <x:c r="K870" s="38" t="n">
        <x:v>0</x:v>
      </x:c>
      <x:c r="L870" s="38" t="n">
        <x:v>0</x:v>
      </x:c>
      <x:c r="M870" s="38" t="n">
        <x:v>0</x:v>
      </x:c>
      <x:c r="N870" s="38" t="n">
        <x:v>0</x:v>
      </x:c>
      <x:c r="O870" s="38" t="n">
        <x:v>41740</x:v>
      </x:c>
      <x:c r="P870" s="38" t="n">
        <x:f>F870+G870-H870+I870+J870+K870+L870-M870-N870-O870</x:f>
        <x:v>441694</x:v>
      </x:c>
      <x:c r="Q870" s="38" t="n">
        <x:v>441694</x:v>
      </x:c>
      <x:c r="R870" s="38" t="n">
        <x:f>P870-Q870</x:f>
        <x:v>0</x:v>
      </x:c>
      <x:c r="S870" s="38" t="n">
        <x:v>28261</x:v>
      </x:c>
      <x:c r="T870" s="38" t="n">
        <x:v>5466</x:v>
      </x:c>
      <x:c r="U870" s="38" t="n">
        <x:v>35</x:v>
      </x:c>
      <x:c r="V870" s="38" t="n">
        <x:v>3</x:v>
      </x:c>
      <x:c r="W870" s="38" t="n">
        <x:v>0</x:v>
      </x:c>
      <x:c r="X870" s="44" t="n">
        <x:v>9.99</x:v>
      </x:c>
      <x:c r="Y870" s="38" t="n">
        <x:v>99</x:v>
      </x:c>
      <x:c r="Z870" s="38" t="n">
        <x:v>21</x:v>
      </x:c>
      <x:c r="AA870" s="38" t="n">
        <x:v>9</x:v>
      </x:c>
      <x:c r="AB870" s="38" t="n">
        <x:v>4</x:v>
      </x:c>
      <x:c r="AC870" s="38" t="n">
        <x:v>3667</x:v>
      </x:c>
      <x:c r="AD870" s="38" t="n">
        <x:v>0</x:v>
      </x:c>
      <x:c r="AE870" s="38" t="n">
        <x:f>IF(B870=1,0,F870-Q869)</x:f>
        <x:v>0</x:v>
      </x:c>
    </x:row>
    <x:row r="871" ht="27" customHeight="1">
      <x:c r="A871" s="28" t="str">
        <x:v>Paid capacity ceiling</x:v>
      </x:c>
      <x:c r="B871" s="38" t="n">
        <x:v>27</x:v>
      </x:c>
      <x:c r="C871" s="38" t="n">
        <x:v>20</x:v>
      </x:c>
      <x:c r="D871" s="38" t="n">
        <x:v>107958</x:v>
      </x:c>
      <x:c r="E871" s="38" t="n">
        <x:v>50</x:v>
      </x:c>
      <x:c r="F871" s="38" t="n">
        <x:v>441694</x:v>
      </x:c>
      <x:c r="G871" s="38" t="n">
        <x:v>36435</x:v>
      </x:c>
      <x:c r="H871" s="38" t="n">
        <x:v>7200</x:v>
      </x:c>
      <x:c r="I871" s="38" t="n">
        <x:v>1670</x:v>
      </x:c>
      <x:c r="J871" s="38" t="n">
        <x:v>0</x:v>
      </x:c>
      <x:c r="K871" s="38" t="n">
        <x:v>0</x:v>
      </x:c>
      <x:c r="L871" s="38" t="n">
        <x:v>0</x:v>
      </x:c>
      <x:c r="M871" s="38" t="n">
        <x:v>0</x:v>
      </x:c>
      <x:c r="N871" s="38" t="n">
        <x:v>0</x:v>
      </x:c>
      <x:c r="O871" s="38" t="n">
        <x:v>0</x:v>
      </x:c>
      <x:c r="P871" s="38" t="n">
        <x:f>F871+G871-H871+I871+J871+K871+L871-M871-N871-O871</x:f>
        <x:v>472599</x:v>
      </x:c>
      <x:c r="Q871" s="38" t="n">
        <x:v>472599</x:v>
      </x:c>
      <x:c r="R871" s="38" t="n">
        <x:f>P871-Q871</x:f>
        <x:v>0</x:v>
      </x:c>
      <x:c r="S871" s="38" t="n">
        <x:v>29168</x:v>
      </x:c>
      <x:c r="T871" s="38" t="n">
        <x:v>5616</x:v>
      </x:c>
      <x:c r="U871" s="38" t="n">
        <x:v>35</x:v>
      </x:c>
      <x:c r="V871" s="38" t="n">
        <x:v>0</x:v>
      </x:c>
      <x:c r="W871" s="38" t="n">
        <x:v>0</x:v>
      </x:c>
      <x:c r="X871" s="44" t="n">
        <x:v>9.99</x:v>
      </x:c>
      <x:c r="Y871" s="38" t="n">
        <x:v>100</x:v>
      </x:c>
      <x:c r="Z871" s="38" t="n">
        <x:v>22</x:v>
      </x:c>
      <x:c r="AA871" s="38" t="n">
        <x:v>9</x:v>
      </x:c>
      <x:c r="AB871" s="38" t="n">
        <x:v>4</x:v>
      </x:c>
      <x:c r="AC871" s="38" t="n">
        <x:v>3600</x:v>
      </x:c>
      <x:c r="AD871" s="38" t="n">
        <x:v>0</x:v>
      </x:c>
      <x:c r="AE871" s="38" t="n">
        <x:f>IF(B871=1,0,F871-Q870)</x:f>
        <x:v>0</x:v>
      </x:c>
    </x:row>
    <x:row r="872" ht="27" customHeight="1">
      <x:c r="A872" s="28" t="str">
        <x:v>Paid capacity ceiling</x:v>
      </x:c>
      <x:c r="B872" s="38" t="n">
        <x:v>28</x:v>
      </x:c>
      <x:c r="C872" s="38" t="n">
        <x:v>21</x:v>
      </x:c>
      <x:c r="D872" s="38" t="n">
        <x:v>116587</x:v>
      </x:c>
      <x:c r="E872" s="38" t="n">
        <x:v>55</x:v>
      </x:c>
      <x:c r="F872" s="38" t="n">
        <x:v>472599</x:v>
      </x:c>
      <x:c r="G872" s="38" t="n">
        <x:v>38400</x:v>
      </x:c>
      <x:c r="H872" s="38" t="n">
        <x:v>8140</x:v>
      </x:c>
      <x:c r="I872" s="38" t="n">
        <x:v>9613</x:v>
      </x:c>
      <x:c r="J872" s="38" t="n">
        <x:v>470</x:v>
      </x:c>
      <x:c r="K872" s="38" t="n">
        <x:v>0</x:v>
      </x:c>
      <x:c r="L872" s="38" t="n">
        <x:v>0</x:v>
      </x:c>
      <x:c r="M872" s="38" t="n">
        <x:v>0</x:v>
      </x:c>
      <x:c r="N872" s="38" t="n">
        <x:v>320</x:v>
      </x:c>
      <x:c r="O872" s="38" t="n">
        <x:v>0</x:v>
      </x:c>
      <x:c r="P872" s="38" t="n">
        <x:f>F872+G872-H872+I872+J872+K872+L872-M872-N872-O872</x:f>
        <x:v>512622</x:v>
      </x:c>
      <x:c r="Q872" s="38" t="n">
        <x:v>512622</x:v>
      </x:c>
      <x:c r="R872" s="38" t="n">
        <x:f>P872-Q872</x:f>
        <x:v>0</x:v>
      </x:c>
      <x:c r="S872" s="38" t="n">
        <x:v>30730</x:v>
      </x:c>
      <x:c r="T872" s="38" t="n">
        <x:v>8629</x:v>
      </x:c>
      <x:c r="U872" s="38" t="n">
        <x:v>112</x:v>
      </x:c>
      <x:c r="V872" s="38" t="n">
        <x:v>122</x:v>
      </x:c>
      <x:c r="W872" s="38" t="n">
        <x:v>45</x:v>
      </x:c>
      <x:c r="X872" s="44" t="n">
        <x:v>19.98</x:v>
      </x:c>
      <x:c r="Y872" s="38" t="n">
        <x:v>105</x:v>
      </x:c>
      <x:c r="Z872" s="38" t="n">
        <x:v>22</x:v>
      </x:c>
      <x:c r="AA872" s="38" t="n">
        <x:v>10</x:v>
      </x:c>
      <x:c r="AB872" s="38" t="n">
        <x:v>4</x:v>
      </x:c>
      <x:c r="AC872" s="38" t="n">
        <x:v>4070</x:v>
      </x:c>
      <x:c r="AD872" s="38" t="n">
        <x:v>0</x:v>
      </x:c>
      <x:c r="AE872" s="38" t="n">
        <x:f>IF(B872=1,0,F872-Q871)</x:f>
        <x:v>0</x:v>
      </x:c>
    </x:row>
    <x:row r="873" ht="27" customHeight="1">
      <x:c r="A873" s="28" t="str">
        <x:v>Paid capacity ceiling</x:v>
      </x:c>
      <x:c r="B873" s="38" t="n">
        <x:v>29</x:v>
      </x:c>
      <x:c r="C873" s="38" t="n">
        <x:v>21</x:v>
      </x:c>
      <x:c r="D873" s="38" t="n">
        <x:v>122721</x:v>
      </x:c>
      <x:c r="E873" s="38" t="n">
        <x:v>55</x:v>
      </x:c>
      <x:c r="F873" s="38" t="n">
        <x:v>512622</x:v>
      </x:c>
      <x:c r="G873" s="38" t="n">
        <x:v>40700</x:v>
      </x:c>
      <x:c r="H873" s="38" t="n">
        <x:v>8140</x:v>
      </x:c>
      <x:c r="I873" s="38" t="n">
        <x:v>1881</x:v>
      </x:c>
      <x:c r="J873" s="38" t="n">
        <x:v>0</x:v>
      </x:c>
      <x:c r="K873" s="38" t="n">
        <x:v>0</x:v>
      </x:c>
      <x:c r="L873" s="38" t="n">
        <x:v>0</x:v>
      </x:c>
      <x:c r="M873" s="38" t="n">
        <x:v>0</x:v>
      </x:c>
      <x:c r="N873" s="38" t="n">
        <x:v>0</x:v>
      </x:c>
      <x:c r="O873" s="38" t="n">
        <x:v>0</x:v>
      </x:c>
      <x:c r="P873" s="38" t="n">
        <x:f>F873+G873-H873+I873+J873+K873+L873-M873-N873-O873</x:f>
        <x:v>547063</x:v>
      </x:c>
      <x:c r="Q873" s="38" t="n">
        <x:v>547063</x:v>
      </x:c>
      <x:c r="R873" s="38" t="n">
        <x:f>P873-Q873</x:f>
        <x:v>0</x:v>
      </x:c>
      <x:c r="S873" s="38" t="n">
        <x:v>32560</x:v>
      </x:c>
      <x:c r="T873" s="38" t="n">
        <x:v>6134</x:v>
      </x:c>
      <x:c r="U873" s="38" t="n">
        <x:v>112</x:v>
      </x:c>
      <x:c r="V873" s="38" t="n">
        <x:v>0</x:v>
      </x:c>
      <x:c r="W873" s="38" t="n">
        <x:v>0</x:v>
      </x:c>
      <x:c r="X873" s="44" t="n">
        <x:v>19.98</x:v>
      </x:c>
      <x:c r="Y873" s="38" t="n">
        <x:v>110</x:v>
      </x:c>
      <x:c r="Z873" s="38" t="n">
        <x:v>22</x:v>
      </x:c>
      <x:c r="AA873" s="38" t="n">
        <x:v>10</x:v>
      </x:c>
      <x:c r="AB873" s="38" t="n">
        <x:v>4</x:v>
      </x:c>
      <x:c r="AC873" s="38" t="n">
        <x:v>4070</x:v>
      </x:c>
      <x:c r="AD873" s="38" t="n">
        <x:v>0</x:v>
      </x:c>
      <x:c r="AE873" s="38" t="n">
        <x:f>IF(B873=1,0,F873-Q872)</x:f>
        <x:v>0</x:v>
      </x:c>
    </x:row>
    <x:row r="874" ht="27" customHeight="1">
      <x:c r="A874" s="28" t="str">
        <x:v>Paid capacity ceiling</x:v>
      </x:c>
      <x:c r="B874" s="38" t="n">
        <x:v>30</x:v>
      </x:c>
      <x:c r="C874" s="38" t="n">
        <x:v>22</x:v>
      </x:c>
      <x:c r="D874" s="38" t="n">
        <x:v>128805</x:v>
      </x:c>
      <x:c r="E874" s="38" t="n">
        <x:v>55</x:v>
      </x:c>
      <x:c r="F874" s="38" t="n">
        <x:v>547063</x:v>
      </x:c>
      <x:c r="G874" s="38" t="n">
        <x:v>40816</x:v>
      </x:c>
      <x:c r="H874" s="38" t="n">
        <x:v>8369</x:v>
      </x:c>
      <x:c r="I874" s="38" t="n">
        <x:v>1881</x:v>
      </x:c>
      <x:c r="J874" s="38" t="n">
        <x:v>480</x:v>
      </x:c>
      <x:c r="K874" s="38" t="n">
        <x:v>0</x:v>
      </x:c>
      <x:c r="L874" s="38" t="n">
        <x:v>0</x:v>
      </x:c>
      <x:c r="M874" s="38" t="n">
        <x:v>0</x:v>
      </x:c>
      <x:c r="N874" s="38" t="n">
        <x:v>0</x:v>
      </x:c>
      <x:c r="O874" s="38" t="n">
        <x:v>0</x:v>
      </x:c>
      <x:c r="P874" s="38" t="n">
        <x:f>F874+G874-H874+I874+J874+K874+L874-M874-N874-O874</x:f>
        <x:v>581871</x:v>
      </x:c>
      <x:c r="Q874" s="38" t="n">
        <x:v>581871</x:v>
      </x:c>
      <x:c r="R874" s="38" t="n">
        <x:f>P874-Q874</x:f>
        <x:v>0</x:v>
      </x:c>
      <x:c r="S874" s="38" t="n">
        <x:v>32642</x:v>
      </x:c>
      <x:c r="T874" s="38" t="n">
        <x:v>6084</x:v>
      </x:c>
      <x:c r="U874" s="38" t="n">
        <x:v>113</x:v>
      </x:c>
      <x:c r="V874" s="38" t="n">
        <x:v>1</x:v>
      </x:c>
      <x:c r="W874" s="38" t="n">
        <x:v>0</x:v>
      </x:c>
      <x:c r="X874" s="44" t="n">
        <x:v>19.98</x:v>
      </x:c>
      <x:c r="Y874" s="38" t="n">
        <x:v>109</x:v>
      </x:c>
      <x:c r="Z874" s="38" t="n">
        <x:v>22</x:v>
      </x:c>
      <x:c r="AA874" s="38" t="n">
        <x:v>10</x:v>
      </x:c>
      <x:c r="AB874" s="38" t="n">
        <x:v>4</x:v>
      </x:c>
      <x:c r="AC874" s="38" t="n">
        <x:v>4265</x:v>
      </x:c>
      <x:c r="AD874" s="38" t="n">
        <x:v>0</x:v>
      </x:c>
      <x:c r="AE874" s="38" t="n">
        <x:f>IF(B874=1,0,F874-Q873)</x:f>
        <x:v>0</x:v>
      </x:c>
    </x:row>
    <x:row r="875" ht="27" customHeight="1">
      <x:c r="A875" s="28" t="str">
        <x:v>Paid capacity ceiling</x:v>
      </x:c>
      <x:c r="B875" s="38" t="n">
        <x:v>31</x:v>
      </x:c>
      <x:c r="C875" s="38" t="n">
        <x:v>22</x:v>
      </x:c>
      <x:c r="D875" s="38" t="n">
        <x:v>134981</x:v>
      </x:c>
      <x:c r="E875" s="38" t="n">
        <x:v>55</x:v>
      </x:c>
      <x:c r="F875" s="38" t="n">
        <x:v>581871</x:v>
      </x:c>
      <x:c r="G875" s="38" t="n">
        <x:v>42114</x:v>
      </x:c>
      <x:c r="H875" s="38" t="n">
        <x:v>8360</x:v>
      </x:c>
      <x:c r="I875" s="38" t="n">
        <x:v>1926</x:v>
      </x:c>
      <x:c r="J875" s="38" t="n">
        <x:v>0</x:v>
      </x:c>
      <x:c r="K875" s="38" t="n">
        <x:v>0</x:v>
      </x:c>
      <x:c r="L875" s="38" t="n">
        <x:v>0</x:v>
      </x:c>
      <x:c r="M875" s="38" t="n">
        <x:v>0</x:v>
      </x:c>
      <x:c r="N875" s="38" t="n">
        <x:v>330</x:v>
      </x:c>
      <x:c r="O875" s="38" t="n">
        <x:v>0</x:v>
      </x:c>
      <x:c r="P875" s="38" t="n">
        <x:f>F875+G875-H875+I875+J875+K875+L875-M875-N875-O875</x:f>
        <x:v>617221</x:v>
      </x:c>
      <x:c r="Q875" s="38" t="n">
        <x:v>617221</x:v>
      </x:c>
      <x:c r="R875" s="38" t="n">
        <x:f>P875-Q875</x:f>
        <x:v>0</x:v>
      </x:c>
      <x:c r="S875" s="38" t="n">
        <x:v>33669</x:v>
      </x:c>
      <x:c r="T875" s="38" t="n">
        <x:v>6176</x:v>
      </x:c>
      <x:c r="U875" s="38" t="n">
        <x:v>113</x:v>
      </x:c>
      <x:c r="V875" s="38" t="n">
        <x:v>0</x:v>
      </x:c>
      <x:c r="W875" s="38" t="n">
        <x:v>0</x:v>
      </x:c>
      <x:c r="X875" s="44" t="n">
        <x:v>19.98</x:v>
      </x:c>
      <x:c r="Y875" s="38" t="n">
        <x:v>110</x:v>
      </x:c>
      <x:c r="Z875" s="38" t="n">
        <x:v>23</x:v>
      </x:c>
      <x:c r="AA875" s="38" t="n">
        <x:v>11</x:v>
      </x:c>
      <x:c r="AB875" s="38" t="n">
        <x:v>4</x:v>
      </x:c>
      <x:c r="AC875" s="38" t="n">
        <x:v>4180</x:v>
      </x:c>
      <x:c r="AD875" s="38" t="n">
        <x:v>0</x:v>
      </x:c>
      <x:c r="AE875" s="38" t="n">
        <x:f>IF(B875=1,0,F875-Q874)</x:f>
        <x:v>0</x:v>
      </x:c>
    </x:row>
    <x:row r="876" ht="27" customHeight="1">
      <x:c r="A876" s="28" t="str">
        <x:v>Paid capacity ceiling</x:v>
      </x:c>
      <x:c r="B876" s="38" t="n">
        <x:v>32</x:v>
      </x:c>
      <x:c r="C876" s="38" t="n">
        <x:v>23</x:v>
      </x:c>
      <x:c r="D876" s="38" t="n">
        <x:v>141120</x:v>
      </x:c>
      <x:c r="E876" s="38" t="n">
        <x:v>55</x:v>
      </x:c>
      <x:c r="F876" s="38" t="n">
        <x:v>617221</x:v>
      </x:c>
      <x:c r="G876" s="38" t="n">
        <x:v>41690</x:v>
      </x:c>
      <x:c r="H876" s="38" t="n">
        <x:v>8541</x:v>
      </x:c>
      <x:c r="I876" s="38" t="n">
        <x:v>1926</x:v>
      </x:c>
      <x:c r="J876" s="38" t="n">
        <x:v>495</x:v>
      </x:c>
      <x:c r="K876" s="38" t="n">
        <x:v>0</x:v>
      </x:c>
      <x:c r="L876" s="38" t="n">
        <x:v>0</x:v>
      </x:c>
      <x:c r="M876" s="38" t="n">
        <x:v>0</x:v>
      </x:c>
      <x:c r="N876" s="38" t="n">
        <x:v>0</x:v>
      </x:c>
      <x:c r="O876" s="38" t="n">
        <x:v>0</x:v>
      </x:c>
      <x:c r="P876" s="38" t="n">
        <x:f>F876+G876-H876+I876+J876+K876+L876-M876-N876-O876</x:f>
        <x:v>652791</x:v>
      </x:c>
      <x:c r="Q876" s="38" t="n">
        <x:v>652791</x:v>
      </x:c>
      <x:c r="R876" s="38" t="n">
        <x:f>P876-Q876</x:f>
        <x:v>0</x:v>
      </x:c>
      <x:c r="S876" s="38" t="n">
        <x:v>33330</x:v>
      </x:c>
      <x:c r="T876" s="38" t="n">
        <x:v>6139</x:v>
      </x:c>
      <x:c r="U876" s="38" t="n">
        <x:v>113</x:v>
      </x:c>
      <x:c r="V876" s="38" t="n">
        <x:v>0</x:v>
      </x:c>
      <x:c r="W876" s="38" t="n">
        <x:v>0</x:v>
      </x:c>
      <x:c r="X876" s="44" t="n">
        <x:v>19.98</x:v>
      </x:c>
      <x:c r="Y876" s="38" t="n">
        <x:v>110</x:v>
      </x:c>
      <x:c r="Z876" s="38" t="n">
        <x:v>23</x:v>
      </x:c>
      <x:c r="AA876" s="38" t="n">
        <x:v>11</x:v>
      </x:c>
      <x:c r="AB876" s="38" t="n">
        <x:v>4</x:v>
      </x:c>
      <x:c r="AC876" s="38" t="n">
        <x:v>4361</x:v>
      </x:c>
      <x:c r="AD876" s="38" t="n">
        <x:v>0</x:v>
      </x:c>
      <x:c r="AE876" s="38" t="n">
        <x:f>IF(B876=1,0,F876-Q875)</x:f>
        <x:v>0</x:v>
      </x:c>
    </x:row>
    <x:row r="877" ht="27" customHeight="1">
      <x:c r="A877" s="28" t="str">
        <x:v>Paid capacity ceiling</x:v>
      </x:c>
      <x:c r="B877" s="38" t="n">
        <x:v>33</x:v>
      </x:c>
      <x:c r="C877" s="38" t="n">
        <x:v>23</x:v>
      </x:c>
      <x:c r="D877" s="38" t="n">
        <x:v>147370</x:v>
      </x:c>
      <x:c r="E877" s="38" t="n">
        <x:v>55</x:v>
      </x:c>
      <x:c r="F877" s="38" t="n">
        <x:v>652791</x:v>
      </x:c>
      <x:c r="G877" s="38" t="n">
        <x:v>42650</x:v>
      </x:c>
      <x:c r="H877" s="38" t="n">
        <x:v>8502</x:v>
      </x:c>
      <x:c r="I877" s="38" t="n">
        <x:v>1970</x:v>
      </x:c>
      <x:c r="J877" s="38" t="n">
        <x:v>0</x:v>
      </x:c>
      <x:c r="K877" s="38" t="n">
        <x:v>0</x:v>
      </x:c>
      <x:c r="L877" s="38" t="n">
        <x:v>0</x:v>
      </x:c>
      <x:c r="M877" s="38" t="n">
        <x:v>0</x:v>
      </x:c>
      <x:c r="N877" s="38" t="n">
        <x:v>0</x:v>
      </x:c>
      <x:c r="O877" s="38" t="n">
        <x:v>0</x:v>
      </x:c>
      <x:c r="P877" s="38" t="n">
        <x:f>F877+G877-H877+I877+J877+K877+L877-M877-N877-O877</x:f>
        <x:v>688909</x:v>
      </x:c>
      <x:c r="Q877" s="38" t="n">
        <x:v>688909</x:v>
      </x:c>
      <x:c r="R877" s="38" t="n">
        <x:f>P877-Q877</x:f>
        <x:v>0</x:v>
      </x:c>
      <x:c r="S877" s="38" t="n">
        <x:v>34077</x:v>
      </x:c>
      <x:c r="T877" s="38" t="n">
        <x:v>6250</x:v>
      </x:c>
      <x:c r="U877" s="38" t="n">
        <x:v>113</x:v>
      </x:c>
      <x:c r="V877" s="38" t="n">
        <x:v>0</x:v>
      </x:c>
      <x:c r="W877" s="38" t="n">
        <x:v>0</x:v>
      </x:c>
      <x:c r="X877" s="44" t="n">
        <x:v>19.98</x:v>
      </x:c>
      <x:c r="Y877" s="38" t="n">
        <x:v>109</x:v>
      </x:c>
      <x:c r="Z877" s="38" t="n">
        <x:v>24</x:v>
      </x:c>
      <x:c r="AA877" s="38" t="n">
        <x:v>11</x:v>
      </x:c>
      <x:c r="AB877" s="38" t="n">
        <x:v>4</x:v>
      </x:c>
      <x:c r="AC877" s="38" t="n">
        <x:v>4290</x:v>
      </x:c>
      <x:c r="AD877" s="38" t="n">
        <x:v>0</x:v>
      </x:c>
      <x:c r="AE877" s="38" t="n">
        <x:f>IF(B877=1,0,F877-Q876)</x:f>
        <x:v>0</x:v>
      </x:c>
    </x:row>
    <x:row r="878" ht="27" customHeight="1">
      <x:c r="A878" s="28" t="str">
        <x:v>Paid capacity ceiling</x:v>
      </x:c>
      <x:c r="B878" s="38" t="n">
        <x:v>34</x:v>
      </x:c>
      <x:c r="C878" s="38" t="n">
        <x:v>23</x:v>
      </x:c>
      <x:c r="D878" s="38" t="n">
        <x:v>153624</x:v>
      </x:c>
      <x:c r="E878" s="38" t="n">
        <x:v>55</x:v>
      </x:c>
      <x:c r="F878" s="38" t="n">
        <x:v>688909</x:v>
      </x:c>
      <x:c r="G878" s="38" t="n">
        <x:v>42680</x:v>
      </x:c>
      <x:c r="H878" s="38" t="n">
        <x:v>8580</x:v>
      </x:c>
      <x:c r="I878" s="38" t="n">
        <x:v>1970</x:v>
      </x:c>
      <x:c r="J878" s="38" t="n">
        <x:v>0</x:v>
      </x:c>
      <x:c r="K878" s="38" t="n">
        <x:v>0</x:v>
      </x:c>
      <x:c r="L878" s="38" t="n">
        <x:v>0</x:v>
      </x:c>
      <x:c r="M878" s="38" t="n">
        <x:v>0</x:v>
      </x:c>
      <x:c r="N878" s="38" t="n">
        <x:v>330</x:v>
      </x:c>
      <x:c r="O878" s="38" t="n">
        <x:v>0</x:v>
      </x:c>
      <x:c r="P878" s="38" t="n">
        <x:f>F878+G878-H878+I878+J878+K878+L878-M878-N878-O878</x:f>
        <x:v>724649</x:v>
      </x:c>
      <x:c r="Q878" s="38" t="n">
        <x:v>724649</x:v>
      </x:c>
      <x:c r="R878" s="38" t="n">
        <x:f>P878-Q878</x:f>
        <x:v>0</x:v>
      </x:c>
      <x:c r="S878" s="38" t="n">
        <x:v>34100</x:v>
      </x:c>
      <x:c r="T878" s="38" t="n">
        <x:v>6254</x:v>
      </x:c>
      <x:c r="U878" s="38" t="n">
        <x:v>113</x:v>
      </x:c>
      <x:c r="V878" s="38" t="n">
        <x:v>0</x:v>
      </x:c>
      <x:c r="W878" s="38" t="n">
        <x:v>0</x:v>
      </x:c>
      <x:c r="X878" s="44" t="n">
        <x:v>19.98</x:v>
      </x:c>
      <x:c r="Y878" s="38" t="n">
        <x:v>110</x:v>
      </x:c>
      <x:c r="Z878" s="38" t="n">
        <x:v>24</x:v>
      </x:c>
      <x:c r="AA878" s="38" t="n">
        <x:v>12</x:v>
      </x:c>
      <x:c r="AB878" s="38" t="n">
        <x:v>4</x:v>
      </x:c>
      <x:c r="AC878" s="38" t="n">
        <x:v>4290</x:v>
      </x:c>
      <x:c r="AD878" s="38" t="n">
        <x:v>0</x:v>
      </x:c>
      <x:c r="AE878" s="38" t="n">
        <x:f>IF(B878=1,0,F878-Q877)</x:f>
        <x:v>0</x:v>
      </x:c>
    </x:row>
    <x:row r="879" ht="27" customHeight="1">
      <x:c r="A879" s="28" t="str">
        <x:v>Paid capacity ceiling</x:v>
      </x:c>
      <x:c r="B879" s="38" t="n">
        <x:v>35</x:v>
      </x:c>
      <x:c r="C879" s="38" t="n">
        <x:v>24</x:v>
      </x:c>
      <x:c r="D879" s="38" t="n">
        <x:v>162995</x:v>
      </x:c>
      <x:c r="E879" s="38" t="n">
        <x:v>55</x:v>
      </x:c>
      <x:c r="F879" s="38" t="n">
        <x:v>724649</x:v>
      </x:c>
      <x:c r="G879" s="38" t="n">
        <x:v>42724</x:v>
      </x:c>
      <x:c r="H879" s="38" t="n">
        <x:v>8841</x:v>
      </x:c>
      <x:c r="I879" s="38" t="n">
        <x:v>11375</x:v>
      </x:c>
      <x:c r="J879" s="38" t="n">
        <x:v>505</x:v>
      </x:c>
      <x:c r="K879" s="38" t="n">
        <x:v>0</x:v>
      </x:c>
      <x:c r="L879" s="38" t="n">
        <x:v>0</x:v>
      </x:c>
      <x:c r="M879" s="38" t="n">
        <x:v>0</x:v>
      </x:c>
      <x:c r="N879" s="38" t="n">
        <x:v>0</x:v>
      </x:c>
      <x:c r="O879" s="38" t="n">
        <x:v>0</x:v>
      </x:c>
      <x:c r="P879" s="38" t="n">
        <x:f>F879+G879-H879+I879+J879+K879+L879-M879-N879-O879</x:f>
        <x:v>770412</x:v>
      </x:c>
      <x:c r="Q879" s="38" t="n">
        <x:v>770412</x:v>
      </x:c>
      <x:c r="R879" s="38" t="n">
        <x:f>P879-Q879</x:f>
        <x:v>0</x:v>
      </x:c>
      <x:c r="S879" s="38" t="n">
        <x:v>34168</x:v>
      </x:c>
      <x:c r="T879" s="38" t="n">
        <x:v>9371</x:v>
      </x:c>
      <x:c r="U879" s="38" t="n">
        <x:v>116</x:v>
      </x:c>
      <x:c r="V879" s="38" t="n">
        <x:v>3</x:v>
      </x:c>
      <x:c r="W879" s="38" t="n">
        <x:v>0</x:v>
      </x:c>
      <x:c r="X879" s="44" t="n">
        <x:v>19.98</x:v>
      </x:c>
      <x:c r="Y879" s="38" t="n">
        <x:v>109</x:v>
      </x:c>
      <x:c r="Z879" s="38" t="n">
        <x:v>24</x:v>
      </x:c>
      <x:c r="AA879" s="38" t="n">
        <x:v>12</x:v>
      </x:c>
      <x:c r="AB879" s="38" t="n">
        <x:v>4</x:v>
      </x:c>
      <x:c r="AC879" s="38" t="n">
        <x:v>4575</x:v>
      </x:c>
      <x:c r="AD879" s="38" t="n">
        <x:v>0</x:v>
      </x:c>
      <x:c r="AE879" s="38" t="n">
        <x:f>IF(B879=1,0,F879-Q878)</x:f>
        <x:v>0</x:v>
      </x:c>
    </x:row>
    <x:row r="880" ht="27" customHeight="1">
      <x:c r="A880" s="28" t="str">
        <x:v>Paid capacity ceiling</x:v>
      </x:c>
      <x:c r="B880" s="38" t="n">
        <x:v>36</x:v>
      </x:c>
      <x:c r="C880" s="38" t="n">
        <x:v>24</x:v>
      </x:c>
      <x:c r="D880" s="38" t="n">
        <x:v>169152</x:v>
      </x:c>
      <x:c r="E880" s="38" t="n">
        <x:v>55</x:v>
      </x:c>
      <x:c r="F880" s="38" t="n">
        <x:v>770412</x:v>
      </x:c>
      <x:c r="G880" s="38" t="n">
        <x:v>42768</x:v>
      </x:c>
      <x:c r="H880" s="38" t="n">
        <x:v>8532</x:v>
      </x:c>
      <x:c r="I880" s="38" t="n">
        <x:v>2015</x:v>
      </x:c>
      <x:c r="J880" s="38" t="n">
        <x:v>0</x:v>
      </x:c>
      <x:c r="K880" s="38" t="n">
        <x:v>0</x:v>
      </x:c>
      <x:c r="L880" s="38" t="n">
        <x:v>0</x:v>
      </x:c>
      <x:c r="M880" s="38" t="n">
        <x:v>0</x:v>
      </x:c>
      <x:c r="N880" s="38" t="n">
        <x:v>0</x:v>
      </x:c>
      <x:c r="O880" s="38" t="n">
        <x:v>0</x:v>
      </x:c>
      <x:c r="P880" s="38" t="n">
        <x:f>F880+G880-H880+I880+J880+K880+L880-M880-N880-O880</x:f>
        <x:v>806663</x:v>
      </x:c>
      <x:c r="Q880" s="38" t="n">
        <x:v>806663</x:v>
      </x:c>
      <x:c r="R880" s="38" t="n">
        <x:f>P880-Q880</x:f>
        <x:v>0</x:v>
      </x:c>
      <x:c r="S880" s="38" t="n">
        <x:v>34236</x:v>
      </x:c>
      <x:c r="T880" s="38" t="n">
        <x:v>6157</x:v>
      </x:c>
      <x:c r="U880" s="38" t="n">
        <x:v>116</x:v>
      </x:c>
      <x:c r="V880" s="38" t="n">
        <x:v>0</x:v>
      </x:c>
      <x:c r="W880" s="38" t="n">
        <x:v>0</x:v>
      </x:c>
      <x:c r="X880" s="44" t="n">
        <x:v>19.98</x:v>
      </x:c>
      <x:c r="Y880" s="38" t="n">
        <x:v>108</x:v>
      </x:c>
      <x:c r="Z880" s="38" t="n">
        <x:v>24</x:v>
      </x:c>
      <x:c r="AA880" s="38" t="n">
        <x:v>12</x:v>
      </x:c>
      <x:c r="AB880" s="38" t="n">
        <x:v>4</x:v>
      </x:c>
      <x:c r="AC880" s="38" t="n">
        <x:v>4575</x:v>
      </x:c>
      <x:c r="AD880" s="38" t="n">
        <x:v>0</x:v>
      </x:c>
      <x:c r="AE880" s="38" t="n">
        <x:f>IF(B880=1,0,F880-Q879)</x:f>
        <x:v>0</x:v>
      </x:c>
    </x:row>
    <x:row r="881" ht="27" customHeight="1">
      <x:c r="A881" s="28" t="str">
        <x:v>Paid capacity ceiling</x:v>
      </x:c>
      <x:c r="B881" s="38" t="n">
        <x:v>37</x:v>
      </x:c>
      <x:c r="C881" s="38" t="n">
        <x:v>25</x:v>
      </x:c>
      <x:c r="D881" s="38" t="n">
        <x:v>175559</x:v>
      </x:c>
      <x:c r="E881" s="38" t="n">
        <x:v>65</x:v>
      </x:c>
      <x:c r="F881" s="38" t="n">
        <x:v>806663</x:v>
      </x:c>
      <x:c r="G881" s="38" t="n">
        <x:v>44709</x:v>
      </x:c>
      <x:c r="H881" s="38" t="n">
        <x:v>9549</x:v>
      </x:c>
      <x:c r="I881" s="38" t="n">
        <x:v>2015</x:v>
      </x:c>
      <x:c r="J881" s="38" t="n">
        <x:v>610</x:v>
      </x:c>
      <x:c r="K881" s="38" t="n">
        <x:v>0</x:v>
      </x:c>
      <x:c r="L881" s="38" t="n">
        <x:v>0</x:v>
      </x:c>
      <x:c r="M881" s="38" t="n">
        <x:v>0</x:v>
      </x:c>
      <x:c r="N881" s="38" t="n">
        <x:v>570</x:v>
      </x:c>
      <x:c r="O881" s="38" t="n">
        <x:v>81120</x:v>
      </x:c>
      <x:c r="P881" s="38" t="n">
        <x:f>F881+G881-H881+I881+J881+K881+L881-M881-N881-O881</x:f>
        <x:v>762758</x:v>
      </x:c>
      <x:c r="Q881" s="38" t="n">
        <x:v>762758</x:v>
      </x:c>
      <x:c r="R881" s="38" t="n">
        <x:f>P881-Q881</x:f>
        <x:v>0</x:v>
      </x:c>
      <x:c r="S881" s="38" t="n">
        <x:v>35789</x:v>
      </x:c>
      <x:c r="T881" s="38" t="n">
        <x:v>6407</x:v>
      </x:c>
      <x:c r="U881" s="38" t="n">
        <x:v>66</x:v>
      </x:c>
      <x:c r="V881" s="38" t="n">
        <x:v>5</x:v>
      </x:c>
      <x:c r="W881" s="38" t="n">
        <x:v>55</x:v>
      </x:c>
      <x:c r="X881" s="44" t="n">
        <x:v>19.98</x:v>
      </x:c>
      <x:c r="Y881" s="38" t="n">
        <x:v>110</x:v>
      </x:c>
      <x:c r="Z881" s="38" t="n">
        <x:v>25</x:v>
      </x:c>
      <x:c r="AA881" s="38" t="n">
        <x:v>13</x:v>
      </x:c>
      <x:c r="AB881" s="38" t="n">
        <x:v>5</x:v>
      </x:c>
      <x:c r="AC881" s="38" t="n">
        <x:v>5204</x:v>
      </x:c>
      <x:c r="AD881" s="38" t="n">
        <x:v>0</x:v>
      </x:c>
      <x:c r="AE881" s="38" t="n">
        <x:f>IF(B881=1,0,F881-Q880)</x:f>
        <x:v>0</x:v>
      </x:c>
    </x:row>
    <x:row r="882" ht="27" customHeight="1">
      <x:c r="A882" s="28" t="str">
        <x:v>Paid capacity ceiling</x:v>
      </x:c>
      <x:c r="B882" s="38" t="n">
        <x:v>38</x:v>
      </x:c>
      <x:c r="C882" s="38" t="n">
        <x:v>25</x:v>
      </x:c>
      <x:c r="D882" s="38" t="n">
        <x:v>183054</x:v>
      </x:c>
      <x:c r="E882" s="38" t="n">
        <x:v>65</x:v>
      </x:c>
      <x:c r="F882" s="38" t="n">
        <x:v>762758</x:v>
      </x:c>
      <x:c r="G882" s="38" t="n">
        <x:v>52346</x:v>
      </x:c>
      <x:c r="H882" s="38" t="n">
        <x:v>10530</x:v>
      </x:c>
      <x:c r="I882" s="38" t="n">
        <x:v>2434</x:v>
      </x:c>
      <x:c r="J882" s="38" t="n">
        <x:v>0</x:v>
      </x:c>
      <x:c r="K882" s="38" t="n">
        <x:v>0</x:v>
      </x:c>
      <x:c r="L882" s="38" t="n">
        <x:v>0</x:v>
      </x:c>
      <x:c r="M882" s="38" t="n">
        <x:v>0</x:v>
      </x:c>
      <x:c r="N882" s="38" t="n">
        <x:v>0</x:v>
      </x:c>
      <x:c r="O882" s="38" t="n">
        <x:v>0</x:v>
      </x:c>
      <x:c r="P882" s="38" t="n">
        <x:f>F882+G882-H882+I882+J882+K882+L882-M882-N882-O882</x:f>
        <x:v>807008</x:v>
      </x:c>
      <x:c r="Q882" s="38" t="n">
        <x:v>807008</x:v>
      </x:c>
      <x:c r="R882" s="38" t="n">
        <x:f>P882-Q882</x:f>
        <x:v>0</x:v>
      </x:c>
      <x:c r="S882" s="38" t="n">
        <x:v>41877</x:v>
      </x:c>
      <x:c r="T882" s="38" t="n">
        <x:v>7495</x:v>
      </x:c>
      <x:c r="U882" s="38" t="n">
        <x:v>66</x:v>
      </x:c>
      <x:c r="V882" s="38" t="n">
        <x:v>0</x:v>
      </x:c>
      <x:c r="W882" s="38" t="n">
        <x:v>0</x:v>
      </x:c>
      <x:c r="X882" s="44" t="n">
        <x:v>19.98</x:v>
      </x:c>
      <x:c r="Y882" s="38" t="n">
        <x:v>130</x:v>
      </x:c>
      <x:c r="Z882" s="38" t="n">
        <x:v>26</x:v>
      </x:c>
      <x:c r="AA882" s="38" t="n">
        <x:v>13</x:v>
      </x:c>
      <x:c r="AB882" s="38" t="n">
        <x:v>5</x:v>
      </x:c>
      <x:c r="AC882" s="38" t="n">
        <x:v>5265</x:v>
      </x:c>
      <x:c r="AD882" s="38" t="n">
        <x:v>0</x:v>
      </x:c>
      <x:c r="AE882" s="38" t="n">
        <x:f>IF(B882=1,0,F882-Q881)</x:f>
        <x:v>0</x:v>
      </x:c>
    </x:row>
    <x:row r="883" ht="27" customHeight="1">
      <x:c r="A883" s="28" t="str">
        <x:v>Paid capacity ceiling</x:v>
      </x:c>
      <x:c r="B883" s="38" t="n">
        <x:v>39</x:v>
      </x:c>
      <x:c r="C883" s="38" t="n">
        <x:v>25</x:v>
      </x:c>
      <x:c r="D883" s="38" t="n">
        <x:v>190588</x:v>
      </x:c>
      <x:c r="E883" s="38" t="n">
        <x:v>65</x:v>
      </x:c>
      <x:c r="F883" s="38" t="n">
        <x:v>807008</x:v>
      </x:c>
      <x:c r="G883" s="38" t="n">
        <x:v>52650</x:v>
      </x:c>
      <x:c r="H883" s="38" t="n">
        <x:v>10530</x:v>
      </x:c>
      <x:c r="I883" s="38" t="n">
        <x:v>2434</x:v>
      </x:c>
      <x:c r="J883" s="38" t="n">
        <x:v>0</x:v>
      </x:c>
      <x:c r="K883" s="38" t="n">
        <x:v>0</x:v>
      </x:c>
      <x:c r="L883" s="38" t="n">
        <x:v>0</x:v>
      </x:c>
      <x:c r="M883" s="38" t="n">
        <x:v>0</x:v>
      </x:c>
      <x:c r="N883" s="38" t="n">
        <x:v>0</x:v>
      </x:c>
      <x:c r="O883" s="38" t="n">
        <x:v>0</x:v>
      </x:c>
      <x:c r="P883" s="38" t="n">
        <x:f>F883+G883-H883+I883+J883+K883+L883-M883-N883-O883</x:f>
        <x:v>851562</x:v>
      </x:c>
      <x:c r="Q883" s="38" t="n">
        <x:v>851562</x:v>
      </x:c>
      <x:c r="R883" s="38" t="n">
        <x:f>P883-Q883</x:f>
        <x:v>0</x:v>
      </x:c>
      <x:c r="S883" s="38" t="n">
        <x:v>42120</x:v>
      </x:c>
      <x:c r="T883" s="38" t="n">
        <x:v>7534</x:v>
      </x:c>
      <x:c r="U883" s="38" t="n">
        <x:v>66</x:v>
      </x:c>
      <x:c r="V883" s="38" t="n">
        <x:v>0</x:v>
      </x:c>
      <x:c r="W883" s="38" t="n">
        <x:v>0</x:v>
      </x:c>
      <x:c r="X883" s="44" t="n">
        <x:v>19.98</x:v>
      </x:c>
      <x:c r="Y883" s="38" t="n">
        <x:v>130</x:v>
      </x:c>
      <x:c r="Z883" s="38" t="n">
        <x:v>26</x:v>
      </x:c>
      <x:c r="AA883" s="38" t="n">
        <x:v>13</x:v>
      </x:c>
      <x:c r="AB883" s="38" t="n">
        <x:v>5</x:v>
      </x:c>
      <x:c r="AC883" s="38" t="n">
        <x:v>5265</x:v>
      </x:c>
      <x:c r="AD883" s="38" t="n">
        <x:v>0</x:v>
      </x:c>
      <x:c r="AE883" s="38" t="n">
        <x:f>IF(B883=1,0,F883-Q882)</x:f>
        <x:v>0</x:v>
      </x:c>
    </x:row>
    <x:row r="884" ht="27" customHeight="1">
      <x:c r="A884" s="28" t="str">
        <x:v>Paid capacity ceiling</x:v>
      </x:c>
      <x:c r="B884" s="38" t="n">
        <x:v>40</x:v>
      </x:c>
      <x:c r="C884" s="38" t="n">
        <x:v>26</x:v>
      </x:c>
      <x:c r="D884" s="38" t="n">
        <x:v>198122</x:v>
      </x:c>
      <x:c r="E884" s="38" t="n">
        <x:v>65</x:v>
      </x:c>
      <x:c r="F884" s="38" t="n">
        <x:v>851562</x:v>
      </x:c>
      <x:c r="G884" s="38" t="n">
        <x:v>52650</x:v>
      </x:c>
      <x:c r="H884" s="38" t="n">
        <x:v>10600</x:v>
      </x:c>
      <x:c r="I884" s="38" t="n">
        <x:v>2434</x:v>
      </x:c>
      <x:c r="J884" s="38" t="n">
        <x:v>620</x:v>
      </x:c>
      <x:c r="K884" s="38" t="n">
        <x:v>0</x:v>
      </x:c>
      <x:c r="L884" s="38" t="n">
        <x:v>0</x:v>
      </x:c>
      <x:c r="M884" s="38" t="n">
        <x:v>0</x:v>
      </x:c>
      <x:c r="N884" s="38" t="n">
        <x:v>570</x:v>
      </x:c>
      <x:c r="O884" s="38" t="n">
        <x:v>0</x:v>
      </x:c>
      <x:c r="P884" s="38" t="n">
        <x:f>F884+G884-H884+I884+J884+K884+L884-M884-N884-O884</x:f>
        <x:v>896096</x:v>
      </x:c>
      <x:c r="Q884" s="38" t="n">
        <x:v>896096</x:v>
      </x:c>
      <x:c r="R884" s="38" t="n">
        <x:f>P884-Q884</x:f>
        <x:v>0</x:v>
      </x:c>
      <x:c r="S884" s="38" t="n">
        <x:v>42120</x:v>
      </x:c>
      <x:c r="T884" s="38" t="n">
        <x:v>7534</x:v>
      </x:c>
      <x:c r="U884" s="38" t="n">
        <x:v>67</x:v>
      </x:c>
      <x:c r="V884" s="38" t="n">
        <x:v>1</x:v>
      </x:c>
      <x:c r="W884" s="38" t="n">
        <x:v>0</x:v>
      </x:c>
      <x:c r="X884" s="44" t="n">
        <x:v>19.98</x:v>
      </x:c>
      <x:c r="Y884" s="38" t="n">
        <x:v>130</x:v>
      </x:c>
      <x:c r="Z884" s="38" t="n">
        <x:v>26</x:v>
      </x:c>
      <x:c r="AA884" s="38" t="n">
        <x:v>14</x:v>
      </x:c>
      <x:c r="AB884" s="38" t="n">
        <x:v>5</x:v>
      </x:c>
      <x:c r="AC884" s="38" t="n">
        <x:v>5335</x:v>
      </x:c>
      <x:c r="AD884" s="38" t="n">
        <x:v>0</x:v>
      </x:c>
      <x:c r="AE884" s="38" t="n">
        <x:f>IF(B884=1,0,F884-Q883)</x:f>
        <x:v>0</x:v>
      </x:c>
    </x:row>
    <x:row r="885" ht="27" customHeight="1">
      <x:c r="A885" s="28" t="str">
        <x:v>Paid capacity ceiling</x:v>
      </x:c>
      <x:c r="B885" s="38" t="n">
        <x:v>41</x:v>
      </x:c>
      <x:c r="C885" s="38" t="n">
        <x:v>26</x:v>
      </x:c>
      <x:c r="D885" s="38" t="n">
        <x:v>205622</x:v>
      </x:c>
      <x:c r="E885" s="38" t="n">
        <x:v>65</x:v>
      </x:c>
      <x:c r="F885" s="38" t="n">
        <x:v>896096</x:v>
      </x:c>
      <x:c r="G885" s="38" t="n">
        <x:v>53649</x:v>
      </x:c>
      <x:c r="H885" s="38" t="n">
        <x:v>10790</x:v>
      </x:c>
      <x:c r="I885" s="38" t="n">
        <x:v>2486</x:v>
      </x:c>
      <x:c r="J885" s="38" t="n">
        <x:v>0</x:v>
      </x:c>
      <x:c r="K885" s="38" t="n">
        <x:v>0</x:v>
      </x:c>
      <x:c r="L885" s="38" t="n">
        <x:v>0</x:v>
      </x:c>
      <x:c r="M885" s="38" t="n">
        <x:v>0</x:v>
      </x:c>
      <x:c r="N885" s="38" t="n">
        <x:v>0</x:v>
      </x:c>
      <x:c r="O885" s="38" t="n">
        <x:v>0</x:v>
      </x:c>
      <x:c r="P885" s="38" t="n">
        <x:f>F885+G885-H885+I885+J885+K885+L885-M885-N885-O885</x:f>
        <x:v>941441</x:v>
      </x:c>
      <x:c r="Q885" s="38" t="n">
        <x:v>941441</x:v>
      </x:c>
      <x:c r="R885" s="38" t="n">
        <x:f>P885-Q885</x:f>
        <x:v>0</x:v>
      </x:c>
      <x:c r="S885" s="38" t="n">
        <x:v>42919</x:v>
      </x:c>
      <x:c r="T885" s="38" t="n">
        <x:v>7500</x:v>
      </x:c>
      <x:c r="U885" s="38" t="n">
        <x:v>67</x:v>
      </x:c>
      <x:c r="V885" s="38" t="n">
        <x:v>0</x:v>
      </x:c>
      <x:c r="W885" s="38" t="n">
        <x:v>0</x:v>
      </x:c>
      <x:c r="X885" s="44" t="n">
        <x:v>19.98</x:v>
      </x:c>
      <x:c r="Y885" s="38" t="n">
        <x:v>130</x:v>
      </x:c>
      <x:c r="Z885" s="38" t="n">
        <x:v>27</x:v>
      </x:c>
      <x:c r="AA885" s="38" t="n">
        <x:v>14</x:v>
      </x:c>
      <x:c r="AB885" s="38" t="n">
        <x:v>5</x:v>
      </x:c>
      <x:c r="AC885" s="38" t="n">
        <x:v>5395</x:v>
      </x:c>
      <x:c r="AD885" s="38" t="n">
        <x:v>0</x:v>
      </x:c>
      <x:c r="AE885" s="38" t="n">
        <x:f>IF(B885=1,0,F885-Q884)</x:f>
        <x:v>0</x:v>
      </x:c>
    </x:row>
    <x:row r="886" ht="27" customHeight="1">
      <x:c r="A886" s="28" t="str">
        <x:v>Paid capacity ceiling</x:v>
      </x:c>
      <x:c r="B886" s="38" t="n">
        <x:v>42</x:v>
      </x:c>
      <x:c r="C886" s="38" t="n">
        <x:v>26</x:v>
      </x:c>
      <x:c r="D886" s="38" t="n">
        <x:v>216409</x:v>
      </x:c>
      <x:c r="E886" s="38" t="n">
        <x:v>65</x:v>
      </x:c>
      <x:c r="F886" s="38" t="n">
        <x:v>941441</x:v>
      </x:c>
      <x:c r="G886" s="38" t="n">
        <x:v>53950</x:v>
      </x:c>
      <x:c r="H886" s="38" t="n">
        <x:v>10790</x:v>
      </x:c>
      <x:c r="I886" s="38" t="n">
        <x:v>12559</x:v>
      </x:c>
      <x:c r="J886" s="38" t="n">
        <x:v>0</x:v>
      </x:c>
      <x:c r="K886" s="38" t="n">
        <x:v>0</x:v>
      </x:c>
      <x:c r="L886" s="38" t="n">
        <x:v>0</x:v>
      </x:c>
      <x:c r="M886" s="38" t="n">
        <x:v>0</x:v>
      </x:c>
      <x:c r="N886" s="38" t="n">
        <x:v>0</x:v>
      </x:c>
      <x:c r="O886" s="38" t="n">
        <x:v>0</x:v>
      </x:c>
      <x:c r="P886" s="38" t="n">
        <x:f>F886+G886-H886+I886+J886+K886+L886-M886-N886-O886</x:f>
        <x:v>997160</x:v>
      </x:c>
      <x:c r="Q886" s="38" t="n">
        <x:v>997160</x:v>
      </x:c>
      <x:c r="R886" s="38" t="n">
        <x:f>P886-Q886</x:f>
        <x:v>0</x:v>
      </x:c>
      <x:c r="S886" s="38" t="n">
        <x:v>43160</x:v>
      </x:c>
      <x:c r="T886" s="38" t="n">
        <x:v>10787</x:v>
      </x:c>
      <x:c r="U886" s="38" t="n">
        <x:v>69</x:v>
      </x:c>
      <x:c r="V886" s="38" t="n">
        <x:v>2</x:v>
      </x:c>
      <x:c r="W886" s="38" t="n">
        <x:v>0</x:v>
      </x:c>
      <x:c r="X886" s="44" t="n">
        <x:v>19.98</x:v>
      </x:c>
      <x:c r="Y886" s="38" t="n">
        <x:v>130</x:v>
      </x:c>
      <x:c r="Z886" s="38" t="n">
        <x:v>27</x:v>
      </x:c>
      <x:c r="AA886" s="38" t="n">
        <x:v>14</x:v>
      </x:c>
      <x:c r="AB886" s="38" t="n">
        <x:v>5</x:v>
      </x:c>
      <x:c r="AC886" s="38" t="n">
        <x:v>5395</x:v>
      </x:c>
      <x:c r="AD886" s="38" t="n">
        <x:v>0</x:v>
      </x:c>
      <x:c r="AE886" s="38" t="n">
        <x:f>IF(B886=1,0,F886-Q885)</x:f>
        <x:v>0</x:v>
      </x:c>
    </x:row>
    <x:row r="887" ht="27" customHeight="1">
      <x:c r="A887" s="28" t="str">
        <x:v>Paid capacity ceiling</x:v>
      </x:c>
      <x:c r="B887" s="38" t="n">
        <x:v>43</x:v>
      </x:c>
      <x:c r="C887" s="38" t="n">
        <x:v>27</x:v>
      </x:c>
      <x:c r="D887" s="38" t="n">
        <x:v>223949</x:v>
      </x:c>
      <x:c r="E887" s="38" t="n">
        <x:v>65</x:v>
      </x:c>
      <x:c r="F887" s="38" t="n">
        <x:v>997160</x:v>
      </x:c>
      <x:c r="G887" s="38" t="n">
        <x:v>53950</x:v>
      </x:c>
      <x:c r="H887" s="38" t="n">
        <x:v>10344</x:v>
      </x:c>
      <x:c r="I887" s="38" t="n">
        <x:v>2486</x:v>
      </x:c>
      <x:c r="J887" s="38" t="n">
        <x:v>635</x:v>
      </x:c>
      <x:c r="K887" s="38" t="n">
        <x:v>0</x:v>
      </x:c>
      <x:c r="L887" s="38" t="n">
        <x:v>0</x:v>
      </x:c>
      <x:c r="M887" s="38" t="n">
        <x:v>0</x:v>
      </x:c>
      <x:c r="N887" s="38" t="n">
        <x:v>905</x:v>
      </x:c>
      <x:c r="O887" s="38" t="n">
        <x:v>0</x:v>
      </x:c>
      <x:c r="P887" s="38" t="n">
        <x:f>F887+G887-H887+I887+J887+K887+L887-M887-N887-O887</x:f>
        <x:v>1042982</x:v>
      </x:c>
      <x:c r="Q887" s="38" t="n">
        <x:v>1042982</x:v>
      </x:c>
      <x:c r="R887" s="38" t="n">
        <x:f>P887-Q887</x:f>
        <x:v>0</x:v>
      </x:c>
      <x:c r="S887" s="38" t="n">
        <x:v>43160</x:v>
      </x:c>
      <x:c r="T887" s="38" t="n">
        <x:v>7540</x:v>
      </x:c>
      <x:c r="U887" s="38" t="n">
        <x:v>69</x:v>
      </x:c>
      <x:c r="V887" s="38" t="n">
        <x:v>0</x:v>
      </x:c>
      <x:c r="W887" s="38" t="n">
        <x:v>0</x:v>
      </x:c>
      <x:c r="X887" s="44" t="n">
        <x:v>19.98</x:v>
      </x:c>
      <x:c r="Y887" s="38" t="n">
        <x:v>130</x:v>
      </x:c>
      <x:c r="Z887" s="38" t="n">
        <x:v>27</x:v>
      </x:c>
      <x:c r="AA887" s="38" t="n">
        <x:v>15</x:v>
      </x:c>
      <x:c r="AB887" s="38" t="n">
        <x:v>5</x:v>
      </x:c>
      <x:c r="AC887" s="38" t="n">
        <x:v>4949</x:v>
      </x:c>
      <x:c r="AD887" s="38" t="n">
        <x:v>0</x:v>
      </x:c>
      <x:c r="AE887" s="38" t="n">
        <x:f>IF(B887=1,0,F887-Q886)</x:f>
        <x:v>0</x:v>
      </x:c>
    </x:row>
    <x:row r="888" ht="27" customHeight="1">
      <x:c r="A888" s="28" t="str">
        <x:v>Paid capacity ceiling</x:v>
      </x:c>
      <x:c r="B888" s="38" t="n">
        <x:v>44</x:v>
      </x:c>
      <x:c r="C888" s="38" t="n">
        <x:v>27</x:v>
      </x:c>
      <x:c r="D888" s="38" t="n">
        <x:v>232269</x:v>
      </x:c>
      <x:c r="E888" s="38" t="n">
        <x:v>65</x:v>
      </x:c>
      <x:c r="F888" s="38" t="n">
        <x:v>1042982</x:v>
      </x:c>
      <x:c r="G888" s="38" t="n">
        <x:v>49573</x:v>
      </x:c>
      <x:c r="H888" s="38" t="n">
        <x:v>9880</x:v>
      </x:c>
      <x:c r="I888" s="38" t="n">
        <x:v>2539</x:v>
      </x:c>
      <x:c r="J888" s="38" t="n">
        <x:v>0</x:v>
      </x:c>
      <x:c r="K888" s="38" t="n">
        <x:v>0</x:v>
      </x:c>
      <x:c r="L888" s="38" t="n">
        <x:v>0</x:v>
      </x:c>
      <x:c r="M888" s="38" t="n">
        <x:v>0</x:v>
      </x:c>
      <x:c r="N888" s="38" t="n">
        <x:v>0</x:v>
      </x:c>
      <x:c r="O888" s="38" t="n">
        <x:v>0</x:v>
      </x:c>
      <x:c r="P888" s="38" t="n">
        <x:f>F888+G888-H888+I888+J888+K888+L888-M888-N888-O888</x:f>
        <x:v>1085214</x:v>
      </x:c>
      <x:c r="Q888" s="38" t="n">
        <x:v>1085214</x:v>
      </x:c>
      <x:c r="R888" s="38" t="n">
        <x:f>P888-Q888</x:f>
        <x:v>0</x:v>
      </x:c>
      <x:c r="S888" s="38" t="n">
        <x:v>39684</x:v>
      </x:c>
      <x:c r="T888" s="38" t="n">
        <x:v>8320</x:v>
      </x:c>
      <x:c r="U888" s="38" t="n">
        <x:v>69</x:v>
      </x:c>
      <x:c r="V888" s="38" t="n">
        <x:v>0</x:v>
      </x:c>
      <x:c r="W888" s="38" t="n">
        <x:v>0</x:v>
      </x:c>
      <x:c r="X888" s="44" t="n">
        <x:v>19.98</x:v>
      </x:c>
      <x:c r="Y888" s="38" t="n">
        <x:v>130</x:v>
      </x:c>
      <x:c r="Z888" s="38" t="n">
        <x:v>28</x:v>
      </x:c>
      <x:c r="AA888" s="38" t="n">
        <x:v>15</x:v>
      </x:c>
      <x:c r="AB888" s="38" t="n">
        <x:v>5</x:v>
      </x:c>
      <x:c r="AC888" s="38" t="n">
        <x:v>4940</x:v>
      </x:c>
      <x:c r="AD888" s="38" t="n">
        <x:v>0</x:v>
      </x:c>
      <x:c r="AE888" s="38" t="n">
        <x:f>IF(B888=1,0,F888-Q887)</x:f>
        <x:v>0</x:v>
      </x:c>
    </x:row>
    <x:row r="889" ht="27" customHeight="1">
      <x:c r="A889" s="28" t="str">
        <x:v>Paid capacity ceiling</x:v>
      </x:c>
      <x:c r="B889" s="38" t="n">
        <x:v>45</x:v>
      </x:c>
      <x:c r="C889" s="38" t="n">
        <x:v>27</x:v>
      </x:c>
      <x:c r="D889" s="38" t="n">
        <x:v>240595</x:v>
      </x:c>
      <x:c r="E889" s="38" t="n">
        <x:v>65</x:v>
      </x:c>
      <x:c r="F889" s="38" t="n">
        <x:v>1085214</x:v>
      </x:c>
      <x:c r="G889" s="38" t="n">
        <x:v>49530</x:v>
      </x:c>
      <x:c r="H889" s="38" t="n">
        <x:v>9880</x:v>
      </x:c>
      <x:c r="I889" s="38" t="n">
        <x:v>2539</x:v>
      </x:c>
      <x:c r="J889" s="38" t="n">
        <x:v>0</x:v>
      </x:c>
      <x:c r="K889" s="38" t="n">
        <x:v>0</x:v>
      </x:c>
      <x:c r="L889" s="38" t="n">
        <x:v>0</x:v>
      </x:c>
      <x:c r="M889" s="38" t="n">
        <x:v>0</x:v>
      </x:c>
      <x:c r="N889" s="38" t="n">
        <x:v>0</x:v>
      </x:c>
      <x:c r="O889" s="38" t="n">
        <x:v>0</x:v>
      </x:c>
      <x:c r="P889" s="38" t="n">
        <x:f>F889+G889-H889+I889+J889+K889+L889-M889-N889-O889</x:f>
        <x:v>1127403</x:v>
      </x:c>
      <x:c r="Q889" s="38" t="n">
        <x:v>1127403</x:v>
      </x:c>
      <x:c r="R889" s="38" t="n">
        <x:f>P889-Q889</x:f>
        <x:v>0</x:v>
      </x:c>
      <x:c r="S889" s="38" t="n">
        <x:v>39650</x:v>
      </x:c>
      <x:c r="T889" s="38" t="n">
        <x:v>8326</x:v>
      </x:c>
      <x:c r="U889" s="38" t="n">
        <x:v>69</x:v>
      </x:c>
      <x:c r="V889" s="38" t="n">
        <x:v>0</x:v>
      </x:c>
      <x:c r="W889" s="38" t="n">
        <x:v>0</x:v>
      </x:c>
      <x:c r="X889" s="44" t="n">
        <x:v>19.98</x:v>
      </x:c>
      <x:c r="Y889" s="38" t="n">
        <x:v>130</x:v>
      </x:c>
      <x:c r="Z889" s="38" t="n">
        <x:v>28</x:v>
      </x:c>
      <x:c r="AA889" s="38" t="n">
        <x:v>15</x:v>
      </x:c>
      <x:c r="AB889" s="38" t="n">
        <x:v>5</x:v>
      </x:c>
      <x:c r="AC889" s="38" t="n">
        <x:v>4940</x:v>
      </x:c>
      <x:c r="AD889" s="38" t="n">
        <x:v>0</x:v>
      </x:c>
      <x:c r="AE889" s="38" t="n">
        <x:f>IF(B889=1,0,F889-Q888)</x:f>
        <x:v>0</x:v>
      </x:c>
    </x:row>
    <x:row r="890" ht="27" customHeight="1">
      <x:c r="A890" s="28" t="str">
        <x:v>Paid capacity ceiling</x:v>
      </x:c>
      <x:c r="B890" s="38" t="n">
        <x:v>46</x:v>
      </x:c>
      <x:c r="C890" s="38" t="n">
        <x:v>27</x:v>
      </x:c>
      <x:c r="D890" s="38" t="n">
        <x:v>248921</x:v>
      </x:c>
      <x:c r="E890" s="38" t="n">
        <x:v>65</x:v>
      </x:c>
      <x:c r="F890" s="38" t="n">
        <x:v>1127403</x:v>
      </x:c>
      <x:c r="G890" s="38" t="n">
        <x:v>49530</x:v>
      </x:c>
      <x:c r="H890" s="38" t="n">
        <x:v>9880</x:v>
      </x:c>
      <x:c r="I890" s="38" t="n">
        <x:v>2539</x:v>
      </x:c>
      <x:c r="J890" s="38" t="n">
        <x:v>0</x:v>
      </x:c>
      <x:c r="K890" s="38" t="n">
        <x:v>0</x:v>
      </x:c>
      <x:c r="L890" s="38" t="n">
        <x:v>0</x:v>
      </x:c>
      <x:c r="M890" s="38" t="n">
        <x:v>0</x:v>
      </x:c>
      <x:c r="N890" s="38" t="n">
        <x:v>1700</x:v>
      </x:c>
      <x:c r="O890" s="38" t="n">
        <x:v>0</x:v>
      </x:c>
      <x:c r="P890" s="38" t="n">
        <x:f>F890+G890-H890+I890+J890+K890+L890-M890-N890-O890</x:f>
        <x:v>1167892</x:v>
      </x:c>
      <x:c r="Q890" s="38" t="n">
        <x:v>1167892</x:v>
      </x:c>
      <x:c r="R890" s="38" t="n">
        <x:f>P890-Q890</x:f>
        <x:v>0</x:v>
      </x:c>
      <x:c r="S890" s="38" t="n">
        <x:v>39650</x:v>
      </x:c>
      <x:c r="T890" s="38" t="n">
        <x:v>8326</x:v>
      </x:c>
      <x:c r="U890" s="38" t="n">
        <x:v>69</x:v>
      </x:c>
      <x:c r="V890" s="38" t="n">
        <x:v>0</x:v>
      </x:c>
      <x:c r="W890" s="38" t="n">
        <x:v>0</x:v>
      </x:c>
      <x:c r="X890" s="44" t="n">
        <x:v>19.98</x:v>
      </x:c>
      <x:c r="Y890" s="38" t="n">
        <x:v>130</x:v>
      </x:c>
      <x:c r="Z890" s="38" t="n">
        <x:v>28</x:v>
      </x:c>
      <x:c r="AA890" s="38" t="n">
        <x:v>16</x:v>
      </x:c>
      <x:c r="AB890" s="38" t="n">
        <x:v>5</x:v>
      </x:c>
      <x:c r="AC890" s="38" t="n">
        <x:v>4940</x:v>
      </x:c>
      <x:c r="AD890" s="38" t="n">
        <x:v>0</x:v>
      </x:c>
      <x:c r="AE890" s="38" t="n">
        <x:f>IF(B890=1,0,F890-Q889)</x:f>
        <x:v>0</x:v>
      </x:c>
    </x:row>
    <x:row r="891" ht="27" customHeight="1">
      <x:c r="A891" s="28" t="str">
        <x:v>Paid capacity ceiling</x:v>
      </x:c>
      <x:c r="B891" s="38" t="n">
        <x:v>47</x:v>
      </x:c>
      <x:c r="C891" s="38" t="n">
        <x:v>28</x:v>
      </x:c>
      <x:c r="D891" s="38" t="n">
        <x:v>257187</x:v>
      </x:c>
      <x:c r="E891" s="38" t="n">
        <x:v>70</x:v>
      </x:c>
      <x:c r="F891" s="38" t="n">
        <x:v>1167892</x:v>
      </x:c>
      <x:c r="G891" s="38" t="n">
        <x:v>55075</x:v>
      </x:c>
      <x:c r="H891" s="38" t="n">
        <x:v>12180</x:v>
      </x:c>
      <x:c r="I891" s="38" t="n">
        <x:v>2539</x:v>
      </x:c>
      <x:c r="J891" s="38" t="n">
        <x:v>700</x:v>
      </x:c>
      <x:c r="K891" s="38" t="n">
        <x:v>0</x:v>
      </x:c>
      <x:c r="L891" s="38" t="n">
        <x:v>0</x:v>
      </x:c>
      <x:c r="M891" s="38" t="n">
        <x:v>0</x:v>
      </x:c>
      <x:c r="N891" s="38" t="n">
        <x:v>0</x:v>
      </x:c>
      <x:c r="O891" s="38" t="n">
        <x:v>0</x:v>
      </x:c>
      <x:c r="P891" s="38" t="n">
        <x:f>F891+G891-H891+I891+J891+K891+L891-M891-N891-O891</x:f>
        <x:v>1214026</x:v>
      </x:c>
      <x:c r="Q891" s="38" t="n">
        <x:v>1214026</x:v>
      </x:c>
      <x:c r="R891" s="38" t="n">
        <x:f>P891-Q891</x:f>
        <x:v>0</x:v>
      </x:c>
      <x:c r="S891" s="38" t="n">
        <x:v>44045</x:v>
      </x:c>
      <x:c r="T891" s="38" t="n">
        <x:v>8266</x:v>
      </x:c>
      <x:c r="U891" s="38" t="n">
        <x:v>20</x:v>
      </x:c>
      <x:c r="V891" s="38" t="n">
        <x:v>1</x:v>
      </x:c>
      <x:c r="W891" s="38" t="n">
        <x:v>50</x:v>
      </x:c>
      <x:c r="X891" s="44" t="n">
        <x:v>19.98</x:v>
      </x:c>
      <x:c r="Y891" s="38" t="n">
        <x:v>135</x:v>
      </x:c>
      <x:c r="Z891" s="38" t="n">
        <x:v>29</x:v>
      </x:c>
      <x:c r="AA891" s="38" t="n">
        <x:v>16</x:v>
      </x:c>
      <x:c r="AB891" s="38" t="n">
        <x:v>5</x:v>
      </x:c>
      <x:c r="AC891" s="38" t="n">
        <x:v>6090</x:v>
      </x:c>
      <x:c r="AD891" s="38" t="n">
        <x:v>0</x:v>
      </x:c>
      <x:c r="AE891" s="38" t="n">
        <x:f>IF(B891=1,0,F891-Q890)</x:f>
        <x:v>0</x:v>
      </x:c>
    </x:row>
    <x:row r="892" ht="27" customHeight="1">
      <x:c r="A892" s="28" t="str">
        <x:v>Paid capacity ceiling</x:v>
      </x:c>
      <x:c r="B892" s="38" t="n">
        <x:v>48</x:v>
      </x:c>
      <x:c r="C892" s="38" t="n">
        <x:v>28</x:v>
      </x:c>
      <x:c r="D892" s="38" t="n">
        <x:v>265460</x:v>
      </x:c>
      <x:c r="E892" s="38" t="n">
        <x:v>70</x:v>
      </x:c>
      <x:c r="F892" s="38" t="n">
        <x:v>1214026</x:v>
      </x:c>
      <x:c r="G892" s="38" t="n">
        <x:v>60620</x:v>
      </x:c>
      <x:c r="H892" s="38" t="n">
        <x:v>12180</x:v>
      </x:c>
      <x:c r="I892" s="38" t="n">
        <x:v>2791</x:v>
      </x:c>
      <x:c r="J892" s="38" t="n">
        <x:v>0</x:v>
      </x:c>
      <x:c r="K892" s="38" t="n">
        <x:v>0</x:v>
      </x:c>
      <x:c r="L892" s="38" t="n">
        <x:v>0</x:v>
      </x:c>
      <x:c r="M892" s="38" t="n">
        <x:v>0</x:v>
      </x:c>
      <x:c r="N892" s="38" t="n">
        <x:v>0</x:v>
      </x:c>
      <x:c r="O892" s="38" t="n">
        <x:v>0</x:v>
      </x:c>
      <x:c r="P892" s="38" t="n">
        <x:f>F892+G892-H892+I892+J892+K892+L892-M892-N892-O892</x:f>
        <x:v>1265257</x:v>
      </x:c>
      <x:c r="Q892" s="38" t="n">
        <x:v>1265257</x:v>
      </x:c>
      <x:c r="R892" s="38" t="n">
        <x:f>P892-Q892</x:f>
        <x:v>0</x:v>
      </x:c>
      <x:c r="S892" s="38" t="n">
        <x:v>48440</x:v>
      </x:c>
      <x:c r="T892" s="38" t="n">
        <x:v>8273</x:v>
      </x:c>
      <x:c r="U892" s="38" t="n">
        <x:v>20</x:v>
      </x:c>
      <x:c r="V892" s="38" t="n">
        <x:v>0</x:v>
      </x:c>
      <x:c r="W892" s="38" t="n">
        <x:v>0</x:v>
      </x:c>
      <x:c r="X892" s="44" t="n">
        <x:v>19.98</x:v>
      </x:c>
      <x:c r="Y892" s="38" t="n">
        <x:v>140</x:v>
      </x:c>
      <x:c r="Z892" s="38" t="n">
        <x:v>29</x:v>
      </x:c>
      <x:c r="AA892" s="38" t="n">
        <x:v>16</x:v>
      </x:c>
      <x:c r="AB892" s="38" t="n">
        <x:v>5</x:v>
      </x:c>
      <x:c r="AC892" s="38" t="n">
        <x:v>6090</x:v>
      </x:c>
      <x:c r="AD892" s="38" t="n">
        <x:v>0</x:v>
      </x:c>
      <x:c r="AE892" s="38" t="n">
        <x:f>IF(B892=1,0,F892-Q891)</x:f>
        <x:v>0</x:v>
      </x:c>
    </x:row>
    <x:row r="893" ht="27" customHeight="1">
      <x:c r="A893" s="28" t="str">
        <x:v>Paid capacity ceiling</x:v>
      </x:c>
      <x:c r="B893" s="38" t="n">
        <x:v>49</x:v>
      </x:c>
      <x:c r="C893" s="38" t="n">
        <x:v>28</x:v>
      </x:c>
      <x:c r="D893" s="38" t="n">
        <x:v>277633</x:v>
      </x:c>
      <x:c r="E893" s="38" t="n">
        <x:v>70</x:v>
      </x:c>
      <x:c r="F893" s="38" t="n">
        <x:v>1265257</x:v>
      </x:c>
      <x:c r="G893" s="38" t="n">
        <x:v>60620</x:v>
      </x:c>
      <x:c r="H893" s="38" t="n">
        <x:v>12180</x:v>
      </x:c>
      <x:c r="I893" s="38" t="n">
        <x:v>15222</x:v>
      </x:c>
      <x:c r="J893" s="38" t="n">
        <x:v>0</x:v>
      </x:c>
      <x:c r="K893" s="38" t="n">
        <x:v>0</x:v>
      </x:c>
      <x:c r="L893" s="38" t="n">
        <x:v>0</x:v>
      </x:c>
      <x:c r="M893" s="38" t="n">
        <x:v>0</x:v>
      </x:c>
      <x:c r="N893" s="38" t="n">
        <x:v>1125</x:v>
      </x:c>
      <x:c r="O893" s="38" t="n">
        <x:v>0</x:v>
      </x:c>
      <x:c r="P893" s="38" t="n">
        <x:f>F893+G893-H893+I893+J893+K893+L893-M893-N893-O893</x:f>
        <x:v>1327794</x:v>
      </x:c>
      <x:c r="Q893" s="38" t="n">
        <x:v>1327794</x:v>
      </x:c>
      <x:c r="R893" s="38" t="n">
        <x:f>P893-Q893</x:f>
        <x:v>0</x:v>
      </x:c>
      <x:c r="S893" s="38" t="n">
        <x:v>48440</x:v>
      </x:c>
      <x:c r="T893" s="38" t="n">
        <x:v>12173</x:v>
      </x:c>
      <x:c r="U893" s="38" t="n">
        <x:v>22</x:v>
      </x:c>
      <x:c r="V893" s="38" t="n">
        <x:v>2</x:v>
      </x:c>
      <x:c r="W893" s="38" t="n">
        <x:v>0</x:v>
      </x:c>
      <x:c r="X893" s="44" t="n">
        <x:v>19.98</x:v>
      </x:c>
      <x:c r="Y893" s="38" t="n">
        <x:v>140</x:v>
      </x:c>
      <x:c r="Z893" s="38" t="n">
        <x:v>29</x:v>
      </x:c>
      <x:c r="AA893" s="38" t="n">
        <x:v>17</x:v>
      </x:c>
      <x:c r="AB893" s="38" t="n">
        <x:v>5</x:v>
      </x:c>
      <x:c r="AC893" s="38" t="n">
        <x:v>6090</x:v>
      </x:c>
      <x:c r="AD893" s="38" t="n">
        <x:v>0</x:v>
      </x:c>
      <x:c r="AE893" s="38" t="n">
        <x:f>IF(B893=1,0,F893-Q892)</x:f>
        <x:v>0</x:v>
      </x:c>
    </x:row>
    <x:row r="894" ht="27" customHeight="1">
      <x:c r="A894" s="28" t="str">
        <x:v>Paid capacity ceiling</x:v>
      </x:c>
      <x:c r="B894" s="38" t="n">
        <x:v>50</x:v>
      </x:c>
      <x:c r="C894" s="38" t="n">
        <x:v>29</x:v>
      </x:c>
      <x:c r="D894" s="38" t="n">
        <x:v>285853</x:v>
      </x:c>
      <x:c r="E894" s="38" t="n">
        <x:v>70</x:v>
      </x:c>
      <x:c r="F894" s="38" t="n">
        <x:v>1327794</x:v>
      </x:c>
      <x:c r="G894" s="38" t="n">
        <x:v>60739</x:v>
      </x:c>
      <x:c r="H894" s="38" t="n">
        <x:v>12331</x:v>
      </x:c>
      <x:c r="I894" s="38" t="n">
        <x:v>2791</x:v>
      </x:c>
      <x:c r="J894" s="38" t="n">
        <x:v>710</x:v>
      </x:c>
      <x:c r="K894" s="38" t="n">
        <x:v>0</x:v>
      </x:c>
      <x:c r="L894" s="38" t="n">
        <x:v>0</x:v>
      </x:c>
      <x:c r="M894" s="38" t="n">
        <x:v>0</x:v>
      </x:c>
      <x:c r="N894" s="38" t="n">
        <x:v>0</x:v>
      </x:c>
      <x:c r="O894" s="38" t="n">
        <x:v>0</x:v>
      </x:c>
      <x:c r="P894" s="38" t="n">
        <x:f>F894+G894-H894+I894+J894+K894+L894-M894-N894-O894</x:f>
        <x:v>1379703</x:v>
      </x:c>
      <x:c r="Q894" s="38" t="n">
        <x:v>1379703</x:v>
      </x:c>
      <x:c r="R894" s="38" t="n">
        <x:f>P894-Q894</x:f>
        <x:v>0</x:v>
      </x:c>
      <x:c r="S894" s="38" t="n">
        <x:v>48577</x:v>
      </x:c>
      <x:c r="T894" s="38" t="n">
        <x:v>8220</x:v>
      </x:c>
      <x:c r="U894" s="38" t="n">
        <x:v>26</x:v>
      </x:c>
      <x:c r="V894" s="38" t="n">
        <x:v>4</x:v>
      </x:c>
      <x:c r="W894" s="38" t="n">
        <x:v>0</x:v>
      </x:c>
      <x:c r="X894" s="44" t="n">
        <x:v>19.98</x:v>
      </x:c>
      <x:c r="Y894" s="38" t="n">
        <x:v>139</x:v>
      </x:c>
      <x:c r="Z894" s="38" t="n">
        <x:v>29</x:v>
      </x:c>
      <x:c r="AA894" s="38" t="n">
        <x:v>17</x:v>
      </x:c>
      <x:c r="AB894" s="38" t="n">
        <x:v>5</x:v>
      </x:c>
      <x:c r="AC894" s="38" t="n">
        <x:v>6259</x:v>
      </x:c>
      <x:c r="AD894" s="38" t="n">
        <x:v>0</x:v>
      </x:c>
      <x:c r="AE894" s="38" t="n">
        <x:f>IF(B894=1,0,F894-Q893)</x:f>
        <x:v>0</x:v>
      </x:c>
    </x:row>
    <x:row r="895" ht="27" customHeight="1">
      <x:c r="A895" s="28" t="str">
        <x:v>Paid capacity ceiling</x:v>
      </x:c>
      <x:c r="B895" s="38" t="n">
        <x:v>51</x:v>
      </x:c>
      <x:c r="C895" s="38" t="n">
        <x:v>29</x:v>
      </x:c>
      <x:c r="D895" s="38" t="n">
        <x:v>294172</x:v>
      </x:c>
      <x:c r="E895" s="38" t="n">
        <x:v>70</x:v>
      </x:c>
      <x:c r="F895" s="38" t="n">
        <x:v>1379703</x:v>
      </x:c>
      <x:c r="G895" s="38" t="n">
        <x:v>62232</x:v>
      </x:c>
      <x:c r="H895" s="38" t="n">
        <x:v>12320</x:v>
      </x:c>
      <x:c r="I895" s="38" t="n">
        <x:v>2848</x:v>
      </x:c>
      <x:c r="J895" s="38" t="n">
        <x:v>0</x:v>
      </x:c>
      <x:c r="K895" s="38" t="n">
        <x:v>0</x:v>
      </x:c>
      <x:c r="L895" s="38" t="n">
        <x:v>0</x:v>
      </x:c>
      <x:c r="M895" s="38" t="n">
        <x:v>0</x:v>
      </x:c>
      <x:c r="N895" s="38" t="n">
        <x:v>0</x:v>
      </x:c>
      <x:c r="O895" s="38" t="n">
        <x:v>0</x:v>
      </x:c>
      <x:c r="P895" s="38" t="n">
        <x:f>F895+G895-H895+I895+J895+K895+L895-M895-N895-O895</x:f>
        <x:v>1432463</x:v>
      </x:c>
      <x:c r="Q895" s="38" t="n">
        <x:v>1432463</x:v>
      </x:c>
      <x:c r="R895" s="38" t="n">
        <x:f>P895-Q895</x:f>
        <x:v>0</x:v>
      </x:c>
      <x:c r="S895" s="38" t="n">
        <x:v>49813</x:v>
      </x:c>
      <x:c r="T895" s="38" t="n">
        <x:v>8319</x:v>
      </x:c>
      <x:c r="U895" s="38" t="n">
        <x:v>28</x:v>
      </x:c>
      <x:c r="V895" s="38" t="n">
        <x:v>2</x:v>
      </x:c>
      <x:c r="W895" s="38" t="n">
        <x:v>0</x:v>
      </x:c>
      <x:c r="X895" s="44" t="n">
        <x:v>19.98</x:v>
      </x:c>
      <x:c r="Y895" s="38" t="n">
        <x:v>140</x:v>
      </x:c>
      <x:c r="Z895" s="38" t="n">
        <x:v>30</x:v>
      </x:c>
      <x:c r="AA895" s="38" t="n">
        <x:v>17</x:v>
      </x:c>
      <x:c r="AB895" s="38" t="n">
        <x:v>5</x:v>
      </x:c>
      <x:c r="AC895" s="38" t="n">
        <x:v>6160</x:v>
      </x:c>
      <x:c r="AD895" s="38" t="n">
        <x:v>0</x:v>
      </x:c>
      <x:c r="AE895" s="38" t="n">
        <x:f>IF(B895=1,0,F895-Q894)</x:f>
        <x:v>0</x:v>
      </x:c>
    </x:row>
    <x:row r="896" ht="27" customHeight="1">
      <x:c r="A896" s="28" t="str">
        <x:v>Paid capacity ceiling</x:v>
      </x:c>
      <x:c r="B896" s="38" t="n">
        <x:v>52</x:v>
      </x:c>
      <x:c r="C896" s="38" t="n">
        <x:v>29</x:v>
      </x:c>
      <x:c r="D896" s="38" t="n">
        <x:v>302452</x:v>
      </x:c>
      <x:c r="E896" s="38" t="n">
        <x:v>70</x:v>
      </x:c>
      <x:c r="F896" s="38" t="n">
        <x:v>1432463</x:v>
      </x:c>
      <x:c r="G896" s="38" t="n">
        <x:v>61740</x:v>
      </x:c>
      <x:c r="H896" s="38" t="n">
        <x:v>12320</x:v>
      </x:c>
      <x:c r="I896" s="38" t="n">
        <x:v>2848</x:v>
      </x:c>
      <x:c r="J896" s="38" t="n">
        <x:v>0</x:v>
      </x:c>
      <x:c r="K896" s="38" t="n">
        <x:v>0</x:v>
      </x:c>
      <x:c r="L896" s="38" t="n">
        <x:v>0</x:v>
      </x:c>
      <x:c r="M896" s="38" t="n">
        <x:v>0</x:v>
      </x:c>
      <x:c r="N896" s="38" t="n">
        <x:v>2110</x:v>
      </x:c>
      <x:c r="O896" s="38" t="n">
        <x:v>0</x:v>
      </x:c>
      <x:c r="P896" s="38" t="n">
        <x:f>F896+G896-H896+I896+J896+K896+L896-M896-N896-O896</x:f>
        <x:v>1482621</x:v>
      </x:c>
      <x:c r="Q896" s="38" t="n">
        <x:v>1482621</x:v>
      </x:c>
      <x:c r="R896" s="38" t="n">
        <x:f>P896-Q896</x:f>
        <x:v>0</x:v>
      </x:c>
      <x:c r="S896" s="38" t="n">
        <x:v>49420</x:v>
      </x:c>
      <x:c r="T896" s="38" t="n">
        <x:v>8280</x:v>
      </x:c>
      <x:c r="U896" s="38" t="n">
        <x:v>28</x:v>
      </x:c>
      <x:c r="V896" s="38" t="n">
        <x:v>0</x:v>
      </x:c>
      <x:c r="W896" s="38" t="n">
        <x:v>0</x:v>
      </x:c>
      <x:c r="X896" s="44" t="n">
        <x:v>19.98</x:v>
      </x:c>
      <x:c r="Y896" s="38" t="n">
        <x:v>140</x:v>
      </x:c>
      <x:c r="Z896" s="38" t="n">
        <x:v>30</x:v>
      </x:c>
      <x:c r="AA896" s="38" t="n">
        <x:v>18</x:v>
      </x:c>
      <x:c r="AB896" s="38" t="n">
        <x:v>5</x:v>
      </x:c>
      <x:c r="AC896" s="38" t="n">
        <x:v>6160</x:v>
      </x:c>
      <x:c r="AD896" s="38" t="n">
        <x:v>0</x:v>
      </x:c>
      <x:c r="AE896" s="38" t="n">
        <x:f>IF(B896=1,0,F896-Q895)</x:f>
        <x:v>0</x:v>
      </x:c>
    </x:row>
    <x:row r="897" ht="27" customHeight="1">
      <x:c r="A897" s="28" t="str">
        <x:v>Paid capacity ceiling</x:v>
      </x:c>
      <x:c r="B897" s="38" t="n">
        <x:v>53</x:v>
      </x:c>
      <x:c r="C897" s="38" t="n">
        <x:v>29</x:v>
      </x:c>
      <x:c r="D897" s="38" t="n">
        <x:v>310732</x:v>
      </x:c>
      <x:c r="E897" s="38" t="n">
        <x:v>70</x:v>
      </x:c>
      <x:c r="F897" s="38" t="n">
        <x:v>1482621</x:v>
      </x:c>
      <x:c r="G897" s="38" t="n">
        <x:v>61740</x:v>
      </x:c>
      <x:c r="H897" s="38" t="n">
        <x:v>12320</x:v>
      </x:c>
      <x:c r="I897" s="38" t="n">
        <x:v>2848</x:v>
      </x:c>
      <x:c r="J897" s="38" t="n">
        <x:v>0</x:v>
      </x:c>
      <x:c r="K897" s="38" t="n">
        <x:v>0</x:v>
      </x:c>
      <x:c r="L897" s="38" t="n">
        <x:v>0</x:v>
      </x:c>
      <x:c r="M897" s="38" t="n">
        <x:v>0</x:v>
      </x:c>
      <x:c r="N897" s="38" t="n">
        <x:v>0</x:v>
      </x:c>
      <x:c r="O897" s="38" t="n">
        <x:v>0</x:v>
      </x:c>
      <x:c r="P897" s="38" t="n">
        <x:f>F897+G897-H897+I897+J897+K897+L897-M897-N897-O897</x:f>
        <x:v>1534889</x:v>
      </x:c>
      <x:c r="Q897" s="38" t="n">
        <x:v>1534889</x:v>
      </x:c>
      <x:c r="R897" s="38" t="n">
        <x:f>P897-Q897</x:f>
        <x:v>0</x:v>
      </x:c>
      <x:c r="S897" s="38" t="n">
        <x:v>49420</x:v>
      </x:c>
      <x:c r="T897" s="38" t="n">
        <x:v>8280</x:v>
      </x:c>
      <x:c r="U897" s="38" t="n">
        <x:v>28</x:v>
      </x:c>
      <x:c r="V897" s="38" t="n">
        <x:v>0</x:v>
      </x:c>
      <x:c r="W897" s="38" t="n">
        <x:v>0</x:v>
      </x:c>
      <x:c r="X897" s="44" t="n">
        <x:v>19.98</x:v>
      </x:c>
      <x:c r="Y897" s="38" t="n">
        <x:v>140</x:v>
      </x:c>
      <x:c r="Z897" s="38" t="n">
        <x:v>30</x:v>
      </x:c>
      <x:c r="AA897" s="38" t="n">
        <x:v>18</x:v>
      </x:c>
      <x:c r="AB897" s="38" t="n">
        <x:v>5</x:v>
      </x:c>
      <x:c r="AC897" s="38" t="n">
        <x:v>6160</x:v>
      </x:c>
      <x:c r="AD897" s="38" t="n">
        <x:v>0</x:v>
      </x:c>
      <x:c r="AE897" s="38" t="n">
        <x:f>IF(B897=1,0,F897-Q896)</x:f>
        <x:v>0</x:v>
      </x:c>
    </x:row>
    <x:row r="898" ht="27" customHeight="1">
      <x:c r="A898" s="28" t="str">
        <x:v>Paid capacity ceiling</x:v>
      </x:c>
      <x:c r="B898" s="38" t="n">
        <x:v>54</x:v>
      </x:c>
      <x:c r="C898" s="38" t="n">
        <x:v>30</x:v>
      </x:c>
      <x:c r="D898" s="38" t="n">
        <x:v>319298</x:v>
      </x:c>
      <x:c r="E898" s="38" t="n">
        <x:v>75</x:v>
      </x:c>
      <x:c r="F898" s="38" t="n">
        <x:v>1534889</x:v>
      </x:c>
      <x:c r="G898" s="38" t="n">
        <x:v>64170</x:v>
      </x:c>
      <x:c r="H898" s="38" t="n">
        <x:v>13635</x:v>
      </x:c>
      <x:c r="I898" s="38" t="n">
        <x:v>2848</x:v>
      </x:c>
      <x:c r="J898" s="38" t="n">
        <x:v>780</x:v>
      </x:c>
      <x:c r="K898" s="38" t="n">
        <x:v>0</x:v>
      </x:c>
      <x:c r="L898" s="38" t="n">
        <x:v>0</x:v>
      </x:c>
      <x:c r="M898" s="38" t="n">
        <x:v>0</x:v>
      </x:c>
      <x:c r="N898" s="38" t="n">
        <x:v>0</x:v>
      </x:c>
      <x:c r="O898" s="38" t="n">
        <x:v>129655</x:v>
      </x:c>
      <x:c r="P898" s="38" t="n">
        <x:f>F898+G898-H898+I898+J898+K898+L898-M898-N898-O898</x:f>
        <x:v>1459397</x:v>
      </x:c>
      <x:c r="Q898" s="38" t="n">
        <x:v>1459397</x:v>
      </x:c>
      <x:c r="R898" s="38" t="n">
        <x:f>P898-Q898</x:f>
        <x:v>0</x:v>
      </x:c>
      <x:c r="S898" s="38" t="n">
        <x:v>51350</x:v>
      </x:c>
      <x:c r="T898" s="38" t="n">
        <x:v>8566</x:v>
      </x:c>
      <x:c r="U898" s="38" t="n">
        <x:v>91</x:v>
      </x:c>
      <x:c r="V898" s="38" t="n">
        <x:v>123</x:v>
      </x:c>
      <x:c r="W898" s="38" t="n">
        <x:v>60</x:v>
      </x:c>
      <x:c r="X898" s="44" t="n">
        <x:v>29.97</x:v>
      </x:c>
      <x:c r="Y898" s="38" t="n">
        <x:v>144</x:v>
      </x:c>
      <x:c r="Z898" s="38" t="n">
        <x:v>30</x:v>
      </x:c>
      <x:c r="AA898" s="38" t="n">
        <x:v>18</x:v>
      </x:c>
      <x:c r="AB898" s="38" t="n">
        <x:v>6</x:v>
      </x:c>
      <x:c r="AC898" s="38" t="n">
        <x:v>6975</x:v>
      </x:c>
      <x:c r="AD898" s="38" t="n">
        <x:v>0</x:v>
      </x:c>
      <x:c r="AE898" s="38" t="n">
        <x:f>IF(B898=1,0,F898-Q897)</x:f>
        <x:v>0</x:v>
      </x:c>
    </x:row>
    <x:row r="899" ht="27" customHeight="1">
      <x:c r="A899" s="28" t="str">
        <x:v>Paid capacity ceiling</x:v>
      </x:c>
      <x:c r="B899" s="38" t="n">
        <x:v>55</x:v>
      </x:c>
      <x:c r="C899" s="38" t="n">
        <x:v>30</x:v>
      </x:c>
      <x:c r="D899" s="38" t="n">
        <x:v>328219</x:v>
      </x:c>
      <x:c r="E899" s="38" t="n">
        <x:v>75</x:v>
      </x:c>
      <x:c r="F899" s="38" t="n">
        <x:v>1459397</x:v>
      </x:c>
      <x:c r="G899" s="38" t="n">
        <x:v>66600</x:v>
      </x:c>
      <x:c r="H899" s="38" t="n">
        <x:v>13320</x:v>
      </x:c>
      <x:c r="I899" s="38" t="n">
        <x:v>3112</x:v>
      </x:c>
      <x:c r="J899" s="38" t="n">
        <x:v>0</x:v>
      </x:c>
      <x:c r="K899" s="38" t="n">
        <x:v>0</x:v>
      </x:c>
      <x:c r="L899" s="38" t="n">
        <x:v>0</x:v>
      </x:c>
      <x:c r="M899" s="38" t="n">
        <x:v>0</x:v>
      </x:c>
      <x:c r="N899" s="38" t="n">
        <x:v>2180</x:v>
      </x:c>
      <x:c r="O899" s="38" t="n">
        <x:v>0</x:v>
      </x:c>
      <x:c r="P899" s="38" t="n">
        <x:f>F899+G899-H899+I899+J899+K899+L899-M899-N899-O899</x:f>
        <x:v>1513609</x:v>
      </x:c>
      <x:c r="Q899" s="38" t="n">
        <x:v>1513609</x:v>
      </x:c>
      <x:c r="R899" s="38" t="n">
        <x:f>P899-Q899</x:f>
        <x:v>0</x:v>
      </x:c>
      <x:c r="S899" s="38" t="n">
        <x:v>53280</x:v>
      </x:c>
      <x:c r="T899" s="38" t="n">
        <x:v>8921</x:v>
      </x:c>
      <x:c r="U899" s="38" t="n">
        <x:v>91</x:v>
      </x:c>
      <x:c r="V899" s="38" t="n">
        <x:v>0</x:v>
      </x:c>
      <x:c r="W899" s="38" t="n">
        <x:v>0</x:v>
      </x:c>
      <x:c r="X899" s="44" t="n">
        <x:v>29.97</x:v>
      </x:c>
      <x:c r="Y899" s="38" t="n">
        <x:v>148</x:v>
      </x:c>
      <x:c r="Z899" s="38" t="n">
        <x:v>30</x:v>
      </x:c>
      <x:c r="AA899" s="38" t="n">
        <x:v>19</x:v>
      </x:c>
      <x:c r="AB899" s="38" t="n">
        <x:v>6</x:v>
      </x:c>
      <x:c r="AC899" s="38" t="n">
        <x:v>6975</x:v>
      </x:c>
      <x:c r="AD899" s="38" t="n">
        <x:v>0</x:v>
      </x:c>
      <x:c r="AE899" s="38" t="n">
        <x:f>IF(B899=1,0,F899-Q898)</x:f>
        <x:v>0</x:v>
      </x:c>
    </x:row>
    <x:row r="900" ht="27" customHeight="1">
      <x:c r="A900" s="28" t="str">
        <x:v>Paid capacity ceiling</x:v>
      </x:c>
      <x:c r="B900" s="38" t="n">
        <x:v>56</x:v>
      </x:c>
      <x:c r="C900" s="38" t="n">
        <x:v>31</x:v>
      </x:c>
      <x:c r="D900" s="38" t="n">
        <x:v>341691</x:v>
      </x:c>
      <x:c r="E900" s="38" t="n">
        <x:v>75</x:v>
      </x:c>
      <x:c r="F900" s="38" t="n">
        <x:v>1513609</x:v>
      </x:c>
      <x:c r="G900" s="38" t="n">
        <x:v>68625</x:v>
      </x:c>
      <x:c r="H900" s="38" t="n">
        <x:v>13650</x:v>
      </x:c>
      <x:c r="I900" s="38" t="n">
        <x:v>17067</x:v>
      </x:c>
      <x:c r="J900" s="38" t="n">
        <x:v>795</x:v>
      </x:c>
      <x:c r="K900" s="38" t="n">
        <x:v>0</x:v>
      </x:c>
      <x:c r="L900" s="38" t="n">
        <x:v>0</x:v>
      </x:c>
      <x:c r="M900" s="38" t="n">
        <x:v>0</x:v>
      </x:c>
      <x:c r="N900" s="38" t="n">
        <x:v>0</x:v>
      </x:c>
      <x:c r="O900" s="38" t="n">
        <x:v>0</x:v>
      </x:c>
      <x:c r="P900" s="38" t="n">
        <x:f>F900+G900-H900+I900+J900+K900+L900-M900-N900-O900</x:f>
        <x:v>1586446</x:v>
      </x:c>
      <x:c r="Q900" s="38" t="n">
        <x:v>1586446</x:v>
      </x:c>
      <x:c r="R900" s="38" t="n">
        <x:f>P900-Q900</x:f>
        <x:v>0</x:v>
      </x:c>
      <x:c r="S900" s="38" t="n">
        <x:v>54900</x:v>
      </x:c>
      <x:c r="T900" s="38" t="n">
        <x:v>13472</x:v>
      </x:c>
      <x:c r="U900" s="38" t="n">
        <x:v>93</x:v>
      </x:c>
      <x:c r="V900" s="38" t="n">
        <x:v>2</x:v>
      </x:c>
      <x:c r="W900" s="38" t="n">
        <x:v>0</x:v>
      </x:c>
      <x:c r="X900" s="44" t="n">
        <x:v>29.97</x:v>
      </x:c>
      <x:c r="Y900" s="38" t="n">
        <x:v>150</x:v>
      </x:c>
      <x:c r="Z900" s="38" t="n">
        <x:v>31</x:v>
      </x:c>
      <x:c r="AA900" s="38" t="n">
        <x:v>19</x:v>
      </x:c>
      <x:c r="AB900" s="38" t="n">
        <x:v>6</x:v>
      </x:c>
      <x:c r="AC900" s="38" t="n">
        <x:v>6900</x:v>
      </x:c>
      <x:c r="AD900" s="38" t="n">
        <x:v>0</x:v>
      </x:c>
      <x:c r="AE900" s="38" t="n">
        <x:f>IF(B900=1,0,F900-Q899)</x:f>
        <x:v>0</x:v>
      </x:c>
    </x:row>
    <x:row r="901" ht="27" customHeight="1">
      <x:c r="A901" s="28" t="str">
        <x:v>Paid capacity ceiling</x:v>
      </x:c>
      <x:c r="B901" s="38" t="n">
        <x:v>57</x:v>
      </x:c>
      <x:c r="C901" s="38" t="n">
        <x:v>31</x:v>
      </x:c>
      <x:c r="D901" s="38" t="n">
        <x:v>350727</x:v>
      </x:c>
      <x:c r="E901" s="38" t="n">
        <x:v>75</x:v>
      </x:c>
      <x:c r="F901" s="38" t="n">
        <x:v>1586446</x:v>
      </x:c>
      <x:c r="G901" s="38" t="n">
        <x:v>68850</x:v>
      </x:c>
      <x:c r="H901" s="38" t="n">
        <x:v>13800</x:v>
      </x:c>
      <x:c r="I901" s="38" t="n">
        <x:v>3172</x:v>
      </x:c>
      <x:c r="J901" s="38" t="n">
        <x:v>0</x:v>
      </x:c>
      <x:c r="K901" s="38" t="n">
        <x:v>0</x:v>
      </x:c>
      <x:c r="L901" s="38" t="n">
        <x:v>0</x:v>
      </x:c>
      <x:c r="M901" s="38" t="n">
        <x:v>0</x:v>
      </x:c>
      <x:c r="N901" s="38" t="n">
        <x:v>0</x:v>
      </x:c>
      <x:c r="O901" s="38" t="n">
        <x:v>0</x:v>
      </x:c>
      <x:c r="P901" s="38" t="n">
        <x:f>F901+G901-H901+I901+J901+K901+L901-M901-N901-O901</x:f>
        <x:v>1644668</x:v>
      </x:c>
      <x:c r="Q901" s="38" t="n">
        <x:v>1644668</x:v>
      </x:c>
      <x:c r="R901" s="38" t="n">
        <x:f>P901-Q901</x:f>
        <x:v>0</x:v>
      </x:c>
      <x:c r="S901" s="38" t="n">
        <x:v>55050</x:v>
      </x:c>
      <x:c r="T901" s="38" t="n">
        <x:v>9036</x:v>
      </x:c>
      <x:c r="U901" s="38" t="n">
        <x:v>93</x:v>
      </x:c>
      <x:c r="V901" s="38" t="n">
        <x:v>0</x:v>
      </x:c>
      <x:c r="W901" s="38" t="n">
        <x:v>0</x:v>
      </x:c>
      <x:c r="X901" s="44" t="n">
        <x:v>29.97</x:v>
      </x:c>
      <x:c r="Y901" s="38" t="n">
        <x:v>150</x:v>
      </x:c>
      <x:c r="Z901" s="38" t="n">
        <x:v>31</x:v>
      </x:c>
      <x:c r="AA901" s="38" t="n">
        <x:v>19</x:v>
      </x:c>
      <x:c r="AB901" s="38" t="n">
        <x:v>6</x:v>
      </x:c>
      <x:c r="AC901" s="38" t="n">
        <x:v>6900</x:v>
      </x:c>
      <x:c r="AD901" s="38" t="n">
        <x:v>0</x:v>
      </x:c>
      <x:c r="AE901" s="38" t="n">
        <x:f>IF(B901=1,0,F901-Q900)</x:f>
        <x:v>0</x:v>
      </x:c>
    </x:row>
    <x:row r="902" ht="27" customHeight="1">
      <x:c r="A902" s="28" t="str">
        <x:v>Paid capacity ceiling</x:v>
      </x:c>
      <x:c r="B902" s="38" t="n">
        <x:v>58</x:v>
      </x:c>
      <x:c r="C902" s="38" t="n">
        <x:v>31</x:v>
      </x:c>
      <x:c r="D902" s="38" t="n">
        <x:v>359763</x:v>
      </x:c>
      <x:c r="E902" s="38" t="n">
        <x:v>75</x:v>
      </x:c>
      <x:c r="F902" s="38" t="n">
        <x:v>1644668</x:v>
      </x:c>
      <x:c r="G902" s="38" t="n">
        <x:v>68850</x:v>
      </x:c>
      <x:c r="H902" s="38" t="n">
        <x:v>13800</x:v>
      </x:c>
      <x:c r="I902" s="38" t="n">
        <x:v>3172</x:v>
      </x:c>
      <x:c r="J902" s="38" t="n">
        <x:v>0</x:v>
      </x:c>
      <x:c r="K902" s="38" t="n">
        <x:v>0</x:v>
      </x:c>
      <x:c r="L902" s="38" t="n">
        <x:v>0</x:v>
      </x:c>
      <x:c r="M902" s="38" t="n">
        <x:v>0</x:v>
      </x:c>
      <x:c r="N902" s="38" t="n">
        <x:v>2180</x:v>
      </x:c>
      <x:c r="O902" s="38" t="n">
        <x:v>0</x:v>
      </x:c>
      <x:c r="P902" s="38" t="n">
        <x:f>F902+G902-H902+I902+J902+K902+L902-M902-N902-O902</x:f>
        <x:v>1700710</x:v>
      </x:c>
      <x:c r="Q902" s="38" t="n">
        <x:v>1700710</x:v>
      </x:c>
      <x:c r="R902" s="38" t="n">
        <x:f>P902-Q902</x:f>
        <x:v>0</x:v>
      </x:c>
      <x:c r="S902" s="38" t="n">
        <x:v>55050</x:v>
      </x:c>
      <x:c r="T902" s="38" t="n">
        <x:v>9036</x:v>
      </x:c>
      <x:c r="U902" s="38" t="n">
        <x:v>93</x:v>
      </x:c>
      <x:c r="V902" s="38" t="n">
        <x:v>0</x:v>
      </x:c>
      <x:c r="W902" s="38" t="n">
        <x:v>0</x:v>
      </x:c>
      <x:c r="X902" s="44" t="n">
        <x:v>29.97</x:v>
      </x:c>
      <x:c r="Y902" s="38" t="n">
        <x:v>150</x:v>
      </x:c>
      <x:c r="Z902" s="38" t="n">
        <x:v>31</x:v>
      </x:c>
      <x:c r="AA902" s="38" t="n">
        <x:v>20</x:v>
      </x:c>
      <x:c r="AB902" s="38" t="n">
        <x:v>6</x:v>
      </x:c>
      <x:c r="AC902" s="38" t="n">
        <x:v>6900</x:v>
      </x:c>
      <x:c r="AD902" s="38" t="n">
        <x:v>0</x:v>
      </x:c>
      <x:c r="AE902" s="38" t="n">
        <x:f>IF(B902=1,0,F902-Q901)</x:f>
        <x:v>0</x:v>
      </x:c>
    </x:row>
    <x:row r="903" ht="27" customHeight="1">
      <x:c r="A903" s="28" t="str">
        <x:v>Paid capacity ceiling</x:v>
      </x:c>
      <x:c r="B903" s="38" t="n">
        <x:v>59</x:v>
      </x:c>
      <x:c r="C903" s="38" t="n">
        <x:v>31</x:v>
      </x:c>
      <x:c r="D903" s="38" t="n">
        <x:v>368799</x:v>
      </x:c>
      <x:c r="E903" s="38" t="n">
        <x:v>75</x:v>
      </x:c>
      <x:c r="F903" s="38" t="n">
        <x:v>1700710</x:v>
      </x:c>
      <x:c r="G903" s="38" t="n">
        <x:v>68850</x:v>
      </x:c>
      <x:c r="H903" s="38" t="n">
        <x:v>13800</x:v>
      </x:c>
      <x:c r="I903" s="38" t="n">
        <x:v>3172</x:v>
      </x:c>
      <x:c r="J903" s="38" t="n">
        <x:v>0</x:v>
      </x:c>
      <x:c r="K903" s="38" t="n">
        <x:v>0</x:v>
      </x:c>
      <x:c r="L903" s="38" t="n">
        <x:v>0</x:v>
      </x:c>
      <x:c r="M903" s="38" t="n">
        <x:v>0</x:v>
      </x:c>
      <x:c r="N903" s="38" t="n">
        <x:v>0</x:v>
      </x:c>
      <x:c r="O903" s="38" t="n">
        <x:v>0</x:v>
      </x:c>
      <x:c r="P903" s="38" t="n">
        <x:f>F903+G903-H903+I903+J903+K903+L903-M903-N903-O903</x:f>
        <x:v>1758932</x:v>
      </x:c>
      <x:c r="Q903" s="38" t="n">
        <x:v>1758932</x:v>
      </x:c>
      <x:c r="R903" s="38" t="n">
        <x:f>P903-Q903</x:f>
        <x:v>0</x:v>
      </x:c>
      <x:c r="S903" s="38" t="n">
        <x:v>55050</x:v>
      </x:c>
      <x:c r="T903" s="38" t="n">
        <x:v>9036</x:v>
      </x:c>
      <x:c r="U903" s="38" t="n">
        <x:v>93</x:v>
      </x:c>
      <x:c r="V903" s="38" t="n">
        <x:v>0</x:v>
      </x:c>
      <x:c r="W903" s="38" t="n">
        <x:v>0</x:v>
      </x:c>
      <x:c r="X903" s="44" t="n">
        <x:v>29.97</x:v>
      </x:c>
      <x:c r="Y903" s="38" t="n">
        <x:v>150</x:v>
      </x:c>
      <x:c r="Z903" s="38" t="n">
        <x:v>31</x:v>
      </x:c>
      <x:c r="AA903" s="38" t="n">
        <x:v>20</x:v>
      </x:c>
      <x:c r="AB903" s="38" t="n">
        <x:v>6</x:v>
      </x:c>
      <x:c r="AC903" s="38" t="n">
        <x:v>6900</x:v>
      </x:c>
      <x:c r="AD903" s="38" t="n">
        <x:v>0</x:v>
      </x:c>
      <x:c r="AE903" s="38" t="n">
        <x:f>IF(B903=1,0,F903-Q902)</x:f>
        <x:v>0</x:v>
      </x:c>
    </x:row>
    <x:row r="904" ht="27" customHeight="1">
      <x:c r="A904" s="28" t="str">
        <x:v>Paid capacity ceiling</x:v>
      </x:c>
      <x:c r="B904" s="38" t="n">
        <x:v>60</x:v>
      </x:c>
      <x:c r="C904" s="38" t="n">
        <x:v>32</x:v>
      </x:c>
      <x:c r="D904" s="38" t="n">
        <x:v>377783</x:v>
      </x:c>
      <x:c r="E904" s="38" t="n">
        <x:v>75</x:v>
      </x:c>
      <x:c r="F904" s="38" t="n">
        <x:v>1758932</x:v>
      </x:c>
      <x:c r="G904" s="38" t="n">
        <x:v>69078</x:v>
      </x:c>
      <x:c r="H904" s="38" t="n">
        <x:v>14011</x:v>
      </x:c>
      <x:c r="I904" s="38" t="n">
        <x:v>3172</x:v>
      </x:c>
      <x:c r="J904" s="38" t="n">
        <x:v>810</x:v>
      </x:c>
      <x:c r="K904" s="38" t="n">
        <x:v>0</x:v>
      </x:c>
      <x:c r="L904" s="38" t="n">
        <x:v>0</x:v>
      </x:c>
      <x:c r="M904" s="38" t="n">
        <x:v>0</x:v>
      </x:c>
      <x:c r="N904" s="38" t="n">
        <x:v>0</x:v>
      </x:c>
      <x:c r="O904" s="38" t="n">
        <x:v>0</x:v>
      </x:c>
      <x:c r="P904" s="38" t="n">
        <x:f>F904+G904-H904+I904+J904+K904+L904-M904-N904-O904</x:f>
        <x:v>1817981</x:v>
      </x:c>
      <x:c r="Q904" s="38" t="n">
        <x:v>1817981</x:v>
      </x:c>
      <x:c r="R904" s="38" t="n">
        <x:f>P904-Q904</x:f>
        <x:v>0</x:v>
      </x:c>
      <x:c r="S904" s="38" t="n">
        <x:v>55217</x:v>
      </x:c>
      <x:c r="T904" s="38" t="n">
        <x:v>8984</x:v>
      </x:c>
      <x:c r="U904" s="38" t="n">
        <x:v>94</x:v>
      </x:c>
      <x:c r="V904" s="38" t="n">
        <x:v>1</x:v>
      </x:c>
      <x:c r="W904" s="38" t="n">
        <x:v>0</x:v>
      </x:c>
      <x:c r="X904" s="44" t="n">
        <x:v>29.97</x:v>
      </x:c>
      <x:c r="Y904" s="38" t="n">
        <x:v>150</x:v>
      </x:c>
      <x:c r="Z904" s="38" t="n">
        <x:v>32</x:v>
      </x:c>
      <x:c r="AA904" s="38" t="n">
        <x:v>20</x:v>
      </x:c>
      <x:c r="AB904" s="38" t="n">
        <x:v>6</x:v>
      </x:c>
      <x:c r="AC904" s="38" t="n">
        <x:v>7050</x:v>
      </x:c>
      <x:c r="AD904" s="38" t="n">
        <x:v>0</x:v>
      </x:c>
      <x:c r="AE904" s="38" t="n">
        <x:f>IF(B904=1,0,F904-Q903)</x:f>
        <x:v>0</x:v>
      </x:c>
    </x:row>
    <x:row r="905" ht="27" customHeight="1">
      <x:c r="A905" s="28" t="str">
        <x:v>Paid capacity ceiling</x:v>
      </x:c>
      <x:c r="B905" s="38" t="n">
        <x:v>61</x:v>
      </x:c>
      <x:c r="C905" s="38" t="n">
        <x:v>32</x:v>
      </x:c>
      <x:c r="D905" s="38" t="n">
        <x:v>386826</x:v>
      </x:c>
      <x:c r="E905" s="38" t="n">
        <x:v>75</x:v>
      </x:c>
      <x:c r="F905" s="38" t="n">
        <x:v>1817981</x:v>
      </x:c>
      <x:c r="G905" s="38" t="n">
        <x:v>70200</x:v>
      </x:c>
      <x:c r="H905" s="38" t="n">
        <x:v>14100</x:v>
      </x:c>
      <x:c r="I905" s="38" t="n">
        <x:v>3233</x:v>
      </x:c>
      <x:c r="J905" s="38" t="n">
        <x:v>0</x:v>
      </x:c>
      <x:c r="K905" s="38" t="n">
        <x:v>0</x:v>
      </x:c>
      <x:c r="L905" s="38" t="n">
        <x:v>0</x:v>
      </x:c>
      <x:c r="M905" s="38" t="n">
        <x:v>0</x:v>
      </x:c>
      <x:c r="N905" s="38" t="n">
        <x:v>1200</x:v>
      </x:c>
      <x:c r="O905" s="38" t="n">
        <x:v>0</x:v>
      </x:c>
      <x:c r="P905" s="38" t="n">
        <x:f>F905+G905-H905+I905+J905+K905+L905-M905-N905-O905</x:f>
        <x:v>1876114</x:v>
      </x:c>
      <x:c r="Q905" s="38" t="n">
        <x:v>1876114</x:v>
      </x:c>
      <x:c r="R905" s="38" t="n">
        <x:f>P905-Q905</x:f>
        <x:v>0</x:v>
      </x:c>
      <x:c r="S905" s="38" t="n">
        <x:v>56100</x:v>
      </x:c>
      <x:c r="T905" s="38" t="n">
        <x:v>9043</x:v>
      </x:c>
      <x:c r="U905" s="38" t="n">
        <x:v>94</x:v>
      </x:c>
      <x:c r="V905" s="38" t="n">
        <x:v>0</x:v>
      </x:c>
      <x:c r="W905" s="38" t="n">
        <x:v>0</x:v>
      </x:c>
      <x:c r="X905" s="44" t="n">
        <x:v>29.97</x:v>
      </x:c>
      <x:c r="Y905" s="38" t="n">
        <x:v>150</x:v>
      </x:c>
      <x:c r="Z905" s="38" t="n">
        <x:v>32</x:v>
      </x:c>
      <x:c r="AA905" s="38" t="n">
        <x:v>21</x:v>
      </x:c>
      <x:c r="AB905" s="38" t="n">
        <x:v>6</x:v>
      </x:c>
      <x:c r="AC905" s="38" t="n">
        <x:v>7050</x:v>
      </x:c>
      <x:c r="AD905" s="38" t="n">
        <x:v>0</x:v>
      </x:c>
      <x:c r="AE905" s="38" t="n">
        <x:f>IF(B905=1,0,F905-Q904)</x:f>
        <x:v>0</x:v>
      </x:c>
    </x:row>
    <x:row r="906" ht="27" customHeight="1">
      <x:c r="A906" s="28" t="str">
        <x:v>Paid capacity ceiling</x:v>
      </x:c>
      <x:c r="B906" s="38" t="n">
        <x:v>62</x:v>
      </x:c>
      <x:c r="C906" s="38" t="n">
        <x:v>32</x:v>
      </x:c>
      <x:c r="D906" s="38" t="n">
        <x:v>395869</x:v>
      </x:c>
      <x:c r="E906" s="38" t="n">
        <x:v>75</x:v>
      </x:c>
      <x:c r="F906" s="38" t="n">
        <x:v>1876114</x:v>
      </x:c>
      <x:c r="G906" s="38" t="n">
        <x:v>70200</x:v>
      </x:c>
      <x:c r="H906" s="38" t="n">
        <x:v>14100</x:v>
      </x:c>
      <x:c r="I906" s="38" t="n">
        <x:v>3233</x:v>
      </x:c>
      <x:c r="J906" s="38" t="n">
        <x:v>0</x:v>
      </x:c>
      <x:c r="K906" s="38" t="n">
        <x:v>0</x:v>
      </x:c>
      <x:c r="L906" s="38" t="n">
        <x:v>0</x:v>
      </x:c>
      <x:c r="M906" s="38" t="n">
        <x:v>0</x:v>
      </x:c>
      <x:c r="N906" s="38" t="n">
        <x:v>0</x:v>
      </x:c>
      <x:c r="O906" s="38" t="n">
        <x:v>0</x:v>
      </x:c>
      <x:c r="P906" s="38" t="n">
        <x:f>F906+G906-H906+I906+J906+K906+L906-M906-N906-O906</x:f>
        <x:v>1935447</x:v>
      </x:c>
      <x:c r="Q906" s="38" t="n">
        <x:v>1935447</x:v>
      </x:c>
      <x:c r="R906" s="38" t="n">
        <x:f>P906-Q906</x:f>
        <x:v>0</x:v>
      </x:c>
      <x:c r="S906" s="38" t="n">
        <x:v>56100</x:v>
      </x:c>
      <x:c r="T906" s="38" t="n">
        <x:v>9043</x:v>
      </x:c>
      <x:c r="U906" s="38" t="n">
        <x:v>94</x:v>
      </x:c>
      <x:c r="V906" s="38" t="n">
        <x:v>0</x:v>
      </x:c>
      <x:c r="W906" s="38" t="n">
        <x:v>0</x:v>
      </x:c>
      <x:c r="X906" s="44" t="n">
        <x:v>29.97</x:v>
      </x:c>
      <x:c r="Y906" s="38" t="n">
        <x:v>150</x:v>
      </x:c>
      <x:c r="Z906" s="38" t="n">
        <x:v>32</x:v>
      </x:c>
      <x:c r="AA906" s="38" t="n">
        <x:v>21</x:v>
      </x:c>
      <x:c r="AB906" s="38" t="n">
        <x:v>6</x:v>
      </x:c>
      <x:c r="AC906" s="38" t="n">
        <x:v>7050</x:v>
      </x:c>
      <x:c r="AD906" s="38" t="n">
        <x:v>0</x:v>
      </x:c>
      <x:c r="AE906" s="38" t="n">
        <x:f>IF(B906=1,0,F906-Q905)</x:f>
        <x:v>0</x:v>
      </x:c>
    </x:row>
    <x:row r="907" ht="27" customHeight="1">
      <x:c r="A907" s="28" t="str">
        <x:v>Paid capacity ceiling</x:v>
      </x:c>
      <x:c r="B907" s="38" t="n">
        <x:v>63</x:v>
      </x:c>
      <x:c r="C907" s="38" t="n">
        <x:v>33</x:v>
      </x:c>
      <x:c r="D907" s="38" t="n">
        <x:v>409667</x:v>
      </x:c>
      <x:c r="E907" s="38" t="n">
        <x:v>75</x:v>
      </x:c>
      <x:c r="F907" s="38" t="n">
        <x:v>1935447</x:v>
      </x:c>
      <x:c r="G907" s="38" t="n">
        <x:v>70800</x:v>
      </x:c>
      <x:c r="H907" s="38" t="n">
        <x:v>14250</x:v>
      </x:c>
      <x:c r="I907" s="38" t="n">
        <x:v>19095</x:v>
      </x:c>
      <x:c r="J907" s="38" t="n">
        <x:v>825</x:v>
      </x:c>
      <x:c r="K907" s="38" t="n">
        <x:v>0</x:v>
      </x:c>
      <x:c r="L907" s="38" t="n">
        <x:v>0</x:v>
      </x:c>
      <x:c r="M907" s="38" t="n">
        <x:v>0</x:v>
      </x:c>
      <x:c r="N907" s="38" t="n">
        <x:v>0</x:v>
      </x:c>
      <x:c r="O907" s="38" t="n">
        <x:v>0</x:v>
      </x:c>
      <x:c r="P907" s="38" t="n">
        <x:f>F907+G907-H907+I907+J907+K907+L907-M907-N907-O907</x:f>
        <x:v>2011917</x:v>
      </x:c>
      <x:c r="Q907" s="38" t="n">
        <x:v>2011917</x:v>
      </x:c>
      <x:c r="R907" s="38" t="n">
        <x:f>P907-Q907</x:f>
        <x:v>0</x:v>
      </x:c>
      <x:c r="S907" s="38" t="n">
        <x:v>56625</x:v>
      </x:c>
      <x:c r="T907" s="38" t="n">
        <x:v>13798</x:v>
      </x:c>
      <x:c r="U907" s="38" t="n">
        <x:v>96</x:v>
      </x:c>
      <x:c r="V907" s="38" t="n">
        <x:v>2</x:v>
      </x:c>
      <x:c r="W907" s="38" t="n">
        <x:v>0</x:v>
      </x:c>
      <x:c r="X907" s="44" t="n">
        <x:v>29.97</x:v>
      </x:c>
      <x:c r="Y907" s="38" t="n">
        <x:v>150</x:v>
      </x:c>
      <x:c r="Z907" s="38" t="n">
        <x:v>33</x:v>
      </x:c>
      <x:c r="AA907" s="38" t="n">
        <x:v>21</x:v>
      </x:c>
      <x:c r="AB907" s="38" t="n">
        <x:v>6</x:v>
      </x:c>
      <x:c r="AC907" s="38" t="n">
        <x:v>7125</x:v>
      </x:c>
      <x:c r="AD907" s="38" t="n">
        <x:v>0</x:v>
      </x:c>
      <x:c r="AE907" s="38" t="n">
        <x:f>IF(B907=1,0,F907-Q906)</x:f>
        <x:v>0</x:v>
      </x:c>
    </x:row>
    <x:row r="908" ht="27" customHeight="1">
      <x:c r="A908" s="28" t="str">
        <x:v>Paid capacity ceiling</x:v>
      </x:c>
      <x:c r="B908" s="38" t="n">
        <x:v>64</x:v>
      </x:c>
      <x:c r="C908" s="38" t="n">
        <x:v>33</x:v>
      </x:c>
      <x:c r="D908" s="38" t="n">
        <x:v>418867</x:v>
      </x:c>
      <x:c r="E908" s="38" t="n">
        <x:v>75</x:v>
      </x:c>
      <x:c r="F908" s="38" t="n">
        <x:v>2011917</x:v>
      </x:c>
      <x:c r="G908" s="38" t="n">
        <x:v>71400</x:v>
      </x:c>
      <x:c r="H908" s="38" t="n">
        <x:v>14250</x:v>
      </x:c>
      <x:c r="I908" s="38" t="n">
        <x:v>3294</x:v>
      </x:c>
      <x:c r="J908" s="38" t="n">
        <x:v>0</x:v>
      </x:c>
      <x:c r="K908" s="38" t="n">
        <x:v>0</x:v>
      </x:c>
      <x:c r="L908" s="38" t="n">
        <x:v>0</x:v>
      </x:c>
      <x:c r="M908" s="38" t="n">
        <x:v>0</x:v>
      </x:c>
      <x:c r="N908" s="38" t="n">
        <x:v>2710</x:v>
      </x:c>
      <x:c r="O908" s="38" t="n">
        <x:v>0</x:v>
      </x:c>
      <x:c r="P908" s="38" t="n">
        <x:f>F908+G908-H908+I908+J908+K908+L908-M908-N908-O908</x:f>
        <x:v>2069651</x:v>
      </x:c>
      <x:c r="Q908" s="38" t="n">
        <x:v>2069651</x:v>
      </x:c>
      <x:c r="R908" s="38" t="n">
        <x:f>P908-Q908</x:f>
        <x:v>0</x:v>
      </x:c>
      <x:c r="S908" s="38" t="n">
        <x:v>57150</x:v>
      </x:c>
      <x:c r="T908" s="38" t="n">
        <x:v>9200</x:v>
      </x:c>
      <x:c r="U908" s="38" t="n">
        <x:v>96</x:v>
      </x:c>
      <x:c r="V908" s="38" t="n">
        <x:v>0</x:v>
      </x:c>
      <x:c r="W908" s="38" t="n">
        <x:v>0</x:v>
      </x:c>
      <x:c r="X908" s="44" t="n">
        <x:v>29.97</x:v>
      </x:c>
      <x:c r="Y908" s="38" t="n">
        <x:v>150</x:v>
      </x:c>
      <x:c r="Z908" s="38" t="n">
        <x:v>33</x:v>
      </x:c>
      <x:c r="AA908" s="38" t="n">
        <x:v>22</x:v>
      </x:c>
      <x:c r="AB908" s="38" t="n">
        <x:v>6</x:v>
      </x:c>
      <x:c r="AC908" s="38" t="n">
        <x:v>7125</x:v>
      </x:c>
      <x:c r="AD908" s="38" t="n">
        <x:v>0</x:v>
      </x:c>
      <x:c r="AE908" s="38" t="n">
        <x:f>IF(B908=1,0,F908-Q907)</x:f>
        <x:v>0</x:v>
      </x:c>
    </x:row>
    <x:row r="909" ht="27" customHeight="1">
      <x:c r="A909" s="28" t="str">
        <x:v>Paid capacity ceiling</x:v>
      </x:c>
      <x:c r="B909" s="38" t="n">
        <x:v>65</x:v>
      </x:c>
      <x:c r="C909" s="38" t="n">
        <x:v>33</x:v>
      </x:c>
      <x:c r="D909" s="38" t="n">
        <x:v>428067</x:v>
      </x:c>
      <x:c r="E909" s="38" t="n">
        <x:v>75</x:v>
      </x:c>
      <x:c r="F909" s="38" t="n">
        <x:v>2069651</x:v>
      </x:c>
      <x:c r="G909" s="38" t="n">
        <x:v>71400</x:v>
      </x:c>
      <x:c r="H909" s="38" t="n">
        <x:v>14250</x:v>
      </x:c>
      <x:c r="I909" s="38" t="n">
        <x:v>3294</x:v>
      </x:c>
      <x:c r="J909" s="38" t="n">
        <x:v>0</x:v>
      </x:c>
      <x:c r="K909" s="38" t="n">
        <x:v>0</x:v>
      </x:c>
      <x:c r="L909" s="38" t="n">
        <x:v>0</x:v>
      </x:c>
      <x:c r="M909" s="38" t="n">
        <x:v>0</x:v>
      </x:c>
      <x:c r="N909" s="38" t="n">
        <x:v>0</x:v>
      </x:c>
      <x:c r="O909" s="38" t="n">
        <x:v>0</x:v>
      </x:c>
      <x:c r="P909" s="38" t="n">
        <x:f>F909+G909-H909+I909+J909+K909+L909-M909-N909-O909</x:f>
        <x:v>2130095</x:v>
      </x:c>
      <x:c r="Q909" s="38" t="n">
        <x:v>2130095</x:v>
      </x:c>
      <x:c r="R909" s="38" t="n">
        <x:f>P909-Q909</x:f>
        <x:v>0</x:v>
      </x:c>
      <x:c r="S909" s="38" t="n">
        <x:v>57150</x:v>
      </x:c>
      <x:c r="T909" s="38" t="n">
        <x:v>9200</x:v>
      </x:c>
      <x:c r="U909" s="38" t="n">
        <x:v>96</x:v>
      </x:c>
      <x:c r="V909" s="38" t="n">
        <x:v>0</x:v>
      </x:c>
      <x:c r="W909" s="38" t="n">
        <x:v>0</x:v>
      </x:c>
      <x:c r="X909" s="44" t="n">
        <x:v>29.97</x:v>
      </x:c>
      <x:c r="Y909" s="38" t="n">
        <x:v>150</x:v>
      </x:c>
      <x:c r="Z909" s="38" t="n">
        <x:v>33</x:v>
      </x:c>
      <x:c r="AA909" s="38" t="n">
        <x:v>22</x:v>
      </x:c>
      <x:c r="AB909" s="38" t="n">
        <x:v>6</x:v>
      </x:c>
      <x:c r="AC909" s="38" t="n">
        <x:v>7125</x:v>
      </x:c>
      <x:c r="AD909" s="38" t="n">
        <x:v>0</x:v>
      </x:c>
      <x:c r="AE909" s="38" t="n">
        <x:f>IF(B909=1,0,F909-Q908)</x:f>
        <x:v>0</x:v>
      </x:c>
    </x:row>
    <x:row r="910" ht="27" customHeight="1">
      <x:c r="A910" s="28" t="str">
        <x:v>Paid capacity ceiling</x:v>
      </x:c>
      <x:c r="B910" s="38" t="n">
        <x:v>66</x:v>
      </x:c>
      <x:c r="C910" s="38" t="n">
        <x:v>33</x:v>
      </x:c>
      <x:c r="D910" s="38" t="n">
        <x:v>437267</x:v>
      </x:c>
      <x:c r="E910" s="38" t="n">
        <x:v>75</x:v>
      </x:c>
      <x:c r="F910" s="38" t="n">
        <x:v>2130095</x:v>
      </x:c>
      <x:c r="G910" s="38" t="n">
        <x:v>71400</x:v>
      </x:c>
      <x:c r="H910" s="38" t="n">
        <x:v>14250</x:v>
      </x:c>
      <x:c r="I910" s="38" t="n">
        <x:v>3294</x:v>
      </x:c>
      <x:c r="J910" s="38" t="n">
        <x:v>0</x:v>
      </x:c>
      <x:c r="K910" s="38" t="n">
        <x:v>0</x:v>
      </x:c>
      <x:c r="L910" s="38" t="n">
        <x:v>0</x:v>
      </x:c>
      <x:c r="M910" s="38" t="n">
        <x:v>0</x:v>
      </x:c>
      <x:c r="N910" s="38" t="n">
        <x:v>0</x:v>
      </x:c>
      <x:c r="O910" s="38" t="n">
        <x:v>0</x:v>
      </x:c>
      <x:c r="P910" s="38" t="n">
        <x:f>F910+G910-H910+I910+J910+K910+L910-M910-N910-O910</x:f>
        <x:v>2190539</x:v>
      </x:c>
      <x:c r="Q910" s="38" t="n">
        <x:v>2190539</x:v>
      </x:c>
      <x:c r="R910" s="38" t="n">
        <x:f>P910-Q910</x:f>
        <x:v>0</x:v>
      </x:c>
      <x:c r="S910" s="38" t="n">
        <x:v>57150</x:v>
      </x:c>
      <x:c r="T910" s="38" t="n">
        <x:v>9200</x:v>
      </x:c>
      <x:c r="U910" s="38" t="n">
        <x:v>96</x:v>
      </x:c>
      <x:c r="V910" s="38" t="n">
        <x:v>0</x:v>
      </x:c>
      <x:c r="W910" s="38" t="n">
        <x:v>0</x:v>
      </x:c>
      <x:c r="X910" s="44" t="n">
        <x:v>29.97</x:v>
      </x:c>
      <x:c r="Y910" s="38" t="n">
        <x:v>150</x:v>
      </x:c>
      <x:c r="Z910" s="38" t="n">
        <x:v>33</x:v>
      </x:c>
      <x:c r="AA910" s="38" t="n">
        <x:v>22</x:v>
      </x:c>
      <x:c r="AB910" s="38" t="n">
        <x:v>6</x:v>
      </x:c>
      <x:c r="AC910" s="38" t="n">
        <x:v>7125</x:v>
      </x:c>
      <x:c r="AD910" s="38" t="n">
        <x:v>0</x:v>
      </x:c>
      <x:c r="AE910" s="38" t="n">
        <x:f>IF(B910=1,0,F910-Q909)</x:f>
        <x:v>0</x:v>
      </x:c>
    </x:row>
    <x:row r="911" ht="27" customHeight="1">
      <x:c r="A911" s="28" t="str">
        <x:v>Paid capacity ceiling</x:v>
      </x:c>
      <x:c r="B911" s="38" t="n">
        <x:v>67</x:v>
      </x:c>
      <x:c r="C911" s="38" t="n">
        <x:v>34</x:v>
      </x:c>
      <x:c r="D911" s="38" t="n">
        <x:v>447017</x:v>
      </x:c>
      <x:c r="E911" s="38" t="n">
        <x:v>85</x:v>
      </x:c>
      <x:c r="F911" s="38" t="n">
        <x:v>2190539</x:v>
      </x:c>
      <x:c r="G911" s="38" t="n">
        <x:v>76925</x:v>
      </x:c>
      <x:c r="H911" s="38" t="n">
        <x:v>16490</x:v>
      </x:c>
      <x:c r="I911" s="38" t="n">
        <x:v>3294</x:v>
      </x:c>
      <x:c r="J911" s="38" t="n">
        <x:v>950</x:v>
      </x:c>
      <x:c r="K911" s="38" t="n">
        <x:v>0</x:v>
      </x:c>
      <x:c r="L911" s="38" t="n">
        <x:v>0</x:v>
      </x:c>
      <x:c r="M911" s="38" t="n">
        <x:v>0</x:v>
      </x:c>
      <x:c r="N911" s="38" t="n">
        <x:v>1490</x:v>
      </x:c>
      <x:c r="O911" s="38" t="n">
        <x:v>190100</x:v>
      </x:c>
      <x:c r="P911" s="38" t="n">
        <x:f>F911+G911-H911+I911+J911+K911+L911-M911-N911-O911</x:f>
        <x:v>2063628</x:v>
      </x:c>
      <x:c r="Q911" s="38" t="n">
        <x:v>2063628</x:v>
      </x:c>
      <x:c r="R911" s="38" t="n">
        <x:f>P911-Q911</x:f>
        <x:v>0</x:v>
      </x:c>
      <x:c r="S911" s="38" t="n">
        <x:v>61555</x:v>
      </x:c>
      <x:c r="T911" s="38" t="n">
        <x:v>9750</x:v>
      </x:c>
      <x:c r="U911" s="38" t="n">
        <x:v>22</x:v>
      </x:c>
      <x:c r="V911" s="38" t="n">
        <x:v>1</x:v>
      </x:c>
      <x:c r="W911" s="38" t="n">
        <x:v>75</x:v>
      </x:c>
      <x:c r="X911" s="44" t="n">
        <x:v>29.97</x:v>
      </x:c>
      <x:c r="Y911" s="38" t="n">
        <x:v>160</x:v>
      </x:c>
      <x:c r="Z911" s="38" t="n">
        <x:v>34</x:v>
      </x:c>
      <x:c r="AA911" s="38" t="n">
        <x:v>23</x:v>
      </x:c>
      <x:c r="AB911" s="38" t="n">
        <x:v>7</x:v>
      </x:c>
      <x:c r="AC911" s="38" t="n">
        <x:v>8245</x:v>
      </x:c>
      <x:c r="AD911" s="38" t="n">
        <x:v>0</x:v>
      </x:c>
      <x:c r="AE911" s="38" t="n">
        <x:f>IF(B911=1,0,F911-Q910)</x:f>
        <x:v>0</x:v>
      </x:c>
    </x:row>
    <x:row r="912" ht="27" customHeight="1">
      <x:c r="A912" s="28" t="str">
        <x:v>Paid capacity ceiling</x:v>
      </x:c>
      <x:c r="B912" s="38" t="n">
        <x:v>68</x:v>
      </x:c>
      <x:c r="C912" s="38" t="n">
        <x:v>34</x:v>
      </x:c>
      <x:c r="D912" s="38" t="n">
        <x:v>457452</x:v>
      </x:c>
      <x:c r="E912" s="38" t="n">
        <x:v>85</x:v>
      </x:c>
      <x:c r="F912" s="38" t="n">
        <x:v>2063628</x:v>
      </x:c>
      <x:c r="G912" s="38" t="n">
        <x:v>82450</x:v>
      </x:c>
      <x:c r="H912" s="38" t="n">
        <x:v>16490</x:v>
      </x:c>
      <x:c r="I912" s="38" t="n">
        <x:v>3802</x:v>
      </x:c>
      <x:c r="J912" s="38" t="n">
        <x:v>0</x:v>
      </x:c>
      <x:c r="K912" s="38" t="n">
        <x:v>0</x:v>
      </x:c>
      <x:c r="L912" s="38" t="n">
        <x:v>0</x:v>
      </x:c>
      <x:c r="M912" s="38" t="n">
        <x:v>0</x:v>
      </x:c>
      <x:c r="N912" s="38" t="n">
        <x:v>0</x:v>
      </x:c>
      <x:c r="O912" s="38" t="n">
        <x:v>0</x:v>
      </x:c>
      <x:c r="P912" s="38" t="n">
        <x:f>F912+G912-H912+I912+J912+K912+L912-M912-N912-O912</x:f>
        <x:v>2133390</x:v>
      </x:c>
      <x:c r="Q912" s="38" t="n">
        <x:v>2133390</x:v>
      </x:c>
      <x:c r="R912" s="38" t="n">
        <x:f>P912-Q912</x:f>
        <x:v>0</x:v>
      </x:c>
      <x:c r="S912" s="38" t="n">
        <x:v>65960</x:v>
      </x:c>
      <x:c r="T912" s="38" t="n">
        <x:v>10435</x:v>
      </x:c>
      <x:c r="U912" s="38" t="n">
        <x:v>22</x:v>
      </x:c>
      <x:c r="V912" s="38" t="n">
        <x:v>0</x:v>
      </x:c>
      <x:c r="W912" s="38" t="n">
        <x:v>0</x:v>
      </x:c>
      <x:c r="X912" s="44" t="n">
        <x:v>29.97</x:v>
      </x:c>
      <x:c r="Y912" s="38" t="n">
        <x:v>170</x:v>
      </x:c>
      <x:c r="Z912" s="38" t="n">
        <x:v>34</x:v>
      </x:c>
      <x:c r="AA912" s="38" t="n">
        <x:v>23</x:v>
      </x:c>
      <x:c r="AB912" s="38" t="n">
        <x:v>7</x:v>
      </x:c>
      <x:c r="AC912" s="38" t="n">
        <x:v>8245</x:v>
      </x:c>
      <x:c r="AD912" s="38" t="n">
        <x:v>0</x:v>
      </x:c>
      <x:c r="AE912" s="38" t="n">
        <x:f>IF(B912=1,0,F912-Q911)</x:f>
        <x:v>0</x:v>
      </x:c>
    </x:row>
    <x:row r="913" ht="27" customHeight="1">
      <x:c r="A913" s="28" t="str">
        <x:v>Paid capacity ceiling</x:v>
      </x:c>
      <x:c r="B913" s="38" t="n">
        <x:v>69</x:v>
      </x:c>
      <x:c r="C913" s="38" t="n">
        <x:v>34</x:v>
      </x:c>
      <x:c r="D913" s="38" t="n">
        <x:v>467887</x:v>
      </x:c>
      <x:c r="E913" s="38" t="n">
        <x:v>85</x:v>
      </x:c>
      <x:c r="F913" s="38" t="n">
        <x:v>2133390</x:v>
      </x:c>
      <x:c r="G913" s="38" t="n">
        <x:v>82450</x:v>
      </x:c>
      <x:c r="H913" s="38" t="n">
        <x:v>16490</x:v>
      </x:c>
      <x:c r="I913" s="38" t="n">
        <x:v>3802</x:v>
      </x:c>
      <x:c r="J913" s="38" t="n">
        <x:v>0</x:v>
      </x:c>
      <x:c r="K913" s="38" t="n">
        <x:v>0</x:v>
      </x:c>
      <x:c r="L913" s="38" t="n">
        <x:v>0</x:v>
      </x:c>
      <x:c r="M913" s="38" t="n">
        <x:v>0</x:v>
      </x:c>
      <x:c r="N913" s="38" t="n">
        <x:v>0</x:v>
      </x:c>
      <x:c r="O913" s="38" t="n">
        <x:v>0</x:v>
      </x:c>
      <x:c r="P913" s="38" t="n">
        <x:f>F913+G913-H913+I913+J913+K913+L913-M913-N913-O913</x:f>
        <x:v>2203152</x:v>
      </x:c>
      <x:c r="Q913" s="38" t="n">
        <x:v>2203152</x:v>
      </x:c>
      <x:c r="R913" s="38" t="n">
        <x:f>P913-Q913</x:f>
        <x:v>0</x:v>
      </x:c>
      <x:c r="S913" s="38" t="n">
        <x:v>65960</x:v>
      </x:c>
      <x:c r="T913" s="38" t="n">
        <x:v>10435</x:v>
      </x:c>
      <x:c r="U913" s="38" t="n">
        <x:v>22</x:v>
      </x:c>
      <x:c r="V913" s="38" t="n">
        <x:v>0</x:v>
      </x:c>
      <x:c r="W913" s="38" t="n">
        <x:v>0</x:v>
      </x:c>
      <x:c r="X913" s="44" t="n">
        <x:v>29.97</x:v>
      </x:c>
      <x:c r="Y913" s="38" t="n">
        <x:v>170</x:v>
      </x:c>
      <x:c r="Z913" s="38" t="n">
        <x:v>34</x:v>
      </x:c>
      <x:c r="AA913" s="38" t="n">
        <x:v>23</x:v>
      </x:c>
      <x:c r="AB913" s="38" t="n">
        <x:v>7</x:v>
      </x:c>
      <x:c r="AC913" s="38" t="n">
        <x:v>8245</x:v>
      </x:c>
      <x:c r="AD913" s="38" t="n">
        <x:v>0</x:v>
      </x:c>
      <x:c r="AE913" s="38" t="n">
        <x:f>IF(B913=1,0,F913-Q912)</x:f>
        <x:v>0</x:v>
      </x:c>
    </x:row>
    <x:row r="914" ht="27" customHeight="1">
      <x:c r="A914" s="28" t="str">
        <x:v>Paid capacity ceiling</x:v>
      </x:c>
      <x:c r="B914" s="38" t="n">
        <x:v>70</x:v>
      </x:c>
      <x:c r="C914" s="38" t="n">
        <x:v>35</x:v>
      </x:c>
      <x:c r="D914" s="38" t="n">
        <x:v>483074</x:v>
      </x:c>
      <x:c r="E914" s="38" t="n">
        <x:v>85</x:v>
      </x:c>
      <x:c r="F914" s="38" t="n">
        <x:v>2203152</x:v>
      </x:c>
      <x:c r="G914" s="38" t="n">
        <x:v>82450</x:v>
      </x:c>
      <x:c r="H914" s="38" t="n">
        <x:v>16945</x:v>
      </x:c>
      <x:c r="I914" s="38" t="n">
        <x:v>20272</x:v>
      </x:c>
      <x:c r="J914" s="38" t="n">
        <x:v>970</x:v>
      </x:c>
      <x:c r="K914" s="38" t="n">
        <x:v>0</x:v>
      </x:c>
      <x:c r="L914" s="38" t="n">
        <x:v>0</x:v>
      </x:c>
      <x:c r="M914" s="38" t="n">
        <x:v>0</x:v>
      </x:c>
      <x:c r="N914" s="38" t="n">
        <x:v>2870</x:v>
      </x:c>
      <x:c r="O914" s="38" t="n">
        <x:v>0</x:v>
      </x:c>
      <x:c r="P914" s="38" t="n">
        <x:f>F914+G914-H914+I914+J914+K914+L914-M914-N914-O914</x:f>
        <x:v>2287029</x:v>
      </x:c>
      <x:c r="Q914" s="38" t="n">
        <x:v>2287029</x:v>
      </x:c>
      <x:c r="R914" s="38" t="n">
        <x:f>P914-Q914</x:f>
        <x:v>0</x:v>
      </x:c>
      <x:c r="S914" s="38" t="n">
        <x:v>65960</x:v>
      </x:c>
      <x:c r="T914" s="38" t="n">
        <x:v>15187</x:v>
      </x:c>
      <x:c r="U914" s="38" t="n">
        <x:v>27</x:v>
      </x:c>
      <x:c r="V914" s="38" t="n">
        <x:v>5</x:v>
      </x:c>
      <x:c r="W914" s="38" t="n">
        <x:v>0</x:v>
      </x:c>
      <x:c r="X914" s="44" t="n">
        <x:v>29.97</x:v>
      </x:c>
      <x:c r="Y914" s="38" t="n">
        <x:v>170</x:v>
      </x:c>
      <x:c r="Z914" s="38" t="n">
        <x:v>34</x:v>
      </x:c>
      <x:c r="AA914" s="38" t="n">
        <x:v>24</x:v>
      </x:c>
      <x:c r="AB914" s="38" t="n">
        <x:v>7</x:v>
      </x:c>
      <x:c r="AC914" s="38" t="n">
        <x:v>8700</x:v>
      </x:c>
      <x:c r="AD914" s="38" t="n">
        <x:v>0</x:v>
      </x:c>
      <x:c r="AE914" s="38" t="n">
        <x:f>IF(B914=1,0,F914-Q913)</x:f>
        <x:v>0</x:v>
      </x:c>
    </x:row>
    <x:row r="915" ht="27" customHeight="1">
      <x:c r="A915" s="28" t="str">
        <x:v>Paid capacity ceiling</x:v>
      </x:c>
      <x:c r="B915" s="38" t="n">
        <x:v>71</x:v>
      </x:c>
      <x:c r="C915" s="38" t="n">
        <x:v>35</x:v>
      </x:c>
      <x:c r="D915" s="38" t="n">
        <x:v>493575</x:v>
      </x:c>
      <x:c r="E915" s="38" t="n">
        <x:v>85</x:v>
      </x:c>
      <x:c r="F915" s="38" t="n">
        <x:v>2287029</x:v>
      </x:c>
      <x:c r="G915" s="38" t="n">
        <x:v>82992</x:v>
      </x:c>
      <x:c r="H915" s="38" t="n">
        <x:v>16632</x:v>
      </x:c>
      <x:c r="I915" s="38" t="n">
        <x:v>3871</x:v>
      </x:c>
      <x:c r="J915" s="38" t="n">
        <x:v>0</x:v>
      </x:c>
      <x:c r="K915" s="38" t="n">
        <x:v>0</x:v>
      </x:c>
      <x:c r="L915" s="38" t="n">
        <x:v>0</x:v>
      </x:c>
      <x:c r="M915" s="38" t="n">
        <x:v>0</x:v>
      </x:c>
      <x:c r="N915" s="38" t="n">
        <x:v>0</x:v>
      </x:c>
      <x:c r="O915" s="38" t="n">
        <x:v>0</x:v>
      </x:c>
      <x:c r="P915" s="38" t="n">
        <x:f>F915+G915-H915+I915+J915+K915+L915-M915-N915-O915</x:f>
        <x:v>2357260</x:v>
      </x:c>
      <x:c r="Q915" s="38" t="n">
        <x:v>2357260</x:v>
      </x:c>
      <x:c r="R915" s="38" t="n">
        <x:f>P915-Q915</x:f>
        <x:v>0</x:v>
      </x:c>
      <x:c r="S915" s="38" t="n">
        <x:v>66360</x:v>
      </x:c>
      <x:c r="T915" s="38" t="n">
        <x:v>10501</x:v>
      </x:c>
      <x:c r="U915" s="38" t="n">
        <x:v>27</x:v>
      </x:c>
      <x:c r="V915" s="38" t="n">
        <x:v>0</x:v>
      </x:c>
      <x:c r="W915" s="38" t="n">
        <x:v>0</x:v>
      </x:c>
      <x:c r="X915" s="44" t="n">
        <x:v>29.97</x:v>
      </x:c>
      <x:c r="Y915" s="38" t="n">
        <x:v>168</x:v>
      </x:c>
      <x:c r="Z915" s="38" t="n">
        <x:v>34</x:v>
      </x:c>
      <x:c r="AA915" s="38" t="n">
        <x:v>24</x:v>
      </x:c>
      <x:c r="AB915" s="38" t="n">
        <x:v>7</x:v>
      </x:c>
      <x:c r="AC915" s="38" t="n">
        <x:v>8700</x:v>
      </x:c>
      <x:c r="AD915" s="38" t="n">
        <x:v>0</x:v>
      </x:c>
      <x:c r="AE915" s="38" t="n">
        <x:f>IF(B915=1,0,F915-Q914)</x:f>
        <x:v>0</x:v>
      </x:c>
    </x:row>
    <x:row r="916" ht="27" customHeight="1">
      <x:c r="A916" s="28" t="str">
        <x:v>Paid capacity ceiling</x:v>
      </x:c>
      <x:c r="B916" s="38" t="n">
        <x:v>72</x:v>
      </x:c>
      <x:c r="C916" s="38" t="n">
        <x:v>35</x:v>
      </x:c>
      <x:c r="D916" s="38" t="n">
        <x:v>504293</x:v>
      </x:c>
      <x:c r="E916" s="38" t="n">
        <x:v>85</x:v>
      </x:c>
      <x:c r="F916" s="38" t="n">
        <x:v>2357260</x:v>
      </x:c>
      <x:c r="G916" s="38" t="n">
        <x:v>84912</x:v>
      </x:c>
      <x:c r="H916" s="38" t="n">
        <x:v>16731</x:v>
      </x:c>
      <x:c r="I916" s="38" t="n">
        <x:v>3871</x:v>
      </x:c>
      <x:c r="J916" s="38" t="n">
        <x:v>0</x:v>
      </x:c>
      <x:c r="K916" s="38" t="n">
        <x:v>0</x:v>
      </x:c>
      <x:c r="L916" s="38" t="n">
        <x:v>0</x:v>
      </x:c>
      <x:c r="M916" s="38" t="n">
        <x:v>0</x:v>
      </x:c>
      <x:c r="N916" s="38" t="n">
        <x:v>0</x:v>
      </x:c>
      <x:c r="O916" s="38" t="n">
        <x:v>0</x:v>
      </x:c>
      <x:c r="P916" s="38" t="n">
        <x:f>F916+G916-H916+I916+J916+K916+L916-M916-N916-O916</x:f>
        <x:v>2429312</x:v>
      </x:c>
      <x:c r="Q916" s="38" t="n">
        <x:v>2429312</x:v>
      </x:c>
      <x:c r="R916" s="38" t="n">
        <x:f>P916-Q916</x:f>
        <x:v>0</x:v>
      </x:c>
      <x:c r="S916" s="38" t="n">
        <x:v>67896</x:v>
      </x:c>
      <x:c r="T916" s="38" t="n">
        <x:v>10718</x:v>
      </x:c>
      <x:c r="U916" s="38" t="n">
        <x:v>29</x:v>
      </x:c>
      <x:c r="V916" s="38" t="n">
        <x:v>2</x:v>
      </x:c>
      <x:c r="W916" s="38" t="n">
        <x:v>0</x:v>
      </x:c>
      <x:c r="X916" s="44" t="n">
        <x:v>29.97</x:v>
      </x:c>
      <x:c r="Y916" s="38" t="n">
        <x:v>169</x:v>
      </x:c>
      <x:c r="Z916" s="38" t="n">
        <x:v>35</x:v>
      </x:c>
      <x:c r="AA916" s="38" t="n">
        <x:v>24</x:v>
      </x:c>
      <x:c r="AB916" s="38" t="n">
        <x:v>7</x:v>
      </x:c>
      <x:c r="AC916" s="38" t="n">
        <x:v>8415</x:v>
      </x:c>
      <x:c r="AD916" s="38" t="n">
        <x:v>0</x:v>
      </x:c>
      <x:c r="AE916" s="38" t="n">
        <x:f>IF(B916=1,0,F916-Q915)</x:f>
        <x:v>0</x:v>
      </x:c>
    </x:row>
    <x:row r="917" ht="27" customHeight="1">
      <x:c r="A917" s="28" t="str">
        <x:v>Paid capacity ceiling</x:v>
      </x:c>
      <x:c r="B917" s="38" t="n">
        <x:v>73</x:v>
      </x:c>
      <x:c r="C917" s="38" t="n">
        <x:v>35</x:v>
      </x:c>
      <x:c r="D917" s="38" t="n">
        <x:v>514906</x:v>
      </x:c>
      <x:c r="E917" s="38" t="n">
        <x:v>85</x:v>
      </x:c>
      <x:c r="F917" s="38" t="n">
        <x:v>2429312</x:v>
      </x:c>
      <x:c r="G917" s="38" t="n">
        <x:v>83980</x:v>
      </x:c>
      <x:c r="H917" s="38" t="n">
        <x:v>16830</x:v>
      </x:c>
      <x:c r="I917" s="38" t="n">
        <x:v>3871</x:v>
      </x:c>
      <x:c r="J917" s="38" t="n">
        <x:v>0</x:v>
      </x:c>
      <x:c r="K917" s="38" t="n">
        <x:v>0</x:v>
      </x:c>
      <x:c r="L917" s="38" t="n">
        <x:v>0</x:v>
      </x:c>
      <x:c r="M917" s="38" t="n">
        <x:v>0</x:v>
      </x:c>
      <x:c r="N917" s="38" t="n">
        <x:v>1575</x:v>
      </x:c>
      <x:c r="O917" s="38" t="n">
        <x:v>0</x:v>
      </x:c>
      <x:c r="P917" s="38" t="n">
        <x:f>F917+G917-H917+I917+J917+K917+L917-M917-N917-O917</x:f>
        <x:v>2498758</x:v>
      </x:c>
      <x:c r="Q917" s="38" t="n">
        <x:v>2498758</x:v>
      </x:c>
      <x:c r="R917" s="38" t="n">
        <x:f>P917-Q917</x:f>
        <x:v>0</x:v>
      </x:c>
      <x:c r="S917" s="38" t="n">
        <x:v>67150</x:v>
      </x:c>
      <x:c r="T917" s="38" t="n">
        <x:v>10613</x:v>
      </x:c>
      <x:c r="U917" s="38" t="n">
        <x:v>29</x:v>
      </x:c>
      <x:c r="V917" s="38" t="n">
        <x:v>0</x:v>
      </x:c>
      <x:c r="W917" s="38" t="n">
        <x:v>0</x:v>
      </x:c>
      <x:c r="X917" s="44" t="n">
        <x:v>29.97</x:v>
      </x:c>
      <x:c r="Y917" s="38" t="n">
        <x:v>170</x:v>
      </x:c>
      <x:c r="Z917" s="38" t="n">
        <x:v>35</x:v>
      </x:c>
      <x:c r="AA917" s="38" t="n">
        <x:v>25</x:v>
      </x:c>
      <x:c r="AB917" s="38" t="n">
        <x:v>7</x:v>
      </x:c>
      <x:c r="AC917" s="38" t="n">
        <x:v>8415</x:v>
      </x:c>
      <x:c r="AD917" s="38" t="n">
        <x:v>0</x:v>
      </x:c>
      <x:c r="AE917" s="38" t="n">
        <x:f>IF(B917=1,0,F917-Q916)</x:f>
        <x:v>0</x:v>
      </x:c>
    </x:row>
    <x:row r="918" ht="27" customHeight="1">
      <x:c r="A918" s="28" t="str">
        <x:v>Paid capacity ceiling</x:v>
      </x:c>
      <x:c r="B918" s="38" t="n">
        <x:v>74</x:v>
      </x:c>
      <x:c r="C918" s="38" t="n">
        <x:v>36</x:v>
      </x:c>
      <x:c r="D918" s="38" t="n">
        <x:v>525519</x:v>
      </x:c>
      <x:c r="E918" s="38" t="n">
        <x:v>90</x:v>
      </x:c>
      <x:c r="F918" s="38" t="n">
        <x:v>2498758</x:v>
      </x:c>
      <x:c r="G918" s="38" t="n">
        <x:v>83980</x:v>
      </x:c>
      <x:c r="H918" s="38" t="n">
        <x:v>18487</x:v>
      </x:c>
      <x:c r="I918" s="38" t="n">
        <x:v>3871</x:v>
      </x:c>
      <x:c r="J918" s="38" t="n">
        <x:v>1045</x:v>
      </x:c>
      <x:c r="K918" s="38" t="n">
        <x:v>0</x:v>
      </x:c>
      <x:c r="L918" s="38" t="n">
        <x:v>0</x:v>
      </x:c>
      <x:c r="M918" s="38" t="n">
        <x:v>0</x:v>
      </x:c>
      <x:c r="N918" s="38" t="n">
        <x:v>0</x:v>
      </x:c>
      <x:c r="O918" s="38" t="n">
        <x:v>0</x:v>
      </x:c>
      <x:c r="P918" s="38" t="n">
        <x:f>F918+G918-H918+I918+J918+K918+L918-M918-N918-O918</x:f>
        <x:v>2569167</x:v>
      </x:c>
      <x:c r="Q918" s="38" t="n">
        <x:v>2569167</x:v>
      </x:c>
      <x:c r="R918" s="38" t="n">
        <x:f>P918-Q918</x:f>
        <x:v>0</x:v>
      </x:c>
      <x:c r="S918" s="38" t="n">
        <x:v>67150</x:v>
      </x:c>
      <x:c r="T918" s="38" t="n">
        <x:v>10613</x:v>
      </x:c>
      <x:c r="U918" s="38" t="n">
        <x:v>85</x:v>
      </x:c>
      <x:c r="V918" s="38" t="n">
        <x:v>121</x:v>
      </x:c>
      <x:c r="W918" s="38" t="n">
        <x:v>65</x:v>
      </x:c>
      <x:c r="X918" s="44" t="n">
        <x:v>39.96</x:v>
      </x:c>
      <x:c r="Y918" s="38" t="n">
        <x:v>170</x:v>
      </x:c>
      <x:c r="Z918" s="38" t="n">
        <x:v>35</x:v>
      </x:c>
      <x:c r="AA918" s="38" t="n">
        <x:v>25</x:v>
      </x:c>
      <x:c r="AB918" s="38" t="n">
        <x:v>7</x:v>
      </x:c>
      <x:c r="AC918" s="38" t="n">
        <x:v>10072</x:v>
      </x:c>
      <x:c r="AD918" s="38" t="n">
        <x:v>0</x:v>
      </x:c>
      <x:c r="AE918" s="38" t="n">
        <x:f>IF(B918=1,0,F918-Q917)</x:f>
        <x:v>0</x:v>
      </x:c>
    </x:row>
    <x:row r="919" ht="27" customHeight="1">
      <x:c r="A919" s="28" t="str">
        <x:v>Paid capacity ceiling</x:v>
      </x:c>
      <x:c r="B919" s="38" t="n">
        <x:v>75</x:v>
      </x:c>
      <x:c r="C919" s="38" t="n">
        <x:v>36</x:v>
      </x:c>
      <x:c r="D919" s="38" t="n">
        <x:v>535871</x:v>
      </x:c>
      <x:c r="E919" s="38" t="n">
        <x:v>90</x:v>
      </x:c>
      <x:c r="F919" s="38" t="n">
        <x:v>2569167</x:v>
      </x:c>
      <x:c r="G919" s="38" t="n">
        <x:v>99400</x:v>
      </x:c>
      <x:c r="H919" s="38" t="n">
        <x:v>19869</x:v>
      </x:c>
      <x:c r="I919" s="38" t="n">
        <x:v>4172</x:v>
      </x:c>
      <x:c r="J919" s="38" t="n">
        <x:v>0</x:v>
      </x:c>
      <x:c r="K919" s="38" t="n">
        <x:v>0</x:v>
      </x:c>
      <x:c r="L919" s="38" t="n">
        <x:v>0</x:v>
      </x:c>
      <x:c r="M919" s="38" t="n">
        <x:v>0</x:v>
      </x:c>
      <x:c r="N919" s="38" t="n">
        <x:v>0</x:v>
      </x:c>
      <x:c r="O919" s="38" t="n">
        <x:v>0</x:v>
      </x:c>
      <x:c r="P919" s="38" t="n">
        <x:f>F919+G919-H919+I919+J919+K919+L919-M919-N919-O919</x:f>
        <x:v>2652870</x:v>
      </x:c>
      <x:c r="Q919" s="38" t="n">
        <x:v>2652870</x:v>
      </x:c>
      <x:c r="R919" s="38" t="n">
        <x:f>P919-Q919</x:f>
        <x:v>0</x:v>
      </x:c>
      <x:c r="S919" s="38" t="n">
        <x:v>79449</x:v>
      </x:c>
      <x:c r="T919" s="38" t="n">
        <x:v>10352</x:v>
      </x:c>
      <x:c r="U919" s="38" t="n">
        <x:v>85</x:v>
      </x:c>
      <x:c r="V919" s="38" t="n">
        <x:v>0</x:v>
      </x:c>
      <x:c r="W919" s="38" t="n">
        <x:v>0</x:v>
      </x:c>
      <x:c r="X919" s="44" t="n">
        <x:v>39.96</x:v>
      </x:c>
      <x:c r="Y919" s="38" t="n">
        <x:v>179</x:v>
      </x:c>
      <x:c r="Z919" s="38" t="n">
        <x:v>36</x:v>
      </x:c>
      <x:c r="AA919" s="38" t="n">
        <x:v>25</x:v>
      </x:c>
      <x:c r="AB919" s="38" t="n">
        <x:v>7</x:v>
      </x:c>
      <x:c r="AC919" s="38" t="n">
        <x:v>9990</x:v>
      </x:c>
      <x:c r="AD919" s="38" t="n">
        <x:v>0</x:v>
      </x:c>
      <x:c r="AE919" s="38" t="n">
        <x:f>IF(B919=1,0,F919-Q918)</x:f>
        <x:v>0</x:v>
      </x:c>
    </x:row>
    <x:row r="920" ht="27" customHeight="1">
      <x:c r="A920" s="28" t="str">
        <x:v>Paid capacity ceiling</x:v>
      </x:c>
      <x:c r="B920" s="38" t="n">
        <x:v>76</x:v>
      </x:c>
      <x:c r="C920" s="38" t="n">
        <x:v>36</x:v>
      </x:c>
      <x:c r="D920" s="38" t="n">
        <x:v>546217</x:v>
      </x:c>
      <x:c r="E920" s="38" t="n">
        <x:v>90</x:v>
      </x:c>
      <x:c r="F920" s="38" t="n">
        <x:v>2652870</x:v>
      </x:c>
      <x:c r="G920" s="38" t="n">
        <x:v>99540</x:v>
      </x:c>
      <x:c r="H920" s="38" t="n">
        <x:v>19980</x:v>
      </x:c>
      <x:c r="I920" s="38" t="n">
        <x:v>4172</x:v>
      </x:c>
      <x:c r="J920" s="38" t="n">
        <x:v>0</x:v>
      </x:c>
      <x:c r="K920" s="38" t="n">
        <x:v>0</x:v>
      </x:c>
      <x:c r="L920" s="38" t="n">
        <x:v>0</x:v>
      </x:c>
      <x:c r="M920" s="38" t="n">
        <x:v>0</x:v>
      </x:c>
      <x:c r="N920" s="38" t="n">
        <x:v>3900</x:v>
      </x:c>
      <x:c r="O920" s="38" t="n">
        <x:v>0</x:v>
      </x:c>
      <x:c r="P920" s="38" t="n">
        <x:f>F920+G920-H920+I920+J920+K920+L920-M920-N920-O920</x:f>
        <x:v>2732702</x:v>
      </x:c>
      <x:c r="Q920" s="38" t="n">
        <x:v>2732702</x:v>
      </x:c>
      <x:c r="R920" s="38" t="n">
        <x:f>P920-Q920</x:f>
        <x:v>0</x:v>
      </x:c>
      <x:c r="S920" s="38" t="n">
        <x:v>79560</x:v>
      </x:c>
      <x:c r="T920" s="38" t="n">
        <x:v>10346</x:v>
      </x:c>
      <x:c r="U920" s="38" t="n">
        <x:v>85</x:v>
      </x:c>
      <x:c r="V920" s="38" t="n">
        <x:v>0</x:v>
      </x:c>
      <x:c r="W920" s="38" t="n">
        <x:v>0</x:v>
      </x:c>
      <x:c r="X920" s="44" t="n">
        <x:v>39.96</x:v>
      </x:c>
      <x:c r="Y920" s="38" t="n">
        <x:v>180</x:v>
      </x:c>
      <x:c r="Z920" s="38" t="n">
        <x:v>36</x:v>
      </x:c>
      <x:c r="AA920" s="38" t="n">
        <x:v>26</x:v>
      </x:c>
      <x:c r="AB920" s="38" t="n">
        <x:v>7</x:v>
      </x:c>
      <x:c r="AC920" s="38" t="n">
        <x:v>9990</x:v>
      </x:c>
      <x:c r="AD920" s="38" t="n">
        <x:v>0</x:v>
      </x:c>
      <x:c r="AE920" s="38" t="n">
        <x:f>IF(B920=1,0,F920-Q919)</x:f>
        <x:v>0</x:v>
      </x:c>
    </x:row>
    <x:row r="921" ht="27" customHeight="1">
      <x:c r="A921" s="28" t="str">
        <x:v>Paid capacity ceiling</x:v>
      </x:c>
      <x:c r="B921" s="38" t="n">
        <x:v>77</x:v>
      </x:c>
      <x:c r="C921" s="38" t="n">
        <x:v>36</x:v>
      </x:c>
      <x:c r="D921" s="38" t="n">
        <x:v>562030</x:v>
      </x:c>
      <x:c r="E921" s="38" t="n">
        <x:v>90</x:v>
      </x:c>
      <x:c r="F921" s="38" t="n">
        <x:v>2732702</x:v>
      </x:c>
      <x:c r="G921" s="38" t="n">
        <x:v>99540</x:v>
      </x:c>
      <x:c r="H921" s="38" t="n">
        <x:v>19980</x:v>
      </x:c>
      <x:c r="I921" s="38" t="n">
        <x:v>23527</x:v>
      </x:c>
      <x:c r="J921" s="38" t="n">
        <x:v>0</x:v>
      </x:c>
      <x:c r="K921" s="38" t="n">
        <x:v>0</x:v>
      </x:c>
      <x:c r="L921" s="38" t="n">
        <x:v>0</x:v>
      </x:c>
      <x:c r="M921" s="38" t="n">
        <x:v>0</x:v>
      </x:c>
      <x:c r="N921" s="38" t="n">
        <x:v>0</x:v>
      </x:c>
      <x:c r="O921" s="38" t="n">
        <x:v>0</x:v>
      </x:c>
      <x:c r="P921" s="38" t="n">
        <x:f>F921+G921-H921+I921+J921+K921+L921-M921-N921-O921</x:f>
        <x:v>2835789</x:v>
      </x:c>
      <x:c r="Q921" s="38" t="n">
        <x:v>2835789</x:v>
      </x:c>
      <x:c r="R921" s="38" t="n">
        <x:f>P921-Q921</x:f>
        <x:v>0</x:v>
      </x:c>
      <x:c r="S921" s="38" t="n">
        <x:v>79560</x:v>
      </x:c>
      <x:c r="T921" s="38" t="n">
        <x:v>15813</x:v>
      </x:c>
      <x:c r="U921" s="38" t="n">
        <x:v>87</x:v>
      </x:c>
      <x:c r="V921" s="38" t="n">
        <x:v>2</x:v>
      </x:c>
      <x:c r="W921" s="38" t="n">
        <x:v>0</x:v>
      </x:c>
      <x:c r="X921" s="44" t="n">
        <x:v>39.96</x:v>
      </x:c>
      <x:c r="Y921" s="38" t="n">
        <x:v>180</x:v>
      </x:c>
      <x:c r="Z921" s="38" t="n">
        <x:v>36</x:v>
      </x:c>
      <x:c r="AA921" s="38" t="n">
        <x:v>26</x:v>
      </x:c>
      <x:c r="AB921" s="38" t="n">
        <x:v>7</x:v>
      </x:c>
      <x:c r="AC921" s="38" t="n">
        <x:v>9990</x:v>
      </x:c>
      <x:c r="AD921" s="38" t="n">
        <x:v>0</x:v>
      </x:c>
      <x:c r="AE921" s="38" t="n">
        <x:f>IF(B921=1,0,F921-Q920)</x:f>
        <x:v>0</x:v>
      </x:c>
    </x:row>
    <x:row r="922" ht="27" customHeight="1">
      <x:c r="A922" s="28" t="str">
        <x:v>Paid capacity ceiling</x:v>
      </x:c>
      <x:c r="B922" s="38" t="n">
        <x:v>78</x:v>
      </x:c>
      <x:c r="C922" s="38" t="n">
        <x:v>37</x:v>
      </x:c>
      <x:c r="D922" s="38" t="n">
        <x:v>572376</x:v>
      </x:c>
      <x:c r="E922" s="38" t="n">
        <x:v>90</x:v>
      </x:c>
      <x:c r="F922" s="38" t="n">
        <x:v>2835789</x:v>
      </x:c>
      <x:c r="G922" s="38" t="n">
        <x:v>99540</x:v>
      </x:c>
      <x:c r="H922" s="38" t="n">
        <x:v>19466</x:v>
      </x:c>
      <x:c r="I922" s="38" t="n">
        <x:v>4172</x:v>
      </x:c>
      <x:c r="J922" s="38" t="n">
        <x:v>1060</x:v>
      </x:c>
      <x:c r="K922" s="38" t="n">
        <x:v>0</x:v>
      </x:c>
      <x:c r="L922" s="38" t="n">
        <x:v>0</x:v>
      </x:c>
      <x:c r="M922" s="38" t="n">
        <x:v>0</x:v>
      </x:c>
      <x:c r="N922" s="38" t="n">
        <x:v>0</x:v>
      </x:c>
      <x:c r="O922" s="38" t="n">
        <x:v>0</x:v>
      </x:c>
      <x:c r="P922" s="38" t="n">
        <x:f>F922+G922-H922+I922+J922+K922+L922-M922-N922-O922</x:f>
        <x:v>2921095</x:v>
      </x:c>
      <x:c r="Q922" s="38" t="n">
        <x:v>2921095</x:v>
      </x:c>
      <x:c r="R922" s="38" t="n">
        <x:f>P922-Q922</x:f>
        <x:v>0</x:v>
      </x:c>
      <x:c r="S922" s="38" t="n">
        <x:v>79560</x:v>
      </x:c>
      <x:c r="T922" s="38" t="n">
        <x:v>10346</x:v>
      </x:c>
      <x:c r="U922" s="38" t="n">
        <x:v>91</x:v>
      </x:c>
      <x:c r="V922" s="38" t="n">
        <x:v>4</x:v>
      </x:c>
      <x:c r="W922" s="38" t="n">
        <x:v>0</x:v>
      </x:c>
      <x:c r="X922" s="44" t="n">
        <x:v>39.96</x:v>
      </x:c>
      <x:c r="Y922" s="38" t="n">
        <x:v>180</x:v>
      </x:c>
      <x:c r="Z922" s="38" t="n">
        <x:v>36</x:v>
      </x:c>
      <x:c r="AA922" s="38" t="n">
        <x:v>26</x:v>
      </x:c>
      <x:c r="AB922" s="38" t="n">
        <x:v>7</x:v>
      </x:c>
      <x:c r="AC922" s="38" t="n">
        <x:v>9476</x:v>
      </x:c>
      <x:c r="AD922" s="38" t="n">
        <x:v>0</x:v>
      </x:c>
      <x:c r="AE922" s="38" t="n">
        <x:f>IF(B922=1,0,F922-Q921)</x:f>
        <x:v>0</x:v>
      </x:c>
    </x:row>
    <x:row r="923" ht="27" customHeight="1">
      <x:c r="A923" s="28" t="str">
        <x:v>Paid capacity ceiling</x:v>
      </x:c>
      <x:c r="B923" s="38" t="n">
        <x:v>79</x:v>
      </x:c>
      <x:c r="C923" s="38" t="n">
        <x:v>37</x:v>
      </x:c>
      <x:c r="D923" s="38" t="n">
        <x:v>583697</x:v>
      </x:c>
      <x:c r="E923" s="38" t="n">
        <x:v>90</x:v>
      </x:c>
      <x:c r="F923" s="38" t="n">
        <x:v>2921095</x:v>
      </x:c>
      <x:c r="G923" s="38" t="n">
        <x:v>90958</x:v>
      </x:c>
      <x:c r="H923" s="38" t="n">
        <x:v>18156</x:v>
      </x:c>
      <x:c r="I923" s="38" t="n">
        <x:v>4244</x:v>
      </x:c>
      <x:c r="J923" s="38" t="n">
        <x:v>0</x:v>
      </x:c>
      <x:c r="K923" s="38" t="n">
        <x:v>0</x:v>
      </x:c>
      <x:c r="L923" s="38" t="n">
        <x:v>0</x:v>
      </x:c>
      <x:c r="M923" s="38" t="n">
        <x:v>0</x:v>
      </x:c>
      <x:c r="N923" s="38" t="n">
        <x:v>4005</x:v>
      </x:c>
      <x:c r="O923" s="38" t="n">
        <x:v>0</x:v>
      </x:c>
      <x:c r="P923" s="38" t="n">
        <x:f>F923+G923-H923+I923+J923+K923+L923-M923-N923-O923</x:f>
        <x:v>2994136</x:v>
      </x:c>
      <x:c r="Q923" s="38" t="n">
        <x:v>2994136</x:v>
      </x:c>
      <x:c r="R923" s="38" t="n">
        <x:f>P923-Q923</x:f>
        <x:v>0</x:v>
      </x:c>
      <x:c r="S923" s="38" t="n">
        <x:v>72802</x:v>
      </x:c>
      <x:c r="T923" s="38" t="n">
        <x:v>11321</x:v>
      </x:c>
      <x:c r="U923" s="38" t="n">
        <x:v>91</x:v>
      </x:c>
      <x:c r="V923" s="38" t="n">
        <x:v>0</x:v>
      </x:c>
      <x:c r="W923" s="38" t="n">
        <x:v>0</x:v>
      </x:c>
      <x:c r="X923" s="44" t="n">
        <x:v>39.96</x:v>
      </x:c>
      <x:c r="Y923" s="38" t="n">
        <x:v>178</x:v>
      </x:c>
      <x:c r="Z923" s="38" t="n">
        <x:v>36</x:v>
      </x:c>
      <x:c r="AA923" s="38" t="n">
        <x:v>27</x:v>
      </x:c>
      <x:c r="AB923" s="38" t="n">
        <x:v>7</x:v>
      </x:c>
      <x:c r="AC923" s="38" t="n">
        <x:v>9476</x:v>
      </x:c>
      <x:c r="AD923" s="38" t="n">
        <x:v>0</x:v>
      </x:c>
      <x:c r="AE923" s="38" t="n">
        <x:f>IF(B923=1,0,F923-Q922)</x:f>
        <x:v>0</x:v>
      </x:c>
    </x:row>
    <x:row r="924" ht="27" customHeight="1">
      <x:c r="A924" s="28" t="str">
        <x:v>Paid capacity ceiling</x:v>
      </x:c>
      <x:c r="B924" s="38" t="n">
        <x:v>80</x:v>
      </x:c>
      <x:c r="C924" s="38" t="n">
        <x:v>37</x:v>
      </x:c>
      <x:c r="D924" s="38" t="n">
        <x:v>595238</x:v>
      </x:c>
      <x:c r="E924" s="38" t="n">
        <x:v>90</x:v>
      </x:c>
      <x:c r="F924" s="38" t="n">
        <x:v>2994136</x:v>
      </x:c>
      <x:c r="G924" s="38" t="n">
        <x:v>92947</x:v>
      </x:c>
      <x:c r="H924" s="38" t="n">
        <x:v>18258</x:v>
      </x:c>
      <x:c r="I924" s="38" t="n">
        <x:v>4244</x:v>
      </x:c>
      <x:c r="J924" s="38" t="n">
        <x:v>0</x:v>
      </x:c>
      <x:c r="K924" s="38" t="n">
        <x:v>0</x:v>
      </x:c>
      <x:c r="L924" s="38" t="n">
        <x:v>0</x:v>
      </x:c>
      <x:c r="M924" s="38" t="n">
        <x:v>0</x:v>
      </x:c>
      <x:c r="N924" s="38" t="n">
        <x:v>0</x:v>
      </x:c>
      <x:c r="O924" s="38" t="n">
        <x:v>0</x:v>
      </x:c>
      <x:c r="P924" s="38" t="n">
        <x:f>F924+G924-H924+I924+J924+K924+L924-M924-N924-O924</x:f>
        <x:v>3073069</x:v>
      </x:c>
      <x:c r="Q924" s="38" t="n">
        <x:v>3073069</x:v>
      </x:c>
      <x:c r="R924" s="38" t="n">
        <x:f>P924-Q924</x:f>
        <x:v>0</x:v>
      </x:c>
      <x:c r="S924" s="38" t="n">
        <x:v>74393</x:v>
      </x:c>
      <x:c r="T924" s="38" t="n">
        <x:v>11541</x:v>
      </x:c>
      <x:c r="U924" s="38" t="n">
        <x:v>91</x:v>
      </x:c>
      <x:c r="V924" s="38" t="n">
        <x:v>0</x:v>
      </x:c>
      <x:c r="W924" s="38" t="n">
        <x:v>0</x:v>
      </x:c>
      <x:c r="X924" s="44" t="n">
        <x:v>39.96</x:v>
      </x:c>
      <x:c r="Y924" s="38" t="n">
        <x:v>179</x:v>
      </x:c>
      <x:c r="Z924" s="38" t="n">
        <x:v>37</x:v>
      </x:c>
      <x:c r="AA924" s="38" t="n">
        <x:v>27</x:v>
      </x:c>
      <x:c r="AB924" s="38" t="n">
        <x:v>7</x:v>
      </x:c>
      <x:c r="AC924" s="38" t="n">
        <x:v>9180</x:v>
      </x:c>
      <x:c r="AD924" s="38" t="n">
        <x:v>0</x:v>
      </x:c>
      <x:c r="AE924" s="38" t="n">
        <x:f>IF(B924=1,0,F924-Q923)</x:f>
        <x:v>0</x:v>
      </x:c>
    </x:row>
    <x:row r="925" ht="27" customHeight="1">
      <x:c r="A925" s="28" t="str">
        <x:v>Paid capacity ceiling</x:v>
      </x:c>
      <x:c r="B925" s="38" t="n">
        <x:v>81</x:v>
      </x:c>
      <x:c r="C925" s="38" t="n">
        <x:v>37</x:v>
      </x:c>
      <x:c r="D925" s="38" t="n">
        <x:v>606673</x:v>
      </x:c>
      <x:c r="E925" s="38" t="n">
        <x:v>90</x:v>
      </x:c>
      <x:c r="F925" s="38" t="n">
        <x:v>3073069</x:v>
      </x:c>
      <x:c r="G925" s="38" t="n">
        <x:v>91980</x:v>
      </x:c>
      <x:c r="H925" s="38" t="n">
        <x:v>18360</x:v>
      </x:c>
      <x:c r="I925" s="38" t="n">
        <x:v>4244</x:v>
      </x:c>
      <x:c r="J925" s="38" t="n">
        <x:v>0</x:v>
      </x:c>
      <x:c r="K925" s="38" t="n">
        <x:v>0</x:v>
      </x:c>
      <x:c r="L925" s="38" t="n">
        <x:v>0</x:v>
      </x:c>
      <x:c r="M925" s="38" t="n">
        <x:v>0</x:v>
      </x:c>
      <x:c r="N925" s="38" t="n">
        <x:v>0</x:v>
      </x:c>
      <x:c r="O925" s="38" t="n">
        <x:v>0</x:v>
      </x:c>
      <x:c r="P925" s="38" t="n">
        <x:f>F925+G925-H925+I925+J925+K925+L925-M925-N925-O925</x:f>
        <x:v>3150933</x:v>
      </x:c>
      <x:c r="Q925" s="38" t="n">
        <x:v>3150933</x:v>
      </x:c>
      <x:c r="R925" s="38" t="n">
        <x:f>P925-Q925</x:f>
        <x:v>0</x:v>
      </x:c>
      <x:c r="S925" s="38" t="n">
        <x:v>73620</x:v>
      </x:c>
      <x:c r="T925" s="38" t="n">
        <x:v>11435</x:v>
      </x:c>
      <x:c r="U925" s="38" t="n">
        <x:v>91</x:v>
      </x:c>
      <x:c r="V925" s="38" t="n">
        <x:v>0</x:v>
      </x:c>
      <x:c r="W925" s="38" t="n">
        <x:v>0</x:v>
      </x:c>
      <x:c r="X925" s="44" t="n">
        <x:v>39.96</x:v>
      </x:c>
      <x:c r="Y925" s="38" t="n">
        <x:v>180</x:v>
      </x:c>
      <x:c r="Z925" s="38" t="n">
        <x:v>37</x:v>
      </x:c>
      <x:c r="AA925" s="38" t="n">
        <x:v>27</x:v>
      </x:c>
      <x:c r="AB925" s="38" t="n">
        <x:v>7</x:v>
      </x:c>
      <x:c r="AC925" s="38" t="n">
        <x:v>9180</x:v>
      </x:c>
      <x:c r="AD925" s="38" t="n">
        <x:v>0</x:v>
      </x:c>
      <x:c r="AE925" s="38" t="n">
        <x:f>IF(B925=1,0,F925-Q924)</x:f>
        <x:v>0</x:v>
      </x:c>
    </x:row>
    <x:row r="926" ht="27" customHeight="1">
      <x:c r="A926" s="28" t="str">
        <x:v>Paid capacity ceiling</x:v>
      </x:c>
      <x:c r="B926" s="38" t="n">
        <x:v>82</x:v>
      </x:c>
      <x:c r="C926" s="38" t="n">
        <x:v>37</x:v>
      </x:c>
      <x:c r="D926" s="38" t="n">
        <x:v>618108</x:v>
      </x:c>
      <x:c r="E926" s="38" t="n">
        <x:v>90</x:v>
      </x:c>
      <x:c r="F926" s="38" t="n">
        <x:v>3150933</x:v>
      </x:c>
      <x:c r="G926" s="38" t="n">
        <x:v>91980</x:v>
      </x:c>
      <x:c r="H926" s="38" t="n">
        <x:v>18360</x:v>
      </x:c>
      <x:c r="I926" s="38" t="n">
        <x:v>4244</x:v>
      </x:c>
      <x:c r="J926" s="38" t="n">
        <x:v>0</x:v>
      </x:c>
      <x:c r="K926" s="38" t="n">
        <x:v>0</x:v>
      </x:c>
      <x:c r="L926" s="38" t="n">
        <x:v>0</x:v>
      </x:c>
      <x:c r="M926" s="38" t="n">
        <x:v>0</x:v>
      </x:c>
      <x:c r="N926" s="38" t="n">
        <x:v>4565</x:v>
      </x:c>
      <x:c r="O926" s="38" t="n">
        <x:v>0</x:v>
      </x:c>
      <x:c r="P926" s="38" t="n">
        <x:f>F926+G926-H926+I926+J926+K926+L926-M926-N926-O926</x:f>
        <x:v>3224232</x:v>
      </x:c>
      <x:c r="Q926" s="38" t="n">
        <x:v>3224232</x:v>
      </x:c>
      <x:c r="R926" s="38" t="n">
        <x:f>P926-Q926</x:f>
        <x:v>0</x:v>
      </x:c>
      <x:c r="S926" s="38" t="n">
        <x:v>73620</x:v>
      </x:c>
      <x:c r="T926" s="38" t="n">
        <x:v>11435</x:v>
      </x:c>
      <x:c r="U926" s="38" t="n">
        <x:v>91</x:v>
      </x:c>
      <x:c r="V926" s="38" t="n">
        <x:v>0</x:v>
      </x:c>
      <x:c r="W926" s="38" t="n">
        <x:v>0</x:v>
      </x:c>
      <x:c r="X926" s="44" t="n">
        <x:v>39.96</x:v>
      </x:c>
      <x:c r="Y926" s="38" t="n">
        <x:v>180</x:v>
      </x:c>
      <x:c r="Z926" s="38" t="n">
        <x:v>37</x:v>
      </x:c>
      <x:c r="AA926" s="38" t="n">
        <x:v>28</x:v>
      </x:c>
      <x:c r="AB926" s="38" t="n">
        <x:v>7</x:v>
      </x:c>
      <x:c r="AC926" s="38" t="n">
        <x:v>9180</x:v>
      </x:c>
      <x:c r="AD926" s="38" t="n">
        <x:v>0</x:v>
      </x:c>
      <x:c r="AE926" s="38" t="n">
        <x:f>IF(B926=1,0,F926-Q925)</x:f>
        <x:v>0</x:v>
      </x:c>
    </x:row>
    <x:row r="927" ht="27" customHeight="1">
      <x:c r="A927" s="28" t="str">
        <x:v>Paid capacity ceiling</x:v>
      </x:c>
      <x:c r="B927" s="38" t="n">
        <x:v>83</x:v>
      </x:c>
      <x:c r="C927" s="38" t="n">
        <x:v>38</x:v>
      </x:c>
      <x:c r="D927" s="38" t="n">
        <x:v>629834</x:v>
      </x:c>
      <x:c r="E927" s="38" t="n">
        <x:v>95</x:v>
      </x:c>
      <x:c r="F927" s="38" t="n">
        <x:v>3224232</x:v>
      </x:c>
      <x:c r="G927" s="38" t="n">
        <x:v>95338</x:v>
      </x:c>
      <x:c r="H927" s="38" t="n">
        <x:v>19750</x:v>
      </x:c>
      <x:c r="I927" s="38" t="n">
        <x:v>4244</x:v>
      </x:c>
      <x:c r="J927" s="38" t="n">
        <x:v>1140</x:v>
      </x:c>
      <x:c r="K927" s="38" t="n">
        <x:v>0</x:v>
      </x:c>
      <x:c r="L927" s="38" t="n">
        <x:v>0</x:v>
      </x:c>
      <x:c r="M927" s="38" t="n">
        <x:v>0</x:v>
      </x:c>
      <x:c r="N927" s="38" t="n">
        <x:v>0</x:v>
      </x:c>
      <x:c r="O927" s="38" t="n">
        <x:v>303810</x:v>
      </x:c>
      <x:c r="P927" s="38" t="n">
        <x:f>F927+G927-H927+I927+J927+K927+L927-M927-N927-O927</x:f>
        <x:v>3001394</x:v>
      </x:c>
      <x:c r="Q927" s="38" t="n">
        <x:v>3001394</x:v>
      </x:c>
      <x:c r="R927" s="38" t="n">
        <x:f>P927-Q927</x:f>
        <x:v>0</x:v>
      </x:c>
      <x:c r="S927" s="38" t="n">
        <x:v>76288</x:v>
      </x:c>
      <x:c r="T927" s="38" t="n">
        <x:v>11726</x:v>
      </x:c>
      <x:c r="U927" s="38" t="n">
        <x:v>12</x:v>
      </x:c>
      <x:c r="V927" s="38" t="n">
        <x:v>1</x:v>
      </x:c>
      <x:c r="W927" s="38" t="n">
        <x:v>80</x:v>
      </x:c>
      <x:c r="X927" s="44" t="n">
        <x:v>39.96</x:v>
      </x:c>
      <x:c r="Y927" s="38" t="n">
        <x:v>185</x:v>
      </x:c>
      <x:c r="Z927" s="38" t="n">
        <x:v>38</x:v>
      </x:c>
      <x:c r="AA927" s="38" t="n">
        <x:v>28</x:v>
      </x:c>
      <x:c r="AB927" s="38" t="n">
        <x:v>8</x:v>
      </x:c>
      <x:c r="AC927" s="38" t="n">
        <x:v>9880</x:v>
      </x:c>
      <x:c r="AD927" s="38" t="n">
        <x:v>0</x:v>
      </x:c>
      <x:c r="AE927" s="38" t="n">
        <x:f>IF(B927=1,0,F927-Q926)</x:f>
        <x:v>0</x:v>
      </x:c>
    </x:row>
    <x:row r="928" ht="27" customHeight="1">
      <x:c r="A928" s="28" t="str">
        <x:v>Paid capacity ceiling</x:v>
      </x:c>
      <x:c r="B928" s="38" t="n">
        <x:v>84</x:v>
      </x:c>
      <x:c r="C928" s="38" t="n">
        <x:v>38</x:v>
      </x:c>
      <x:c r="D928" s="38" t="n">
        <x:v>647745</x:v>
      </x:c>
      <x:c r="E928" s="38" t="n">
        <x:v>95</x:v>
      </x:c>
      <x:c r="F928" s="38" t="n">
        <x:v>3001394</x:v>
      </x:c>
      <x:c r="G928" s="38" t="n">
        <x:v>98800</x:v>
      </x:c>
      <x:c r="H928" s="38" t="n">
        <x:v>19760</x:v>
      </x:c>
      <x:c r="I928" s="38" t="n">
        <x:v>25415</x:v>
      </x:c>
      <x:c r="J928" s="38" t="n">
        <x:v>0</x:v>
      </x:c>
      <x:c r="K928" s="38" t="n">
        <x:v>0</x:v>
      </x:c>
      <x:c r="L928" s="38" t="n">
        <x:v>0</x:v>
      </x:c>
      <x:c r="M928" s="38" t="n">
        <x:v>0</x:v>
      </x:c>
      <x:c r="N928" s="38" t="n">
        <x:v>0</x:v>
      </x:c>
      <x:c r="O928" s="38" t="n">
        <x:v>0</x:v>
      </x:c>
      <x:c r="P928" s="38" t="n">
        <x:f>F928+G928-H928+I928+J928+K928+L928-M928-N928-O928</x:f>
        <x:v>3105849</x:v>
      </x:c>
      <x:c r="Q928" s="38" t="n">
        <x:v>3105849</x:v>
      </x:c>
      <x:c r="R928" s="38" t="n">
        <x:f>P928-Q928</x:f>
        <x:v>0</x:v>
      </x:c>
      <x:c r="S928" s="38" t="n">
        <x:v>79040</x:v>
      </x:c>
      <x:c r="T928" s="38" t="n">
        <x:v>17911</x:v>
      </x:c>
      <x:c r="U928" s="38" t="n">
        <x:v>14</x:v>
      </x:c>
      <x:c r="V928" s="38" t="n">
        <x:v>2</x:v>
      </x:c>
      <x:c r="W928" s="38" t="n">
        <x:v>0</x:v>
      </x:c>
      <x:c r="X928" s="44" t="n">
        <x:v>39.96</x:v>
      </x:c>
      <x:c r="Y928" s="38" t="n">
        <x:v>190</x:v>
      </x:c>
      <x:c r="Z928" s="38" t="n">
        <x:v>38</x:v>
      </x:c>
      <x:c r="AA928" s="38" t="n">
        <x:v>28</x:v>
      </x:c>
      <x:c r="AB928" s="38" t="n">
        <x:v>8</x:v>
      </x:c>
      <x:c r="AC928" s="38" t="n">
        <x:v>9880</x:v>
      </x:c>
      <x:c r="AD928" s="38" t="n">
        <x:v>0</x:v>
      </x:c>
      <x:c r="AE928" s="38" t="n">
        <x:f>IF(B928=1,0,F928-Q927)</x:f>
        <x:v>0</x:v>
      </x:c>
    </x:row>
    <x:row r="929" ht="27" customHeight="1">
      <x:c r="A929" s="28" t="str">
        <x:v>Paid capacity ceiling</x:v>
      </x:c>
      <x:c r="B929" s="38" t="n">
        <x:v>85</x:v>
      </x:c>
      <x:c r="C929" s="38" t="n">
        <x:v>38</x:v>
      </x:c>
      <x:c r="D929" s="38" t="n">
        <x:v>659824</x:v>
      </x:c>
      <x:c r="E929" s="38" t="n">
        <x:v>95</x:v>
      </x:c>
      <x:c r="F929" s="38" t="n">
        <x:v>3105849</x:v>
      </x:c>
      <x:c r="G929" s="38" t="n">
        <x:v>98800</x:v>
      </x:c>
      <x:c r="H929" s="38" t="n">
        <x:v>19760</x:v>
      </x:c>
      <x:c r="I929" s="38" t="n">
        <x:v>4557</x:v>
      </x:c>
      <x:c r="J929" s="38" t="n">
        <x:v>0</x:v>
      </x:c>
      <x:c r="K929" s="38" t="n">
        <x:v>0</x:v>
      </x:c>
      <x:c r="L929" s="38" t="n">
        <x:v>0</x:v>
      </x:c>
      <x:c r="M929" s="38" t="n">
        <x:v>0</x:v>
      </x:c>
      <x:c r="N929" s="38" t="n">
        <x:v>7940</x:v>
      </x:c>
      <x:c r="O929" s="38" t="n">
        <x:v>0</x:v>
      </x:c>
      <x:c r="P929" s="38" t="n">
        <x:f>F929+G929-H929+I929+J929+K929+L929-M929-N929-O929</x:f>
        <x:v>3181506</x:v>
      </x:c>
      <x:c r="Q929" s="38" t="n">
        <x:v>3181506</x:v>
      </x:c>
      <x:c r="R929" s="38" t="n">
        <x:f>P929-Q929</x:f>
        <x:v>0</x:v>
      </x:c>
      <x:c r="S929" s="38" t="n">
        <x:v>79040</x:v>
      </x:c>
      <x:c r="T929" s="38" t="n">
        <x:v>12079</x:v>
      </x:c>
      <x:c r="U929" s="38" t="n">
        <x:v>14</x:v>
      </x:c>
      <x:c r="V929" s="38" t="n">
        <x:v>0</x:v>
      </x:c>
      <x:c r="W929" s="38" t="n">
        <x:v>0</x:v>
      </x:c>
      <x:c r="X929" s="44" t="n">
        <x:v>39.96</x:v>
      </x:c>
      <x:c r="Y929" s="38" t="n">
        <x:v>190</x:v>
      </x:c>
      <x:c r="Z929" s="38" t="n">
        <x:v>38</x:v>
      </x:c>
      <x:c r="AA929" s="38" t="n">
        <x:v>29</x:v>
      </x:c>
      <x:c r="AB929" s="38" t="n">
        <x:v>8</x:v>
      </x:c>
      <x:c r="AC929" s="38" t="n">
        <x:v>9880</x:v>
      </x:c>
      <x:c r="AD929" s="38" t="n">
        <x:v>0</x:v>
      </x:c>
      <x:c r="AE929" s="38" t="n">
        <x:f>IF(B929=1,0,F929-Q928)</x:f>
        <x:v>0</x:v>
      </x:c>
    </x:row>
    <x:row r="930" ht="27" customHeight="1">
      <x:c r="A930" s="28" t="str">
        <x:v>Paid capacity ceiling</x:v>
      </x:c>
      <x:c r="B930" s="38" t="n">
        <x:v>86</x:v>
      </x:c>
      <x:c r="C930" s="38" t="n">
        <x:v>38</x:v>
      </x:c>
      <x:c r="D930" s="38" t="n">
        <x:v>671903</x:v>
      </x:c>
      <x:c r="E930" s="38" t="n">
        <x:v>95</x:v>
      </x:c>
      <x:c r="F930" s="38" t="n">
        <x:v>3181506</x:v>
      </x:c>
      <x:c r="G930" s="38" t="n">
        <x:v>98800</x:v>
      </x:c>
      <x:c r="H930" s="38" t="n">
        <x:v>19760</x:v>
      </x:c>
      <x:c r="I930" s="38" t="n">
        <x:v>4557</x:v>
      </x:c>
      <x:c r="J930" s="38" t="n">
        <x:v>0</x:v>
      </x:c>
      <x:c r="K930" s="38" t="n">
        <x:v>0</x:v>
      </x:c>
      <x:c r="L930" s="38" t="n">
        <x:v>0</x:v>
      </x:c>
      <x:c r="M930" s="38" t="n">
        <x:v>0</x:v>
      </x:c>
      <x:c r="N930" s="38" t="n">
        <x:v>0</x:v>
      </x:c>
      <x:c r="O930" s="38" t="n">
        <x:v>0</x:v>
      </x:c>
      <x:c r="P930" s="38" t="n">
        <x:f>F930+G930-H930+I930+J930+K930+L930-M930-N930-O930</x:f>
        <x:v>3265103</x:v>
      </x:c>
      <x:c r="Q930" s="38" t="n">
        <x:v>3265103</x:v>
      </x:c>
      <x:c r="R930" s="38" t="n">
        <x:f>P930-Q930</x:f>
        <x:v>0</x:v>
      </x:c>
      <x:c r="S930" s="38" t="n">
        <x:v>79040</x:v>
      </x:c>
      <x:c r="T930" s="38" t="n">
        <x:v>12079</x:v>
      </x:c>
      <x:c r="U930" s="38" t="n">
        <x:v>14</x:v>
      </x:c>
      <x:c r="V930" s="38" t="n">
        <x:v>0</x:v>
      </x:c>
      <x:c r="W930" s="38" t="n">
        <x:v>0</x:v>
      </x:c>
      <x:c r="X930" s="44" t="n">
        <x:v>39.96</x:v>
      </x:c>
      <x:c r="Y930" s="38" t="n">
        <x:v>190</x:v>
      </x:c>
      <x:c r="Z930" s="38" t="n">
        <x:v>38</x:v>
      </x:c>
      <x:c r="AA930" s="38" t="n">
        <x:v>29</x:v>
      </x:c>
      <x:c r="AB930" s="38" t="n">
        <x:v>8</x:v>
      </x:c>
      <x:c r="AC930" s="38" t="n">
        <x:v>9880</x:v>
      </x:c>
      <x:c r="AD930" s="38" t="n">
        <x:v>0</x:v>
      </x:c>
      <x:c r="AE930" s="38" t="n">
        <x:f>IF(B930=1,0,F930-Q929)</x:f>
        <x:v>0</x:v>
      </x:c>
    </x:row>
    <x:row r="931" ht="27" customHeight="1">
      <x:c r="A931" s="28" t="str">
        <x:v>Paid capacity ceiling</x:v>
      </x:c>
      <x:c r="B931" s="38" t="n">
        <x:v>87</x:v>
      </x:c>
      <x:c r="C931" s="38" t="n">
        <x:v>39</x:v>
      </x:c>
      <x:c r="D931" s="38" t="n">
        <x:v>683982</x:v>
      </x:c>
      <x:c r="E931" s="38" t="n">
        <x:v>95</x:v>
      </x:c>
      <x:c r="F931" s="38" t="n">
        <x:v>3265103</x:v>
      </x:c>
      <x:c r="G931" s="38" t="n">
        <x:v>98800</x:v>
      </x:c>
      <x:c r="H931" s="38" t="n">
        <x:v>20813</x:v>
      </x:c>
      <x:c r="I931" s="38" t="n">
        <x:v>4557</x:v>
      </x:c>
      <x:c r="J931" s="38" t="n">
        <x:v>1160</x:v>
      </x:c>
      <x:c r="K931" s="38" t="n">
        <x:v>0</x:v>
      </x:c>
      <x:c r="L931" s="38" t="n">
        <x:v>0</x:v>
      </x:c>
      <x:c r="M931" s="38" t="n">
        <x:v>0</x:v>
      </x:c>
      <x:c r="N931" s="38" t="n">
        <x:v>0</x:v>
      </x:c>
      <x:c r="O931" s="38" t="n">
        <x:v>0</x:v>
      </x:c>
      <x:c r="P931" s="38" t="n">
        <x:f>F931+G931-H931+I931+J931+K931+L931-M931-N931-O931</x:f>
        <x:v>3348807</x:v>
      </x:c>
      <x:c r="Q931" s="38" t="n">
        <x:v>3348807</x:v>
      </x:c>
      <x:c r="R931" s="38" t="n">
        <x:f>P931-Q931</x:f>
        <x:v>0</x:v>
      </x:c>
      <x:c r="S931" s="38" t="n">
        <x:v>79040</x:v>
      </x:c>
      <x:c r="T931" s="38" t="n">
        <x:v>12079</x:v>
      </x:c>
      <x:c r="U931" s="38" t="n">
        <x:v>14</x:v>
      </x:c>
      <x:c r="V931" s="38" t="n">
        <x:v>0</x:v>
      </x:c>
      <x:c r="W931" s="38" t="n">
        <x:v>0</x:v>
      </x:c>
      <x:c r="X931" s="44" t="n">
        <x:v>39.96</x:v>
      </x:c>
      <x:c r="Y931" s="38" t="n">
        <x:v>190</x:v>
      </x:c>
      <x:c r="Z931" s="38" t="n">
        <x:v>38</x:v>
      </x:c>
      <x:c r="AA931" s="38" t="n">
        <x:v>29</x:v>
      </x:c>
      <x:c r="AB931" s="38" t="n">
        <x:v>8</x:v>
      </x:c>
      <x:c r="AC931" s="38" t="n">
        <x:v>10933</x:v>
      </x:c>
      <x:c r="AD931" s="38" t="n">
        <x:v>0</x:v>
      </x:c>
      <x:c r="AE931" s="38" t="n">
        <x:f>IF(B931=1,0,F931-Q930)</x:f>
        <x:v>0</x:v>
      </x:c>
    </x:row>
    <x:row r="932" ht="27" customHeight="1">
      <x:c r="A932" s="28" t="str">
        <x:v>Paid capacity ceiling</x:v>
      </x:c>
      <x:c r="B932" s="38" t="n">
        <x:v>88</x:v>
      </x:c>
      <x:c r="C932" s="38" t="n">
        <x:v>39</x:v>
      </x:c>
      <x:c r="D932" s="38" t="n">
        <x:v>695082</x:v>
      </x:c>
      <x:c r="E932" s="38" t="n">
        <x:v>95</x:v>
      </x:c>
      <x:c r="F932" s="38" t="n">
        <x:v>3348807</x:v>
      </x:c>
      <x:c r="G932" s="38" t="n">
        <x:v>109954</x:v>
      </x:c>
      <x:c r="H932" s="38" t="n">
        <x:v>22040</x:v>
      </x:c>
      <x:c r="I932" s="38" t="n">
        <x:v>4634</x:v>
      </x:c>
      <x:c r="J932" s="38" t="n">
        <x:v>0</x:v>
      </x:c>
      <x:c r="K932" s="38" t="n">
        <x:v>0</x:v>
      </x:c>
      <x:c r="L932" s="38" t="n">
        <x:v>0</x:v>
      </x:c>
      <x:c r="M932" s="38" t="n">
        <x:v>0</x:v>
      </x:c>
      <x:c r="N932" s="38" t="n">
        <x:v>4340</x:v>
      </x:c>
      <x:c r="O932" s="38" t="n">
        <x:v>0</x:v>
      </x:c>
      <x:c r="P932" s="38" t="n">
        <x:f>F932+G932-H932+I932+J932+K932+L932-M932-N932-O932</x:f>
        <x:v>3437015</x:v>
      </x:c>
      <x:c r="Q932" s="38" t="n">
        <x:v>3437015</x:v>
      </x:c>
      <x:c r="R932" s="38" t="n">
        <x:f>P932-Q932</x:f>
        <x:v>0</x:v>
      </x:c>
      <x:c r="S932" s="38" t="n">
        <x:v>88001</x:v>
      </x:c>
      <x:c r="T932" s="38" t="n">
        <x:v>11100</x:v>
      </x:c>
      <x:c r="U932" s="38" t="n">
        <x:v>14</x:v>
      </x:c>
      <x:c r="V932" s="38" t="n">
        <x:v>0</x:v>
      </x:c>
      <x:c r="W932" s="38" t="n">
        <x:v>0</x:v>
      </x:c>
      <x:c r="X932" s="44" t="n">
        <x:v>39.96</x:v>
      </x:c>
      <x:c r="Y932" s="38" t="n">
        <x:v>190</x:v>
      </x:c>
      <x:c r="Z932" s="38" t="n">
        <x:v>39</x:v>
      </x:c>
      <x:c r="AA932" s="38" t="n">
        <x:v>30</x:v>
      </x:c>
      <x:c r="AB932" s="38" t="n">
        <x:v>8</x:v>
      </x:c>
      <x:c r="AC932" s="38" t="n">
        <x:v>11020</x:v>
      </x:c>
      <x:c r="AD932" s="38" t="n">
        <x:v>0</x:v>
      </x:c>
      <x:c r="AE932" s="38" t="n">
        <x:f>IF(B932=1,0,F932-Q931)</x:f>
        <x:v>0</x:v>
      </x:c>
    </x:row>
    <x:row r="933" ht="27" customHeight="1">
      <x:c r="A933" s="28" t="str">
        <x:v>Paid capacity ceiling</x:v>
      </x:c>
      <x:c r="B933" s="38" t="n">
        <x:v>89</x:v>
      </x:c>
      <x:c r="C933" s="38" t="n">
        <x:v>39</x:v>
      </x:c>
      <x:c r="D933" s="38" t="n">
        <x:v>706221</x:v>
      </x:c>
      <x:c r="E933" s="38" t="n">
        <x:v>95</x:v>
      </x:c>
      <x:c r="F933" s="38" t="n">
        <x:v>3437015</x:v>
      </x:c>
      <x:c r="G933" s="38" t="n">
        <x:v>110390</x:v>
      </x:c>
      <x:c r="H933" s="38" t="n">
        <x:v>22040</x:v>
      </x:c>
      <x:c r="I933" s="38" t="n">
        <x:v>4634</x:v>
      </x:c>
      <x:c r="J933" s="38" t="n">
        <x:v>0</x:v>
      </x:c>
      <x:c r="K933" s="38" t="n">
        <x:v>0</x:v>
      </x:c>
      <x:c r="L933" s="38" t="n">
        <x:v>0</x:v>
      </x:c>
      <x:c r="M933" s="38" t="n">
        <x:v>0</x:v>
      </x:c>
      <x:c r="N933" s="38" t="n">
        <x:v>0</x:v>
      </x:c>
      <x:c r="O933" s="38" t="n">
        <x:v>0</x:v>
      </x:c>
      <x:c r="P933" s="38" t="n">
        <x:f>F933+G933-H933+I933+J933+K933+L933-M933-N933-O933</x:f>
        <x:v>3529999</x:v>
      </x:c>
      <x:c r="Q933" s="38" t="n">
        <x:v>3529999</x:v>
      </x:c>
      <x:c r="R933" s="38" t="n">
        <x:f>P933-Q933</x:f>
        <x:v>0</x:v>
      </x:c>
      <x:c r="S933" s="38" t="n">
        <x:v>88350</x:v>
      </x:c>
      <x:c r="T933" s="38" t="n">
        <x:v>11139</x:v>
      </x:c>
      <x:c r="U933" s="38" t="n">
        <x:v>14</x:v>
      </x:c>
      <x:c r="V933" s="38" t="n">
        <x:v>0</x:v>
      </x:c>
      <x:c r="W933" s="38" t="n">
        <x:v>0</x:v>
      </x:c>
      <x:c r="X933" s="44" t="n">
        <x:v>39.96</x:v>
      </x:c>
      <x:c r="Y933" s="38" t="n">
        <x:v>190</x:v>
      </x:c>
      <x:c r="Z933" s="38" t="n">
        <x:v>39</x:v>
      </x:c>
      <x:c r="AA933" s="38" t="n">
        <x:v>30</x:v>
      </x:c>
      <x:c r="AB933" s="38" t="n">
        <x:v>8</x:v>
      </x:c>
      <x:c r="AC933" s="38" t="n">
        <x:v>11020</x:v>
      </x:c>
      <x:c r="AD933" s="38" t="n">
        <x:v>0</x:v>
      </x:c>
      <x:c r="AE933" s="38" t="n">
        <x:f>IF(B933=1,0,F933-Q932)</x:f>
        <x:v>0</x:v>
      </x:c>
    </x:row>
    <x:row r="934" ht="27" customHeight="1">
      <x:c r="A934" s="28" t="str">
        <x:v>Paid capacity ceiling</x:v>
      </x:c>
      <x:c r="B934" s="38" t="n">
        <x:v>90</x:v>
      </x:c>
      <x:c r="C934" s="38" t="n">
        <x:v>39</x:v>
      </x:c>
      <x:c r="D934" s="38" t="n">
        <x:v>717360</x:v>
      </x:c>
      <x:c r="E934" s="38" t="n">
        <x:v>95</x:v>
      </x:c>
      <x:c r="F934" s="38" t="n">
        <x:v>3529999</x:v>
      </x:c>
      <x:c r="G934" s="38" t="n">
        <x:v>110390</x:v>
      </x:c>
      <x:c r="H934" s="38" t="n">
        <x:v>22040</x:v>
      </x:c>
      <x:c r="I934" s="38" t="n">
        <x:v>4634</x:v>
      </x:c>
      <x:c r="J934" s="38" t="n">
        <x:v>0</x:v>
      </x:c>
      <x:c r="K934" s="38" t="n">
        <x:v>0</x:v>
      </x:c>
      <x:c r="L934" s="38" t="n">
        <x:v>0</x:v>
      </x:c>
      <x:c r="M934" s="38" t="n">
        <x:v>0</x:v>
      </x:c>
      <x:c r="N934" s="38" t="n">
        <x:v>0</x:v>
      </x:c>
      <x:c r="O934" s="38" t="n">
        <x:v>0</x:v>
      </x:c>
      <x:c r="P934" s="38" t="n">
        <x:f>F934+G934-H934+I934+J934+K934+L934-M934-N934-O934</x:f>
        <x:v>3622983</x:v>
      </x:c>
      <x:c r="Q934" s="38" t="n">
        <x:v>3622983</x:v>
      </x:c>
      <x:c r="R934" s="38" t="n">
        <x:f>P934-Q934</x:f>
        <x:v>0</x:v>
      </x:c>
      <x:c r="S934" s="38" t="n">
        <x:v>88350</x:v>
      </x:c>
      <x:c r="T934" s="38" t="n">
        <x:v>11139</x:v>
      </x:c>
      <x:c r="U934" s="38" t="n">
        <x:v>14</x:v>
      </x:c>
      <x:c r="V934" s="38" t="n">
        <x:v>0</x:v>
      </x:c>
      <x:c r="W934" s="38" t="n">
        <x:v>0</x:v>
      </x:c>
      <x:c r="X934" s="44" t="n">
        <x:v>39.96</x:v>
      </x:c>
      <x:c r="Y934" s="38" t="n">
        <x:v>190</x:v>
      </x:c>
      <x:c r="Z934" s="38" t="n">
        <x:v>39</x:v>
      </x:c>
      <x:c r="AA934" s="38" t="n">
        <x:v>30</x:v>
      </x:c>
      <x:c r="AB934" s="38" t="n">
        <x:v>8</x:v>
      </x:c>
      <x:c r="AC934" s="38" t="n">
        <x:v>11020</x:v>
      </x:c>
      <x:c r="AD934" s="38" t="n">
        <x:v>0</x:v>
      </x:c>
      <x:c r="AE934" s="38" t="n">
        <x:f>IF(B934=1,0,F934-Q933)</x:f>
        <x:v>0</x:v>
      </x:c>
    </x:row>
    <x:row r="935" ht="27" customHeight="1">
      <x:c r="A935" s="28" t="str">
        <x:v>Paid capacity ceiling</x:v>
      </x:c>
      <x:c r="B935" s="38" t="n">
        <x:v>91</x:v>
      </x:c>
      <x:c r="C935" s="38" t="n">
        <x:v>39</x:v>
      </x:c>
      <x:c r="D935" s="38" t="n">
        <x:v>734746</x:v>
      </x:c>
      <x:c r="E935" s="38" t="n">
        <x:v>95</x:v>
      </x:c>
      <x:c r="F935" s="38" t="n">
        <x:v>3622983</x:v>
      </x:c>
      <x:c r="G935" s="38" t="n">
        <x:v>110390</x:v>
      </x:c>
      <x:c r="H935" s="38" t="n">
        <x:v>22040</x:v>
      </x:c>
      <x:c r="I935" s="38" t="n">
        <x:v>27420</x:v>
      </x:c>
      <x:c r="J935" s="38" t="n">
        <x:v>0</x:v>
      </x:c>
      <x:c r="K935" s="38" t="n">
        <x:v>0</x:v>
      </x:c>
      <x:c r="L935" s="38" t="n">
        <x:v>0</x:v>
      </x:c>
      <x:c r="M935" s="38" t="n">
        <x:v>0</x:v>
      </x:c>
      <x:c r="N935" s="38" t="n">
        <x:v>9170</x:v>
      </x:c>
      <x:c r="O935" s="38" t="n">
        <x:v>0</x:v>
      </x:c>
      <x:c r="P935" s="38" t="n">
        <x:f>F935+G935-H935+I935+J935+K935+L935-M935-N935-O935</x:f>
        <x:v>3729583</x:v>
      </x:c>
      <x:c r="Q935" s="38" t="n">
        <x:v>3729583</x:v>
      </x:c>
      <x:c r="R935" s="38" t="n">
        <x:f>P935-Q935</x:f>
        <x:v>0</x:v>
      </x:c>
      <x:c r="S935" s="38" t="n">
        <x:v>88350</x:v>
      </x:c>
      <x:c r="T935" s="38" t="n">
        <x:v>17386</x:v>
      </x:c>
      <x:c r="U935" s="38" t="n">
        <x:v>16</x:v>
      </x:c>
      <x:c r="V935" s="38" t="n">
        <x:v>2</x:v>
      </x:c>
      <x:c r="W935" s="38" t="n">
        <x:v>0</x:v>
      </x:c>
      <x:c r="X935" s="44" t="n">
        <x:v>39.96</x:v>
      </x:c>
      <x:c r="Y935" s="38" t="n">
        <x:v>190</x:v>
      </x:c>
      <x:c r="Z935" s="38" t="n">
        <x:v>39</x:v>
      </x:c>
      <x:c r="AA935" s="38" t="n">
        <x:v>31</x:v>
      </x:c>
      <x:c r="AB935" s="38" t="n">
        <x:v>8</x:v>
      </x:c>
      <x:c r="AC935" s="38" t="n">
        <x:v>11020</x:v>
      </x:c>
      <x:c r="AD935" s="38" t="n">
        <x:v>0</x:v>
      </x:c>
      <x:c r="AE935" s="38" t="n">
        <x:f>IF(B935=1,0,F935-Q934)</x:f>
        <x:v>0</x:v>
      </x:c>
    </x:row>
    <x:row r="936" ht="27" customHeight="1">
      <x:c r="A936" s="28" t="str">
        <x:v>Paid capacity ceiling</x:v>
      </x:c>
      <x:c r="B936" s="38" t="n">
        <x:v>92</x:v>
      </x:c>
      <x:c r="C936" s="38" t="n">
        <x:v>40</x:v>
      </x:c>
      <x:c r="D936" s="38" t="n">
        <x:v>742640</x:v>
      </x:c>
      <x:c r="E936" s="38" t="n">
        <x:v>100</x:v>
      </x:c>
      <x:c r="F936" s="38" t="n">
        <x:v>3729583</x:v>
      </x:c>
      <x:c r="G936" s="38" t="n">
        <x:v>110390</x:v>
      </x:c>
      <x:c r="H936" s="38" t="n">
        <x:v>22130</x:v>
      </x:c>
      <x:c r="I936" s="38" t="n">
        <x:v>4634</x:v>
      </x:c>
      <x:c r="J936" s="38" t="n">
        <x:v>1240</x:v>
      </x:c>
      <x:c r="K936" s="38" t="n">
        <x:v>0</x:v>
      </x:c>
      <x:c r="L936" s="38" t="n">
        <x:v>0</x:v>
      </x:c>
      <x:c r="M936" s="38" t="n">
        <x:v>0</x:v>
      </x:c>
      <x:c r="N936" s="38" t="n">
        <x:v>0</x:v>
      </x:c>
      <x:c r="O936" s="38" t="n">
        <x:v>495900</x:v>
      </x:c>
      <x:c r="P936" s="38" t="n">
        <x:f>F936+G936-H936+I936+J936+K936+L936-M936-N936-O936</x:f>
        <x:v>3327817</x:v>
      </x:c>
      <x:c r="Q936" s="38" t="n">
        <x:v>3327817</x:v>
      </x:c>
      <x:c r="R936" s="38" t="n">
        <x:f>P936-Q936</x:f>
        <x:v>0</x:v>
      </x:c>
      <x:c r="S936" s="38" t="n">
        <x:v>88350</x:v>
      </x:c>
      <x:c r="T936" s="38" t="n">
        <x:v>7894</x:v>
      </x:c>
      <x:c r="U936" s="38" t="n">
        <x:v>54</x:v>
      </x:c>
      <x:c r="V936" s="38" t="n">
        <x:v>123</x:v>
      </x:c>
      <x:c r="W936" s="38" t="n">
        <x:v>85</x:v>
      </x:c>
      <x:c r="X936" s="44" t="n">
        <x:v>49.95</x:v>
      </x:c>
      <x:c r="Y936" s="38" t="n">
        <x:v>190</x:v>
      </x:c>
      <x:c r="Z936" s="38" t="n">
        <x:v>39</x:v>
      </x:c>
      <x:c r="AA936" s="38" t="n">
        <x:v>31</x:v>
      </x:c>
      <x:c r="AB936" s="38" t="n">
        <x:v>9</x:v>
      </x:c>
      <x:c r="AC936" s="38" t="n">
        <x:v>11110</x:v>
      </x:c>
      <x:c r="AD936" s="38" t="n">
        <x:v>0</x:v>
      </x:c>
      <x:c r="AE936" s="38" t="n">
        <x:f>IF(B936=1,0,F936-Q935)</x:f>
        <x:v>0</x:v>
      </x:c>
    </x:row>
    <x:row r="937" ht="27" customHeight="1">
      <x:c r="A937" s="28" t="str">
        <x:v>Paid capacity ceiling</x:v>
      </x:c>
      <x:c r="B937" s="38" t="n">
        <x:v>93</x:v>
      </x:c>
      <x:c r="C937" s="38" t="n">
        <x:v>40</x:v>
      </x:c>
      <x:c r="D937" s="38" t="n">
        <x:v>742640</x:v>
      </x:c>
      <x:c r="E937" s="38" t="n">
        <x:v>100</x:v>
      </x:c>
      <x:c r="F937" s="38" t="n">
        <x:v>3327817</x:v>
      </x:c>
      <x:c r="G937" s="38" t="n">
        <x:v>106524</x:v>
      </x:c>
      <x:c r="H937" s="38" t="n">
        <x:v>21384</x:v>
      </x:c>
      <x:c r="I937" s="38" t="n">
        <x:v>4959</x:v>
      </x:c>
      <x:c r="J937" s="38" t="n">
        <x:v>0</x:v>
      </x:c>
      <x:c r="K937" s="38" t="n">
        <x:v>0</x:v>
      </x:c>
      <x:c r="L937" s="38" t="n">
        <x:v>0</x:v>
      </x:c>
      <x:c r="M937" s="38" t="n">
        <x:v>0</x:v>
      </x:c>
      <x:c r="N937" s="38" t="n">
        <x:v>0</x:v>
      </x:c>
      <x:c r="O937" s="38" t="n">
        <x:v>247677</x:v>
      </x:c>
      <x:c r="P937" s="38" t="n">
        <x:f>F937+G937-H937+I937+J937+K937+L937-M937-N937-O937</x:f>
        <x:v>3170239</x:v>
      </x:c>
      <x:c r="Q937" s="38" t="n">
        <x:v>3170239</x:v>
      </x:c>
      <x:c r="R937" s="38" t="n">
        <x:f>P937-Q937</x:f>
        <x:v>0</x:v>
      </x:c>
      <x:c r="S937" s="38" t="n">
        <x:v>85140</x:v>
      </x:c>
      <x:c r="T937" s="38" t="n">
        <x:v>0</x:v>
      </x:c>
      <x:c r="U937" s="38" t="n">
        <x:v>54</x:v>
      </x:c>
      <x:c r="V937" s="38" t="n">
        <x:v>0</x:v>
      </x:c>
      <x:c r="W937" s="38" t="n">
        <x:v>0</x:v>
      </x:c>
      <x:c r="X937" s="44" t="n">
        <x:v>49.95</x:v>
      </x:c>
      <x:c r="Y937" s="38" t="n">
        <x:v>198</x:v>
      </x:c>
      <x:c r="Z937" s="38" t="n">
        <x:v>39</x:v>
      </x:c>
      <x:c r="AA937" s="38" t="n">
        <x:v>31</x:v>
      </x:c>
      <x:c r="AB937" s="38" t="n">
        <x:v>9</x:v>
      </x:c>
      <x:c r="AC937" s="38" t="n">
        <x:v>11110</x:v>
      </x:c>
      <x:c r="AD937" s="38" t="n">
        <x:v>0</x:v>
      </x:c>
      <x:c r="AE937" s="38" t="n">
        <x:f>IF(B937=1,0,F937-Q936)</x:f>
        <x:v>0</x:v>
      </x:c>
    </x:row>
    <x:row r="938" ht="27" customHeight="1">
      <x:c r="A938" s="28" t="str">
        <x:v>Paid capacity ceiling</x:v>
      </x:c>
      <x:c r="B938" s="38" t="n">
        <x:v>94</x:v>
      </x:c>
      <x:c r="C938" s="38" t="n">
        <x:v>40</x:v>
      </x:c>
      <x:c r="D938" s="38" t="n">
        <x:v>742640</x:v>
      </x:c>
      <x:c r="E938" s="38" t="n">
        <x:v>100</x:v>
      </x:c>
      <x:c r="F938" s="38" t="n">
        <x:v>3170239</x:v>
      </x:c>
      <x:c r="G938" s="38" t="n">
        <x:v>108615</x:v>
      </x:c>
      <x:c r="H938" s="38" t="n">
        <x:v>21492</x:v>
      </x:c>
      <x:c r="I938" s="38" t="n">
        <x:v>4959</x:v>
      </x:c>
      <x:c r="J938" s="38" t="n">
        <x:v>0</x:v>
      </x:c>
      <x:c r="K938" s="38" t="n">
        <x:v>0</x:v>
      </x:c>
      <x:c r="L938" s="38" t="n">
        <x:v>0</x:v>
      </x:c>
      <x:c r="M938" s="38" t="n">
        <x:v>0</x:v>
      </x:c>
      <x:c r="N938" s="38" t="n">
        <x:v>5005</x:v>
      </x:c>
      <x:c r="O938" s="38" t="n">
        <x:v>30385</x:v>
      </x:c>
      <x:c r="P938" s="38" t="n">
        <x:f>F938+G938-H938+I938+J938+K938+L938-M938-N938-O938</x:f>
        <x:v>3226931</x:v>
      </x:c>
      <x:c r="Q938" s="38" t="n">
        <x:v>3226931</x:v>
      </x:c>
      <x:c r="R938" s="38" t="n">
        <x:f>P938-Q938</x:f>
        <x:v>0</x:v>
      </x:c>
      <x:c r="S938" s="38" t="n">
        <x:v>86813</x:v>
      </x:c>
      <x:c r="T938" s="38" t="n">
        <x:v>0</x:v>
      </x:c>
      <x:c r="U938" s="38" t="n">
        <x:v>56</x:v>
      </x:c>
      <x:c r="V938" s="38" t="n">
        <x:v>2</x:v>
      </x:c>
      <x:c r="W938" s="38" t="n">
        <x:v>0</x:v>
      </x:c>
      <x:c r="X938" s="44" t="n">
        <x:v>49.95</x:v>
      </x:c>
      <x:c r="Y938" s="38" t="n">
        <x:v>199</x:v>
      </x:c>
      <x:c r="Z938" s="38" t="n">
        <x:v>40</x:v>
      </x:c>
      <x:c r="AA938" s="38" t="n">
        <x:v>32</x:v>
      </x:c>
      <x:c r="AB938" s="38" t="n">
        <x:v>9</x:v>
      </x:c>
      <x:c r="AC938" s="38" t="n">
        <x:v>10800</x:v>
      </x:c>
      <x:c r="AD938" s="38" t="n">
        <x:v>0</x:v>
      </x:c>
      <x:c r="AE938" s="38" t="n">
        <x:f>IF(B938=1,0,F938-Q937)</x:f>
        <x:v>0</x:v>
      </x:c>
    </x:row>
    <x:row r="939" ht="27" customHeight="1">
      <x:c r="A939" s="28" t="str">
        <x:v>Paid capacity ceiling</x:v>
      </x:c>
      <x:c r="B939" s="38" t="n">
        <x:v>95</x:v>
      </x:c>
      <x:c r="C939" s="38" t="n">
        <x:v>40</x:v>
      </x:c>
      <x:c r="D939" s="38" t="n">
        <x:v>742640</x:v>
      </x:c>
      <x:c r="E939" s="38" t="n">
        <x:v>100</x:v>
      </x:c>
      <x:c r="F939" s="38" t="n">
        <x:v>3226931</x:v>
      </x:c>
      <x:c r="G939" s="38" t="n">
        <x:v>107600</x:v>
      </x:c>
      <x:c r="H939" s="38" t="n">
        <x:v>21600</x:v>
      </x:c>
      <x:c r="I939" s="38" t="n">
        <x:v>4959</x:v>
      </x:c>
      <x:c r="J939" s="38" t="n">
        <x:v>0</x:v>
      </x:c>
      <x:c r="K939" s="38" t="n">
        <x:v>0</x:v>
      </x:c>
      <x:c r="L939" s="38" t="n">
        <x:v>0</x:v>
      </x:c>
      <x:c r="M939" s="38" t="n">
        <x:v>0</x:v>
      </x:c>
      <x:c r="N939" s="38" t="n">
        <x:v>0</x:v>
      </x:c>
      <x:c r="O939" s="38" t="n">
        <x:v>30100</x:v>
      </x:c>
      <x:c r="P939" s="38" t="n">
        <x:f>F939+G939-H939+I939+J939+K939+L939-M939-N939-O939</x:f>
        <x:v>3287790</x:v>
      </x:c>
      <x:c r="Q939" s="38" t="n">
        <x:v>3287790</x:v>
      </x:c>
      <x:c r="R939" s="38" t="n">
        <x:f>P939-Q939</x:f>
        <x:v>0</x:v>
      </x:c>
      <x:c r="S939" s="38" t="n">
        <x:v>86000</x:v>
      </x:c>
      <x:c r="T939" s="38" t="n">
        <x:v>0</x:v>
      </x:c>
      <x:c r="U939" s="38" t="n">
        <x:v>56</x:v>
      </x:c>
      <x:c r="V939" s="38" t="n">
        <x:v>0</x:v>
      </x:c>
      <x:c r="W939" s="38" t="n">
        <x:v>0</x:v>
      </x:c>
      <x:c r="X939" s="44" t="n">
        <x:v>49.95</x:v>
      </x:c>
      <x:c r="Y939" s="38" t="n">
        <x:v>200</x:v>
      </x:c>
      <x:c r="Z939" s="38" t="n">
        <x:v>40</x:v>
      </x:c>
      <x:c r="AA939" s="38" t="n">
        <x:v>32</x:v>
      </x:c>
      <x:c r="AB939" s="38" t="n">
        <x:v>9</x:v>
      </x:c>
      <x:c r="AC939" s="38" t="n">
        <x:v>10800</x:v>
      </x:c>
      <x:c r="AD939" s="38" t="n">
        <x:v>0</x:v>
      </x:c>
      <x:c r="AE939" s="38" t="n">
        <x:f>IF(B939=1,0,F939-Q938)</x:f>
        <x:v>0</x:v>
      </x:c>
    </x:row>
    <x:row r="940" ht="27" customHeight="1">
      <x:c r="A940" s="28" t="str">
        <x:v>Paid capacity ceiling</x:v>
      </x:c>
      <x:c r="B940" s="38" t="n">
        <x:v>96</x:v>
      </x:c>
      <x:c r="C940" s="38" t="n">
        <x:v>40</x:v>
      </x:c>
      <x:c r="D940" s="38" t="n">
        <x:v>742640</x:v>
      </x:c>
      <x:c r="E940" s="38" t="n">
        <x:v>100</x:v>
      </x:c>
      <x:c r="F940" s="38" t="n">
        <x:v>3287790</x:v>
      </x:c>
      <x:c r="G940" s="38" t="n">
        <x:v>107600</x:v>
      </x:c>
      <x:c r="H940" s="38" t="n">
        <x:v>21600</x:v>
      </x:c>
      <x:c r="I940" s="38" t="n">
        <x:v>4959</x:v>
      </x:c>
      <x:c r="J940" s="38" t="n">
        <x:v>0</x:v>
      </x:c>
      <x:c r="K940" s="38" t="n">
        <x:v>0</x:v>
      </x:c>
      <x:c r="L940" s="38" t="n">
        <x:v>0</x:v>
      </x:c>
      <x:c r="M940" s="38" t="n">
        <x:v>0</x:v>
      </x:c>
      <x:c r="N940" s="38" t="n">
        <x:v>0</x:v>
      </x:c>
      <x:c r="O940" s="38" t="n">
        <x:v>30100</x:v>
      </x:c>
      <x:c r="P940" s="38" t="n">
        <x:f>F940+G940-H940+I940+J940+K940+L940-M940-N940-O940</x:f>
        <x:v>3348649</x:v>
      </x:c>
      <x:c r="Q940" s="38" t="n">
        <x:v>3348649</x:v>
      </x:c>
      <x:c r="R940" s="38" t="n">
        <x:f>P940-Q940</x:f>
        <x:v>0</x:v>
      </x:c>
      <x:c r="S940" s="38" t="n">
        <x:v>86000</x:v>
      </x:c>
      <x:c r="T940" s="38" t="n">
        <x:v>0</x:v>
      </x:c>
      <x:c r="U940" s="38" t="n">
        <x:v>56</x:v>
      </x:c>
      <x:c r="V940" s="38" t="n">
        <x:v>0</x:v>
      </x:c>
      <x:c r="W940" s="38" t="n">
        <x:v>0</x:v>
      </x:c>
      <x:c r="X940" s="44" t="n">
        <x:v>49.95</x:v>
      </x:c>
      <x:c r="Y940" s="38" t="n">
        <x:v>200</x:v>
      </x:c>
      <x:c r="Z940" s="38" t="n">
        <x:v>40</x:v>
      </x:c>
      <x:c r="AA940" s="38" t="n">
        <x:v>32</x:v>
      </x:c>
      <x:c r="AB940" s="38" t="n">
        <x:v>9</x:v>
      </x:c>
      <x:c r="AC940" s="38" t="n">
        <x:v>10800</x:v>
      </x:c>
      <x:c r="AD940" s="38" t="n">
        <x:v>0</x:v>
      </x:c>
      <x:c r="AE940" s="38" t="n">
        <x:f>IF(B940=1,0,F940-Q939)</x:f>
        <x:v>0</x:v>
      </x:c>
    </x:row>
    <x:row r="941" ht="27" customHeight="1">
      <x:c r="A941" s="28" t="str">
        <x:v>Paid capacity ceiling</x:v>
      </x:c>
      <x:c r="B941" s="38" t="n">
        <x:v>97</x:v>
      </x:c>
      <x:c r="C941" s="38" t="n">
        <x:v>40</x:v>
      </x:c>
      <x:c r="D941" s="38" t="n">
        <x:v>742640</x:v>
      </x:c>
      <x:c r="E941" s="38" t="n">
        <x:v>100</x:v>
      </x:c>
      <x:c r="F941" s="38" t="n">
        <x:v>3348649</x:v>
      </x:c>
      <x:c r="G941" s="38" t="n">
        <x:v>107600</x:v>
      </x:c>
      <x:c r="H941" s="38" t="n">
        <x:v>21600</x:v>
      </x:c>
      <x:c r="I941" s="38" t="n">
        <x:v>4959</x:v>
      </x:c>
      <x:c r="J941" s="38" t="n">
        <x:v>0</x:v>
      </x:c>
      <x:c r="K941" s="38" t="n">
        <x:v>0</x:v>
      </x:c>
      <x:c r="L941" s="38" t="n">
        <x:v>0</x:v>
      </x:c>
      <x:c r="M941" s="38" t="n">
        <x:v>0</x:v>
      </x:c>
      <x:c r="N941" s="38" t="n">
        <x:v>5120</x:v>
      </x:c>
      <x:c r="O941" s="38" t="n">
        <x:v>30100</x:v>
      </x:c>
      <x:c r="P941" s="38" t="n">
        <x:f>F941+G941-H941+I941+J941+K941+L941-M941-N941-O941</x:f>
        <x:v>3404388</x:v>
      </x:c>
      <x:c r="Q941" s="38" t="n">
        <x:v>3404388</x:v>
      </x:c>
      <x:c r="R941" s="38" t="n">
        <x:f>P941-Q941</x:f>
        <x:v>0</x:v>
      </x:c>
      <x:c r="S941" s="38" t="n">
        <x:v>86000</x:v>
      </x:c>
      <x:c r="T941" s="38" t="n">
        <x:v>0</x:v>
      </x:c>
      <x:c r="U941" s="38" t="n">
        <x:v>56</x:v>
      </x:c>
      <x:c r="V941" s="38" t="n">
        <x:v>0</x:v>
      </x:c>
      <x:c r="W941" s="38" t="n">
        <x:v>0</x:v>
      </x:c>
      <x:c r="X941" s="44" t="n">
        <x:v>49.95</x:v>
      </x:c>
      <x:c r="Y941" s="38" t="n">
        <x:v>200</x:v>
      </x:c>
      <x:c r="Z941" s="38" t="n">
        <x:v>40</x:v>
      </x:c>
      <x:c r="AA941" s="38" t="n">
        <x:v>33</x:v>
      </x:c>
      <x:c r="AB941" s="38" t="n">
        <x:v>9</x:v>
      </x:c>
      <x:c r="AC941" s="38" t="n">
        <x:v>10800</x:v>
      </x:c>
      <x:c r="AD941" s="38" t="n">
        <x:v>0</x:v>
      </x:c>
      <x:c r="AE941" s="38" t="n">
        <x:f>IF(B941=1,0,F941-Q940)</x:f>
        <x:v>0</x:v>
      </x:c>
    </x:row>
    <x:row r="942" ht="27" customHeight="1">
      <x:c r="A942" s="28" t="str">
        <x:v>Paid capacity ceiling</x:v>
      </x:c>
      <x:c r="B942" s="38" t="n">
        <x:v>98</x:v>
      </x:c>
      <x:c r="C942" s="38" t="n">
        <x:v>40</x:v>
      </x:c>
      <x:c r="D942" s="38" t="n">
        <x:v>742640</x:v>
      </x:c>
      <x:c r="E942" s="38" t="n">
        <x:v>100</x:v>
      </x:c>
      <x:c r="F942" s="38" t="n">
        <x:v>3404388</x:v>
      </x:c>
      <x:c r="G942" s="38" t="n">
        <x:v>107600</x:v>
      </x:c>
      <x:c r="H942" s="38" t="n">
        <x:v>21600</x:v>
      </x:c>
      <x:c r="I942" s="38" t="n">
        <x:v>28130</x:v>
      </x:c>
      <x:c r="J942" s="38" t="n">
        <x:v>0</x:v>
      </x:c>
      <x:c r="K942" s="38" t="n">
        <x:v>0</x:v>
      </x:c>
      <x:c r="L942" s="38" t="n">
        <x:v>0</x:v>
      </x:c>
      <x:c r="M942" s="38" t="n">
        <x:v>0</x:v>
      </x:c>
      <x:c r="N942" s="38" t="n">
        <x:v>0</x:v>
      </x:c>
      <x:c r="O942" s="38" t="n">
        <x:v>30100</x:v>
      </x:c>
      <x:c r="P942" s="38" t="n">
        <x:f>F942+G942-H942+I942+J942+K942+L942-M942-N942-O942</x:f>
        <x:v>3488418</x:v>
      </x:c>
      <x:c r="Q942" s="38" t="n">
        <x:v>3488418</x:v>
      </x:c>
      <x:c r="R942" s="38" t="n">
        <x:f>P942-Q942</x:f>
        <x:v>0</x:v>
      </x:c>
      <x:c r="S942" s="38" t="n">
        <x:v>86000</x:v>
      </x:c>
      <x:c r="T942" s="38" t="n">
        <x:v>0</x:v>
      </x:c>
      <x:c r="U942" s="38" t="n">
        <x:v>58</x:v>
      </x:c>
      <x:c r="V942" s="38" t="n">
        <x:v>2</x:v>
      </x:c>
      <x:c r="W942" s="38" t="n">
        <x:v>0</x:v>
      </x:c>
      <x:c r="X942" s="44" t="n">
        <x:v>49.95</x:v>
      </x:c>
      <x:c r="Y942" s="38" t="n">
        <x:v>200</x:v>
      </x:c>
      <x:c r="Z942" s="38" t="n">
        <x:v>40</x:v>
      </x:c>
      <x:c r="AA942" s="38" t="n">
        <x:v>33</x:v>
      </x:c>
      <x:c r="AB942" s="38" t="n">
        <x:v>9</x:v>
      </x:c>
      <x:c r="AC942" s="38" t="n">
        <x:v>10800</x:v>
      </x:c>
      <x:c r="AD942" s="38" t="n">
        <x:v>0</x:v>
      </x:c>
      <x:c r="AE942" s="38" t="n">
        <x:f>IF(B942=1,0,F942-Q941)</x:f>
        <x:v>0</x:v>
      </x:c>
    </x:row>
    <x:row r="943" ht="27" customHeight="1">
      <x:c r="A943" s="28" t="str">
        <x:v>Paid capacity ceiling</x:v>
      </x:c>
      <x:c r="B943" s="38" t="n">
        <x:v>99</x:v>
      </x:c>
      <x:c r="C943" s="38" t="n">
        <x:v>40</x:v>
      </x:c>
      <x:c r="D943" s="38" t="n">
        <x:v>742640</x:v>
      </x:c>
      <x:c r="E943" s="38" t="n">
        <x:v>100</x:v>
      </x:c>
      <x:c r="F943" s="38" t="n">
        <x:v>3488418</x:v>
      </x:c>
      <x:c r="G943" s="38" t="n">
        <x:v>107600</x:v>
      </x:c>
      <x:c r="H943" s="38" t="n">
        <x:v>21600</x:v>
      </x:c>
      <x:c r="I943" s="38" t="n">
        <x:v>4959</x:v>
      </x:c>
      <x:c r="J943" s="38" t="n">
        <x:v>0</x:v>
      </x:c>
      <x:c r="K943" s="38" t="n">
        <x:v>0</x:v>
      </x:c>
      <x:c r="L943" s="38" t="n">
        <x:v>0</x:v>
      </x:c>
      <x:c r="M943" s="38" t="n">
        <x:v>0</x:v>
      </x:c>
      <x:c r="N943" s="38" t="n">
        <x:v>0</x:v>
      </x:c>
      <x:c r="O943" s="38" t="n">
        <x:v>30100</x:v>
      </x:c>
      <x:c r="P943" s="38" t="n">
        <x:f>F943+G943-H943+I943+J943+K943+L943-M943-N943-O943</x:f>
        <x:v>3549277</x:v>
      </x:c>
      <x:c r="Q943" s="38" t="n">
        <x:v>3549277</x:v>
      </x:c>
      <x:c r="R943" s="38" t="n">
        <x:f>P943-Q943</x:f>
        <x:v>0</x:v>
      </x:c>
      <x:c r="S943" s="38" t="n">
        <x:v>86000</x:v>
      </x:c>
      <x:c r="T943" s="38" t="n">
        <x:v>0</x:v>
      </x:c>
      <x:c r="U943" s="38" t="n">
        <x:v>58</x:v>
      </x:c>
      <x:c r="V943" s="38" t="n">
        <x:v>0</x:v>
      </x:c>
      <x:c r="W943" s="38" t="n">
        <x:v>0</x:v>
      </x:c>
      <x:c r="X943" s="44" t="n">
        <x:v>49.95</x:v>
      </x:c>
      <x:c r="Y943" s="38" t="n">
        <x:v>200</x:v>
      </x:c>
      <x:c r="Z943" s="38" t="n">
        <x:v>40</x:v>
      </x:c>
      <x:c r="AA943" s="38" t="n">
        <x:v>33</x:v>
      </x:c>
      <x:c r="AB943" s="38" t="n">
        <x:v>9</x:v>
      </x:c>
      <x:c r="AC943" s="38" t="n">
        <x:v>10800</x:v>
      </x:c>
      <x:c r="AD943" s="38" t="n">
        <x:v>0</x:v>
      </x:c>
      <x:c r="AE943" s="38" t="n">
        <x:f>IF(B943=1,0,F943-Q942)</x:f>
        <x:v>0</x:v>
      </x:c>
    </x:row>
    <x:row r="944" ht="27" customHeight="1">
      <x:c r="A944" s="28" t="str">
        <x:v>Paid capacity ceiling</x:v>
      </x:c>
      <x:c r="B944" s="38" t="n">
        <x:v>100</x:v>
      </x:c>
      <x:c r="C944" s="38" t="n">
        <x:v>40</x:v>
      </x:c>
      <x:c r="D944" s="38" t="n">
        <x:v>742640</x:v>
      </x:c>
      <x:c r="E944" s="38" t="n">
        <x:v>100</x:v>
      </x:c>
      <x:c r="F944" s="38" t="n">
        <x:v>3549277</x:v>
      </x:c>
      <x:c r="G944" s="38" t="n">
        <x:v>107600</x:v>
      </x:c>
      <x:c r="H944" s="38" t="n">
        <x:v>21600</x:v>
      </x:c>
      <x:c r="I944" s="38" t="n">
        <x:v>4959</x:v>
      </x:c>
      <x:c r="J944" s="38" t="n">
        <x:v>0</x:v>
      </x:c>
      <x:c r="K944" s="38" t="n">
        <x:v>0</x:v>
      </x:c>
      <x:c r="L944" s="38" t="n">
        <x:v>0</x:v>
      </x:c>
      <x:c r="M944" s="38" t="n">
        <x:v>0</x:v>
      </x:c>
      <x:c r="N944" s="38" t="n">
        <x:v>9820</x:v>
      </x:c>
      <x:c r="O944" s="38" t="n">
        <x:v>30100</x:v>
      </x:c>
      <x:c r="P944" s="38" t="n">
        <x:f>F944+G944-H944+I944+J944+K944+L944-M944-N944-O944</x:f>
        <x:v>3600316</x:v>
      </x:c>
      <x:c r="Q944" s="38" t="n">
        <x:v>3600316</x:v>
      </x:c>
      <x:c r="R944" s="38" t="n">
        <x:f>P944-Q944</x:f>
        <x:v>0</x:v>
      </x:c>
      <x:c r="S944" s="38" t="n">
        <x:v>86000</x:v>
      </x:c>
      <x:c r="T944" s="38" t="n">
        <x:v>0</x:v>
      </x:c>
      <x:c r="U944" s="38" t="n">
        <x:v>58</x:v>
      </x:c>
      <x:c r="V944" s="38" t="n">
        <x:v>0</x:v>
      </x:c>
      <x:c r="W944" s="38" t="n">
        <x:v>0</x:v>
      </x:c>
      <x:c r="X944" s="44" t="n">
        <x:v>49.95</x:v>
      </x:c>
      <x:c r="Y944" s="38" t="n">
        <x:v>200</x:v>
      </x:c>
      <x:c r="Z944" s="38" t="n">
        <x:v>40</x:v>
      </x:c>
      <x:c r="AA944" s="38" t="n">
        <x:v>34</x:v>
      </x:c>
      <x:c r="AB944" s="38" t="n">
        <x:v>9</x:v>
      </x:c>
      <x:c r="AC944" s="38" t="n">
        <x:v>10800</x:v>
      </x:c>
      <x:c r="AD944" s="38" t="n">
        <x:v>0</x:v>
      </x:c>
      <x:c r="AE944" s="38" t="n">
        <x:f>IF(B944=1,0,F944-Q943)</x:f>
        <x:v>0</x:v>
      </x:c>
    </x:row>
    <x:row r="945" ht="27" customHeight="1">
      <x:c r="A945" s="28" t="str">
        <x:v>Paid capacity ceiling</x:v>
      </x:c>
      <x:c r="B945" s="38" t="n">
        <x:v>101</x:v>
      </x:c>
      <x:c r="C945" s="38" t="n">
        <x:v>40</x:v>
      </x:c>
      <x:c r="D945" s="38" t="n">
        <x:v>742640</x:v>
      </x:c>
      <x:c r="E945" s="38" t="n">
        <x:v>100</x:v>
      </x:c>
      <x:c r="F945" s="38" t="n">
        <x:v>3600316</x:v>
      </x:c>
      <x:c r="G945" s="38" t="n">
        <x:v>107600</x:v>
      </x:c>
      <x:c r="H945" s="38" t="n">
        <x:v>21600</x:v>
      </x:c>
      <x:c r="I945" s="38" t="n">
        <x:v>4959</x:v>
      </x:c>
      <x:c r="J945" s="38" t="n">
        <x:v>0</x:v>
      </x:c>
      <x:c r="K945" s="38" t="n">
        <x:v>0</x:v>
      </x:c>
      <x:c r="L945" s="38" t="n">
        <x:v>0</x:v>
      </x:c>
      <x:c r="M945" s="38" t="n">
        <x:v>0</x:v>
      </x:c>
      <x:c r="N945" s="38" t="n">
        <x:v>0</x:v>
      </x:c>
      <x:c r="O945" s="38" t="n">
        <x:v>30100</x:v>
      </x:c>
      <x:c r="P945" s="38" t="n">
        <x:f>F945+G945-H945+I945+J945+K945+L945-M945-N945-O945</x:f>
        <x:v>3661175</x:v>
      </x:c>
      <x:c r="Q945" s="38" t="n">
        <x:v>3661175</x:v>
      </x:c>
      <x:c r="R945" s="38" t="n">
        <x:f>P945-Q945</x:f>
        <x:v>0</x:v>
      </x:c>
      <x:c r="S945" s="38" t="n">
        <x:v>86000</x:v>
      </x:c>
      <x:c r="T945" s="38" t="n">
        <x:v>0</x:v>
      </x:c>
      <x:c r="U945" s="38" t="n">
        <x:v>58</x:v>
      </x:c>
      <x:c r="V945" s="38" t="n">
        <x:v>0</x:v>
      </x:c>
      <x:c r="W945" s="38" t="n">
        <x:v>0</x:v>
      </x:c>
      <x:c r="X945" s="44" t="n">
        <x:v>49.95</x:v>
      </x:c>
      <x:c r="Y945" s="38" t="n">
        <x:v>200</x:v>
      </x:c>
      <x:c r="Z945" s="38" t="n">
        <x:v>40</x:v>
      </x:c>
      <x:c r="AA945" s="38" t="n">
        <x:v>34</x:v>
      </x:c>
      <x:c r="AB945" s="38" t="n">
        <x:v>9</x:v>
      </x:c>
      <x:c r="AC945" s="38" t="n">
        <x:v>10800</x:v>
      </x:c>
      <x:c r="AD945" s="38" t="n">
        <x:v>0</x:v>
      </x:c>
      <x:c r="AE945" s="38" t="n">
        <x:f>IF(B945=1,0,F945-Q944)</x:f>
        <x:v>0</x:v>
      </x:c>
    </x:row>
    <x:row r="946" ht="27" customHeight="1">
      <x:c r="A946" s="28" t="str">
        <x:v>Paid capacity ceiling</x:v>
      </x:c>
      <x:c r="B946" s="38" t="n">
        <x:v>102</x:v>
      </x:c>
      <x:c r="C946" s="38" t="n">
        <x:v>40</x:v>
      </x:c>
      <x:c r="D946" s="38" t="n">
        <x:v>742640</x:v>
      </x:c>
      <x:c r="E946" s="38" t="n">
        <x:v>100</x:v>
      </x:c>
      <x:c r="F946" s="38" t="n">
        <x:v>3661175</x:v>
      </x:c>
      <x:c r="G946" s="38" t="n">
        <x:v>107600</x:v>
      </x:c>
      <x:c r="H946" s="38" t="n">
        <x:v>21600</x:v>
      </x:c>
      <x:c r="I946" s="38" t="n">
        <x:v>4959</x:v>
      </x:c>
      <x:c r="J946" s="38" t="n">
        <x:v>0</x:v>
      </x:c>
      <x:c r="K946" s="38" t="n">
        <x:v>0</x:v>
      </x:c>
      <x:c r="L946" s="38" t="n">
        <x:v>0</x:v>
      </x:c>
      <x:c r="M946" s="38" t="n">
        <x:v>0</x:v>
      </x:c>
      <x:c r="N946" s="38" t="n">
        <x:v>0</x:v>
      </x:c>
      <x:c r="O946" s="38" t="n">
        <x:v>30100</x:v>
      </x:c>
      <x:c r="P946" s="38" t="n">
        <x:f>F946+G946-H946+I946+J946+K946+L946-M946-N946-O946</x:f>
        <x:v>3722034</x:v>
      </x:c>
      <x:c r="Q946" s="38" t="n">
        <x:v>3722034</x:v>
      </x:c>
      <x:c r="R946" s="38" t="n">
        <x:f>P946-Q946</x:f>
        <x:v>0</x:v>
      </x:c>
      <x:c r="S946" s="38" t="n">
        <x:v>86000</x:v>
      </x:c>
      <x:c r="T946" s="38" t="n">
        <x:v>0</x:v>
      </x:c>
      <x:c r="U946" s="38" t="n">
        <x:v>58</x:v>
      </x:c>
      <x:c r="V946" s="38" t="n">
        <x:v>0</x:v>
      </x:c>
      <x:c r="W946" s="38" t="n">
        <x:v>0</x:v>
      </x:c>
      <x:c r="X946" s="44" t="n">
        <x:v>49.95</x:v>
      </x:c>
      <x:c r="Y946" s="38" t="n">
        <x:v>200</x:v>
      </x:c>
      <x:c r="Z946" s="38" t="n">
        <x:v>40</x:v>
      </x:c>
      <x:c r="AA946" s="38" t="n">
        <x:v>34</x:v>
      </x:c>
      <x:c r="AB946" s="38" t="n">
        <x:v>9</x:v>
      </x:c>
      <x:c r="AC946" s="38" t="n">
        <x:v>10800</x:v>
      </x:c>
      <x:c r="AD946" s="38" t="n">
        <x:v>0</x:v>
      </x:c>
      <x:c r="AE946" s="38" t="n">
        <x:f>IF(B946=1,0,F946-Q945)</x:f>
        <x:v>0</x:v>
      </x:c>
    </x:row>
    <x:row r="947" ht="27" customHeight="1">
      <x:c r="A947" s="28" t="str">
        <x:v>Paid capacity ceiling</x:v>
      </x:c>
      <x:c r="B947" s="38" t="n">
        <x:v>103</x:v>
      </x:c>
      <x:c r="C947" s="38" t="n">
        <x:v>40</x:v>
      </x:c>
      <x:c r="D947" s="38" t="n">
        <x:v>742640</x:v>
      </x:c>
      <x:c r="E947" s="38" t="n">
        <x:v>100</x:v>
      </x:c>
      <x:c r="F947" s="38" t="n">
        <x:v>3722034</x:v>
      </x:c>
      <x:c r="G947" s="38" t="n">
        <x:v>107600</x:v>
      </x:c>
      <x:c r="H947" s="38" t="n">
        <x:v>21600</x:v>
      </x:c>
      <x:c r="I947" s="38" t="n">
        <x:v>4959</x:v>
      </x:c>
      <x:c r="J947" s="38" t="n">
        <x:v>0</x:v>
      </x:c>
      <x:c r="K947" s="38" t="n">
        <x:v>0</x:v>
      </x:c>
      <x:c r="L947" s="38" t="n">
        <x:v>0</x:v>
      </x:c>
      <x:c r="M947" s="38" t="n">
        <x:v>0</x:v>
      </x:c>
      <x:c r="N947" s="38" t="n">
        <x:v>11865</x:v>
      </x:c>
      <x:c r="O947" s="38" t="n">
        <x:v>30100</x:v>
      </x:c>
      <x:c r="P947" s="38" t="n">
        <x:f>F947+G947-H947+I947+J947+K947+L947-M947-N947-O947</x:f>
        <x:v>3771028</x:v>
      </x:c>
      <x:c r="Q947" s="38" t="n">
        <x:v>3771028</x:v>
      </x:c>
      <x:c r="R947" s="38" t="n">
        <x:f>P947-Q947</x:f>
        <x:v>0</x:v>
      </x:c>
      <x:c r="S947" s="38" t="n">
        <x:v>86000</x:v>
      </x:c>
      <x:c r="T947" s="38" t="n">
        <x:v>0</x:v>
      </x:c>
      <x:c r="U947" s="38" t="n">
        <x:v>58</x:v>
      </x:c>
      <x:c r="V947" s="38" t="n">
        <x:v>0</x:v>
      </x:c>
      <x:c r="W947" s="38" t="n">
        <x:v>0</x:v>
      </x:c>
      <x:c r="X947" s="44" t="n">
        <x:v>49.95</x:v>
      </x:c>
      <x:c r="Y947" s="38" t="n">
        <x:v>200</x:v>
      </x:c>
      <x:c r="Z947" s="38" t="n">
        <x:v>40</x:v>
      </x:c>
      <x:c r="AA947" s="38" t="n">
        <x:v>35</x:v>
      </x:c>
      <x:c r="AB947" s="38" t="n">
        <x:v>9</x:v>
      </x:c>
      <x:c r="AC947" s="38" t="n">
        <x:v>10800</x:v>
      </x:c>
      <x:c r="AD947" s="38" t="n">
        <x:v>0</x:v>
      </x:c>
      <x:c r="AE947" s="38" t="n">
        <x:f>IF(B947=1,0,F947-Q946)</x:f>
        <x:v>0</x:v>
      </x:c>
    </x:row>
    <x:row r="948" ht="27" customHeight="1">
      <x:c r="A948" s="28" t="str">
        <x:v>Paid capacity ceiling</x:v>
      </x:c>
      <x:c r="B948" s="38" t="n">
        <x:v>104</x:v>
      </x:c>
      <x:c r="C948" s="38" t="n">
        <x:v>40</x:v>
      </x:c>
      <x:c r="D948" s="38" t="n">
        <x:v>742640</x:v>
      </x:c>
      <x:c r="E948" s="38" t="n">
        <x:v>100</x:v>
      </x:c>
      <x:c r="F948" s="38" t="n">
        <x:v>3771028</x:v>
      </x:c>
      <x:c r="G948" s="38" t="n">
        <x:v>107600</x:v>
      </x:c>
      <x:c r="H948" s="38" t="n">
        <x:v>21600</x:v>
      </x:c>
      <x:c r="I948" s="38" t="n">
        <x:v>4959</x:v>
      </x:c>
      <x:c r="J948" s="38" t="n">
        <x:v>0</x:v>
      </x:c>
      <x:c r="K948" s="38" t="n">
        <x:v>0</x:v>
      </x:c>
      <x:c r="L948" s="38" t="n">
        <x:v>0</x:v>
      </x:c>
      <x:c r="M948" s="38" t="n">
        <x:v>0</x:v>
      </x:c>
      <x:c r="N948" s="38" t="n">
        <x:v>0</x:v>
      </x:c>
      <x:c r="O948" s="38" t="n">
        <x:v>30100</x:v>
      </x:c>
      <x:c r="P948" s="38" t="n">
        <x:f>F948+G948-H948+I948+J948+K948+L948-M948-N948-O948</x:f>
        <x:v>3831887</x:v>
      </x:c>
      <x:c r="Q948" s="38" t="n">
        <x:v>3831887</x:v>
      </x:c>
      <x:c r="R948" s="38" t="n">
        <x:f>P948-Q948</x:f>
        <x:v>0</x:v>
      </x:c>
      <x:c r="S948" s="38" t="n">
        <x:v>86000</x:v>
      </x:c>
      <x:c r="T948" s="38" t="n">
        <x:v>0</x:v>
      </x:c>
      <x:c r="U948" s="38" t="n">
        <x:v>58</x:v>
      </x:c>
      <x:c r="V948" s="38" t="n">
        <x:v>0</x:v>
      </x:c>
      <x:c r="W948" s="38" t="n">
        <x:v>0</x:v>
      </x:c>
      <x:c r="X948" s="44" t="n">
        <x:v>49.95</x:v>
      </x:c>
      <x:c r="Y948" s="38" t="n">
        <x:v>200</x:v>
      </x:c>
      <x:c r="Z948" s="38" t="n">
        <x:v>40</x:v>
      </x:c>
      <x:c r="AA948" s="38" t="n">
        <x:v>35</x:v>
      </x:c>
      <x:c r="AB948" s="38" t="n">
        <x:v>9</x:v>
      </x:c>
      <x:c r="AC948" s="38" t="n">
        <x:v>10800</x:v>
      </x:c>
      <x:c r="AD948" s="38" t="n">
        <x:v>0</x:v>
      </x:c>
      <x:c r="AE948" s="38" t="n">
        <x:f>IF(B948=1,0,F948-Q947)</x:f>
        <x:v>0</x:v>
      </x:c>
    </x:row>
    <x:row r="949" ht="27" customHeight="1">
      <x:c r="A949" s="28" t="str">
        <x:v>Paid capacity ceiling</x:v>
      </x:c>
      <x:c r="B949" s="38" t="n">
        <x:v>105</x:v>
      </x:c>
      <x:c r="C949" s="38" t="n">
        <x:v>40</x:v>
      </x:c>
      <x:c r="D949" s="38" t="n">
        <x:v>742640</x:v>
      </x:c>
      <x:c r="E949" s="38" t="n">
        <x:v>100</x:v>
      </x:c>
      <x:c r="F949" s="38" t="n">
        <x:v>3831887</x:v>
      </x:c>
      <x:c r="G949" s="38" t="n">
        <x:v>107600</x:v>
      </x:c>
      <x:c r="H949" s="38" t="n">
        <x:v>21600</x:v>
      </x:c>
      <x:c r="I949" s="38" t="n">
        <x:v>29754</x:v>
      </x:c>
      <x:c r="J949" s="38" t="n">
        <x:v>0</x:v>
      </x:c>
      <x:c r="K949" s="38" t="n">
        <x:v>0</x:v>
      </x:c>
      <x:c r="L949" s="38" t="n">
        <x:v>0</x:v>
      </x:c>
      <x:c r="M949" s="38" t="n">
        <x:v>0</x:v>
      </x:c>
      <x:c r="N949" s="38" t="n">
        <x:v>0</x:v>
      </x:c>
      <x:c r="O949" s="38" t="n">
        <x:v>30100</x:v>
      </x:c>
      <x:c r="P949" s="38" t="n">
        <x:f>F949+G949-H949+I949+J949+K949+L949-M949-N949-O949</x:f>
        <x:v>3917541</x:v>
      </x:c>
      <x:c r="Q949" s="38" t="n">
        <x:v>3917541</x:v>
      </x:c>
      <x:c r="R949" s="38" t="n">
        <x:f>P949-Q949</x:f>
        <x:v>0</x:v>
      </x:c>
      <x:c r="S949" s="38" t="n">
        <x:v>86000</x:v>
      </x:c>
      <x:c r="T949" s="38" t="n">
        <x:v>0</x:v>
      </x:c>
      <x:c r="U949" s="38" t="n">
        <x:v>60</x:v>
      </x:c>
      <x:c r="V949" s="38" t="n">
        <x:v>2</x:v>
      </x:c>
      <x:c r="W949" s="38" t="n">
        <x:v>0</x:v>
      </x:c>
      <x:c r="X949" s="44" t="n">
        <x:v>49.95</x:v>
      </x:c>
      <x:c r="Y949" s="38" t="n">
        <x:v>200</x:v>
      </x:c>
      <x:c r="Z949" s="38" t="n">
        <x:v>40</x:v>
      </x:c>
      <x:c r="AA949" s="38" t="n">
        <x:v>35</x:v>
      </x:c>
      <x:c r="AB949" s="38" t="n">
        <x:v>9</x:v>
      </x:c>
      <x:c r="AC949" s="38" t="n">
        <x:v>10800</x:v>
      </x:c>
      <x:c r="AD949" s="38" t="n">
        <x:v>0</x:v>
      </x:c>
      <x:c r="AE949" s="38" t="n">
        <x:f>IF(B949=1,0,F949-Q948)</x:f>
        <x:v>0</x:v>
      </x:c>
    </x:row>
    <x:row r="950" ht="27" customHeight="1">
      <x:c r="A950" s="28" t="str">
        <x:v>Paid capacity ceiling</x:v>
      </x:c>
      <x:c r="B950" s="38" t="n">
        <x:v>106</x:v>
      </x:c>
      <x:c r="C950" s="38" t="n">
        <x:v>40</x:v>
      </x:c>
      <x:c r="D950" s="38" t="n">
        <x:v>742640</x:v>
      </x:c>
      <x:c r="E950" s="38" t="n">
        <x:v>100</x:v>
      </x:c>
      <x:c r="F950" s="38" t="n">
        <x:v>3917541</x:v>
      </x:c>
      <x:c r="G950" s="38" t="n">
        <x:v>107600</x:v>
      </x:c>
      <x:c r="H950" s="38" t="n">
        <x:v>21600</x:v>
      </x:c>
      <x:c r="I950" s="38" t="n">
        <x:v>4959</x:v>
      </x:c>
      <x:c r="J950" s="38" t="n">
        <x:v>0</x:v>
      </x:c>
      <x:c r="K950" s="38" t="n">
        <x:v>0</x:v>
      </x:c>
      <x:c r="L950" s="38" t="n">
        <x:v>0</x:v>
      </x:c>
      <x:c r="M950" s="38" t="n">
        <x:v>0</x:v>
      </x:c>
      <x:c r="N950" s="38" t="n">
        <x:v>12120</x:v>
      </x:c>
      <x:c r="O950" s="38" t="n">
        <x:v>30100</x:v>
      </x:c>
      <x:c r="P950" s="38" t="n">
        <x:f>F950+G950-H950+I950+J950+K950+L950-M950-N950-O950</x:f>
        <x:v>3966280</x:v>
      </x:c>
      <x:c r="Q950" s="38" t="n">
        <x:v>3966280</x:v>
      </x:c>
      <x:c r="R950" s="38" t="n">
        <x:f>P950-Q950</x:f>
        <x:v>0</x:v>
      </x:c>
      <x:c r="S950" s="38" t="n">
        <x:v>86000</x:v>
      </x:c>
      <x:c r="T950" s="38" t="n">
        <x:v>0</x:v>
      </x:c>
      <x:c r="U950" s="38" t="n">
        <x:v>64</x:v>
      </x:c>
      <x:c r="V950" s="38" t="n">
        <x:v>4</x:v>
      </x:c>
      <x:c r="W950" s="38" t="n">
        <x:v>0</x:v>
      </x:c>
      <x:c r="X950" s="44" t="n">
        <x:v>49.95</x:v>
      </x:c>
      <x:c r="Y950" s="38" t="n">
        <x:v>200</x:v>
      </x:c>
      <x:c r="Z950" s="38" t="n">
        <x:v>40</x:v>
      </x:c>
      <x:c r="AA950" s="38" t="n">
        <x:v>36</x:v>
      </x:c>
      <x:c r="AB950" s="38" t="n">
        <x:v>9</x:v>
      </x:c>
      <x:c r="AC950" s="38" t="n">
        <x:v>10800</x:v>
      </x:c>
      <x:c r="AD950" s="38" t="n">
        <x:v>0</x:v>
      </x:c>
      <x:c r="AE950" s="38" t="n">
        <x:f>IF(B950=1,0,F950-Q949)</x:f>
        <x:v>0</x:v>
      </x:c>
    </x:row>
    <x:row r="951" ht="27" customHeight="1">
      <x:c r="A951" s="28" t="str">
        <x:v>Paid capacity ceiling</x:v>
      </x:c>
      <x:c r="B951" s="38" t="n">
        <x:v>107</x:v>
      </x:c>
      <x:c r="C951" s="38" t="n">
        <x:v>40</x:v>
      </x:c>
      <x:c r="D951" s="38" t="n">
        <x:v>742640</x:v>
      </x:c>
      <x:c r="E951" s="38" t="n">
        <x:v>100</x:v>
      </x:c>
      <x:c r="F951" s="38" t="n">
        <x:v>3966280</x:v>
      </x:c>
      <x:c r="G951" s="38" t="n">
        <x:v>107600</x:v>
      </x:c>
      <x:c r="H951" s="38" t="n">
        <x:v>21600</x:v>
      </x:c>
      <x:c r="I951" s="38" t="n">
        <x:v>4959</x:v>
      </x:c>
      <x:c r="J951" s="38" t="n">
        <x:v>0</x:v>
      </x:c>
      <x:c r="K951" s="38" t="n">
        <x:v>0</x:v>
      </x:c>
      <x:c r="L951" s="38" t="n">
        <x:v>0</x:v>
      </x:c>
      <x:c r="M951" s="38" t="n">
        <x:v>0</x:v>
      </x:c>
      <x:c r="N951" s="38" t="n">
        <x:v>0</x:v>
      </x:c>
      <x:c r="O951" s="38" t="n">
        <x:v>30100</x:v>
      </x:c>
      <x:c r="P951" s="38" t="n">
        <x:f>F951+G951-H951+I951+J951+K951+L951-M951-N951-O951</x:f>
        <x:v>4027139</x:v>
      </x:c>
      <x:c r="Q951" s="38" t="n">
        <x:v>4027139</x:v>
      </x:c>
      <x:c r="R951" s="38" t="n">
        <x:f>P951-Q951</x:f>
        <x:v>0</x:v>
      </x:c>
      <x:c r="S951" s="38" t="n">
        <x:v>86000</x:v>
      </x:c>
      <x:c r="T951" s="38" t="n">
        <x:v>0</x:v>
      </x:c>
      <x:c r="U951" s="38" t="n">
        <x:v>64</x:v>
      </x:c>
      <x:c r="V951" s="38" t="n">
        <x:v>0</x:v>
      </x:c>
      <x:c r="W951" s="38" t="n">
        <x:v>0</x:v>
      </x:c>
      <x:c r="X951" s="44" t="n">
        <x:v>49.95</x:v>
      </x:c>
      <x:c r="Y951" s="38" t="n">
        <x:v>200</x:v>
      </x:c>
      <x:c r="Z951" s="38" t="n">
        <x:v>40</x:v>
      </x:c>
      <x:c r="AA951" s="38" t="n">
        <x:v>36</x:v>
      </x:c>
      <x:c r="AB951" s="38" t="n">
        <x:v>9</x:v>
      </x:c>
      <x:c r="AC951" s="38" t="n">
        <x:v>10800</x:v>
      </x:c>
      <x:c r="AD951" s="38" t="n">
        <x:v>0</x:v>
      </x:c>
      <x:c r="AE951" s="38" t="n">
        <x:f>IF(B951=1,0,F951-Q950)</x:f>
        <x:v>0</x:v>
      </x:c>
    </x:row>
    <x:row r="952" ht="27" customHeight="1">
      <x:c r="A952" s="28" t="str">
        <x:v>Paid capacity ceiling</x:v>
      </x:c>
      <x:c r="B952" s="38" t="n">
        <x:v>108</x:v>
      </x:c>
      <x:c r="C952" s="38" t="n">
        <x:v>40</x:v>
      </x:c>
      <x:c r="D952" s="38" t="n">
        <x:v>742640</x:v>
      </x:c>
      <x:c r="E952" s="38" t="n">
        <x:v>100</x:v>
      </x:c>
      <x:c r="F952" s="38" t="n">
        <x:v>4027139</x:v>
      </x:c>
      <x:c r="G952" s="38" t="n">
        <x:v>107600</x:v>
      </x:c>
      <x:c r="H952" s="38" t="n">
        <x:v>21600</x:v>
      </x:c>
      <x:c r="I952" s="38" t="n">
        <x:v>4959</x:v>
      </x:c>
      <x:c r="J952" s="38" t="n">
        <x:v>0</x:v>
      </x:c>
      <x:c r="K952" s="38" t="n">
        <x:v>0</x:v>
      </x:c>
      <x:c r="L952" s="38" t="n">
        <x:v>0</x:v>
      </x:c>
      <x:c r="M952" s="38" t="n">
        <x:v>0</x:v>
      </x:c>
      <x:c r="N952" s="38" t="n">
        <x:v>0</x:v>
      </x:c>
      <x:c r="O952" s="38" t="n">
        <x:v>30100</x:v>
      </x:c>
      <x:c r="P952" s="38" t="n">
        <x:f>F952+G952-H952+I952+J952+K952+L952-M952-N952-O952</x:f>
        <x:v>4087998</x:v>
      </x:c>
      <x:c r="Q952" s="38" t="n">
        <x:v>4087998</x:v>
      </x:c>
      <x:c r="R952" s="38" t="n">
        <x:f>P952-Q952</x:f>
        <x:v>0</x:v>
      </x:c>
      <x:c r="S952" s="38" t="n">
        <x:v>86000</x:v>
      </x:c>
      <x:c r="T952" s="38" t="n">
        <x:v>0</x:v>
      </x:c>
      <x:c r="U952" s="38" t="n">
        <x:v>64</x:v>
      </x:c>
      <x:c r="V952" s="38" t="n">
        <x:v>0</x:v>
      </x:c>
      <x:c r="W952" s="38" t="n">
        <x:v>0</x:v>
      </x:c>
      <x:c r="X952" s="44" t="n">
        <x:v>49.95</x:v>
      </x:c>
      <x:c r="Y952" s="38" t="n">
        <x:v>200</x:v>
      </x:c>
      <x:c r="Z952" s="38" t="n">
        <x:v>40</x:v>
      </x:c>
      <x:c r="AA952" s="38" t="n">
        <x:v>36</x:v>
      </x:c>
      <x:c r="AB952" s="38" t="n">
        <x:v>9</x:v>
      </x:c>
      <x:c r="AC952" s="38" t="n">
        <x:v>10800</x:v>
      </x:c>
      <x:c r="AD952" s="38" t="n">
        <x:v>0</x:v>
      </x:c>
      <x:c r="AE952" s="38" t="n">
        <x:f>IF(B952=1,0,F952-Q951)</x:f>
        <x:v>0</x:v>
      </x:c>
    </x:row>
    <x:row r="953" ht="27" customHeight="1">
      <x:c r="A953" s="28" t="str">
        <x:v>Paid capacity ceiling</x:v>
      </x:c>
      <x:c r="B953" s="38" t="n">
        <x:v>109</x:v>
      </x:c>
      <x:c r="C953" s="38" t="n">
        <x:v>40</x:v>
      </x:c>
      <x:c r="D953" s="38" t="n">
        <x:v>742640</x:v>
      </x:c>
      <x:c r="E953" s="38" t="n">
        <x:v>100</x:v>
      </x:c>
      <x:c r="F953" s="38" t="n">
        <x:v>4087998</x:v>
      </x:c>
      <x:c r="G953" s="38" t="n">
        <x:v>107600</x:v>
      </x:c>
      <x:c r="H953" s="38" t="n">
        <x:v>21600</x:v>
      </x:c>
      <x:c r="I953" s="38" t="n">
        <x:v>4959</x:v>
      </x:c>
      <x:c r="J953" s="38" t="n">
        <x:v>0</x:v>
      </x:c>
      <x:c r="K953" s="38" t="n">
        <x:v>0</x:v>
      </x:c>
      <x:c r="L953" s="38" t="n">
        <x:v>0</x:v>
      </x:c>
      <x:c r="M953" s="38" t="n">
        <x:v>0</x:v>
      </x:c>
      <x:c r="N953" s="38" t="n">
        <x:v>12375</x:v>
      </x:c>
      <x:c r="O953" s="38" t="n">
        <x:v>30100</x:v>
      </x:c>
      <x:c r="P953" s="38" t="n">
        <x:f>F953+G953-H953+I953+J953+K953+L953-M953-N953-O953</x:f>
        <x:v>4136482</x:v>
      </x:c>
      <x:c r="Q953" s="38" t="n">
        <x:v>4136482</x:v>
      </x:c>
      <x:c r="R953" s="38" t="n">
        <x:f>P953-Q953</x:f>
        <x:v>0</x:v>
      </x:c>
      <x:c r="S953" s="38" t="n">
        <x:v>86000</x:v>
      </x:c>
      <x:c r="T953" s="38" t="n">
        <x:v>0</x:v>
      </x:c>
      <x:c r="U953" s="38" t="n">
        <x:v>64</x:v>
      </x:c>
      <x:c r="V953" s="38" t="n">
        <x:v>0</x:v>
      </x:c>
      <x:c r="W953" s="38" t="n">
        <x:v>0</x:v>
      </x:c>
      <x:c r="X953" s="44" t="n">
        <x:v>49.95</x:v>
      </x:c>
      <x:c r="Y953" s="38" t="n">
        <x:v>200</x:v>
      </x:c>
      <x:c r="Z953" s="38" t="n">
        <x:v>40</x:v>
      </x:c>
      <x:c r="AA953" s="38" t="n">
        <x:v>37</x:v>
      </x:c>
      <x:c r="AB953" s="38" t="n">
        <x:v>9</x:v>
      </x:c>
      <x:c r="AC953" s="38" t="n">
        <x:v>10800</x:v>
      </x:c>
      <x:c r="AD953" s="38" t="n">
        <x:v>0</x:v>
      </x:c>
      <x:c r="AE953" s="38" t="n">
        <x:f>IF(B953=1,0,F953-Q952)</x:f>
        <x:v>0</x:v>
      </x:c>
    </x:row>
    <x:row r="954" ht="27" customHeight="1">
      <x:c r="A954" s="28" t="str">
        <x:v>Paid capacity ceiling</x:v>
      </x:c>
      <x:c r="B954" s="38" t="n">
        <x:v>110</x:v>
      </x:c>
      <x:c r="C954" s="38" t="n">
        <x:v>40</x:v>
      </x:c>
      <x:c r="D954" s="38" t="n">
        <x:v>742640</x:v>
      </x:c>
      <x:c r="E954" s="38" t="n">
        <x:v>100</x:v>
      </x:c>
      <x:c r="F954" s="38" t="n">
        <x:v>4136482</x:v>
      </x:c>
      <x:c r="G954" s="38" t="n">
        <x:v>107600</x:v>
      </x:c>
      <x:c r="H954" s="38" t="n">
        <x:v>21600</x:v>
      </x:c>
      <x:c r="I954" s="38" t="n">
        <x:v>4959</x:v>
      </x:c>
      <x:c r="J954" s="38" t="n">
        <x:v>0</x:v>
      </x:c>
      <x:c r="K954" s="38" t="n">
        <x:v>0</x:v>
      </x:c>
      <x:c r="L954" s="38" t="n">
        <x:v>0</x:v>
      </x:c>
      <x:c r="M954" s="38" t="n">
        <x:v>0</x:v>
      </x:c>
      <x:c r="N954" s="38" t="n">
        <x:v>0</x:v>
      </x:c>
      <x:c r="O954" s="38" t="n">
        <x:v>30100</x:v>
      </x:c>
      <x:c r="P954" s="38" t="n">
        <x:f>F954+G954-H954+I954+J954+K954+L954-M954-N954-O954</x:f>
        <x:v>4197341</x:v>
      </x:c>
      <x:c r="Q954" s="38" t="n">
        <x:v>4197341</x:v>
      </x:c>
      <x:c r="R954" s="38" t="n">
        <x:f>P954-Q954</x:f>
        <x:v>0</x:v>
      </x:c>
      <x:c r="S954" s="38" t="n">
        <x:v>86000</x:v>
      </x:c>
      <x:c r="T954" s="38" t="n">
        <x:v>0</x:v>
      </x:c>
      <x:c r="U954" s="38" t="n">
        <x:v>64</x:v>
      </x:c>
      <x:c r="V954" s="38" t="n">
        <x:v>0</x:v>
      </x:c>
      <x:c r="W954" s="38" t="n">
        <x:v>0</x:v>
      </x:c>
      <x:c r="X954" s="44" t="n">
        <x:v>49.95</x:v>
      </x:c>
      <x:c r="Y954" s="38" t="n">
        <x:v>200</x:v>
      </x:c>
      <x:c r="Z954" s="38" t="n">
        <x:v>40</x:v>
      </x:c>
      <x:c r="AA954" s="38" t="n">
        <x:v>37</x:v>
      </x:c>
      <x:c r="AB954" s="38" t="n">
        <x:v>9</x:v>
      </x:c>
      <x:c r="AC954" s="38" t="n">
        <x:v>10800</x:v>
      </x:c>
      <x:c r="AD954" s="38" t="n">
        <x:v>0</x:v>
      </x:c>
      <x:c r="AE954" s="38" t="n">
        <x:f>IF(B954=1,0,F954-Q953)</x:f>
        <x:v>0</x:v>
      </x:c>
    </x:row>
    <x:row r="955" ht="27" customHeight="1">
      <x:c r="A955" s="28" t="str">
        <x:v>Paid capacity ceiling</x:v>
      </x:c>
      <x:c r="B955" s="38" t="n">
        <x:v>111</x:v>
      </x:c>
      <x:c r="C955" s="38" t="n">
        <x:v>40</x:v>
      </x:c>
      <x:c r="D955" s="38" t="n">
        <x:v>742640</x:v>
      </x:c>
      <x:c r="E955" s="38" t="n">
        <x:v>100</x:v>
      </x:c>
      <x:c r="F955" s="38" t="n">
        <x:v>4197341</x:v>
      </x:c>
      <x:c r="G955" s="38" t="n">
        <x:v>107600</x:v>
      </x:c>
      <x:c r="H955" s="38" t="n">
        <x:v>21600</x:v>
      </x:c>
      <x:c r="I955" s="38" t="n">
        <x:v>4959</x:v>
      </x:c>
      <x:c r="J955" s="38" t="n">
        <x:v>0</x:v>
      </x:c>
      <x:c r="K955" s="38" t="n">
        <x:v>0</x:v>
      </x:c>
      <x:c r="L955" s="38" t="n">
        <x:v>0</x:v>
      </x:c>
      <x:c r="M955" s="38" t="n">
        <x:v>0</x:v>
      </x:c>
      <x:c r="N955" s="38" t="n">
        <x:v>0</x:v>
      </x:c>
      <x:c r="O955" s="38" t="n">
        <x:v>30100</x:v>
      </x:c>
      <x:c r="P955" s="38" t="n">
        <x:f>F955+G955-H955+I955+J955+K955+L955-M955-N955-O955</x:f>
        <x:v>4258200</x:v>
      </x:c>
      <x:c r="Q955" s="38" t="n">
        <x:v>4258200</x:v>
      </x:c>
      <x:c r="R955" s="38" t="n">
        <x:f>P955-Q955</x:f>
        <x:v>0</x:v>
      </x:c>
      <x:c r="S955" s="38" t="n">
        <x:v>86000</x:v>
      </x:c>
      <x:c r="T955" s="38" t="n">
        <x:v>0</x:v>
      </x:c>
      <x:c r="U955" s="38" t="n">
        <x:v>64</x:v>
      </x:c>
      <x:c r="V955" s="38" t="n">
        <x:v>0</x:v>
      </x:c>
      <x:c r="W955" s="38" t="n">
        <x:v>0</x:v>
      </x:c>
      <x:c r="X955" s="44" t="n">
        <x:v>49.95</x:v>
      </x:c>
      <x:c r="Y955" s="38" t="n">
        <x:v>200</x:v>
      </x:c>
      <x:c r="Z955" s="38" t="n">
        <x:v>40</x:v>
      </x:c>
      <x:c r="AA955" s="38" t="n">
        <x:v>37</x:v>
      </x:c>
      <x:c r="AB955" s="38" t="n">
        <x:v>9</x:v>
      </x:c>
      <x:c r="AC955" s="38" t="n">
        <x:v>10800</x:v>
      </x:c>
      <x:c r="AD955" s="38" t="n">
        <x:v>0</x:v>
      </x:c>
      <x:c r="AE955" s="38" t="n">
        <x:f>IF(B955=1,0,F955-Q954)</x:f>
        <x:v>0</x:v>
      </x:c>
    </x:row>
    <x:row r="956" ht="27" customHeight="1">
      <x:c r="A956" s="28" t="str">
        <x:v>Paid capacity ceiling</x:v>
      </x:c>
      <x:c r="B956" s="38" t="n">
        <x:v>112</x:v>
      </x:c>
      <x:c r="C956" s="38" t="n">
        <x:v>40</x:v>
      </x:c>
      <x:c r="D956" s="38" t="n">
        <x:v>742640</x:v>
      </x:c>
      <x:c r="E956" s="38" t="n">
        <x:v>100</x:v>
      </x:c>
      <x:c r="F956" s="38" t="n">
        <x:v>4258200</x:v>
      </x:c>
      <x:c r="G956" s="38" t="n">
        <x:v>107600</x:v>
      </x:c>
      <x:c r="H956" s="38" t="n">
        <x:v>21600</x:v>
      </x:c>
      <x:c r="I956" s="38" t="n">
        <x:v>29754</x:v>
      </x:c>
      <x:c r="J956" s="38" t="n">
        <x:v>0</x:v>
      </x:c>
      <x:c r="K956" s="38" t="n">
        <x:v>0</x:v>
      </x:c>
      <x:c r="L956" s="38" t="n">
        <x:v>0</x:v>
      </x:c>
      <x:c r="M956" s="38" t="n">
        <x:v>0</x:v>
      </x:c>
      <x:c r="N956" s="38" t="n">
        <x:v>13605</x:v>
      </x:c>
      <x:c r="O956" s="38" t="n">
        <x:v>30100</x:v>
      </x:c>
      <x:c r="P956" s="38" t="n">
        <x:f>F956+G956-H956+I956+J956+K956+L956-M956-N956-O956</x:f>
        <x:v>4330249</x:v>
      </x:c>
      <x:c r="Q956" s="38" t="n">
        <x:v>4330249</x:v>
      </x:c>
      <x:c r="R956" s="38" t="n">
        <x:f>P956-Q956</x:f>
        <x:v>0</x:v>
      </x:c>
      <x:c r="S956" s="38" t="n">
        <x:v>86000</x:v>
      </x:c>
      <x:c r="T956" s="38" t="n">
        <x:v>0</x:v>
      </x:c>
      <x:c r="U956" s="38" t="n">
        <x:v>66</x:v>
      </x:c>
      <x:c r="V956" s="38" t="n">
        <x:v>2</x:v>
      </x:c>
      <x:c r="W956" s="38" t="n">
        <x:v>0</x:v>
      </x:c>
      <x:c r="X956" s="44" t="n">
        <x:v>49.95</x:v>
      </x:c>
      <x:c r="Y956" s="38" t="n">
        <x:v>200</x:v>
      </x:c>
      <x:c r="Z956" s="38" t="n">
        <x:v>40</x:v>
      </x:c>
      <x:c r="AA956" s="38" t="n">
        <x:v>38</x:v>
      </x:c>
      <x:c r="AB956" s="38" t="n">
        <x:v>9</x:v>
      </x:c>
      <x:c r="AC956" s="38" t="n">
        <x:v>10800</x:v>
      </x:c>
      <x:c r="AD956" s="38" t="n">
        <x:v>0</x:v>
      </x:c>
      <x:c r="AE956" s="38" t="n">
        <x:f>IF(B956=1,0,F956-Q955)</x:f>
        <x:v>0</x:v>
      </x:c>
    </x:row>
    <x:row r="957" ht="27" customHeight="1">
      <x:c r="A957" s="28" t="str">
        <x:v>Paid capacity ceiling</x:v>
      </x:c>
      <x:c r="B957" s="38" t="n">
        <x:v>113</x:v>
      </x:c>
      <x:c r="C957" s="38" t="n">
        <x:v>40</x:v>
      </x:c>
      <x:c r="D957" s="38" t="n">
        <x:v>742640</x:v>
      </x:c>
      <x:c r="E957" s="38" t="n">
        <x:v>100</x:v>
      </x:c>
      <x:c r="F957" s="38" t="n">
        <x:v>4330249</x:v>
      </x:c>
      <x:c r="G957" s="38" t="n">
        <x:v>107600</x:v>
      </x:c>
      <x:c r="H957" s="38" t="n">
        <x:v>21600</x:v>
      </x:c>
      <x:c r="I957" s="38" t="n">
        <x:v>4959</x:v>
      </x:c>
      <x:c r="J957" s="38" t="n">
        <x:v>0</x:v>
      </x:c>
      <x:c r="K957" s="38" t="n">
        <x:v>0</x:v>
      </x:c>
      <x:c r="L957" s="38" t="n">
        <x:v>0</x:v>
      </x:c>
      <x:c r="M957" s="38" t="n">
        <x:v>0</x:v>
      </x:c>
      <x:c r="N957" s="38" t="n">
        <x:v>0</x:v>
      </x:c>
      <x:c r="O957" s="38" t="n">
        <x:v>30100</x:v>
      </x:c>
      <x:c r="P957" s="38" t="n">
        <x:f>F957+G957-H957+I957+J957+K957+L957-M957-N957-O957</x:f>
        <x:v>4391108</x:v>
      </x:c>
      <x:c r="Q957" s="38" t="n">
        <x:v>4391108</x:v>
      </x:c>
      <x:c r="R957" s="38" t="n">
        <x:f>P957-Q957</x:f>
        <x:v>0</x:v>
      </x:c>
      <x:c r="S957" s="38" t="n">
        <x:v>86000</x:v>
      </x:c>
      <x:c r="T957" s="38" t="n">
        <x:v>0</x:v>
      </x:c>
      <x:c r="U957" s="38" t="n">
        <x:v>66</x:v>
      </x:c>
      <x:c r="V957" s="38" t="n">
        <x:v>0</x:v>
      </x:c>
      <x:c r="W957" s="38" t="n">
        <x:v>0</x:v>
      </x:c>
      <x:c r="X957" s="44" t="n">
        <x:v>49.95</x:v>
      </x:c>
      <x:c r="Y957" s="38" t="n">
        <x:v>200</x:v>
      </x:c>
      <x:c r="Z957" s="38" t="n">
        <x:v>40</x:v>
      </x:c>
      <x:c r="AA957" s="38" t="n">
        <x:v>38</x:v>
      </x:c>
      <x:c r="AB957" s="38" t="n">
        <x:v>9</x:v>
      </x:c>
      <x:c r="AC957" s="38" t="n">
        <x:v>10800</x:v>
      </x:c>
      <x:c r="AD957" s="38" t="n">
        <x:v>0</x:v>
      </x:c>
      <x:c r="AE957" s="38" t="n">
        <x:f>IF(B957=1,0,F957-Q956)</x:f>
        <x:v>0</x:v>
      </x:c>
    </x:row>
    <x:row r="958" ht="27" customHeight="1">
      <x:c r="A958" s="28" t="str">
        <x:v>Paid capacity ceiling</x:v>
      </x:c>
      <x:c r="B958" s="38" t="n">
        <x:v>114</x:v>
      </x:c>
      <x:c r="C958" s="38" t="n">
        <x:v>40</x:v>
      </x:c>
      <x:c r="D958" s="38" t="n">
        <x:v>742640</x:v>
      </x:c>
      <x:c r="E958" s="38" t="n">
        <x:v>100</x:v>
      </x:c>
      <x:c r="F958" s="38" t="n">
        <x:v>4391108</x:v>
      </x:c>
      <x:c r="G958" s="38" t="n">
        <x:v>107600</x:v>
      </x:c>
      <x:c r="H958" s="38" t="n">
        <x:v>21600</x:v>
      </x:c>
      <x:c r="I958" s="38" t="n">
        <x:v>4959</x:v>
      </x:c>
      <x:c r="J958" s="38" t="n">
        <x:v>0</x:v>
      </x:c>
      <x:c r="K958" s="38" t="n">
        <x:v>0</x:v>
      </x:c>
      <x:c r="L958" s="38" t="n">
        <x:v>0</x:v>
      </x:c>
      <x:c r="M958" s="38" t="n">
        <x:v>0</x:v>
      </x:c>
      <x:c r="N958" s="38" t="n">
        <x:v>0</x:v>
      </x:c>
      <x:c r="O958" s="38" t="n">
        <x:v>30099</x:v>
      </x:c>
      <x:c r="P958" s="38" t="n">
        <x:f>F958+G958-H958+I958+J958+K958+L958-M958-N958-O958</x:f>
        <x:v>4451968</x:v>
      </x:c>
      <x:c r="Q958" s="38" t="n">
        <x:v>4451968</x:v>
      </x:c>
      <x:c r="R958" s="38" t="n">
        <x:f>P958-Q958</x:f>
        <x:v>0</x:v>
      </x:c>
      <x:c r="S958" s="38" t="n">
        <x:v>86000</x:v>
      </x:c>
      <x:c r="T958" s="38" t="n">
        <x:v>0</x:v>
      </x:c>
      <x:c r="U958" s="38" t="n">
        <x:v>66</x:v>
      </x:c>
      <x:c r="V958" s="38" t="n">
        <x:v>0</x:v>
      </x:c>
      <x:c r="W958" s="38" t="n">
        <x:v>0</x:v>
      </x:c>
      <x:c r="X958" s="44" t="n">
        <x:v>49.95</x:v>
      </x:c>
      <x:c r="Y958" s="38" t="n">
        <x:v>200</x:v>
      </x:c>
      <x:c r="Z958" s="38" t="n">
        <x:v>40</x:v>
      </x:c>
      <x:c r="AA958" s="38" t="n">
        <x:v>38</x:v>
      </x:c>
      <x:c r="AB958" s="38" t="n">
        <x:v>9</x:v>
      </x:c>
      <x:c r="AC958" s="38" t="n">
        <x:v>10800</x:v>
      </x:c>
      <x:c r="AD958" s="38" t="n">
        <x:v>0</x:v>
      </x:c>
      <x:c r="AE958" s="38" t="n">
        <x:f>IF(B958=1,0,F958-Q957)</x:f>
        <x:v>0</x:v>
      </x:c>
    </x:row>
    <x:row r="959" ht="27" customHeight="1">
      <x:c r="A959" s="28" t="str">
        <x:v>Paid capacity ceiling</x:v>
      </x:c>
      <x:c r="B959" s="38" t="n">
        <x:v>115</x:v>
      </x:c>
      <x:c r="C959" s="38" t="n">
        <x:v>40</x:v>
      </x:c>
      <x:c r="D959" s="38" t="n">
        <x:v>742640</x:v>
      </x:c>
      <x:c r="E959" s="38" t="n">
        <x:v>100</x:v>
      </x:c>
      <x:c r="F959" s="38" t="n">
        <x:v>4451968</x:v>
      </x:c>
      <x:c r="G959" s="38" t="n">
        <x:v>107600</x:v>
      </x:c>
      <x:c r="H959" s="38" t="n">
        <x:v>21600</x:v>
      </x:c>
      <x:c r="I959" s="38" t="n">
        <x:v>4959</x:v>
      </x:c>
      <x:c r="J959" s="38" t="n">
        <x:v>0</x:v>
      </x:c>
      <x:c r="K959" s="38" t="n">
        <x:v>0</x:v>
      </x:c>
      <x:c r="L959" s="38" t="n">
        <x:v>0</x:v>
      </x:c>
      <x:c r="M959" s="38" t="n">
        <x:v>0</x:v>
      </x:c>
      <x:c r="N959" s="38" t="n">
        <x:v>13880</x:v>
      </x:c>
      <x:c r="O959" s="38" t="n">
        <x:v>30100</x:v>
      </x:c>
      <x:c r="P959" s="38" t="n">
        <x:f>F959+G959-H959+I959+J959+K959+L959-M959-N959-O959</x:f>
        <x:v>4498947</x:v>
      </x:c>
      <x:c r="Q959" s="38" t="n">
        <x:v>4498947</x:v>
      </x:c>
      <x:c r="R959" s="38" t="n">
        <x:f>P959-Q959</x:f>
        <x:v>0</x:v>
      </x:c>
      <x:c r="S959" s="38" t="n">
        <x:v>86000</x:v>
      </x:c>
      <x:c r="T959" s="38" t="n">
        <x:v>0</x:v>
      </x:c>
      <x:c r="U959" s="38" t="n">
        <x:v>66</x:v>
      </x:c>
      <x:c r="V959" s="38" t="n">
        <x:v>0</x:v>
      </x:c>
      <x:c r="W959" s="38" t="n">
        <x:v>0</x:v>
      </x:c>
      <x:c r="X959" s="44" t="n">
        <x:v>49.95</x:v>
      </x:c>
      <x:c r="Y959" s="38" t="n">
        <x:v>200</x:v>
      </x:c>
      <x:c r="Z959" s="38" t="n">
        <x:v>40</x:v>
      </x:c>
      <x:c r="AA959" s="38" t="n">
        <x:v>39</x:v>
      </x:c>
      <x:c r="AB959" s="38" t="n">
        <x:v>9</x:v>
      </x:c>
      <x:c r="AC959" s="38" t="n">
        <x:v>10800</x:v>
      </x:c>
      <x:c r="AD959" s="38" t="n">
        <x:v>0</x:v>
      </x:c>
      <x:c r="AE959" s="38" t="n">
        <x:f>IF(B959=1,0,F959-Q958)</x:f>
        <x:v>0</x:v>
      </x:c>
    </x:row>
    <x:row r="960" ht="27" customHeight="1">
      <x:c r="A960" s="28" t="str">
        <x:v>Paid capacity ceiling</x:v>
      </x:c>
      <x:c r="B960" s="38" t="n">
        <x:v>116</x:v>
      </x:c>
      <x:c r="C960" s="38" t="n">
        <x:v>40</x:v>
      </x:c>
      <x:c r="D960" s="38" t="n">
        <x:v>742640</x:v>
      </x:c>
      <x:c r="E960" s="38" t="n">
        <x:v>100</x:v>
      </x:c>
      <x:c r="F960" s="38" t="n">
        <x:v>4498947</x:v>
      </x:c>
      <x:c r="G960" s="38" t="n">
        <x:v>107600</x:v>
      </x:c>
      <x:c r="H960" s="38" t="n">
        <x:v>21600</x:v>
      </x:c>
      <x:c r="I960" s="38" t="n">
        <x:v>4959</x:v>
      </x:c>
      <x:c r="J960" s="38" t="n">
        <x:v>0</x:v>
      </x:c>
      <x:c r="K960" s="38" t="n">
        <x:v>0</x:v>
      </x:c>
      <x:c r="L960" s="38" t="n">
        <x:v>0</x:v>
      </x:c>
      <x:c r="M960" s="38" t="n">
        <x:v>0</x:v>
      </x:c>
      <x:c r="N960" s="38" t="n">
        <x:v>0</x:v>
      </x:c>
      <x:c r="O960" s="38" t="n">
        <x:v>30100</x:v>
      </x:c>
      <x:c r="P960" s="38" t="n">
        <x:f>F960+G960-H960+I960+J960+K960+L960-M960-N960-O960</x:f>
        <x:v>4559806</x:v>
      </x:c>
      <x:c r="Q960" s="38" t="n">
        <x:v>4559806</x:v>
      </x:c>
      <x:c r="R960" s="38" t="n">
        <x:f>P960-Q960</x:f>
        <x:v>0</x:v>
      </x:c>
      <x:c r="S960" s="38" t="n">
        <x:v>86000</x:v>
      </x:c>
      <x:c r="T960" s="38" t="n">
        <x:v>0</x:v>
      </x:c>
      <x:c r="U960" s="38" t="n">
        <x:v>66</x:v>
      </x:c>
      <x:c r="V960" s="38" t="n">
        <x:v>0</x:v>
      </x:c>
      <x:c r="W960" s="38" t="n">
        <x:v>0</x:v>
      </x:c>
      <x:c r="X960" s="44" t="n">
        <x:v>49.95</x:v>
      </x:c>
      <x:c r="Y960" s="38" t="n">
        <x:v>200</x:v>
      </x:c>
      <x:c r="Z960" s="38" t="n">
        <x:v>40</x:v>
      </x:c>
      <x:c r="AA960" s="38" t="n">
        <x:v>39</x:v>
      </x:c>
      <x:c r="AB960" s="38" t="n">
        <x:v>9</x:v>
      </x:c>
      <x:c r="AC960" s="38" t="n">
        <x:v>10800</x:v>
      </x:c>
      <x:c r="AD960" s="38" t="n">
        <x:v>0</x:v>
      </x:c>
      <x:c r="AE960" s="38" t="n">
        <x:f>IF(B960=1,0,F960-Q959)</x:f>
        <x:v>0</x:v>
      </x:c>
    </x:row>
    <x:row r="961" ht="27" customHeight="1">
      <x:c r="A961" s="28" t="str">
        <x:v>Paid capacity ceiling</x:v>
      </x:c>
      <x:c r="B961" s="38" t="n">
        <x:v>117</x:v>
      </x:c>
      <x:c r="C961" s="38" t="n">
        <x:v>40</x:v>
      </x:c>
      <x:c r="D961" s="38" t="n">
        <x:v>742640</x:v>
      </x:c>
      <x:c r="E961" s="38" t="n">
        <x:v>100</x:v>
      </x:c>
      <x:c r="F961" s="38" t="n">
        <x:v>4559806</x:v>
      </x:c>
      <x:c r="G961" s="38" t="n">
        <x:v>107600</x:v>
      </x:c>
      <x:c r="H961" s="38" t="n">
        <x:v>21600</x:v>
      </x:c>
      <x:c r="I961" s="38" t="n">
        <x:v>4959</x:v>
      </x:c>
      <x:c r="J961" s="38" t="n">
        <x:v>0</x:v>
      </x:c>
      <x:c r="K961" s="38" t="n">
        <x:v>0</x:v>
      </x:c>
      <x:c r="L961" s="38" t="n">
        <x:v>0</x:v>
      </x:c>
      <x:c r="M961" s="38" t="n">
        <x:v>0</x:v>
      </x:c>
      <x:c r="N961" s="38" t="n">
        <x:v>0</x:v>
      </x:c>
      <x:c r="O961" s="38" t="n">
        <x:v>30100</x:v>
      </x:c>
      <x:c r="P961" s="38" t="n">
        <x:f>F961+G961-H961+I961+J961+K961+L961-M961-N961-O961</x:f>
        <x:v>4620665</x:v>
      </x:c>
      <x:c r="Q961" s="38" t="n">
        <x:v>4620665</x:v>
      </x:c>
      <x:c r="R961" s="38" t="n">
        <x:f>P961-Q961</x:f>
        <x:v>0</x:v>
      </x:c>
      <x:c r="S961" s="38" t="n">
        <x:v>86000</x:v>
      </x:c>
      <x:c r="T961" s="38" t="n">
        <x:v>0</x:v>
      </x:c>
      <x:c r="U961" s="38" t="n">
        <x:v>66</x:v>
      </x:c>
      <x:c r="V961" s="38" t="n">
        <x:v>0</x:v>
      </x:c>
      <x:c r="W961" s="38" t="n">
        <x:v>0</x:v>
      </x:c>
      <x:c r="X961" s="44" t="n">
        <x:v>49.95</x:v>
      </x:c>
      <x:c r="Y961" s="38" t="n">
        <x:v>200</x:v>
      </x:c>
      <x:c r="Z961" s="38" t="n">
        <x:v>40</x:v>
      </x:c>
      <x:c r="AA961" s="38" t="n">
        <x:v>39</x:v>
      </x:c>
      <x:c r="AB961" s="38" t="n">
        <x:v>9</x:v>
      </x:c>
      <x:c r="AC961" s="38" t="n">
        <x:v>10800</x:v>
      </x:c>
      <x:c r="AD961" s="38" t="n">
        <x:v>0</x:v>
      </x:c>
      <x:c r="AE961" s="38" t="n">
        <x:f>IF(B961=1,0,F961-Q960)</x:f>
        <x:v>0</x:v>
      </x:c>
    </x:row>
    <x:row r="962" ht="27" customHeight="1">
      <x:c r="A962" s="28" t="str">
        <x:v>Paid capacity ceiling</x:v>
      </x:c>
      <x:c r="B962" s="38" t="n">
        <x:v>118</x:v>
      </x:c>
      <x:c r="C962" s="38" t="n">
        <x:v>40</x:v>
      </x:c>
      <x:c r="D962" s="38" t="n">
        <x:v>742640</x:v>
      </x:c>
      <x:c r="E962" s="38" t="n">
        <x:v>100</x:v>
      </x:c>
      <x:c r="F962" s="38" t="n">
        <x:v>4620665</x:v>
      </x:c>
      <x:c r="G962" s="38" t="n">
        <x:v>107600</x:v>
      </x:c>
      <x:c r="H962" s="38" t="n">
        <x:v>21600</x:v>
      </x:c>
      <x:c r="I962" s="38" t="n">
        <x:v>4959</x:v>
      </x:c>
      <x:c r="J962" s="38" t="n">
        <x:v>0</x:v>
      </x:c>
      <x:c r="K962" s="38" t="n">
        <x:v>0</x:v>
      </x:c>
      <x:c r="L962" s="38" t="n">
        <x:v>0</x:v>
      </x:c>
      <x:c r="M962" s="38" t="n">
        <x:v>0</x:v>
      </x:c>
      <x:c r="N962" s="38" t="n">
        <x:v>15170</x:v>
      </x:c>
      <x:c r="O962" s="38" t="n">
        <x:v>21439</x:v>
      </x:c>
      <x:c r="P962" s="38" t="n">
        <x:f>F962+G962-H962+I962+J962+K962+L962-M962-N962-O962</x:f>
        <x:v>4675015</x:v>
      </x:c>
      <x:c r="Q962" s="38" t="n">
        <x:v>4675015</x:v>
      </x:c>
      <x:c r="R962" s="38" t="n">
        <x:f>P962-Q962</x:f>
        <x:v>0</x:v>
      </x:c>
      <x:c r="S962" s="38" t="n">
        <x:v>86000</x:v>
      </x:c>
      <x:c r="T962" s="38" t="n">
        <x:v>0</x:v>
      </x:c>
      <x:c r="U962" s="38" t="n">
        <x:v>66</x:v>
      </x:c>
      <x:c r="V962" s="38" t="n">
        <x:v>0</x:v>
      </x:c>
      <x:c r="W962" s="38" t="n">
        <x:v>0</x:v>
      </x:c>
      <x:c r="X962" s="44" t="n">
        <x:v>49.95</x:v>
      </x:c>
      <x:c r="Y962" s="38" t="n">
        <x:v>200</x:v>
      </x:c>
      <x:c r="Z962" s="38" t="n">
        <x:v>40</x:v>
      </x:c>
      <x:c r="AA962" s="38" t="n">
        <x:v>40</x:v>
      </x:c>
      <x:c r="AB962" s="38" t="n">
        <x:v>10</x:v>
      </x:c>
      <x:c r="AC962" s="38" t="n">
        <x:v>10800</x:v>
      </x:c>
      <x:c r="AD962" s="38" t="n">
        <x:v>0</x:v>
      </x:c>
      <x:c r="AE962" s="38" t="n">
        <x:f>IF(B962=1,0,F962-Q961)</x:f>
        <x:v>0</x:v>
      </x:c>
    </x:row>
    <x:row r="963" ht="27" customHeight="1">
      <x:c r="A963" s="28" t="str">
        <x:v>Paid capacity ceiling</x:v>
      </x:c>
      <x:c r="B963" s="38" t="n">
        <x:v>119</x:v>
      </x:c>
      <x:c r="C963" s="38" t="n">
        <x:v>40</x:v>
      </x:c>
      <x:c r="D963" s="38" t="n">
        <x:v>742640</x:v>
      </x:c>
      <x:c r="E963" s="38" t="n">
        <x:v>100</x:v>
      </x:c>
      <x:c r="F963" s="38" t="n">
        <x:v>4675015</x:v>
      </x:c>
      <x:c r="G963" s="38" t="n">
        <x:v>107600</x:v>
      </x:c>
      <x:c r="H963" s="38" t="n">
        <x:v>21600</x:v>
      </x:c>
      <x:c r="I963" s="38" t="n">
        <x:v>29754</x:v>
      </x:c>
      <x:c r="J963" s="38" t="n">
        <x:v>0</x:v>
      </x:c>
      <x:c r="K963" s="38" t="n">
        <x:v>0</x:v>
      </x:c>
      <x:c r="L963" s="38" t="n">
        <x:v>0</x:v>
      </x:c>
      <x:c r="M963" s="38" t="n">
        <x:v>0</x:v>
      </x:c>
      <x:c r="N963" s="38" t="n">
        <x:v>0</x:v>
      </x:c>
      <x:c r="O963" s="38" t="n">
        <x:v>0</x:v>
      </x:c>
      <x:c r="P963" s="38" t="n">
        <x:f>F963+G963-H963+I963+J963+K963+L963-M963-N963-O963</x:f>
        <x:v>4790769</x:v>
      </x:c>
      <x:c r="Q963" s="38" t="n">
        <x:v>4790769</x:v>
      </x:c>
      <x:c r="R963" s="38" t="n">
        <x:f>P963-Q963</x:f>
        <x:v>0</x:v>
      </x:c>
      <x:c r="S963" s="38" t="n">
        <x:v>86000</x:v>
      </x:c>
      <x:c r="T963" s="38" t="n">
        <x:v>0</x:v>
      </x:c>
      <x:c r="U963" s="38" t="n">
        <x:v>68</x:v>
      </x:c>
      <x:c r="V963" s="38" t="n">
        <x:v>2</x:v>
      </x:c>
      <x:c r="W963" s="38" t="n">
        <x:v>0</x:v>
      </x:c>
      <x:c r="X963" s="44" t="n">
        <x:v>49.95</x:v>
      </x:c>
      <x:c r="Y963" s="38" t="n">
        <x:v>200</x:v>
      </x:c>
      <x:c r="Z963" s="38" t="n">
        <x:v>40</x:v>
      </x:c>
      <x:c r="AA963" s="38" t="n">
        <x:v>40</x:v>
      </x:c>
      <x:c r="AB963" s="38" t="n">
        <x:v>10</x:v>
      </x:c>
      <x:c r="AC963" s="38" t="n">
        <x:v>10800</x:v>
      </x:c>
      <x:c r="AD963" s="38" t="n">
        <x:v>0</x:v>
      </x:c>
      <x:c r="AE963" s="38" t="n">
        <x:f>IF(B963=1,0,F963-Q962)</x:f>
        <x:v>0</x:v>
      </x:c>
    </x:row>
    <x:row r="964" ht="27" customHeight="1">
      <x:c r="A964" s="28" t="str">
        <x:v>Paid capacity ceiling</x:v>
      </x:c>
      <x:c r="B964" s="38" t="n">
        <x:v>120</x:v>
      </x:c>
      <x:c r="C964" s="38" t="n">
        <x:v>40</x:v>
      </x:c>
      <x:c r="D964" s="38" t="n">
        <x:v>742640</x:v>
      </x:c>
      <x:c r="E964" s="38" t="n">
        <x:v>100</x:v>
      </x:c>
      <x:c r="F964" s="38" t="n">
        <x:v>4790769</x:v>
      </x:c>
      <x:c r="G964" s="38" t="n">
        <x:v>107600</x:v>
      </x:c>
      <x:c r="H964" s="38" t="n">
        <x:v>21600</x:v>
      </x:c>
      <x:c r="I964" s="38" t="n">
        <x:v>4959</x:v>
      </x:c>
      <x:c r="J964" s="38" t="n">
        <x:v>0</x:v>
      </x:c>
      <x:c r="K964" s="38" t="n">
        <x:v>0</x:v>
      </x:c>
      <x:c r="L964" s="38" t="n">
        <x:v>0</x:v>
      </x:c>
      <x:c r="M964" s="38" t="n">
        <x:v>0</x:v>
      </x:c>
      <x:c r="N964" s="38" t="n">
        <x:v>0</x:v>
      </x:c>
      <x:c r="O964" s="38" t="n">
        <x:v>0</x:v>
      </x:c>
      <x:c r="P964" s="38" t="n">
        <x:f>F964+G964-H964+I964+J964+K964+L964-M964-N964-O964</x:f>
        <x:v>4881728</x:v>
      </x:c>
      <x:c r="Q964" s="38" t="n">
        <x:v>4881728</x:v>
      </x:c>
      <x:c r="R964" s="38" t="n">
        <x:f>P964-Q964</x:f>
        <x:v>0</x:v>
      </x:c>
      <x:c r="S964" s="38" t="n">
        <x:v>86000</x:v>
      </x:c>
      <x:c r="T964" s="38" t="n">
        <x:v>0</x:v>
      </x:c>
      <x:c r="U964" s="38" t="n">
        <x:v>68</x:v>
      </x:c>
      <x:c r="V964" s="38" t="n">
        <x:v>0</x:v>
      </x:c>
      <x:c r="W964" s="38" t="n">
        <x:v>0</x:v>
      </x:c>
      <x:c r="X964" s="44" t="n">
        <x:v>49.95</x:v>
      </x:c>
      <x:c r="Y964" s="38" t="n">
        <x:v>200</x:v>
      </x:c>
      <x:c r="Z964" s="38" t="n">
        <x:v>40</x:v>
      </x:c>
      <x:c r="AA964" s="38" t="n">
        <x:v>40</x:v>
      </x:c>
      <x:c r="AB964" s="38" t="n">
        <x:v>10</x:v>
      </x:c>
      <x:c r="AC964" s="38" t="n">
        <x:v>10800</x:v>
      </x:c>
      <x:c r="AD964" s="38" t="n">
        <x:v>0</x:v>
      </x:c>
      <x:c r="AE964" s="38" t="n">
        <x:f>IF(B964=1,0,F964-Q963)</x:f>
        <x:v>0</x:v>
      </x:c>
    </x:row>
  </x:sheetData>
  <x:mergeCells>
    <x:mergeCell ref="A1:AE1"/>
    <x:mergeCell ref="A2:AE2"/>
  </x:mergeCells>
  <x:pageMargins left="0.7" right="0.7" top="0.75" bottom="0.75" header="0.3" footer="0.3"/>
  <x:tableParts count="1">
    <x:tablePart xmlns:r="http://schemas.openxmlformats.org/officeDocument/2006/relationships" r:id="Re252abfa2f064e76"/>
  </x:tableParts>
</x:worksheet>
</file>

<file path=xl/worksheets/sheet30.xml><?xml version="1.0" encoding="utf-8"?>
<x:worksheet xmlns:x="http://schemas.openxmlformats.org/spreadsheetml/2006/main">
  <x:sheetFormatPr defaultRowHeight="15"/>
  <x:cols>
    <x:col min="1" max="1" width="12" hidden="0" customWidth="1"/>
    <x:col min="2" max="2" width="23" hidden="0" customWidth="1"/>
    <x:col min="3" max="3" width="52" hidden="0" customWidth="1"/>
    <x:col min="4" max="4" width="47" hidden="0" customWidth="1"/>
    <x:col min="5" max="5" width="54" hidden="0" customWidth="1"/>
    <x:col min="6" max="6" width="23" hidden="0" customWidth="1"/>
    <x:col min="7" max="7" width="106" hidden="0" customWidth="1"/>
    <x:col min="8" max="8" width="100" hidden="0" customWidth="1"/>
  </x:cols>
  <x:sheetData>
    <x:row r="1" ht="34" customHeight="1">
      <x:c r="A1" s="6" t="str">
        <x:v>VALIDATION | math checks are not launch approval</x:v>
      </x:c>
      <x:c r="B1" s="6"/>
      <x:c r="C1" s="6"/>
      <x:c r="D1" s="6"/>
      <x:c r="E1" s="6"/>
      <x:c r="F1" s="6"/>
      <x:c r="G1" s="6"/>
      <x:c r="H1" s="6"/>
    </x:row>
    <x:row r="2" ht="32" customHeight="1">
      <x:c r="A2" s="13" t="str">
        <x:v>PASS applies only to the named static/model check. AMBER is a real remaining risk. Runtime, art and live outcomes are explicitly unvalidated.</x:v>
      </x:c>
      <x:c r="B2" s="13"/>
      <x:c r="C2" s="13"/>
      <x:c r="D2" s="13"/>
      <x:c r="E2" s="13"/>
      <x:c r="F2" s="13"/>
      <x:c r="G2" s="13"/>
      <x:c r="H2" s="13"/>
    </x:row>
    <x:row r="3">
      <x:c r="A3" s="2"/>
      <x:c r="B3" s="2"/>
      <x:c r="C3" s="2"/>
      <x:c r="D3" s="2"/>
      <x:c r="E3" s="2"/>
      <x:c r="F3" s="2"/>
      <x:c r="G3" s="2"/>
      <x:c r="H3" s="2"/>
    </x:row>
    <x:row r="4" ht="32" customHeight="1">
      <x:c r="A4" s="21" t="str">
        <x:v>ID</x:v>
      </x:c>
      <x:c r="B4" s="21" t="str">
        <x:v>Check class</x:v>
      </x:c>
      <x:c r="C4" s="21" t="str">
        <x:v>Test</x:v>
      </x:c>
      <x:c r="D4" s="21" t="str">
        <x:v>Observed / formula</x:v>
      </x:c>
      <x:c r="E4" s="21" t="str">
        <x:v>Criterion</x:v>
      </x:c>
      <x:c r="F4" s="21" t="str">
        <x:v>Status</x:v>
      </x:c>
      <x:c r="G4" s="21" t="str">
        <x:v>Scope / limitation</x:v>
      </x:c>
      <x:c r="H4" s="21" t="str">
        <x:v>Next required action</x:v>
      </x:c>
    </x:row>
    <x:row r="5" ht="74" customHeight="1">
      <x:c r="A5" s="28" t="str">
        <x:v>B01</x:v>
      </x:c>
      <x:c r="B5" s="28" t="str">
        <x:v>Coverage</x:v>
      </x:c>
      <x:c r="C5" s="28" t="str">
        <x:v>All source sheets reviewed</x:v>
      </x:c>
      <x:c r="D5" s="28" t="n">
        <x:v>23</x:v>
      </x:c>
      <x:c r="E5" s="28" t="n">
        <x:v>23</x:v>
      </x:c>
      <x:c r="F5" s="28" t="str">
        <x:v>PASS</x:v>
      </x:c>
      <x:c r="G5" s="28" t="str">
        <x:v>Source Coverage maps every supplied tab.</x:v>
      </x:c>
      <x:c r="H5" s="28" t="str">
        <x:v>Preserve original separately.</x:v>
      </x:c>
    </x:row>
    <x:row r="6" ht="74" customHeight="1">
      <x:c r="A6" s="28" t="str">
        <x:v>B02</x:v>
      </x:c>
      <x:c r="B6" s="28" t="str">
        <x:v>Catalog</x:v>
      </x:c>
      <x:c r="C6" s="28" t="str">
        <x:v>Launch coin species</x:v>
      </x:c>
      <x:c r="D6" s="28" t="n">
        <x:f>COUNTIF('Coin Fish'!E5:E76,"Launch")</x:f>
        <x:v>40</x:v>
      </x:c>
      <x:c r="E6" s="28" t="n">
        <x:v>40</x:v>
      </x:c>
      <x:c r="F6" s="28" t="str">
        <x:f>IF(D6=E6,"PASS","FAIL")</x:f>
        <x:v>PASS</x:v>
      </x:c>
      <x:c r="G6" s="28" t="str">
        <x:v>Release-ready design count, not asset readiness.</x:v>
      </x:c>
      <x:c r="H6" s="28" t="str">
        <x:v>Do not activate unbuilt assets.</x:v>
      </x:c>
    </x:row>
    <x:row r="7" ht="74" customHeight="1">
      <x:c r="A7" s="28" t="str">
        <x:v>B03</x:v>
      </x:c>
      <x:c r="B7" s="28" t="str">
        <x:v>Catalog</x:v>
      </x:c>
      <x:c r="C7" s="28" t="str">
        <x:v>Unique coin fish IDs</x:v>
      </x:c>
      <x:c r="D7" s="28" t="n">
        <x:v>72</x:v>
      </x:c>
      <x:c r="E7" s="28" t="n">
        <x:v>72</x:v>
      </x:c>
      <x:c r="F7" s="28" t="str">
        <x:v>PASS</x:v>
      </x:c>
      <x:c r="G7" s="28" t="str">
        <x:v>Python uniqueness check; includes reserve and postlaunch.</x:v>
      </x:c>
      <x:c r="H7" s="28" t="str">
        <x:v>Keep IDs stable.</x:v>
      </x:c>
    </x:row>
    <x:row r="8" ht="74" customHeight="1">
      <x:c r="A8" s="28" t="str">
        <x:v>B04</x:v>
      </x:c>
      <x:c r="B8" s="28" t="str">
        <x:v>Catalog</x:v>
      </x:c>
      <x:c r="C8" s="28" t="str">
        <x:v>Decor / art mapping</x:v>
      </x:c>
      <x:c r="D8" s="28" t="n">
        <x:v>120</x:v>
      </x:c>
      <x:c r="E8" s="28" t="n">
        <x:v>120</x:v>
      </x:c>
      <x:c r="F8" s="28" t="str">
        <x:v>PASS</x:v>
      </x:c>
      <x:c r="G8" s="28" t="str">
        <x:v>120 unique catalog IDs with matched source art briefs.</x:v>
      </x:c>
      <x:c r="H8" s="28" t="str">
        <x:v>Revalidate after adding/removing IDs.</x:v>
      </x:c>
    </x:row>
    <x:row r="9" ht="74" customHeight="1">
      <x:c r="A9" s="28" t="str">
        <x:v>B05</x:v>
      </x:c>
      <x:c r="B9" s="28" t="str">
        <x:v>Formula</x:v>
      </x:c>
      <x:c r="C9" s="28" t="str">
        <x:v>Coin fish local checks</x:v>
      </x:c>
      <x:c r="D9" s="28" t="n">
        <x:f>COUNTIF('Coin Fish'!AB5:AB76,"MODEL OK")</x:f>
        <x:v>72</x:v>
      </x:c>
      <x:c r="E9" s="28" t="n">
        <x:v>72</x:v>
      </x:c>
      <x:c r="F9" s="28" t="str">
        <x:f>IF(D9=E9,"PASS","FAIL")</x:f>
        <x:v>PASS</x:v>
      </x:c>
      <x:c r="G9" s="28" t="str">
        <x:v>Formula safety, not behavioral proof.</x:v>
      </x:c>
      <x:c r="H9" s="28" t="str">
        <x:v>Inspect any non-MODEL OK row.</x:v>
      </x:c>
    </x:row>
    <x:row r="10" ht="74" customHeight="1">
      <x:c r="A10" s="28" t="str">
        <x:v>B06</x:v>
      </x:c>
      <x:c r="B10" s="28" t="str">
        <x:v>Formula</x:v>
      </x:c>
      <x:c r="C10" s="28" t="str">
        <x:v>Decor local checks</x:v>
      </x:c>
      <x:c r="D10" s="28" t="n">
        <x:f>COUNTIF('Decor Catalog'!W5:W124,"MODEL OK")</x:f>
        <x:v>120</x:v>
      </x:c>
      <x:c r="E10" s="28" t="n">
        <x:v>120</x:v>
      </x:c>
      <x:c r="F10" s="28" t="str">
        <x:f>IF(D10=E10,"PASS","FAIL")</x:f>
        <x:v>PASS</x:v>
      </x:c>
      <x:c r="G10" s="28" t="str">
        <x:v>Price/size/XP catalog checks.</x:v>
      </x:c>
      <x:c r="H10" s="28" t="str">
        <x:v>Correct catalog mismatch before export.</x:v>
      </x:c>
    </x:row>
    <x:row r="11" ht="74" customHeight="1">
      <x:c r="A11" s="28" t="str">
        <x:v>B07</x:v>
      </x:c>
      <x:c r="B11" s="28" t="str">
        <x:v>Economy</x:v>
      </x:c>
      <x:c r="C11" s="28" t="str">
        <x:v>Decoration purchase XP</x:v>
      </x:c>
      <x:c r="D11" s="28" t="n">
        <x:f>SUM('Decor Catalog'!M5:M124)</x:f>
        <x:v>0</x:v>
      </x:c>
      <x:c r="E11" s="28" t="n">
        <x:v>0</x:v>
      </x:c>
      <x:c r="F11" s="28" t="str">
        <x:f>IF(D11=0,"PASS","FAIL")</x:f>
        <x:v>PASS</x:v>
      </x:c>
      <x:c r="G11" s="28" t="str">
        <x:v>All currencies / editions.</x:v>
      </x:c>
      <x:c r="H11" s="28" t="str">
        <x:v>No premium power through purchase XP.</x:v>
      </x:c>
    </x:row>
    <x:row r="12" ht="74" customHeight="1">
      <x:c r="A12" s="28" t="str">
        <x:v>B08</x:v>
      </x:c>
      <x:c r="B12" s="28" t="str">
        <x:v>Economy</x:v>
      </x:c>
      <x:c r="C12" s="28" t="str">
        <x:v>Coin fish purchase XP</x:v>
      </x:c>
      <x:c r="D12" s="28" t="n">
        <x:f>SUM('Coin Fish'!U5:U76)</x:f>
        <x:v>0</x:v>
      </x:c>
      <x:c r="E12" s="28" t="n">
        <x:v>0</x:v>
      </x:c>
      <x:c r="F12" s="28" t="str">
        <x:f>IF(D12=0,"PASS","FAIL")</x:f>
        <x:v>PASS</x:v>
      </x:c>
      <x:c r="G12" s="28" t="str">
        <x:v>Cancellation earns zero XP.</x:v>
      </x:c>
      <x:c r="H12" s="28" t="str">
        <x:v>Runtime test required for actual refund path.</x:v>
      </x:c>
    </x:row>
    <x:row r="13" ht="74" customHeight="1">
      <x:c r="A13" s="28" t="str">
        <x:v>B09</x:v>
      </x:c>
      <x:c r="B13" s="28" t="str">
        <x:v>Economy</x:v>
      </x:c>
      <x:c r="C13" s="28" t="str">
        <x:v>Companion economic fields</x:v>
      </x:c>
      <x:c r="D13" s="28" t="n">
        <x:f>SUM('Fish Collectibles'!J5:M31)</x:f>
        <x:v>0</x:v>
      </x:c>
      <x:c r="E13" s="28" t="n">
        <x:v>0</x:v>
      </x:c>
      <x:c r="F13" s="28" t="str">
        <x:f>IF(D13=0,"PASS","FAIL")</x:f>
        <x:v>PASS</x:v>
      </x:c>
      <x:c r="G13" s="28" t="str">
        <x:v>Premium/seasonal companions have zero buy XP, sell coins, harvest XP and production slots.</x:v>
      </x:c>
      <x:c r="H13" s="28" t="str">
        <x:v>Paid capacity is separately disclosed convenience.</x:v>
      </x:c>
    </x:row>
    <x:row r="14" ht="74" customHeight="1">
      <x:c r="A14" s="28" t="str">
        <x:v>B10</x:v>
      </x:c>
      <x:c r="B14" s="28" t="str">
        <x:v>Capacity</x:v>
      </x:c>
      <x:c r="C14" s="28" t="str">
        <x:v>Total new-account growth slots</x:v>
      </x:c>
      <x:c r="D14" s="28" t="n">
        <x:f>SUM(Tanks!D5:D19)</x:f>
        <x:v>100</x:v>
      </x:c>
      <x:c r="E14" s="28" t="n">
        <x:v>100</x:v>
      </x:c>
      <x:c r="F14" s="28" t="str">
        <x:f>IF(D14=100,"PASS","FAIL")</x:f>
        <x:v>PASS</x:v>
      </x:c>
      <x:c r="G14" s="28" t="str">
        <x:v>Five tanks; existing legacy accounts may be grandfathered above this.</x:v>
      </x:c>
      <x:c r="H14" s="28" t="str">
        <x:v>Do not delete migrated fish.</x:v>
      </x:c>
    </x:row>
    <x:row r="15" ht="74" customHeight="1">
      <x:c r="A15" s="28" t="str">
        <x:v>B11</x:v>
      </x:c>
      <x:c r="B15" s="28" t="str">
        <x:v>Tutorial</x:v>
      </x:c>
      <x:c r="C15" s="28" t="str">
        <x:v>End coins</x:v>
      </x:c>
      <x:c r="D15" s="28" t="n">
        <x:f>Onboarding!I16</x:f>
        <x:v>731</x:v>
      </x:c>
      <x:c r="E15" s="28" t="n">
        <x:v>731</x:v>
      </x:c>
      <x:c r="F15" s="28" t="str">
        <x:f>IF(D15=731,"PASS","FAIL")</x:f>
        <x:v>PASS</x:v>
      </x:c>
      <x:c r="G15" s="28" t="str">
        <x:v>Guaranteed scripted path excludes optional purchases.</x:v>
      </x:c>
      <x:c r="H15" s="28" t="str">
        <x:v>Check first-session atomic grants.</x:v>
      </x:c>
    </x:row>
    <x:row r="16" ht="74" customHeight="1">
      <x:c r="A16" s="28" t="str">
        <x:v>B12</x:v>
      </x:c>
      <x:c r="B16" s="28" t="str">
        <x:v>Tutorial</x:v>
      </x:c>
      <x:c r="C16" s="28" t="str">
        <x:v>End XP / entry L2</x:v>
      </x:c>
      <x:c r="D16" s="28" t="n">
        <x:f>Onboarding!J16</x:f>
        <x:v>80</x:v>
      </x:c>
      <x:c r="E16" s="28" t="n">
        <x:v>80</x:v>
      </x:c>
      <x:c r="F16" s="28" t="str">
        <x:f>IF(D16=80,"PASS","FAIL")</x:f>
        <x:v>PASS</x:v>
      </x:c>
      <x:c r="G16" s="28" t="str">
        <x:v>No double normal XP on scripted fish.</x:v>
      </x:c>
      <x:c r="H16" s="28" t="str">
        <x:v>Retest after tutorial edits.</x:v>
      </x:c>
    </x:row>
    <x:row r="17" ht="74" customHeight="1">
      <x:c r="A17" s="28" t="str">
        <x:v>B13</x:v>
      </x:c>
      <x:c r="B17" s="28" t="str">
        <x:v>Tutorial</x:v>
      </x:c>
      <x:c r="C17" s="28" t="str">
        <x:v>End pearls</x:v>
      </x:c>
      <x:c r="D17" s="28" t="n">
        <x:f>Onboarding!K16</x:f>
        <x:v>1</x:v>
      </x:c>
      <x:c r="E17" s="28" t="n">
        <x:v>1</x:v>
      </x:c>
      <x:c r="F17" s="28" t="str">
        <x:f>IF(D17=1,"PASS","FAIL")</x:f>
        <x:v>PASS</x:v>
      </x:c>
      <x:c r="G17" s="28" t="str">
        <x:v>One level-2 grant.</x:v>
      </x:c>
      <x:c r="H17" s="28" t="str">
        <x:v>No mandatory pearl spend.</x:v>
      </x:c>
    </x:row>
    <x:row r="18" ht="74" customHeight="1">
      <x:c r="A18" s="28" t="str">
        <x:v>B14</x:v>
      </x:c>
      <x:c r="B18" s="28" t="str">
        <x:v>Tutorial</x:v>
      </x:c>
      <x:c r="C18" s="28" t="str">
        <x:v>Gifted growing fish</x:v>
      </x:c>
      <x:c r="D18" s="28" t="n">
        <x:f>Onboarding!L16</x:f>
        <x:v>4</x:v>
      </x:c>
      <x:c r="E18" s="28" t="n">
        <x:v>4</x:v>
      </x:c>
      <x:c r="F18" s="28" t="str">
        <x:f>IF(D18=4,"PASS","FAIL")</x:f>
        <x:v>PASS</x:v>
      </x:c>
      <x:c r="G18" s="28" t="str">
        <x:v>Kept tutorial fish uses no production slot.</x:v>
      </x:c>
      <x:c r="H18" s="28" t="str">
        <x:v>Gift cost basis is zero.</x:v>
      </x:c>
    </x:row>
    <x:row r="19" ht="74" customHeight="1">
      <x:c r="A19" s="28" t="str">
        <x:v>B15</x:v>
      </x:c>
      <x:c r="B19" s="28" t="str">
        <x:v>Simulation</x:v>
      </x:c>
      <x:c r="C19" s="28" t="str">
        <x:v>Sum of squared cash residuals</x:v>
      </x:c>
      <x:c r="D19" s="28" t="n">
        <x:f>SUMPRODUCT('Daily Ledger'!R5:R964,'Daily Ledger'!R5:R964)</x:f>
        <x:v>0</x:v>
      </x:c>
      <x:c r="E19" s="28" t="n">
        <x:v>0</x:v>
      </x:c>
      <x:c r="F19" s="28" t="str">
        <x:f>IF(D19=0,"PASS","FAIL")</x:f>
        <x:v>PASS</x:v>
      </x:c>
      <x:c r="G19" s="28" t="str">
        <x:v>960 daily rows; recomputed cash equals event snapshot.</x:v>
      </x:c>
      <x:c r="H19" s="28" t="str">
        <x:v>Does not validate production backend.</x:v>
      </x:c>
    </x:row>
    <x:row r="20" ht="74" customHeight="1">
      <x:c r="A20" s="28" t="str">
        <x:v>B16</x:v>
      </x:c>
      <x:c r="B20" s="28" t="str">
        <x:v>Simulation</x:v>
      </x:c>
      <x:c r="C20" s="28" t="str">
        <x:v>Sum of squared opening residuals</x:v>
      </x:c>
      <x:c r="D20" s="28" t="n">
        <x:f>SUMPRODUCT('Daily Ledger'!AE5:AE964,'Daily Ledger'!AE5:AE964)</x:f>
        <x:v>0</x:v>
      </x:c>
      <x:c r="E20" s="28" t="n">
        <x:v>0</x:v>
      </x:c>
      <x:c r="F20" s="28" t="str">
        <x:f>IF(D20=0,"PASS","FAIL")</x:f>
        <x:v>PASS</x:v>
      </x:c>
      <x:c r="G20" s="28" t="str">
        <x:v>Day opening equals prior close within actor.</x:v>
      </x:c>
      <x:c r="H20" s="28" t="str">
        <x:v>No cross-actor contamination.</x:v>
      </x:c>
    </x:row>
    <x:row r="21" ht="74" customHeight="1">
      <x:c r="A21" s="28" t="str">
        <x:v>B17</x:v>
      </x:c>
      <x:c r="B21" s="28" t="str">
        <x:v>Simulation</x:v>
      </x:c>
      <x:c r="C21" s="28" t="str">
        <x:v>Minimum closing coin balance</x:v>
      </x:c>
      <x:c r="D21" s="28" t="n">
        <x:f>MIN('Daily Ledger'!Q5:Q964)</x:f>
        <x:v>299</x:v>
      </x:c>
      <x:c r="E21" s="28" t="str">
        <x:v>&gt;= 0</x:v>
      </x:c>
      <x:c r="F21" s="28" t="str">
        <x:f>IF(D21&gt;=0,"PASS","FAIL")</x:f>
        <x:v>PASS</x:v>
      </x:c>
      <x:c r="G21" s="28" t="str">
        <x:v>All eight deterministic actors.</x:v>
      </x:c>
      <x:c r="H21" s="28" t="str">
        <x:v>Actual user spending can differ.</x:v>
      </x:c>
    </x:row>
    <x:row r="22" ht="74" customHeight="1">
      <x:c r="A22" s="28" t="str">
        <x:v>B18</x:v>
      </x:c>
      <x:c r="B22" s="28" t="str">
        <x:v>Simulation</x:v>
      </x:c>
      <x:c r="C22" s="28" t="str">
        <x:v>Minimum pearl balance</x:v>
      </x:c>
      <x:c r="D22" s="28" t="n">
        <x:f>MIN('Daily Ledger'!U5:U964)</x:f>
        <x:v>1</x:v>
      </x:c>
      <x:c r="E22" s="28" t="str">
        <x:v>&gt;= 0</x:v>
      </x:c>
      <x:c r="F22" s="28" t="str">
        <x:f>IF(D22&gt;=0,"PASS","FAIL")</x:f>
        <x:v>PASS</x:v>
      </x:c>
      <x:c r="G22" s="28" t="str">
        <x:v>No actor overspends pearls.</x:v>
      </x:c>
      <x:c r="H22" s="28" t="str">
        <x:v>Receipt and refund edges untested in runtime.</x:v>
      </x:c>
    </x:row>
    <x:row r="23" ht="74" customHeight="1">
      <x:c r="A23" s="28" t="str">
        <x:v>B19</x:v>
      </x:c>
      <x:c r="B23" s="28" t="str">
        <x:v>Simulation</x:v>
      </x:c>
      <x:c r="C23" s="28" t="str">
        <x:v>Blocked refill slots</x:v>
      </x:c>
      <x:c r="D23" s="28" t="n">
        <x:f>SUM('Daily Ledger'!AD5:AD964)</x:f>
        <x:v>0</x:v>
      </x:c>
      <x:c r="E23" s="28" t="n">
        <x:v>0</x:v>
      </x:c>
      <x:c r="F23" s="28" t="str">
        <x:f>IF(D23=0,"PASS","FAIL")</x:f>
        <x:v>PASS</x:v>
      </x:c>
      <x:c r="G23" s="28" t="str">
        <x:v>Actor behavior preserves a refill reserve.</x:v>
      </x:c>
      <x:c r="H23" s="28" t="str">
        <x:v>Player UI should preview affordability, not automatically tax spending.</x:v>
      </x:c>
    </x:row>
    <x:row r="24" ht="74" customHeight="1">
      <x:c r="A24" s="28" t="str">
        <x:v>B20</x:v>
      </x:c>
      <x:c r="B24" s="28" t="str">
        <x:v>Simulation</x:v>
      </x:c>
      <x:c r="C24" s="28" t="str">
        <x:v>Core time to L40</x:v>
      </x:c>
      <x:c r="D24" s="28" t="n">
        <x:f>'Simulation Summary'!G6</x:f>
        <x:v>91.5</x:v>
      </x:c>
      <x:c r="E24" s="28" t="str">
        <x:v>80–110 days</x:v>
      </x:c>
      <x:c r="F24" s="28" t="str">
        <x:f>IF(AND(D24&gt;='Inputs'!$B$58,D24&lt;='Inputs'!$B$59),"PASS","REVIEW")</x:f>
        <x:v>PASS</x:v>
      </x:c>
      <x:c r="G24" s="28" t="str">
        <x:v>Tuning target only; deterministic 2/day visits.</x:v>
      </x:c>
      <x:c r="H24" s="28" t="str">
        <x:v>Validate real arrival patterns.</x:v>
      </x:c>
    </x:row>
    <x:row r="25" ht="74" customHeight="1">
      <x:c r="A25" s="28" t="str">
        <x:v>B21</x:v>
      </x:c>
      <x:c r="B25" s="28" t="str">
        <x:v>Simulation</x:v>
      </x:c>
      <x:c r="C25" s="28" t="str">
        <x:v>Optimizer speed ratio</x:v>
      </x:c>
      <x:c r="D25" s="28" t="n">
        <x:f>'Simulation Summary'!G6/'Simulation Summary'!G7</x:f>
        <x:v>1.4222797927461142</x:v>
      </x:c>
      <x:c r="E25" s="28" t="str">
        <x:v>&lt;= 1.70</x:v>
      </x:c>
      <x:c r="F25" s="28" t="str">
        <x:f>IF(D25&lt;=1.7,"PASS","REVIEW")</x:f>
        <x:v>PASS</x:v>
      </x:c>
      <x:c r="G25" s="28" t="str">
        <x:v>Core days / idealized 6-visit days; not a healthy attendance recommendation.</x:v>
      </x:c>
      <x:c r="H25" s="28" t="str">
        <x:v>Use real schedules in soft launch.</x:v>
      </x:c>
    </x:row>
    <x:row r="26" ht="74" customHeight="1">
      <x:c r="A26" s="28" t="str">
        <x:v>B22</x:v>
      </x:c>
      <x:c r="B26" s="28" t="str">
        <x:v>Simulation</x:v>
      </x:c>
      <x:c r="C26" s="28" t="str">
        <x:v>Light payer speed ratio</x:v>
      </x:c>
      <x:c r="D26" s="28" t="n">
        <x:f>'Simulation Summary'!G6/'Simulation Summary'!G9</x:f>
        <x:v>1</x:v>
      </x:c>
      <x:c r="E26" s="28" t="str">
        <x:v>&lt;= 1.20</x:v>
      </x:c>
      <x:c r="F26" s="28" t="str">
        <x:f>IF(D26&lt;=1.2,"PASS","REVIEW")</x:f>
        <x:v>PASS</x:v>
      </x:c>
      <x:c r="G26" s="28" t="str">
        <x:v>Only the modeled $6.98 purchase policy.</x:v>
      </x:c>
      <x:c r="H26" s="28" t="str">
        <x:v>Does not imply all paid convenience has zero advantage.</x:v>
      </x:c>
    </x:row>
    <x:row r="27" ht="74" customHeight="1">
      <x:c r="A27" s="28" t="str">
        <x:v>B23</x:v>
      </x:c>
      <x:c r="B27" s="28" t="str">
        <x:v>Simulation</x:v>
      </x:c>
      <x:c r="C27" s="28" t="str">
        <x:v>Returner reaches launch cap</x:v>
      </x:c>
      <x:c r="D27" s="28" t="n">
        <x:f>'Simulation Summary'!G11</x:f>
        <x:v>95</x:v>
      </x:c>
      <x:c r="E27" s="28" t="str">
        <x:v>&gt; Core, finite</x:v>
      </x:c>
      <x:c r="F27" s="28" t="str">
        <x:f>IF(AND(D27&gt;'Simulation Summary'!G6,D27&lt;=120),"PASS","REVIEW")</x:f>
        <x:v>PASS</x:v>
      </x:c>
      <x:c r="G27" s="28" t="str">
        <x:v>Three missed days; no asset loss.</x:v>
      </x:c>
      <x:c r="H27" s="28" t="str">
        <x:v>Longer gaps need runtime and cohort testing.</x:v>
      </x:c>
    </x:row>
    <x:row r="28" ht="74" customHeight="1">
      <x:c r="A28" s="28" t="str">
        <x:v>B24</x:v>
      </x:c>
      <x:c r="B28" s="28" t="str">
        <x:v>Economy</x:v>
      </x:c>
      <x:c r="C28" s="28" t="str">
        <x:v>Max free ad coin uplift</x:v>
      </x:c>
      <x:c r="D28" s="28" t="n">
        <x:v>0.06</x:v>
      </x:c>
      <x:c r="E28" s="28" t="n">
        <x:v>0.06</x:v>
      </x:c>
      <x:c r="F28" s="28" t="str">
        <x:v>PASS</x:v>
      </x:c>
      <x:c r="G28" s="28" t="str">
        <x:v>Reference-income cap, no XP.</x:v>
      </x:c>
      <x:c r="H28" s="28" t="str">
        <x:v>Provider completion/availability not assumed for free progress.</x:v>
      </x:c>
    </x:row>
    <x:row r="29" ht="74" customHeight="1">
      <x:c r="A29" s="28" t="str">
        <x:v>B25</x:v>
      </x:c>
      <x:c r="B29" s="28" t="str">
        <x:v>Shop</x:v>
      </x:c>
      <x:c r="C29" s="28" t="str">
        <x:v>Pearl-pack value monotonicity</x:v>
      </x:c>
      <x:c r="D29" s="28" t="b">
        <x:f>AND(Shop!G6&gt;Shop!G5,Shop!G7&gt;Shop!G6)</x:f>
        <x:v>1</x:v>
      </x:c>
      <x:c r="E29" s="70" t="b">
        <x:v>1</x:v>
      </x:c>
      <x:c r="F29" s="28" t="str">
        <x:f>IF(D29,"PASS","FAIL")</x:f>
        <x:v>PASS</x:v>
      </x:c>
      <x:c r="G29" s="28" t="str">
        <x:v>Repeatable pearl packs only; starter is lifetime-once.</x:v>
      </x:c>
      <x:c r="H29" s="28" t="str">
        <x:v>Localized stores may change actual relative value.</x:v>
      </x:c>
    </x:row>
    <x:row r="30" ht="74" customHeight="1">
      <x:c r="A30" s="28" t="str">
        <x:v>B26</x:v>
      </x:c>
      <x:c r="B30" s="28" t="str">
        <x:v>Economy</x:v>
      </x:c>
      <x:c r="C30" s="28" t="str">
        <x:v>Early-stage yield/time ceiling</x:v>
      </x:c>
      <x:c r="D30" s="28" t="n">
        <x:v>0.8749999999999999</x:v>
      </x:c>
      <x:c r="E30" s="28" t="str">
        <x:v>&lt; 1</x:v>
      </x:c>
      <x:c r="F30" s="28" t="str">
        <x:v>PASS</x:v>
      </x:c>
      <x:c r="G30" s="28" t="str">
        <x:v>0.875 max before flooring and principal haircut; buy XP=0.</x:v>
      </x:c>
      <x:c r="H30" s="28" t="str">
        <x:v>Unit-test every stage and rounding boundary.</x:v>
      </x:c>
    </x:row>
    <x:row r="31" ht="74" customHeight="1">
      <x:c r="A31" s="28" t="str">
        <x:v>B27</x:v>
      </x:c>
      <x:c r="B31" s="28" t="str">
        <x:v>Snapshots</x:v>
      </x:c>
      <x:c r="C31" s="28" t="str">
        <x:v>Numeric tuning freshness</x:v>
      </x:c>
      <x:c r="D31" s="28" t="str">
        <x:f>'Model Contract'!B30</x:f>
        <x:v>CURRENT NUMERIC INPUTS</x:v>
      </x:c>
      <x:c r="E31" s="28" t="str">
        <x:v>CURRENT NUMERIC INPUTS</x:v>
      </x:c>
      <x:c r="F31" s="28" t="str">
        <x:f>IF(D31="CURRENT NUMERIC INPUTS","PASS","STALE")</x:f>
        <x:v>PASS</x:v>
      </x:c>
      <x:c r="G31" s="28" t="str">
        <x:v>Numeric checksum only; text/ID/rule edits also invalidate snapshots.</x:v>
      </x:c>
      <x:c r="H31" s="28" t="str">
        <x:v>Run companion model after edits.</x:v>
      </x:c>
    </x:row>
    <x:row r="32" ht="74" customHeight="1">
      <x:c r="A32" s="28" t="str">
        <x:v>B28</x:v>
      </x:c>
      <x:c r="B32" s="28" t="str">
        <x:v>Residual risk</x:v>
      </x:c>
      <x:c r="C32" s="28" t="str">
        <x:v>Optimizer end cash / ref-day</x:v>
      </x:c>
      <x:c r="D32" s="28" t="n">
        <x:f>'Simulation Summary'!P7</x:f>
        <x:v>75.13326073805203</x:v>
      </x:c>
      <x:c r="E32" s="28" t="str">
        <x:v>Investigate &gt; 30 days</x:v>
      </x:c>
      <x:c r="F32" s="28" t="str">
        <x:f>IF(D32&gt;30,"AMBER","MONITOR")</x:f>
        <x:v>AMBER</x:v>
      </x:c>
      <x:c r="G32" s="28" t="str">
        <x:v>Finite sinks exhaust; high-efficiency wealth persists.</x:v>
      </x:c>
      <x:c r="H32" s="28" t="str">
        <x:v>Validate cosmetic demand; never fake an equilibrium.</x:v>
      </x:c>
    </x:row>
    <x:row r="33" ht="74" customHeight="1">
      <x:c r="A33" s="28" t="str">
        <x:v>B29</x:v>
      </x:c>
      <x:c r="B33" s="28" t="str">
        <x:v>Residual risk</x:v>
      </x:c>
      <x:c r="C33" s="28" t="str">
        <x:v>Core end cash / ref-day</x:v>
      </x:c>
      <x:c r="D33" s="28" t="n">
        <x:f>'Simulation Summary'!P6</x:f>
        <x:v>13.550248033877798</x:v>
      </x:c>
      <x:c r="E33" s="28" t="str">
        <x:v>Monitor finite-sink demand</x:v>
      </x:c>
      <x:c r="F33" s="28" t="str">
        <x:v>MONITOR</x:v>
      </x:c>
      <x:c r="G33" s="28" t="str">
        <x:v>Core also eventually exhausts catalog/projects.</x:v>
      </x:c>
      <x:c r="H33" s="28" t="str">
        <x:v>Do not infer revenue from willingness to allocate a model budget.</x:v>
      </x:c>
    </x:row>
    <x:row r="34" ht="74" customHeight="1">
      <x:c r="A34" s="28" t="str">
        <x:v>B30</x:v>
      </x:c>
      <x:c r="B34" s="28" t="str">
        <x:v>Runtime QA</x:v>
      </x:c>
      <x:c r="C34" s="28" t="str">
        <x:v>Concurrent fish/quest/IAP claim tests</x:v>
      </x:c>
      <x:c r="D34" s="28" t="str">
        <x:v>Not executed</x:v>
      </x:c>
      <x:c r="E34" s="28" t="str">
        <x:v>No double grants or lost assets</x:v>
      </x:c>
      <x:c r="F34" s="28" t="str">
        <x:v>NOT RUN</x:v>
      </x:c>
      <x:c r="G34" s="28" t="str">
        <x:v>Requires actual backend/client.</x:v>
      </x:c>
      <x:c r="H34" s="28" t="str">
        <x:v>P0 release blocker.</x:v>
      </x:c>
    </x:row>
    <x:row r="35" ht="74" customHeight="1">
      <x:c r="A35" s="28" t="str">
        <x:v>B31</x:v>
      </x:c>
      <x:c r="B35" s="28" t="str">
        <x:v>Runtime QA</x:v>
      </x:c>
      <x:c r="C35" s="28" t="str">
        <x:v>Long absence / clock / offline / DST</x:v>
      </x:c>
      <x:c r="D35" s="28" t="str">
        <x:v>Not executed</x:v>
      </x:c>
      <x:c r="E35" s="28" t="str">
        <x:v>Ownership safe; one growth cycle; server time</x:v>
      </x:c>
      <x:c r="F35" s="28" t="str">
        <x:v>NOT RUN</x:v>
      </x:c>
      <x:c r="G35" s="28" t="str">
        <x:v>Requires deployed state machine.</x:v>
      </x:c>
      <x:c r="H35" s="28" t="str">
        <x:v>P0 release blocker.</x:v>
      </x:c>
    </x:row>
    <x:row r="36" ht="74" customHeight="1">
      <x:c r="A36" s="28" t="str">
        <x:v>B32</x:v>
      </x:c>
      <x:c r="B36" s="28" t="str">
        <x:v>Runtime QA</x:v>
      </x:c>
      <x:c r="C36" s="28" t="str">
        <x:v>Event bank / late join / exact end</x:v>
      </x:c>
      <x:c r="D36" s="28" t="str">
        <x:v>Not executed</x:v>
      </x:c>
      <x:c r="E36" s="28" t="str">
        <x:v>20 opportunity/day;40 catchup; no replay</x:v>
      </x:c>
      <x:c r="F36" s="28" t="str">
        <x:v>NOT RUN</x:v>
      </x:c>
      <x:c r="G36" s="28" t="str">
        <x:v>Model actor runs do not exercise catch-up.</x:v>
      </x:c>
      <x:c r="H36" s="28" t="str">
        <x:v>Block event release until tested.</x:v>
      </x:c>
    </x:row>
    <x:row r="37" ht="74" customHeight="1">
      <x:c r="A37" s="28" t="str">
        <x:v>B33</x:v>
      </x:c>
      <x:c r="B37" s="28" t="str">
        <x:v>Runtime QA</x:v>
      </x:c>
      <x:c r="C37" s="28" t="str">
        <x:v>Restore, refunds and migrated entitlements</x:v>
      </x:c>
      <x:c r="D37" s="28" t="str">
        <x:v>Not executed</x:v>
      </x:c>
      <x:c r="E37" s="28" t="str">
        <x:v>No paid value loss; ledgers reconcile</x:v>
      </x:c>
      <x:c r="F37" s="28" t="str">
        <x:v>NOT RUN</x:v>
      </x:c>
      <x:c r="G37" s="28" t="str">
        <x:v>Store sandbox + migrated account fixtures.</x:v>
      </x:c>
      <x:c r="H37" s="28" t="str">
        <x:v>P0 commerce blocker.</x:v>
      </x:c>
    </x:row>
    <x:row r="38" ht="74" customHeight="1">
      <x:c r="A38" s="28" t="str">
        <x:v>B34</x:v>
      </x:c>
      <x:c r="B38" s="28" t="str">
        <x:v>Art / UX</x:v>
      </x:c>
      <x:c r="C38" s="28" t="str">
        <x:v>Minimum device and asset-manifest review</x:v>
      </x:c>
      <x:c r="D38" s="28" t="str">
        <x:v>Not executed</x:v>
      </x:c>
      <x:c r="E38" s="28" t="str">
        <x:v>Readable, performant, complete rewards</x:v>
      </x:c>
      <x:c r="F38" s="28" t="str">
        <x:v>NOT RUN</x:v>
      </x:c>
      <x:c r="G38" s="28" t="str">
        <x:v>A spreadsheet is not a rendered game.</x:v>
      </x:c>
      <x:c r="H38" s="28" t="str">
        <x:v>Block any item with missing art.</x:v>
      </x:c>
    </x:row>
    <x:row r="39" ht="74" customHeight="1">
      <x:c r="A39" s="28" t="str">
        <x:v>B35</x:v>
      </x:c>
      <x:c r="B39" s="28" t="str">
        <x:v>Live outcome</x:v>
      </x:c>
      <x:c r="C39" s="28" t="str">
        <x:v>Retention / enjoyment / monetization</x:v>
      </x:c>
      <x:c r="D39" s="28" t="str">
        <x:v>No live data</x:v>
      </x:c>
      <x:c r="E39" s="28" t="str">
        <x:v>Telemetry and experiments required</x:v>
      </x:c>
      <x:c r="F39" s="28" t="str">
        <x:v>UNVALIDATED</x:v>
      </x:c>
      <x:c r="G39" s="28" t="str">
        <x:v>No guarantee of popularity, addiction, retention or profit.</x:v>
      </x:c>
      <x:c r="H39" s="28" t="str">
        <x:v>Soft-launch and tune with observed cohorts.</x:v>
      </x:c>
    </x:row>
  </x:sheetData>
  <x:mergeCells>
    <x:mergeCell ref="A1:H1"/>
    <x:mergeCell ref="A2:H2"/>
  </x:mergeCells>
  <x:conditionalFormatting sqref="F5:F39">
    <x:cfRule type="expression" dxfId="0" priority="1">
      <x:formula>F5="PASS"</x:formula>
    </x:cfRule>
    <x:cfRule type="expression" dxfId="1" priority="2">
      <x:formula>OR(F5="FAIL",F5="STALE")</x:formula>
    </x:cfRule>
    <x:cfRule type="expression" dxfId="2" priority="3">
      <x:formula>OR(F5="AMBER",F5="REVIEW",F5="MONITOR")</x:formula>
    </x:cfRule>
    <x:cfRule type="expression" dxfId="3" priority="4">
      <x:formula>OR(F5="NOT RUN",F5="UNVALIDATED")</x:formula>
    </x:cfRule>
  </x:conditionalFormatting>
  <x:pageMargins left="0.7" right="0.7" top="0.75" bottom="0.75" header="0.3" footer="0.3"/>
  <x:tableParts count="1">
    <x:tablePart xmlns:r="http://schemas.openxmlformats.org/officeDocument/2006/relationships" r:id="R7752ef5bd0264971"/>
  </x:tableParts>
</x:worksheet>
</file>

<file path=xl/worksheets/sheet31.xml><?xml version="1.0" encoding="utf-8"?>
<x:worksheet xmlns:x="http://schemas.openxmlformats.org/spreadsheetml/2006/main">
  <x:sheetFormatPr defaultRowHeight="15"/>
  <x:cols>
    <x:col min="1" max="1" width="15" hidden="0" customWidth="1"/>
    <x:col min="2" max="2" width="35" hidden="0" customWidth="1"/>
    <x:col min="3" max="3" width="135" hidden="0" customWidth="1"/>
    <x:col min="4" max="4" width="111" hidden="0" customWidth="1"/>
    <x:col min="5" max="5" width="67" hidden="0" customWidth="1"/>
    <x:col min="6" max="6" width="116" hidden="0" customWidth="1"/>
  </x:cols>
  <x:sheetData>
    <x:row r="1" ht="34" customHeight="1">
      <x:c r="A1" s="6" t="str">
        <x:v>MEASUREMENT | enjoyment, returns and economic trust</x:v>
      </x:c>
      <x:c r="B1" s="6"/>
      <x:c r="C1" s="6"/>
      <x:c r="D1" s="6"/>
      <x:c r="E1" s="6"/>
      <x:c r="F1" s="6"/>
    </x:row>
    <x:row r="2" ht="32" customHeight="1">
      <x:c r="A2" s="13" t="str">
        <x:v>Primary KPIs: D7, D30 and satisfied play. Numeric targets are provisional product goals, not current results or guaranteed benchmarks.</x:v>
      </x:c>
      <x:c r="B2" s="13"/>
      <x:c r="C2" s="13"/>
      <x:c r="D2" s="13"/>
      <x:c r="E2" s="13"/>
      <x:c r="F2" s="13"/>
    </x:row>
    <x:row r="3">
      <x:c r="A3" s="2"/>
      <x:c r="B3" s="2"/>
      <x:c r="C3" s="2"/>
      <x:c r="D3" s="2"/>
      <x:c r="E3" s="2"/>
      <x:c r="F3" s="2"/>
    </x:row>
    <x:row r="4" ht="32" customHeight="1">
      <x:c r="A4" s="21" t="str">
        <x:v>Kind</x:v>
      </x:c>
      <x:c r="B4" s="21" t="str">
        <x:v>Metric / event</x:v>
      </x:c>
      <x:c r="C4" s="21" t="str">
        <x:v>Exact definition / payload</x:v>
      </x:c>
      <x:c r="D4" s="21" t="str">
        <x:v>Cadence / source / segments</x:v>
      </x:c>
      <x:c r="E4" s="21" t="str">
        <x:v>Target / state</x:v>
      </x:c>
      <x:c r="F4" s="21" t="str">
        <x:v>Caveat / guardrail</x:v>
      </x:c>
    </x:row>
    <x:row r="5" ht="97" customHeight="1">
      <x:c r="A5" s="28" t="str">
        <x:v>METRIC</x:v>
      </x:c>
      <x:c r="B5" s="28" t="str">
        <x:v>KPI01 D7 retention</x:v>
      </x:c>
      <x:c r="C5" s="28" t="str">
        <x:v>New non-test accounts with a meaningful foreground session in [168h,192h) after first_open / all eligible installs with 192h observable.</x:v>
      </x:c>
      <x:c r="D5" s="28" t="str">
        <x:v>Weekly by install cohort; split acquisition channel, platform, country and version.</x:v>
      </x:c>
      <x:c r="E5" s="28" t="str">
        <x:v>Provisional aim 12%; NOT MEASURED</x:v>
      </x:c>
      <x:c r="F5" s="28" t="str">
        <x:v>Primary return-value KPI; do not mix rolling-return or calendar-day definitions.</x:v>
      </x:c>
    </x:row>
    <x:row r="6" ht="97" customHeight="1">
      <x:c r="A6" s="28" t="str">
        <x:v>METRIC</x:v>
      </x:c>
      <x:c r="B6" s="28" t="str">
        <x:v>KPI02 D30 retention</x:v>
      </x:c>
      <x:c r="C6" s="28" t="str">
        <x:v>New non-test accounts with meaningful foreground activity in [720h,744h) / all eligible installs with 744h observable.</x:v>
      </x:c>
      <x:c r="D6" s="28" t="str">
        <x:v>Weekly, mature cohorts only; report confidence intervals and cohort counts.</x:v>
      </x:c>
      <x:c r="E6" s="28" t="str">
        <x:v>Provisional aim 6%; NOT MEASURED</x:v>
      </x:c>
      <x:c r="F6" s="28" t="str">
        <x:v>Primary longer-term value KPI; paid users are not representative of everyone.</x:v>
      </x:c>
    </x:row>
    <x:row r="7" ht="97" customHeight="1">
      <x:c r="A7" s="28" t="str">
        <x:v>METRIC</x:v>
      </x:c>
      <x:c r="B7" s="28" t="str">
        <x:v>KPI03 satisfied play</x:v>
      </x:c>
      <x:c r="C7" s="28" t="str">
        <x:v>Surveyed active players rating enjoyment &gt;=4/5 AND pressure &lt;=2/5 / all responding sampled active players.</x:v>
      </x:c>
      <x:c r="D7" s="28" t="str">
        <x:v>Weekly random sampling; show response rate and nonresponse caveat.</x:v>
      </x:c>
      <x:c r="E7" s="28" t="str">
        <x:v>Provisional aim &gt;=70%; NOT MEASURED</x:v>
      </x:c>
      <x:c r="F7" s="28" t="str">
        <x:v>Enjoyment guard against optimizing compulsive time; survey selection remains biased.</x:v>
      </x:c>
    </x:row>
    <x:row r="8" ht="97" customHeight="1">
      <x:c r="A8" s="28" t="str">
        <x:v>METRIC</x:v>
      </x:c>
      <x:c r="B8" s="28" t="str">
        <x:v>Driver D1</x:v>
      </x:c>
      <x:c r="C8" s="28" t="str">
        <x:v>Meaningful activity in [24h,48h) / installs with 48h observable. Meaningful = &gt;=10 seconds foreground or one confirmed gameplay action.</x:v>
      </x:c>
      <x:c r="D8" s="28" t="str">
        <x:v>Daily mature cohorts; fixed bot/test exclusions applied before analysis.</x:v>
      </x:c>
      <x:c r="E8" s="28" t="str">
        <x:v>Provisional aim 35%; NOT MEASURED</x:v>
      </x:c>
      <x:c r="F8" s="28" t="str">
        <x:v>Diagnostic early-return metric, not proof of durable retention.</x:v>
      </x:c>
    </x:row>
    <x:row r="9" ht="97" customHeight="1">
      <x:c r="A9" s="28" t="str">
        <x:v>METRIC</x:v>
      </x:c>
      <x:c r="B9" s="28" t="str">
        <x:v>Driver activation</x:v>
      </x:c>
      <x:c r="C9" s="28" t="str">
        <x:v>First session includes first settlement + first scene save + chosen next goal / first_open accounts.</x:v>
      </x:c>
      <x:c r="D9" s="28" t="str">
        <x:v>Daily funnel; show drop at each event.</x:v>
      </x:c>
      <x:c r="E9" s="28" t="str">
        <x:v>Provisional aim 75%; NOT MEASURED</x:v>
      </x:c>
      <x:c r="F9" s="28" t="str">
        <x:v>Avoid rewarding meaningless click-through solely to improve this metric.</x:v>
      </x:c>
    </x:row>
    <x:row r="10" ht="97" customHeight="1">
      <x:c r="A10" s="28" t="str">
        <x:v>METRIC</x:v>
      </x:c>
      <x:c r="B10" s="28" t="str">
        <x:v>Driver creative return</x:v>
      </x:c>
      <x:c r="C10" s="28" t="str">
        <x:v>Returning D7 players with a scene edit, photo save or mastery action / all D7 returning players.</x:v>
      </x:c>
      <x:c r="D10" s="28" t="str">
        <x:v>Weekly; separately show rate across ALL eligible installs.</x:v>
      </x:c>
      <x:c r="E10" s="28" t="str">
        <x:v>No target until baseline</x:v>
      </x:c>
      <x:c r="F10" s="28" t="str">
        <x:v>Conditional share diagnoses value but excludes churned players.</x:v>
      </x:c>
    </x:row>
    <x:row r="11" ht="97" customHeight="1">
      <x:c r="A11" s="28" t="str">
        <x:v>METRIC</x:v>
      </x:c>
      <x:c r="B11" s="28" t="str">
        <x:v>Guardrail trust</x:v>
      </x:c>
      <x:c r="C11" s="28" t="str">
        <x:v>Players reporting pressure &gt;=4/5; purchase refunds / completed purchase transactions; purchase complaints / purchasing accounts.</x:v>
      </x:c>
      <x:c r="D11" s="28" t="str">
        <x:v>Weekly; report survey selection and store reporting delay.</x:v>
      </x:c>
      <x:c r="E11" s="28" t="str">
        <x:v>Do not worsen materially vs control</x:v>
      </x:c>
      <x:c r="F11" s="28" t="str">
        <x:v>Pause monetization experiments after exploit, misleading offer or material harm.</x:v>
      </x:c>
    </x:row>
    <x:row r="12" ht="97" customHeight="1">
      <x:c r="A12" s="28" t="str">
        <x:v>METRIC</x:v>
      </x:c>
      <x:c r="B12" s="28" t="str">
        <x:v>Guardrail reliability</x:v>
      </x:c>
      <x:c r="C12" s="28" t="str">
        <x:v>Crash-free foreground sessions / all foreground sessions; duplicate economic grants and unreconciled wallet residual count.</x:v>
      </x:c>
      <x:c r="D12" s="28" t="str">
        <x:v>Daily by build/platform; runtime reconciliation samples.</x:v>
      </x:c>
      <x:c r="E12" s="28" t="str">
        <x:v>Proposed &gt;=99.5% crash-free; zero duplicate grants</x:v>
      </x:c>
      <x:c r="F12" s="28" t="str">
        <x:v>Reliability target is internal, not measured platform performance.</x:v>
      </x:c>
    </x:row>
    <x:row r="13" ht="97" customHeight="1">
      <x:c r="A13" s="28" t="str">
        <x:v>METRIC</x:v>
      </x:c>
      <x:c r="B13" s="28" t="str">
        <x:v>Economy health</x:v>
      </x:c>
      <x:c r="C13" s="28" t="str">
        <x:v>Net earned coin faucets − net sinks; wallet / current reference coin-day; percent unable to refill cheapest eligible batch.</x:v>
      </x:c>
      <x:c r="D13" s="28" t="str">
        <x:v>Daily by level, actor frequency and pay status; count principal returns separately.</x:v>
      </x:c>
      <x:c r="E13" s="28" t="str">
        <x:v>Investigate P90 surplus &gt;30 ref-days or any structural deadlock</x:v>
      </x:c>
      <x:c r="F13" s="28" t="str">
        <x:v>A rich player is not automatically a problem; validate unmet cosmetic demand.</x:v>
      </x:c>
    </x:row>
    <x:row r="14" ht="97" customHeight="1">
      <x:c r="A14" s="28" t="str">
        <x:v>METRIC</x:v>
      </x:c>
      <x:c r="B14" s="28" t="str">
        <x:v>Business viability</x:v>
      </x:c>
      <x:c r="C14" s="28" t="str">
        <x:v>Net receipts after refunds/store fees + realized ad revenue − variable service/content cost; segmented payer conversion with explicit denominator.</x:v>
      </x:c>
      <x:c r="D14" s="28" t="str">
        <x:v>Monthly cohort contribution; separate fixed production costs and acquisition spend.</x:v>
      </x:c>
      <x:c r="E14" s="28" t="str">
        <x:v>No LTV / revenue target without costs and live cohorts</x:v>
      </x:c>
      <x:c r="F14" s="28" t="str">
        <x:v>Spend in Simulation Summary is an assumption, not monetization forecast.</x:v>
      </x:c>
    </x:row>
    <x:row r="15" ht="97" customHeight="1">
      <x:c r="A15" s="28" t="str">
        <x:v>EVENT</x:v>
      </x:c>
      <x:c r="B15" s="28" t="str">
        <x:v>first_open / session_start</x:v>
      </x:c>
      <x:c r="C15" s="28" t="str">
        <x:v>account_id/session_id/build/platform/first_open_time; foreground duration; background/foreground events.</x:v>
      </x:c>
      <x:c r="D15" s="28" t="str">
        <x:v>Client; dedupe event_id; server receive timestamp.</x:v>
      </x:c>
      <x:c r="E15" s="28" t="str">
        <x:v>Required P0</x:v>
      </x:c>
      <x:c r="F15" s="28" t="str">
        <x:v>Retention calculation must not count notification delivery as a session.</x:v>
      </x:c>
    </x:row>
    <x:row r="16" ht="97" customHeight="1">
      <x:c r="A16" s="28" t="str">
        <x:v>EVENT</x:v>
      </x:c>
      <x:c r="B16" s="28" t="str">
        <x:v>tutorial_step</x:v>
      </x:c>
      <x:c r="C16" s="28" t="str">
        <x:v>step_id; tutorial_version; started/completed; seconds_from_first_open; failure_reason.</x:v>
      </x:c>
      <x:c r="D16" s="28" t="str">
        <x:v>Client intent + confirmed grant events where applicable.</x:v>
      </x:c>
      <x:c r="E16" s="28" t="str">
        <x:v>Required P0</x:v>
      </x:c>
      <x:c r="F16" s="28" t="str">
        <x:v>Never auto-mark completed to hide confusion.</x:v>
      </x:c>
    </x:row>
    <x:row r="17" ht="97" customHeight="1">
      <x:c r="A17" s="28" t="str">
        <x:v>EVENT</x:v>
      </x:c>
      <x:c r="B17" s="28" t="str">
        <x:v>egg_preview / egg_purchase</x:v>
      </x:c>
      <x:c r="C17" s="28" t="str">
        <x:v>species_id; offered_level; schedule; price; profit; XP; config; request_id; success/error.</x:v>
      </x:c>
      <x:c r="D17" s="28" t="str">
        <x:v>Server-confirmed purchase; preview separately.</x:v>
      </x:c>
      <x:c r="E17" s="28" t="str">
        <x:v>Required P0</x:v>
      </x:c>
      <x:c r="F17" s="28" t="str">
        <x:v>Distinguish displayed affordability from actual wallet transaction.</x:v>
      </x:c>
    </x:row>
    <x:row r="18" ht="97" customHeight="1">
      <x:c r="A18" s="28" t="str">
        <x:v>EVENT</x:v>
      </x:c>
      <x:c r="B18" s="28" t="str">
        <x:v>fish_settlement</x:v>
      </x:c>
      <x:c r="C18" s="28" t="str">
        <x:v>instance_id; species; stage; principal_returned; net_reward; XP; actual_wait; keep/rehome; request_id.</x:v>
      </x:c>
      <x:c r="D18" s="28" t="str">
        <x:v>Server only; one event per terminal fish.</x:v>
      </x:c>
      <x:c r="E18" s="28" t="str">
        <x:v>Required P0</x:v>
      </x:c>
      <x:c r="F18" s="28" t="str">
        <x:v>Duplicate-event filtering is not a substitute for duplicate-grant prevention.</x:v>
      </x:c>
    </x:row>
    <x:row r="19" ht="97" customHeight="1">
      <x:c r="A19" s="28" t="str">
        <x:v>EVENT</x:v>
      </x:c>
      <x:c r="B19" s="28" t="str">
        <x:v>care_action / photo_mode</x:v>
      </x:c>
      <x:c r="C19" s="28" t="str">
        <x:v>action_type; target_species; reduced_motion; duration; photo_preview/save; no image payload required.</x:v>
      </x:c>
      <x:c r="D19" s="28" t="str">
        <x:v>Client; rate-limited aggregate if necessary.</x:v>
      </x:c>
      <x:c r="E19" s="28" t="str">
        <x:v>Required for fun diagnostics</x:v>
      </x:c>
      <x:c r="F19" s="28" t="str">
        <x:v>Optional non-economic interactions should be measurable without invasive tracking.</x:v>
      </x:c>
    </x:row>
    <x:row r="20" ht="97" customHeight="1">
      <x:c r="A20" s="28" t="str">
        <x:v>EVENT</x:v>
      </x:c>
      <x:c r="B20" s="28" t="str">
        <x:v>decor_place / project_milestone</x:v>
      </x:c>
      <x:c r="C20" s="28" t="str">
        <x:v>item/project_id; edit_type; unique_scene_ids; contribution; milestone; paid_source_class.</x:v>
      </x:c>
      <x:c r="D20" s="28" t="str">
        <x:v>Placement client confirmed; contribution server.</x:v>
      </x:c>
      <x:c r="E20" s="28" t="str">
        <x:v>Required P0</x:v>
      </x:c>
      <x:c r="F20" s="28" t="str">
        <x:v>No sensitive photo, room or real-world location metadata.</x:v>
      </x:c>
    </x:row>
    <x:row r="21" ht="97" customHeight="1">
      <x:c r="A21" s="28" t="str">
        <x:v>EVENT</x:v>
      </x:c>
      <x:c r="B21" s="28" t="str">
        <x:v>quest_offer / quest_claim</x:v>
      </x:c>
      <x:c r="C21" s="28" t="str">
        <x:v>offer_id; issue_level; accessible_options; claim_slot; coin/XP/pearl grant; replacement_reason.</x:v>
      </x:c>
      <x:c r="D21" s="28" t="str">
        <x:v>Server rewards; client display exposure.</x:v>
      </x:c>
      <x:c r="E21" s="28" t="str">
        <x:v>Required P0</x:v>
      </x:c>
      <x:c r="F21" s="28" t="str">
        <x:v>Maintain one pool across replacement and retries.</x:v>
      </x:c>
    </x:row>
    <x:row r="22" ht="97" customHeight="1">
      <x:c r="A22" s="28" t="str">
        <x:v>EVENT</x:v>
      </x:c>
      <x:c r="B22" s="28" t="str">
        <x:v>chapter / mastery_claim</x:v>
      </x:c>
      <x:c r="C22" s="28" t="str">
        <x:v>chapter/species_id; tier; eligible_progress; unique grant id; cosmetic/pearl amount.</x:v>
      </x:c>
      <x:c r="D22" s="28" t="str">
        <x:v>Server only.</x:v>
      </x:c>
      <x:c r="E22" s="28" t="str">
        <x:v>Required P0</x:v>
      </x:c>
      <x:c r="F22" s="28" t="str">
        <x:v>Lifetime chapter claims never attach to a weekly-reset key.</x:v>
      </x:c>
    </x:row>
    <x:row r="23" ht="97" customHeight="1">
      <x:c r="A23" s="28" t="str">
        <x:v>EVENT</x:v>
      </x:c>
      <x:c r="B23" s="28" t="str">
        <x:v>event_progress / event_claim</x:v>
      </x:c>
      <x:c r="C23" s="28" t="str">
        <x:v>event_instance; available_opportunity; earned_points; catchup_used; threshold; eligibility; grant.</x:v>
      </x:c>
      <x:c r="D23" s="28" t="str">
        <x:v>Server plus exposure; include nonparticipant eligibility.</x:v>
      </x:c>
      <x:c r="E23" s="28" t="str">
        <x:v>Required before events</x:v>
      </x:c>
      <x:c r="F23" s="28" t="str">
        <x:v>Completion denominator is all eligible exposed players, not only track completers.</x:v>
      </x:c>
    </x:row>
    <x:row r="24" ht="97" customHeight="1">
      <x:c r="A24" s="28" t="str">
        <x:v>EVENT</x:v>
      </x:c>
      <x:c r="B24" s="28" t="str">
        <x:v>shop_view / purchase</x:v>
      </x:c>
      <x:c r="C24" s="28" t="str">
        <x:v>offer_id; placement; exact displayed contents; local price/currency; purchase initiated/verified/granted/refunded.</x:v>
      </x:c>
      <x:c r="D24" s="28" t="str">
        <x:v>Platform-verified transactions; no card data.</x:v>
      </x:c>
      <x:c r="E24" s="28" t="str">
        <x:v>Required before IAP</x:v>
      </x:c>
      <x:c r="F24" s="28" t="str">
        <x:v>Analyze intent, conversion and fulfillment separately.</x:v>
      </x:c>
    </x:row>
    <x:row r="25" ht="97" customHeight="1">
      <x:c r="A25" s="28" t="str">
        <x:v>EVENT</x:v>
      </x:c>
      <x:c r="B25" s="28" t="str">
        <x:v>ad_offer / ad_reward</x:v>
      </x:c>
      <x:c r="C25" s="28" t="str">
        <x:v>offer_id; opted_in; skipped/no_fill/verified; reward_snapshot; cap_slot.</x:v>
      </x:c>
      <x:c r="D25" s="28" t="str">
        <x:v>Client provider status + server grant.</x:v>
      </x:c>
      <x:c r="E25" s="28" t="str">
        <x:v>Required before ads</x:v>
      </x:c>
      <x:c r="F25" s="28" t="str">
        <x:v>No impression treated as completed reward.</x:v>
      </x:c>
    </x:row>
    <x:row r="26" ht="97" customHeight="1">
      <x:c r="A26" s="28" t="str">
        <x:v>EVENT</x:v>
      </x:c>
      <x:c r="B26" s="28" t="str">
        <x:v>notification_opt_in / send</x:v>
      </x:c>
      <x:c r="C26" s="28" t="str">
        <x:v>type; quiet_hours_applied; scheduled_ready_batch; delivered/opened where allowed.</x:v>
      </x:c>
      <x:c r="D26" s="28" t="str">
        <x:v>Consent-respecting transport data.</x:v>
      </x:c>
      <x:c r="E26" s="28" t="str">
        <x:v>Required before notifications</x:v>
      </x:c>
      <x:c r="F26" s="28" t="str">
        <x:v>No denominator inflation from background notifications.</x:v>
      </x:c>
    </x:row>
  </x:sheetData>
  <x:mergeCells>
    <x:mergeCell ref="A1:F1"/>
    <x:mergeCell ref="A2:F2"/>
  </x:mergeCells>
  <x:pageMargins left="0.7" right="0.7" top="0.75" bottom="0.75" header="0.3" footer="0.3"/>
  <x:tableParts count="1">
    <x:tablePart xmlns:r="http://schemas.openxmlformats.org/officeDocument/2006/relationships" r:id="Rf520f0d236634b35"/>
  </x:tableParts>
</x:worksheet>
</file>

<file path=xl/worksheets/sheet32.xml><?xml version="1.0" encoding="utf-8"?>
<x:worksheet xmlns:x="http://schemas.openxmlformats.org/spreadsheetml/2006/main">
  <x:sheetFormatPr defaultRowHeight="15"/>
  <x:cols>
    <x:col min="1" max="1" width="13" hidden="0" customWidth="1"/>
    <x:col min="2" max="2" width="33" hidden="0" customWidth="1"/>
    <x:col min="3" max="3" width="117" hidden="0" customWidth="1"/>
    <x:col min="4" max="4" width="116" hidden="0" customWidth="1"/>
    <x:col min="5" max="5" width="45" hidden="0" customWidth="1"/>
    <x:col min="6" max="6" width="107" hidden="0" customWidth="1"/>
    <x:col min="7" max="7" width="112" hidden="0" customWidth="1"/>
    <x:col min="8" max="8" width="116" hidden="0" customWidth="1"/>
  </x:cols>
  <x:sheetData>
    <x:row r="1" ht="34" customHeight="1">
      <x:c r="A1" s="6" t="str">
        <x:v>EXPERIMENTS | turn a candidate design into evidence</x:v>
      </x:c>
      <x:c r="B1" s="6"/>
      <x:c r="C1" s="6"/>
      <x:c r="D1" s="6"/>
      <x:c r="E1" s="6"/>
      <x:c r="F1" s="6"/>
      <x:c r="G1" s="6"/>
      <x:c r="H1" s="6"/>
    </x:row>
    <x:row r="2" ht="32" customHeight="1">
      <x:c r="A2" s="13" t="str">
        <x:v>No experiments have run. Provisional D1/D7/D30 goals are not promises. Prioritize retention and enjoyment before maximizing monetization.</x:v>
      </x:c>
      <x:c r="B2" s="13"/>
      <x:c r="C2" s="13"/>
      <x:c r="D2" s="13"/>
      <x:c r="E2" s="13"/>
      <x:c r="F2" s="13"/>
      <x:c r="G2" s="13"/>
      <x:c r="H2" s="13"/>
    </x:row>
    <x:row r="3">
      <x:c r="A3" s="2"/>
      <x:c r="B3" s="2"/>
      <x:c r="C3" s="2"/>
      <x:c r="D3" s="2"/>
      <x:c r="E3" s="2"/>
      <x:c r="F3" s="2"/>
      <x:c r="G3" s="2"/>
      <x:c r="H3" s="2"/>
    </x:row>
    <x:row r="4" ht="32" customHeight="1">
      <x:c r="A4" s="21" t="str">
        <x:v>ID</x:v>
      </x:c>
      <x:c r="B4" s="21" t="str">
        <x:v>Decision</x:v>
      </x:c>
      <x:c r="C4" s="21" t="str">
        <x:v>Hypothesis</x:v>
      </x:c>
      <x:c r="D4" s="21" t="str">
        <x:v>Population / design</x:v>
      </x:c>
      <x:c r="E4" s="21" t="str">
        <x:v>Primary metric</x:v>
      </x:c>
      <x:c r="F4" s="21" t="str">
        <x:v>Guardrails</x:v>
      </x:c>
      <x:c r="G4" s="21" t="str">
        <x:v>Duration / analysis discipline</x:v>
      </x:c>
      <x:c r="H4" s="21" t="str">
        <x:v>Decision rule / limit</x:v>
      </x:c>
    </x:row>
    <x:row r="5" ht="102" customHeight="1">
      <x:c r="A5" s="28" t="str">
        <x:v>EXP01</x:v>
      </x:c>
      <x:c r="B5" s="28" t="str">
        <x:v>First-session clarity</x:v>
      </x:c>
      <x:c r="C5" s="28" t="str">
        <x:v>Short scripted fish + first plant improves understanding versus a longer menu tour.</x:v>
      </x:c>
      <x:c r="D5" s="28" t="str">
        <x:v>New installs; account-level randomization; exclude employees/test bots consistently.</x:v>
      </x:c>
      <x:c r="E5" s="28" t="str">
        <x:v>D1 retention</x:v>
      </x:c>
      <x:c r="F5" s="28" t="str">
        <x:v>Activation and first-session confusion; no purchase pressure.</x:v>
      </x:c>
      <x:c r="G5" s="28" t="str">
        <x:v>Fixed sample and &gt;=2 weekly cycles after required maturity; do not peek-stop on significance.</x:v>
      </x:c>
      <x:c r="H5" s="28" t="str">
        <x:v>Ship only if effect is credible and qualitative confusion drops.</x:v>
      </x:c>
    </x:row>
    <x:row r="6" ht="102" customHeight="1">
      <x:c r="A6" s="28" t="str">
        <x:v>EXP02</x:v>
      </x:c>
      <x:c r="B6" s="28" t="str">
        <x:v>Keep vs rehome</x:v>
      </x:c>
      <x:c r="C6" s="28" t="str">
        <x:v>Equal payout with a Keep choice strengthens attachment without hurting replanting.</x:v>
      </x:c>
      <x:c r="D6" s="28" t="str">
        <x:v>New installs; compare Keep-first versus equally prominent dual choice.</x:v>
      </x:c>
      <x:c r="E6" s="28" t="str">
        <x:v>D7 retention</x:v>
      </x:c>
      <x:c r="F6" s="28" t="str">
        <x:v>Favorite ownership; time-to-replant; accidental deletion/support.</x:v>
      </x:c>
      <x:c r="G6" s="28" t="str">
        <x:v>Pre-register minimum detectable effect and sample; age/acquisition mix balanced.</x:v>
      </x:c>
      <x:c r="H6" s="28" t="str">
        <x:v>Do not test deleting favorites or withholding legitimate payouts.</x:v>
      </x:c>
    </x:row>
    <x:row r="7" ht="102" customHeight="1">
      <x:c r="A7" s="28" t="str">
        <x:v>EXP03</x:v>
      </x:c>
      <x:c r="B7" s="28" t="str">
        <x:v>Schedule choice</x:v>
      </x:c>
      <x:c r="C7" s="28" t="str">
        <x:v>Default 20-hour recommendation better fits daily users than promoting shortest timers.</x:v>
      </x:c>
      <x:c r="D7" s="28" t="str">
        <x:v>Nonpayers with observed ~daily arrivals; randomize display recommendation, not hidden reward rates.</x:v>
      </x:c>
      <x:c r="E7" s="28" t="str">
        <x:v>D7 retention</x:v>
      </x:c>
      <x:c r="F7" s="28" t="str">
        <x:v>Ready-wait time; morning/night sessions; pressure survey.</x:v>
      </x:c>
      <x:c r="G7" s="28" t="str">
        <x:v>Use pre-treatment visit segment; no post-treatment selection of only active survivors.</x:v>
      </x:c>
      <x:c r="H7" s="28" t="str">
        <x:v>Keep short choices available; never demand overnight attendance.</x:v>
      </x:c>
    </x:row>
    <x:row r="8" ht="102" customHeight="1">
      <x:c r="A8" s="28" t="str">
        <x:v>EXP04</x:v>
      </x:c>
      <x:c r="B8" s="28" t="str">
        <x:v>Decor economy</x:v>
      </x:c>
      <x:c r="C8" s="28" t="str">
        <x:v>Reference-income decor pricing and project previews increase creative return without delaying core expansion.</x:v>
      </x:c>
      <x:c r="D8" s="28" t="str">
        <x:v>New players; compare optional scene preview placement; hold economic values fixed initially.</x:v>
      </x:c>
      <x:c r="E8" s="28" t="str">
        <x:v>D7 creative action per eligible install</x:v>
      </x:c>
      <x:c r="F8" s="28" t="str">
        <x:v>Time to L10; cash deadlocks; satisfaction; D7 retention.</x:v>
      </x:c>
      <x:c r="G8" s="28" t="str">
        <x:v>First establish desirability; only then test price ranges.</x:v>
      </x:c>
      <x:c r="H8" s="28" t="str">
        <x:v>Reject a variant that raises spend by hiding total cost.</x:v>
      </x:c>
    </x:row>
    <x:row r="9" ht="102" customHeight="1">
      <x:c r="A9" s="28" t="str">
        <x:v>EXP05</x:v>
      </x:c>
      <x:c r="B9" s="28" t="str">
        <x:v>Weekly flexibility</x:v>
      </x:c>
      <x:c r="C9" s="28" t="str">
        <x:v>Choice-based 3-of-5 daily goals reduce chore feeling compared with three assigned accessible goals.</x:v>
      </x:c>
      <x:c r="D9" s="28" t="str">
        <x:v>Eligible L3+ accounts; both variants same economic reward budget.</x:v>
      </x:c>
      <x:c r="E9" s="28" t="str">
        <x:v>D7 retention</x:v>
      </x:c>
      <x:c r="F9" s="28" t="str">
        <x:v>Pressure survey; task replacement; voluntary non-economic play.</x:v>
      </x:c>
      <x:c r="G9" s="28" t="str">
        <x:v>Equal reward amount isolates goal structure; no paid-only tasks in either arm.</x:v>
      </x:c>
      <x:c r="H9" s="28" t="str">
        <x:v>Prefer autonomy if retention is noninferior and enjoyment improves.</x:v>
      </x:c>
    </x:row>
    <x:row r="10" ht="102" customHeight="1">
      <x:c r="A10" s="28" t="str">
        <x:v>EXP06</x:v>
      </x:c>
      <x:c r="B10" s="28" t="str">
        <x:v>Fair starter offer</x:v>
      </x:c>
      <x:c r="C10" s="28" t="str">
        <x:v>User-opened optional starter offer earns satisfied purchases without harming nonbuyer play.</x:v>
      </x:c>
      <x:c r="D10" s="28" t="str">
        <x:v>New accounts after first return; test presentation, not fake countdowns or contents.</x:v>
      </x:c>
      <x:c r="E10" s="28" t="str">
        <x:v>D30 net contribution per eligible install</x:v>
      </x:c>
      <x:c r="F10" s="28" t="str">
        <x:v>D7/D30 retention, refunds, complaints and pressure.</x:v>
      </x:c>
      <x:c r="G10" s="28" t="str">
        <x:v>Wait for refund lag; report nonbuyer outcomes; hold eligibility fixed.</x:v>
      </x:c>
      <x:c r="H10" s="28" t="str">
        <x:v>No launch scaling on gross receipts alone.</x:v>
      </x:c>
    </x:row>
    <x:row r="11" ht="102" customHeight="1">
      <x:c r="A11" s="28" t="str">
        <x:v>EXP07</x:v>
      </x:c>
      <x:c r="B11" s="28" t="str">
        <x:v>Finite-sink demand</x:v>
      </x:c>
      <x:c r="C11" s="28" t="str">
        <x:v>New optional scene themes are genuinely desirable for high-surplus advanced users.</x:v>
      </x:c>
      <x:c r="D11" s="28" t="str">
        <x:v>Accounts L30+ before treatment; randomize preview/wishlist invitations.</x:v>
      </x:c>
      <x:c r="E11" s="28" t="str">
        <x:v>Voluntary project adoption per eligible account</x:v>
      </x:c>
      <x:c r="F11" s="28" t="str">
        <x:v>Post-cap return; regret; affordability of core upgrades.</x:v>
      </x:c>
      <x:c r="G11" s="28" t="str">
        <x:v>Measure desire before commissioning large content packs.</x:v>
      </x:c>
      <x:c r="H11" s="28" t="str">
        <x:v>Do not respond to surplus by adding fish death, upkeep or currency expiry.</x:v>
      </x:c>
    </x:row>
    <x:row r="12" ht="102" customHeight="1">
      <x:c r="A12" s="28" t="str">
        <x:v>EXP08</x:v>
      </x:c>
      <x:c r="B12" s="28" t="str">
        <x:v>Event catch-up</x:v>
      </x:c>
      <x:c r="C12" s="28" t="str">
        <x:v>Banked opportunities support late returners without making regular play pointless.</x:v>
      </x:c>
      <x:c r="D12" s="28" t="str">
        <x:v>Eligible event-exposed accounts; test messaging clarity with same catch-up rules.</x:v>
      </x:c>
      <x:c r="E12" s="28" t="str">
        <x:v>Main reward completion per eligible exposed account</x:v>
      </x:c>
      <x:c r="F12" s="28" t="str">
        <x:v>Core D7 retention, pressure, late-entry completion, fraud.</x:v>
      </x:c>
      <x:c r="G12" s="28" t="str">
        <x:v>Run full event +7-day follow-up; predefine exposure and late entry.</x:v>
      </x:c>
      <x:c r="H12" s="28" t="str">
        <x:v>Do not test misleading limited-time scarcity or paid point recovery.</x:v>
      </x:c>
    </x:row>
    <x:row r="13" ht="102" customHeight="1">
      <x:c r="A13" s="28" t="str">
        <x:v>DESIGN</x:v>
      </x:c>
      <x:c r="B13" s="28" t="str">
        <x:v>Power example</x:v>
      </x:c>
      <x:c r="C13" s="28" t="str">
        <x:v>For a 35% baseline and 3 percentage-point absolute effect, rough two-proportion planning needs about 4,000 users/arm.</x:v>
      </x:c>
      <x:c r="D13" s="28" t="str">
        <x:v>Illustrative normal approximation: 2×(1.96+.84)^2×.35×.65/.03^2; re-plan for actual baseline/metric.</x:v>
      </x:c>
      <x:c r="E13" s="28" t="str">
        <x:v>Not a universal minimum</x:v>
      </x:c>
      <x:c r="F13" s="28" t="str">
        <x:v>Confirm test design, clustering, multiple comparisons, sequential plan and real traffic.</x:v>
      </x:c>
      <x:c r="G13" s="28" t="str">
        <x:v>No peeking; one primary metric per test; stable assignment; simultaneous intervals when needed.</x:v>
      </x:c>
      <x:c r="H13" s="28" t="str">
        <x:v>Small cohorts support interviews and descriptive estimates, not confident lift claims.</x:v>
      </x:c>
    </x:row>
    <x:row r="14" ht="102" customHeight="1">
      <x:c r="A14" s="28" t="str">
        <x:v>GATE</x:v>
      </x:c>
      <x:c r="B14" s="28" t="str">
        <x:v>Decision discipline</x:v>
      </x:c>
      <x:c r="C14" s="28" t="str">
        <x:v>Pre-register hypothesis, primary metric, MDE, exclusions, duration and safety stop; monitor sample-ratio mismatch.</x:v>
      </x:c>
      <x:c r="D14" s="28" t="str">
        <x:v>Report absolute effect, confidence interval, sample counts and exposure; check server instrumentation first.</x:v>
      </x:c>
      <x:c r="E14" s="28" t="str">
        <x:v>Ship / iterate / hold</x:v>
      </x:c>
      <x:c r="F14" s="28" t="str">
        <x:v>Stop immediately for duplication, loss of paid assets or misleading offers.</x:v>
      </x:c>
      <x:c r="G14" s="28" t="str">
        <x:v>No invented precision or statistically significant claim without data.</x:v>
      </x:c>
      <x:c r="H14" s="28" t="str">
        <x:v>Benchmarks contextualize ambition; only title-specific observations validate the game.</x:v>
      </x:c>
    </x:row>
  </x:sheetData>
  <x:mergeCells>
    <x:mergeCell ref="A1:H1"/>
    <x:mergeCell ref="A2:H2"/>
  </x:mergeCells>
  <x:pageMargins left="0.7" right="0.7" top="0.75" bottom="0.75" header="0.3" footer="0.3"/>
  <x:tableParts count="1">
    <x:tablePart xmlns:r="http://schemas.openxmlformats.org/officeDocument/2006/relationships" r:id="Rb6cb7afebb804df5"/>
  </x:tableParts>
</x:worksheet>
</file>

<file path=xl/worksheets/sheet33.xml><?xml version="1.0" encoding="utf-8"?>
<x:worksheet xmlns:x="http://schemas.openxmlformats.org/spreadsheetml/2006/main">
  <x:sheetFormatPr defaultRowHeight="15"/>
  <x:cols>
    <x:col min="1" max="1" width="12" hidden="0" customWidth="1"/>
    <x:col min="2" max="2" width="30" hidden="0" customWidth="1"/>
    <x:col min="3" max="3" width="39" hidden="0" customWidth="1"/>
    <x:col min="4" max="4" width="47" hidden="0" customWidth="1"/>
    <x:col min="5" max="5" width="120" hidden="0" customWidth="1"/>
    <x:col min="6" max="6" width="127" hidden="0" customWidth="1"/>
    <x:col min="7" max="7" width="112" hidden="0" customWidth="1"/>
  </x:cols>
  <x:sheetData>
    <x:row r="1" ht="34" customHeight="1">
      <x:c r="A1" s="6" t="str">
        <x:v>RELEASE GATES | implement, observe, then scale</x:v>
      </x:c>
      <x:c r="B1" s="6"/>
      <x:c r="C1" s="6"/>
      <x:c r="D1" s="6"/>
      <x:c r="E1" s="6"/>
      <x:c r="F1" s="6"/>
      <x:c r="G1" s="6"/>
    </x:row>
    <x:row r="2" ht="32" customHeight="1">
      <x:c r="A2" s="13" t="str">
        <x:v>Roles are responsibilities, not assigned people. The master design is a target specification; readiness remains conditional on runtime, art and live-player evidence.</x:v>
      </x:c>
      <x:c r="B2" s="13"/>
      <x:c r="C2" s="13"/>
      <x:c r="D2" s="13"/>
      <x:c r="E2" s="13"/>
      <x:c r="F2" s="13"/>
      <x:c r="G2" s="13"/>
    </x:row>
    <x:row r="3">
      <x:c r="A3" s="2"/>
      <x:c r="B3" s="2"/>
      <x:c r="C3" s="2"/>
      <x:c r="D3" s="2"/>
      <x:c r="E3" s="2"/>
      <x:c r="F3" s="2"/>
      <x:c r="G3" s="2"/>
    </x:row>
    <x:row r="4" ht="32" customHeight="1">
      <x:c r="A4" s="21" t="str">
        <x:v>Gate</x:v>
      </x:c>
      <x:c r="B4" s="21" t="str">
        <x:v>Priority / phase</x:v>
      </x:c>
      <x:c r="C4" s="21" t="str">
        <x:v>Decision</x:v>
      </x:c>
      <x:c r="D4" s="21" t="str">
        <x:v>Owner role</x:v>
      </x:c>
      <x:c r="E4" s="21" t="str">
        <x:v>Scope</x:v>
      </x:c>
      <x:c r="F4" s="21" t="str">
        <x:v>Exit criterion</x:v>
      </x:c>
      <x:c r="G4" s="21" t="str">
        <x:v>Do not assume</x:v>
      </x:c>
    </x:row>
    <x:row r="5" ht="105" customHeight="1">
      <x:c r="A5" s="28" t="str">
        <x:v>G0</x:v>
      </x:c>
      <x:c r="B5" s="28" t="str">
        <x:v>P0 / now</x:v>
      </x:c>
      <x:c r="C5" s="28" t="str">
        <x:v>Approve core contract</x:v>
      </x:c>
      <x:c r="D5" s="28" t="str">
        <x:v>Product + engineering</x:v>
      </x:c>
      <x:c r="E5" s="28" t="str">
        <x:v>Freeze production/display separation, server ledger, no punitive care, XP cap and coin/pearl alternatives.</x:v>
      </x:c>
      <x:c r="F5" s="28" t="str">
        <x:v>Rules and Data Contracts have one agreed authority; unresolved contradictions closed.</x:v>
      </x:c>
      <x:c r="G5" s="28" t="str">
        <x:v>No monetization launch approval implied by spreadsheet completion.</x:v>
      </x:c>
    </x:row>
    <x:row r="6" ht="105" customHeight="1">
      <x:c r="A6" s="28" t="str">
        <x:v>G1</x:v>
      </x:c>
      <x:c r="B6" s="28" t="str">
        <x:v>P0 / vertical slice</x:v>
      </x:c>
      <x:c r="C6" s="28" t="str">
        <x:v>Make interaction enjoyable</x:v>
      </x:c>
      <x:c r="D6" s="28" t="str">
        <x:v>Design + art + client engineer</x:v>
      </x:c>
      <x:c r="E6" s="28" t="str">
        <x:v>4 starter species, growth/settle/keep, one upgradable tank, 8 decor, scene edit/undo, free care and photo play.</x:v>
      </x:c>
      <x:c r="F6" s="28" t="str">
        <x:v>Observe 10–15 target players; most can explain the loop and name a chosen next goal without coaching (qualitative, not statistical).</x:v>
      </x:c>
      <x:c r="G6" s="28" t="str">
        <x:v>If empty-timer play is boring, improve feedback/creation rather than add chores.</x:v>
      </x:c>
    </x:row>
    <x:row r="7" ht="105" customHeight="1">
      <x:c r="A7" s="28" t="str">
        <x:v>G2</x:v>
      </x:c>
      <x:c r="B7" s="28" t="str">
        <x:v>P0 / integrity</x:v>
      </x:c>
      <x:c r="C7" s="28" t="str">
        <x:v>Prove wallet and ownership safety</x:v>
      </x:c>
      <x:c r="D7" s="28" t="str">
        <x:v>Backend + QA</x:v>
      </x:c>
      <x:c r="E7" s="28" t="str">
        <x:v>Atomic ledger, server time, cross-device save, purchase snapshots, reward idempotency and migration dry-run.</x:v>
      </x:c>
      <x:c r="F7" s="28" t="str">
        <x:v>No duplicate value or asset loss in concurrent, offline, rollback and restore tests; replay test suite green.</x:v>
      </x:c>
      <x:c r="G7" s="28" t="str">
        <x:v>Real backend testing required; workbook checks do not satisfy this gate.</x:v>
      </x:c>
    </x:row>
    <x:row r="8" ht="105" customHeight="1">
      <x:c r="A8" s="28" t="str">
        <x:v>G3</x:v>
      </x:c>
      <x:c r="B8" s="28" t="str">
        <x:v>P0 / soft launch</x:v>
      </x:c>
      <x:c r="C8" s="28" t="str">
        <x:v>Validate early retention</x:v>
      </x:c>
      <x:c r="D8" s="28" t="str">
        <x:v>Product analytics + design</x:v>
      </x:c>
      <x:c r="E8" s="28" t="str">
        <x:v>Launch-ready subset; eligible levels capped to available assets; real session timing instrumented; staged cohorts.</x:v>
      </x:c>
      <x:c r="F8" s="28" t="str">
        <x:v>Observe FTUE/D1/D7 with denominators, uncertainty and interviews; proposed D1 35%, D7 12% guide iteration, not automatic pass.</x:v>
      </x:c>
      <x:c r="G8" s="28" t="str">
        <x:v>Do not release unbuilt level rewards or spend heavily on acquisition yet.</x:v>
      </x:c>
    </x:row>
    <x:row r="9" ht="105" customHeight="1">
      <x:c r="A9" s="28" t="str">
        <x:v>G4</x:v>
      </x:c>
      <x:c r="B9" s="28" t="str">
        <x:v>P1 / content expansion</x:v>
      </x:c>
      <x:c r="C9" s="28" t="str">
        <x:v>Enable L1–40 manifest</x:v>
      </x:c>
      <x:c r="D9" s="28" t="str">
        <x:v>Art production + content engineering</x:v>
      </x:c>
      <x:c r="E9" s="28" t="str">
        <x:v>40 coin species, enabled companions, 120 decor catalog with explicit release flags, five tanks, 10 projects and mastery assets.</x:v>
      </x:c>
      <x:c r="F9" s="28" t="str">
        <x:v>Every live ID resolves to a tested asset; all promised reward paths are achievable; mobile UI/performance budgets tested.</x:v>
      </x:c>
      <x:c r="G9" s="28" t="str">
        <x:v>Reserve/postlaunch/event items remain disabled until asset and balance gates pass.</x:v>
      </x:c>
    </x:row>
    <x:row r="10" ht="105" customHeight="1">
      <x:c r="A10" s="28" t="str">
        <x:v>G5</x:v>
      </x:c>
      <x:c r="B10" s="28" t="str">
        <x:v>P1 / IAP and ads</x:v>
      </x:c>
      <x:c r="C10" s="28" t="str">
        <x:v>Validate fair monetization</x:v>
      </x:c>
      <x:c r="D10" s="28" t="str">
        <x:v>Commerce engineer + product + policy reviewer</x:v>
      </x:c>
      <x:c r="E10" s="28" t="str">
        <x:v>Verified receipts, restore/refund, localized prices, capped rewarded ads, exact entitlement previews and consent handling.</x:v>
      </x:c>
      <x:c r="F10" s="28" t="str">
        <x:v>Store/territory review complete; purchase sandbox tests pass; no negative retention/trust signal in exposure test.</x:v>
      </x:c>
      <x:c r="G10" s="28" t="str">
        <x:v>No assumed LTV or conversion; paid capacity explicitly labeled convenience.</x:v>
      </x:c>
    </x:row>
    <x:row r="11" ht="105" customHeight="1">
      <x:c r="A11" s="28" t="str">
        <x:v>G6</x:v>
      </x:c>
      <x:c r="B11" s="28" t="str">
        <x:v>P1 / events</x:v>
      </x:c>
      <x:c r="C11" s="28" t="str">
        <x:v>Ship one complete event</x:v>
      </x:c>
      <x:c r="D11" s="28" t="str">
        <x:v>Live ops + art + QA</x:v>
      </x:c>
      <x:c r="E11" s="28" t="str">
        <x:v>One 14-day track with free main reward, optional extended cosmetic, banked catch-up and optional decor shop.</x:v>
      </x:c>
      <x:c r="F11" s="28" t="str">
        <x:v>Test late entry, server boundary, claim replay, all reward assets and permanent post-event ownership.</x:v>
      </x:c>
      <x:c r="G11" s="28" t="str">
        <x:v>Twelve theme concepts are not a commitment to untested monthly production.</x:v>
      </x:c>
    </x:row>
    <x:row r="12" ht="105" customHeight="1">
      <x:c r="A12" s="28" t="str">
        <x:v>G7</x:v>
      </x:c>
      <x:c r="B12" s="28" t="str">
        <x:v>P1 / launch decision</x:v>
      </x:c>
      <x:c r="C12" s="28" t="str">
        <x:v>Use mature evidence</x:v>
      </x:c>
      <x:c r="D12" s="28" t="str">
        <x:v>Product lead + engineering + finance</x:v>
      </x:c>
      <x:c r="E12" s="28" t="str">
        <x:v>Review D30, enjoyment/pressure, reliability, refunds, costs and acquisition economics with actual cohorts.</x:v>
      </x:c>
      <x:c r="F12" s="28" t="str">
        <x:v>Launch only after quality is repeatable; D30 6% and satisfied-play 70% are provisional goals, not facts.</x:v>
      </x:c>
      <x:c r="G12" s="28" t="str">
        <x:v>Scaling acquisition without net unit economics is a separate unvalidated business risk.</x:v>
      </x:c>
    </x:row>
    <x:row r="13" ht="105" customHeight="1">
      <x:c r="A13" s="28" t="str">
        <x:v>G8</x:v>
      </x:c>
      <x:c r="B13" s="28" t="str">
        <x:v>P2 / post-cap</x:v>
      </x:c>
      <x:c r="C13" s="28" t="str">
        <x:v>Validate cosmetic demand</x:v>
      </x:c>
      <x:c r="D13" s="28" t="str">
        <x:v>Product + content + analytics</x:v>
      </x:c>
      <x:c r="E13" s="28" t="str">
        <x:v>Monitor wallet/reference-day surplus, wishlists, project adoption and post-cap returns.</x:v>
      </x:c>
      <x:c r="F13" s="28" t="str">
        <x:v>Commission more creative content when observed desire justifies its cost; preserve existing balances.</x:v>
      </x:c>
      <x:c r="G13" s="28" t="str">
        <x:v>No forced prestige, currency expiry, maintenance or asset loss to erase surplus.</x:v>
      </x:c>
    </x:row>
    <x:row r="14" ht="105" customHeight="1">
      <x:c r="A14" s="28" t="str">
        <x:v>G9</x:v>
      </x:c>
      <x:c r="B14" s="28" t="str">
        <x:v>P2 / roadmap 41–70</x:v>
      </x:c>
      <x:c r="C14" s="28" t="str">
        <x:v>Rebalance with live data</x:v>
      </x:c>
      <x:c r="D14" s="28" t="str">
        <x:v>Design + engineering</x:v>
      </x:c>
      <x:c r="E14" s="28" t="str">
        <x:v>Future fish and levels already cataloged as HOLD; new XP curve, assets and migration need independent validation.</x:v>
      </x:c>
      <x:c r="F14" s="28" t="str">
        <x:v>All unlocks built; reference income and pacing re-simulated using observed arrival distributions.</x:v>
      </x:c>
      <x:c r="G14" s="28" t="str">
        <x:v>Do not bank XP or silently activate future levels from the planning sheet.</x:v>
      </x:c>
    </x:row>
    <x:row r="15" ht="105" customHeight="1">
      <x:c r="A15" s="28" t="str">
        <x:v>CUT</x:v>
      </x:c>
      <x:c r="B15" s="28" t="str">
        <x:v>Not launch scope</x:v>
      </x:c>
      <x:c r="C15" s="28" t="str">
        <x:v>Remove complexity without core proof</x:v>
      </x:c>
      <x:c r="D15" s="28" t="str">
        <x:v>Product lead</x:v>
      </x:c>
      <x:c r="E15" s="28" t="str">
        <x:v>No breeding genetics, PvP, player trading, guild obligations, paid loot boxes, energy gates, recurring upkeep or open chat.</x:v>
      </x:c>
      <x:c r="F15" s="28" t="str">
        <x:v>Any later proposal must improve demonstrated player value and pass economy/safety review.</x:v>
      </x:c>
      <x:c r="G15" s="28" t="str">
        <x:v>Fewer excellent interactions beat many shallow systems; this is a design judgment to test.</x:v>
      </x:c>
    </x:row>
  </x:sheetData>
  <x:mergeCells>
    <x:mergeCell ref="A1:G1"/>
    <x:mergeCell ref="A2:G2"/>
  </x:mergeCells>
  <x:pageMargins left="0.7" right="0.7" top="0.75" bottom="0.75" header="0.3" footer="0.3"/>
  <x:tableParts count="1">
    <x:tablePart xmlns:r="http://schemas.openxmlformats.org/officeDocument/2006/relationships" r:id="R6934842f72044cf3"/>
  </x:tableParts>
</x:worksheet>
</file>

<file path=xl/worksheets/sheet34.xml><?xml version="1.0" encoding="utf-8"?>
<x:worksheet xmlns:x="http://schemas.openxmlformats.org/spreadsheetml/2006/main">
  <x:sheetFormatPr defaultRowHeight="15"/>
  <x:cols>
    <x:col min="1" max="1" width="12" hidden="0" customWidth="1"/>
    <x:col min="2" max="2" width="28" hidden="0" customWidth="1"/>
    <x:col min="3" max="3" width="55" hidden="0" customWidth="1"/>
    <x:col min="4" max="4" width="133" hidden="0" customWidth="1"/>
    <x:col min="5" max="5" width="117" hidden="0" customWidth="1"/>
    <x:col min="6" max="6" width="116" hidden="0" customWidth="1"/>
  </x:cols>
  <x:sheetData>
    <x:row r="1" ht="34" customHeight="1">
      <x:c r="A1" s="6" t="str">
        <x:v>MIGRATION | protect value, ownership and trust</x:v>
      </x:c>
      <x:c r="B1" s="6"/>
      <x:c r="C1" s="6"/>
      <x:c r="D1" s="6"/>
      <x:c r="E1" s="6"/>
      <x:c r="F1" s="6"/>
    </x:row>
    <x:row r="2" ht="32" customHeight="1">
      <x:c r="A2" s="13" t="str">
        <x:v>Required only for existing/live accounts. New-account simulations do not model grandfathered capacity or old productive premium entitlements.</x:v>
      </x:c>
      <x:c r="B2" s="13"/>
      <x:c r="C2" s="13"/>
      <x:c r="D2" s="13"/>
      <x:c r="E2" s="13"/>
      <x:c r="F2" s="13"/>
    </x:row>
    <x:row r="3">
      <x:c r="A3" s="2"/>
      <x:c r="B3" s="2"/>
      <x:c r="C3" s="2"/>
      <x:c r="D3" s="2"/>
      <x:c r="E3" s="2"/>
      <x:c r="F3" s="2"/>
    </x:row>
    <x:row r="4" ht="32" customHeight="1">
      <x:c r="A4" s="21" t="str">
        <x:v>ID</x:v>
      </x:c>
      <x:c r="B4" s="21" t="str">
        <x:v>Area</x:v>
      </x:c>
      <x:c r="C4" s="21" t="str">
        <x:v>Affected population</x:v>
      </x:c>
      <x:c r="D4" s="21" t="str">
        <x:v>Conversion rule</x:v>
      </x:c>
      <x:c r="E4" s="21" t="str">
        <x:v>Verification / recovery</x:v>
      </x:c>
      <x:c r="F4" s="21" t="str">
        <x:v>Risk / guardrail</x:v>
      </x:c>
    </x:row>
    <x:row r="5" ht="96" customHeight="1">
      <x:c r="A5" s="28" t="str">
        <x:v>MG01</x:v>
      </x:c>
      <x:c r="B5" s="28" t="str">
        <x:v>Inventory snapshot</x:v>
      </x:c>
      <x:c r="C5" s="28" t="str">
        <x:v>All existing accounts</x:v>
      </x:c>
      <x:c r="D5" s="28" t="str">
        <x:v>Capture coins, pearls, tokens, level+XP fraction, fish instances, paid receipts, decor quantities, tank entitlements and active claims.</x:v>
      </x:c>
      <x:c r="E5" s="28" t="str">
        <x:v>Checksum before and after; reversible conversion manifest; dry-run first.</x:v>
      </x:c>
      <x:c r="F5" s="28" t="str">
        <x:v>Never migrate a live account without a recoverable source snapshot.</x:v>
      </x:c>
    </x:row>
    <x:row r="6" ht="96" customHeight="1">
      <x:c r="A6" s="28" t="str">
        <x:v>MG02</x:v>
      </x:c>
      <x:c r="B6" s="28" t="str">
        <x:v>Productive premium fish</x:v>
      </x:c>
      <x:c r="C6" s="28" t="str">
        <x:v>Existing purchased premium / limited fish</x:v>
      </x:c>
      <x:c r="D6" s="28" t="str">
        <x:v>Convert to permanent companion ownership without charging again. Honor pending snapshotted settlement from the old rules once, then retire economic fields.</x:v>
      </x:c>
      <x:c r="E6" s="28" t="str">
        <x:v>Compensation ledger and origin-instance mapping; paid entitlement preserved.</x:v>
      </x:c>
      <x:c r="F6" s="28" t="str">
        <x:v>Do not delete sentimental or paid fish or silently reduce promised pending value.</x:v>
      </x:c>
    </x:row>
    <x:row r="7" ht="96" customHeight="1">
      <x:c r="A7" s="28" t="str">
        <x:v>MG03</x:v>
      </x:c>
      <x:c r="B7" s="28" t="str">
        <x:v>XP curve</x:v>
      </x:c>
      <x:c r="C7" s="28" t="str">
        <x:v>Existing progression</x:v>
      </x:c>
      <x:c r="D7" s="28" t="str">
        <x:v>Preserve current level and normalized progress to next level under the new curve; floor at prior displayed level. Keep legitimate historical XP separately.</x:v>
      </x:c>
      <x:c r="E7" s="28" t="str">
        <x:v>No delevel; cap rules versioned; explain new progress bar; capped accounts do not gain future unlocks.</x:v>
      </x:c>
      <x:c r="F7" s="28" t="str">
        <x:v>No retroactive clawback of decor or premium XP already legitimately earned.</x:v>
      </x:c>
    </x:row>
    <x:row r="8" ht="96" customHeight="1">
      <x:c r="A8" s="28" t="str">
        <x:v>MG04</x:v>
      </x:c>
      <x:c r="B8" s="28" t="str">
        <x:v>Tank capacities</x:v>
      </x:c>
      <x:c r="C8" s="28" t="str">
        <x:v>Legacy tanks exceed the new per-tank/global limits</x:v>
      </x:c>
      <x:c r="D8" s="28" t="str">
        <x:v>Grandfather existing owned capacity or grant equivalent protected capacity; new purchases follow new entitlement table. Never delete or overflow growing fish.</x:v>
      </x:c>
      <x:c r="E8" s="28" t="str">
        <x:v>Explicit account legacy_capacity entitlement; display actual capacity; simulate migrated high-capacity cohorts separately.</x:v>
      </x:c>
      <x:c r="F8" s="28" t="str">
        <x:v>The 100-slot model describes NEW accounts only; migrated accounts can differ.</x:v>
      </x:c>
    </x:row>
    <x:row r="9" ht="96" customHeight="1">
      <x:c r="A9" s="28" t="str">
        <x:v>MG05</x:v>
      </x:c>
      <x:c r="B9" s="28" t="str">
        <x:v>Decor ownership</x:v>
      </x:c>
      <x:c r="C9" s="28" t="str">
        <x:v>All 120 IDs and prior duplicates</x:v>
      </x:c>
      <x:c r="D9" s="28" t="str">
        <x:v>Retain quantities and layouts; map renamed items via stable IDs. Zero future purchase XP/resale; retain prior granted XP.</x:v>
      </x:c>
      <x:c r="E9" s="28" t="str">
        <x:v>1:1 ID/asset mapping; placement bounds repaired with safe storage, not deletion.</x:v>
      </x:c>
      <x:c r="F9" s="28" t="str">
        <x:v>Premium and event items remain owned after conversion and event end.</x:v>
      </x:c>
    </x:row>
    <x:row r="10" ht="96" customHeight="1">
      <x:c r="A10" s="28" t="str">
        <x:v>MG06</x:v>
      </x:c>
      <x:c r="B10" s="28" t="str">
        <x:v>Growth timers</x:v>
      </x:c>
      <x:c r="C10" s="28" t="str">
        <x:v>In-progress legacy fish</x:v>
      </x:c>
      <x:c r="D10" s="28" t="str">
        <x:v>Honor stored ready time and expected settlement unless the player explicitly accepts a beneficial conversion; new eggs use new total-hour schedules.</x:v>
      </x:c>
      <x:c r="E10" s="28" t="str">
        <x:v>Snapshot complete before rollout; show clear timer; no extending existing waits.</x:v>
      </x:c>
      <x:c r="F10" s="28" t="str">
        <x:v>Do not apply new duration to an old purchase by recalculating from current catalog.</x:v>
      </x:c>
    </x:row>
    <x:row r="11" ht="96" customHeight="1">
      <x:c r="A11" s="28" t="str">
        <x:v>MG07</x:v>
      </x:c>
      <x:c r="B11" s="28" t="str">
        <x:v>Currency balances</x:v>
      </x:c>
      <x:c r="C11" s="28" t="str">
        <x:v>Existing wallet</x:v>
      </x:c>
      <x:c r="D11" s="28" t="str">
        <x:v>Preserve integer balances; retired currency gets a disclosed deterministic cosmetic redemption plan, not arbitrary deletion.</x:v>
      </x:c>
      <x:c r="E11" s="28" t="str">
        <x:v>Atomic grants; currency ledger reconciles exactly.</x:v>
      </x:c>
      <x:c r="F11" s="28" t="str">
        <x:v>No forced exchange designed to erase wealth without consent and support.</x:v>
      </x:c>
    </x:row>
    <x:row r="12" ht="96" customHeight="1">
      <x:c r="A12" s="28" t="str">
        <x:v>MG08</x:v>
      </x:c>
      <x:c r="B12" s="28" t="str">
        <x:v>Mastery / chapters</x:v>
      </x:c>
      <x:c r="C12" s="28" t="str">
        <x:v>Legacy records</x:v>
      </x:c>
      <x:c r="D12" s="28" t="str">
        <x:v>Backfill adult counts and first-species ownership from reliable settlement history; do not infer unverified paid growth as free chapter completion.</x:v>
      </x:c>
      <x:c r="E12" s="28" t="str">
        <x:v>Lifetime claim keys prevent duplicate chapter pearls; migrated claims audited.</x:v>
      </x:c>
      <x:c r="F12" s="28" t="str">
        <x:v>Missing history requires conservative, player-friendly support policy; no invented exact counts.</x:v>
      </x:c>
    </x:row>
    <x:row r="13" ht="96" customHeight="1">
      <x:c r="A13" s="28" t="str">
        <x:v>MG09</x:v>
      </x:c>
      <x:c r="B13" s="28" t="str">
        <x:v>Social unlocks</x:v>
      </x:c>
      <x:c r="C13" s="28" t="str">
        <x:v>Existing friend-gated unlocks</x:v>
      </x:c>
      <x:c r="D13" s="28" t="str">
        <x:v>Keep all earned capacity and cosmetics; convert future progress to solo-accessible entitlements.</x:v>
      </x:c>
      <x:c r="E13" s="28" t="str">
        <x:v>Remove mandatory invitation state; preserve privacy preferences.</x:v>
      </x:c>
      <x:c r="F13" s="28" t="str">
        <x:v>Existing friend count must not reduce rewards or trigger unwanted invites.</x:v>
      </x:c>
    </x:row>
    <x:row r="14" ht="96" customHeight="1">
      <x:c r="A14" s="28" t="str">
        <x:v>MG10</x:v>
      </x:c>
      <x:c r="B14" s="28" t="str">
        <x:v>Old offers / receipts</x:v>
      </x:c>
      <x:c r="C14" s="28" t="str">
        <x:v>Pending store authorizations</x:v>
      </x:c>
      <x:c r="D14" s="28" t="str">
        <x:v>Honor exact authorized contents and price or fully reverse through supported platform flow; never substitute new bundle contents silently.</x:v>
      </x:c>
      <x:c r="E14" s="28" t="str">
        <x:v>Unique provider transaction; pending retry returns original grant receipt.</x:v>
      </x:c>
      <x:c r="F14" s="28" t="str">
        <x:v>Refund/revocation handling reviewed with applicable platform and legal requirements.</x:v>
      </x:c>
    </x:row>
    <x:row r="15" ht="96" customHeight="1">
      <x:c r="A15" s="28" t="str">
        <x:v>MG11</x:v>
      </x:c>
      <x:c r="B15" s="28" t="str">
        <x:v>Rollout / rollback</x:v>
      </x:c>
      <x:c r="C15" s="28" t="str">
        <x:v>Staged cohort</x:v>
      </x:c>
      <x:c r="D15" s="28" t="str">
        <x:v>Version config and migration separately; canary internal accounts then a small production cohort; freeze offers if invariant failure.</x:v>
      </x:c>
      <x:c r="E15" s="28" t="str">
        <x:v>Monitor wallet residuals, duplicate grants, support, crash rate and asset load failures.</x:v>
      </x:c>
      <x:c r="F15" s="28" t="str">
        <x:v>Rollback stops new config; compensating ledger entries reverse grants safely.</x:v>
      </x:c>
    </x:row>
    <x:row r="16" ht="96" customHeight="1">
      <x:c r="A16" s="28" t="str">
        <x:v>MG12</x:v>
      </x:c>
      <x:c r="B16" s="28" t="str">
        <x:v>Communication</x:v>
      </x:c>
      <x:c r="C16" s="28" t="str">
        <x:v>Affected players</x:v>
      </x:c>
      <x:c r="D16" s="28" t="str">
        <x:v>Explain safer absence, permanent favorites, new timers and retained entitlements in a short change summary.</x:v>
      </x:c>
      <x:c r="E16" s="28" t="str">
        <x:v>Accessible inbox note; support transaction lookup; no false upgrade-value claims.</x:v>
      </x:c>
      <x:c r="F16" s="28" t="str">
        <x:v>The model has no migrated-player cohort; do not extrapolate new-account pacing to existing whales.</x:v>
      </x:c>
    </x:row>
  </x:sheetData>
  <x:mergeCells>
    <x:mergeCell ref="A1:F1"/>
    <x:mergeCell ref="A2:F2"/>
  </x:mergeCells>
  <x:pageMargins left="0.7" right="0.7" top="0.75" bottom="0.75" header="0.3" footer="0.3"/>
  <x:tableParts count="1">
    <x:tablePart xmlns:r="http://schemas.openxmlformats.org/officeDocument/2006/relationships" r:id="Ra99becac6785428c"/>
  </x:tableParts>
</x:worksheet>
</file>

<file path=xl/worksheets/sheet35.xml><?xml version="1.0" encoding="utf-8"?>
<x:worksheet xmlns:x="http://schemas.openxmlformats.org/spreadsheetml/2006/main">
  <x:sheetFormatPr defaultRowHeight="15"/>
  <x:cols>
    <x:col min="1" max="1" width="30" hidden="0" customWidth="1"/>
    <x:col min="2" max="2" width="18" hidden="0" customWidth="1"/>
    <x:col min="3" max="3" width="21" hidden="0" customWidth="1"/>
    <x:col min="4" max="4" width="23" hidden="0" customWidth="1"/>
    <x:col min="5" max="5" width="97" hidden="0" customWidth="1"/>
    <x:col min="6" max="6" width="44" hidden="0" customWidth="1"/>
    <x:col min="7" max="7" width="108" hidden="0" customWidth="1"/>
    <x:col min="8" max="8" width="64" hidden="0" customWidth="1"/>
  </x:cols>
  <x:sheetData>
    <x:row r="1" ht="34" customHeight="1">
      <x:c r="A1" s="6" t="str">
        <x:v>SOURCE COVERAGE | all 23 supplied sheets reviewed</x:v>
      </x:c>
      <x:c r="B1" s="6"/>
      <x:c r="C1" s="6"/>
      <x:c r="D1" s="6"/>
      <x:c r="E1" s="6"/>
      <x:c r="F1" s="6"/>
      <x:c r="G1" s="6"/>
      <x:c r="H1" s="6"/>
    </x:row>
    <x:row r="2" ht="32" customHeight="1">
      <x:c r="A2" s="13" t="str">
        <x:v>The original file is preserved unchanged in the companion package. This master workbook is a reorganized replacement, not a blind overwrite of old formulas.</x:v>
      </x:c>
      <x:c r="B2" s="13"/>
      <x:c r="C2" s="13"/>
      <x:c r="D2" s="13"/>
      <x:c r="E2" s="13"/>
      <x:c r="F2" s="13"/>
      <x:c r="G2" s="13"/>
      <x:c r="H2" s="13"/>
    </x:row>
    <x:row r="3">
      <x:c r="A3" s="2"/>
      <x:c r="B3" s="2"/>
      <x:c r="C3" s="2"/>
      <x:c r="D3" s="2"/>
      <x:c r="E3" s="2"/>
      <x:c r="F3" s="2"/>
      <x:c r="G3" s="2"/>
      <x:c r="H3" s="2"/>
    </x:row>
    <x:row r="4" ht="32" customHeight="1">
      <x:c r="A4" s="21" t="str">
        <x:v>Source sheet</x:v>
      </x:c>
      <x:c r="B4" s="21" t="str">
        <x:v>Last used row</x:v>
      </x:c>
      <x:c r="C4" s="21" t="str">
        <x:v>Formula count</x:v>
      </x:c>
      <x:c r="D4" s="21" t="str">
        <x:v>Extracted cells</x:v>
      </x:c>
      <x:c r="E4" s="21" t="str">
        <x:v>New location / authority</x:v>
      </x:c>
      <x:c r="F4" s="21" t="str">
        <x:v>Disposition</x:v>
      </x:c>
      <x:c r="G4" s="21" t="str">
        <x:v>Preservation / change</x:v>
      </x:c>
      <x:c r="H4" s="21" t="str">
        <x:v>Audit trail</x:v>
      </x:c>
    </x:row>
    <x:row r="5" ht="76" customHeight="1">
      <x:c r="A5" s="28" t="str">
        <x:v>Overview</x:v>
      </x:c>
      <x:c r="B5" s="28" t="n">
        <x:v>26</x:v>
      </x:c>
      <x:c r="C5" s="28" t="n">
        <x:v>0</x:v>
      </x:c>
      <x:c r="D5" s="28" t="n">
        <x:v>45</x:v>
      </x:c>
      <x:c r="E5" s="28" t="str">
        <x:v>Read Me; Core Loop; Rules</x:v>
      </x:c>
      <x:c r="F5" s="28" t="str">
        <x:v>Reviewed; replaced / integrated</x:v>
      </x:c>
      <x:c r="G5" s="28" t="str">
        <x:v>Legacy text/formulas superseded where inconsistent; exact original retained in companion source archive.</x:v>
      </x:c>
      <x:c r="H5" s="28" t="str">
        <x:v>Original upload + source_extracted.json</x:v>
      </x:c>
    </x:row>
    <x:row r="6" ht="76" customHeight="1">
      <x:c r="A6" s="28" t="str">
        <x:v>Inputs</x:v>
      </x:c>
      <x:c r="B6" s="28" t="n">
        <x:v>120</x:v>
      </x:c>
      <x:c r="C6" s="28" t="n">
        <x:v>0</x:v>
      </x:c>
      <x:c r="D6" s="28" t="n">
        <x:v>714</x:v>
      </x:c>
      <x:c r="E6" s="28" t="str">
        <x:v>Inputs; Schedules; Rules</x:v>
      </x:c>
      <x:c r="F6" s="28" t="str">
        <x:v>Reviewed; replaced / integrated</x:v>
      </x:c>
      <x:c r="G6" s="28" t="str">
        <x:v>Legacy text/formulas superseded where inconsistent; exact original retained in companion source archive.</x:v>
      </x:c>
      <x:c r="H6" s="28" t="str">
        <x:v>Original upload + source_extracted.json</x:v>
      </x:c>
    </x:row>
    <x:row r="7" ht="76" customHeight="1">
      <x:c r="A7" s="28" t="str">
        <x:v>XP Curve</x:v>
      </x:c>
      <x:c r="B7" s="28" t="n">
        <x:v>73</x:v>
      </x:c>
      <x:c r="C7" s="28" t="n">
        <x:v>350</x:v>
      </x:c>
      <x:c r="D7" s="28" t="n">
        <x:v>584</x:v>
      </x:c>
      <x:c r="E7" s="28" t="str">
        <x:v>XP &amp; Unlocks; Quest Rewards</x:v>
      </x:c>
      <x:c r="F7" s="28" t="str">
        <x:v>Reviewed; replaced / integrated</x:v>
      </x:c>
      <x:c r="G7" s="28" t="str">
        <x:v>Legacy text/formulas superseded where inconsistent; exact original retained in companion source archive.</x:v>
      </x:c>
      <x:c r="H7" s="28" t="str">
        <x:v>Original upload + source_extracted.json</x:v>
      </x:c>
    </x:row>
    <x:row r="8" ht="76" customHeight="1">
      <x:c r="A8" s="28" t="str">
        <x:v>Coin Fish</x:v>
      </x:c>
      <x:c r="B8" s="28" t="n">
        <x:v>27</x:v>
      </x:c>
      <x:c r="C8" s="28" t="n">
        <x:v>572</x:v>
      </x:c>
      <x:c r="D8" s="28" t="n">
        <x:v>918</x:v>
      </x:c>
      <x:c r="E8" s="28" t="str">
        <x:v>Coin Fish; Mastery</x:v>
      </x:c>
      <x:c r="F8" s="28" t="str">
        <x:v>Reviewed; replaced / integrated</x:v>
      </x:c>
      <x:c r="G8" s="28" t="str">
        <x:v>All original and roadmap fish IDs preserved or explicitly mapped; 14 coin species promoted to launch.</x:v>
      </x:c>
      <x:c r="H8" s="28" t="str">
        <x:v>Original upload + source_extracted.json</x:v>
      </x:c>
    </x:row>
    <x:row r="9" ht="76" customHeight="1">
      <x:c r="A9" s="28" t="str">
        <x:v>Premium Fish</x:v>
      </x:c>
      <x:c r="B9" s="28" t="n">
        <x:v>11</x:v>
      </x:c>
      <x:c r="C9" s="28" t="n">
        <x:v>160</x:v>
      </x:c>
      <x:c r="D9" s="28" t="n">
        <x:v>297</x:v>
      </x:c>
      <x:c r="E9" s="28" t="str">
        <x:v>Fish Collectibles; Shop</x:v>
      </x:c>
      <x:c r="F9" s="28" t="str">
        <x:v>Reviewed; replaced / integrated</x:v>
      </x:c>
      <x:c r="G9" s="28" t="str">
        <x:v>All original and roadmap fish IDs preserved or explicitly mapped; 14 coin species promoted to launch.</x:v>
      </x:c>
      <x:c r="H9" s="28" t="str">
        <x:v>Original upload + source_extracted.json</x:v>
      </x:c>
    </x:row>
    <x:row r="10" ht="76" customHeight="1">
      <x:c r="A10" s="28" t="str">
        <x:v>Limited Edition</x:v>
      </x:c>
      <x:c r="B10" s="28" t="n">
        <x:v>11</x:v>
      </x:c>
      <x:c r="C10" s="28" t="n">
        <x:v>160</x:v>
      </x:c>
      <x:c r="D10" s="28" t="n">
        <x:v>286</x:v>
      </x:c>
      <x:c r="E10" s="28" t="str">
        <x:v>Fish Collectibles; Events</x:v>
      </x:c>
      <x:c r="F10" s="28" t="str">
        <x:v>Reviewed; replaced / integrated</x:v>
      </x:c>
      <x:c r="G10" s="28" t="str">
        <x:v>All original and roadmap fish IDs preserved or explicitly mapped; 14 coin species promoted to launch.</x:v>
      </x:c>
      <x:c r="H10" s="28" t="str">
        <x:v>Original upload + source_extracted.json</x:v>
      </x:c>
    </x:row>
    <x:row r="11" ht="76" customHeight="1">
      <x:c r="A11" s="28" t="str">
        <x:v>Unlock Plan</x:v>
      </x:c>
      <x:c r="B11" s="28" t="n">
        <x:v>49</x:v>
      </x:c>
      <x:c r="C11" s="28" t="n">
        <x:v>0</x:v>
      </x:c>
      <x:c r="D11" s="28" t="n">
        <x:v>451</x:v>
      </x:c>
      <x:c r="E11" s="28" t="str">
        <x:v>XP &amp; Unlocks; Release Plan</x:v>
      </x:c>
      <x:c r="F11" s="28" t="str">
        <x:v>Reviewed; replaced / integrated</x:v>
      </x:c>
      <x:c r="G11" s="28" t="str">
        <x:v>Legacy text/formulas superseded where inconsistent; exact original retained in companion source archive.</x:v>
      </x:c>
      <x:c r="H11" s="28" t="str">
        <x:v>Original upload + source_extracted.json</x:v>
      </x:c>
    </x:row>
    <x:row r="12" ht="76" customHeight="1">
      <x:c r="A12" s="28" t="str">
        <x:v>Tanks &amp; Social</x:v>
      </x:c>
      <x:c r="B12" s="28" t="n">
        <x:v>13</x:v>
      </x:c>
      <x:c r="C12" s="28" t="n">
        <x:v>8</x:v>
      </x:c>
      <x:c r="D12" s="28" t="n">
        <x:v>117</x:v>
      </x:c>
      <x:c r="E12" s="28" t="str">
        <x:v>Tanks; Social</x:v>
      </x:c>
      <x:c r="F12" s="28" t="str">
        <x:v>Reviewed; replaced / integrated</x:v>
      </x:c>
      <x:c r="G12" s="28" t="str">
        <x:v>Legacy text/formulas superseded where inconsistent; exact original retained in companion source archive.</x:v>
      </x:c>
      <x:c r="H12" s="28" t="str">
        <x:v>Original upload + source_extracted.json</x:v>
      </x:c>
    </x:row>
    <x:row r="13" ht="76" customHeight="1">
      <x:c r="A13" s="28" t="str">
        <x:v>Onboarding</x:v>
      </x:c>
      <x:c r="B13" s="28" t="n">
        <x:v>15</x:v>
      </x:c>
      <x:c r="C13" s="28" t="n">
        <x:v>1</x:v>
      </x:c>
      <x:c r="D13" s="28" t="n">
        <x:v>92</x:v>
      </x:c>
      <x:c r="E13" s="28" t="str">
        <x:v>Onboarding</x:v>
      </x:c>
      <x:c r="F13" s="28" t="str">
        <x:v>Reviewed; replaced / integrated</x:v>
      </x:c>
      <x:c r="G13" s="28" t="str">
        <x:v>Legacy text/formulas superseded where inconsistent; exact original retained in companion source archive.</x:v>
      </x:c>
      <x:c r="H13" s="28" t="str">
        <x:v>Original upload + source_extracted.json</x:v>
      </x:c>
    </x:row>
    <x:row r="14" ht="76" customHeight="1">
      <x:c r="A14" s="28" t="str">
        <x:v>Quests &amp; Live Ops</x:v>
      </x:c>
      <x:c r="B14" s="28" t="n">
        <x:v>14</x:v>
      </x:c>
      <x:c r="C14" s="28" t="n">
        <x:v>0</x:v>
      </x:c>
      <x:c r="D14" s="28" t="n">
        <x:v>98</x:v>
      </x:c>
      <x:c r="E14" s="28" t="str">
        <x:v>Quests; Mastery; Events; Retention Journey</x:v>
      </x:c>
      <x:c r="F14" s="28" t="str">
        <x:v>Reviewed; replaced / integrated</x:v>
      </x:c>
      <x:c r="G14" s="28" t="str">
        <x:v>Legacy text/formulas superseded where inconsistent; exact original retained in companion source archive.</x:v>
      </x:c>
      <x:c r="H14" s="28" t="str">
        <x:v>Original upload + source_extracted.json</x:v>
      </x:c>
    </x:row>
    <x:row r="15" ht="76" customHeight="1">
      <x:c r="A15" s="28" t="str">
        <x:v>Currency Matrix</x:v>
      </x:c>
      <x:c r="B15" s="28" t="n">
        <x:v>10</x:v>
      </x:c>
      <x:c r="C15" s="28" t="n">
        <x:v>0</x:v>
      </x:c>
      <x:c r="D15" s="28" t="n">
        <x:v>60</x:v>
      </x:c>
      <x:c r="E15" s="28" t="str">
        <x:v>Rules; Shop; Pearl Budget</x:v>
      </x:c>
      <x:c r="F15" s="28" t="str">
        <x:v>Reviewed; replaced / integrated</x:v>
      </x:c>
      <x:c r="G15" s="28" t="str">
        <x:v>Legacy text/formulas superseded where inconsistent; exact original retained in companion source archive.</x:v>
      </x:c>
      <x:c r="H15" s="28" t="str">
        <x:v>Original upload + source_extracted.json</x:v>
      </x:c>
    </x:row>
    <x:row r="16" ht="76" customHeight="1">
      <x:c r="A16" s="28" t="str">
        <x:v>Dashboard</x:v>
      </x:c>
      <x:c r="B16" s="28" t="n">
        <x:v>36</x:v>
      </x:c>
      <x:c r="C16" s="28" t="n">
        <x:v>30</x:v>
      </x:c>
      <x:c r="D16" s="28" t="n">
        <x:v>140</x:v>
      </x:c>
      <x:c r="E16" s="28" t="str">
        <x:v>Dashboard; Simulation Summary; Balance Tests</x:v>
      </x:c>
      <x:c r="F16" s="28" t="str">
        <x:v>Reviewed; replaced / integrated</x:v>
      </x:c>
      <x:c r="G16" s="28" t="str">
        <x:v>Legacy text/formulas superseded where inconsistent; exact original retained in companion source archive.</x:v>
      </x:c>
      <x:c r="H16" s="28" t="str">
        <x:v>Original upload + source_extracted.json</x:v>
      </x:c>
    </x:row>
    <x:row r="17" ht="76" customHeight="1">
      <x:c r="A17" s="28" t="str">
        <x:v>Roadmap</x:v>
      </x:c>
      <x:c r="B17" s="28" t="n">
        <x:v>58</x:v>
      </x:c>
      <x:c r="C17" s="28" t="n">
        <x:v>106</x:v>
      </x:c>
      <x:c r="D17" s="28" t="n">
        <x:v>638</x:v>
      </x:c>
      <x:c r="E17" s="28" t="str">
        <x:v>Coin Fish; Fish Collectibles; XP &amp; Unlocks; Release Plan</x:v>
      </x:c>
      <x:c r="F17" s="28" t="str">
        <x:v>Reviewed; replaced / integrated</x:v>
      </x:c>
      <x:c r="G17" s="28" t="str">
        <x:v>All original and roadmap fish IDs preserved or explicitly mapped; 14 coin species promoted to launch.</x:v>
      </x:c>
      <x:c r="H17" s="28" t="str">
        <x:v>Original upload + source_extracted.json</x:v>
      </x:c>
    </x:row>
    <x:row r="18" ht="76" customHeight="1">
      <x:c r="A18" s="28" t="str">
        <x:v>Sources</x:v>
      </x:c>
      <x:c r="B18" s="28" t="n">
        <x:v>24</x:v>
      </x:c>
      <x:c r="C18" s="28" t="n">
        <x:v>0</x:v>
      </x:c>
      <x:c r="D18" s="28" t="n">
        <x:v>85</x:v>
      </x:c>
      <x:c r="E18" s="28" t="str">
        <x:v>Sources; Critical Audit</x:v>
      </x:c>
      <x:c r="F18" s="28" t="str">
        <x:v>Reviewed; replaced / integrated</x:v>
      </x:c>
      <x:c r="G18" s="28" t="str">
        <x:v>Legacy text/formulas superseded where inconsistent; exact original retained in companion source archive.</x:v>
      </x:c>
      <x:c r="H18" s="28" t="str">
        <x:v>Original upload + source_extracted.json</x:v>
      </x:c>
    </x:row>
    <x:row r="19" ht="76" customHeight="1">
      <x:c r="A19" s="28" t="str">
        <x:v>Economy Simulation</x:v>
      </x:c>
      <x:c r="B19" s="28" t="n">
        <x:v>73</x:v>
      </x:c>
      <x:c r="C19" s="28" t="n">
        <x:v>770</x:v>
      </x:c>
      <x:c r="D19" s="28" t="n">
        <x:v>876</x:v>
      </x:c>
      <x:c r="E19" s="28" t="str">
        <x:v>Model Contract; Economy Model; Daily Ledger; Simulation Summary</x:v>
      </x:c>
      <x:c r="F19" s="28" t="str">
        <x:v>Reviewed; replaced / integrated</x:v>
      </x:c>
      <x:c r="G19" s="28" t="str">
        <x:v>Legacy text/formulas superseded where inconsistent; exact original retained in companion source archive.</x:v>
      </x:c>
      <x:c r="H19" s="28" t="str">
        <x:v>Original upload + source_extracted.json</x:v>
      </x:c>
    </x:row>
    <x:row r="20" ht="76" customHeight="1">
      <x:c r="A20" s="28" t="str">
        <x:v>Quest Scaling</x:v>
      </x:c>
      <x:c r="B20" s="28" t="n">
        <x:v>72</x:v>
      </x:c>
      <x:c r="C20" s="28" t="n">
        <x:v>621</x:v>
      </x:c>
      <x:c r="D20" s="28" t="n">
        <x:v>720</x:v>
      </x:c>
      <x:c r="E20" s="28" t="str">
        <x:v>Quest Rewards; XP &amp; Unlocks</x:v>
      </x:c>
      <x:c r="F20" s="28" t="str">
        <x:v>Reviewed; replaced / integrated</x:v>
      </x:c>
      <x:c r="G20" s="28" t="str">
        <x:v>Legacy text/formulas superseded where inconsistent; exact original retained in companion source archive.</x:v>
      </x:c>
      <x:c r="H20" s="28" t="str">
        <x:v>Original upload + source_extracted.json</x:v>
      </x:c>
    </x:row>
    <x:row r="21" ht="76" customHeight="1">
      <x:c r="A21" s="28" t="str">
        <x:v>Balance Review</x:v>
      </x:c>
      <x:c r="B21" s="28" t="n">
        <x:v>26</x:v>
      </x:c>
      <x:c r="C21" s="28" t="n">
        <x:v>21</x:v>
      </x:c>
      <x:c r="D21" s="28" t="n">
        <x:v>150</x:v>
      </x:c>
      <x:c r="E21" s="28" t="str">
        <x:v>Critical Audit; Balance Tests</x:v>
      </x:c>
      <x:c r="F21" s="28" t="str">
        <x:v>Reviewed; replaced / integrated</x:v>
      </x:c>
      <x:c r="G21" s="28" t="str">
        <x:v>Legacy text/formulas superseded where inconsistent; exact original retained in companion source archive.</x:v>
      </x:c>
      <x:c r="H21" s="28" t="str">
        <x:v>Original upload + source_extracted.json</x:v>
      </x:c>
    </x:row>
    <x:row r="22" ht="76" customHeight="1">
      <x:c r="A22" s="28" t="str">
        <x:v>Decor Dashboard</x:v>
      </x:c>
      <x:c r="B22" s="28" t="n">
        <x:v>40</x:v>
      </x:c>
      <x:c r="C22" s="28" t="n">
        <x:v>35</x:v>
      </x:c>
      <x:c r="D22" s="28" t="n">
        <x:v>480</x:v>
      </x:c>
      <x:c r="E22" s="28" t="str">
        <x:v>Dashboard; Decor Rules</x:v>
      </x:c>
      <x:c r="F22" s="28" t="str">
        <x:v>Reviewed; replaced / integrated</x:v>
      </x:c>
      <x:c r="G22" s="28" t="str">
        <x:v>Legacy text/formulas superseded where inconsistent; exact original retained in companion source archive.</x:v>
      </x:c>
      <x:c r="H22" s="28" t="str">
        <x:v>Original upload + source_extracted.json</x:v>
      </x:c>
    </x:row>
    <x:row r="23" ht="76" customHeight="1">
      <x:c r="A23" s="28" t="str">
        <x:v>Decor Catalog</x:v>
      </x:c>
      <x:c r="B23" s="28" t="n">
        <x:v>124</x:v>
      </x:c>
      <x:c r="C23" s="28" t="n">
        <x:v>720</x:v>
      </x:c>
      <x:c r="D23" s="28" t="n">
        <x:v>2460</x:v>
      </x:c>
      <x:c r="E23" s="28" t="str">
        <x:v>Decor Catalog</x:v>
      </x:c>
      <x:c r="F23" s="28" t="str">
        <x:v>Reviewed; replaced / integrated</x:v>
      </x:c>
      <x:c r="G23" s="28" t="str">
        <x:v>Legacy text/formulas superseded where inconsistent; exact original retained in companion source archive.</x:v>
      </x:c>
      <x:c r="H23" s="28" t="str">
        <x:v>Original upload + source_extracted.json</x:v>
      </x:c>
    </x:row>
    <x:row r="24" ht="76" customHeight="1">
      <x:c r="A24" s="28" t="str">
        <x:v>Decor Art Briefs</x:v>
      </x:c>
      <x:c r="B24" s="28" t="n">
        <x:v>124</x:v>
      </x:c>
      <x:c r="C24" s="28" t="n">
        <x:v>480</x:v>
      </x:c>
      <x:c r="D24" s="28" t="n">
        <x:v>1476</x:v>
      </x:c>
      <x:c r="E24" s="28" t="str">
        <x:v>Decor Art Briefs; Art Production</x:v>
      </x:c>
      <x:c r="F24" s="28" t="str">
        <x:v>Reviewed; replaced / integrated</x:v>
      </x:c>
      <x:c r="G24" s="28" t="str">
        <x:v>All 120 IDs and detailed descriptions retained; price/power semantics normalized.</x:v>
      </x:c>
      <x:c r="H24" s="28" t="str">
        <x:v>Original upload + source_extracted.json</x:v>
      </x:c>
    </x:row>
    <x:row r="25" ht="76" customHeight="1">
      <x:c r="A25" s="28" t="str">
        <x:v>Decor Live Ops</x:v>
      </x:c>
      <x:c r="B25" s="28" t="n">
        <x:v>16</x:v>
      </x:c>
      <x:c r="C25" s="28" t="n">
        <x:v>48</x:v>
      </x:c>
      <x:c r="D25" s="28" t="n">
        <x:v>180</x:v>
      </x:c>
      <x:c r="E25" s="28" t="str">
        <x:v>Events</x:v>
      </x:c>
      <x:c r="F25" s="28" t="str">
        <x:v>Reviewed; replaced / integrated</x:v>
      </x:c>
      <x:c r="G25" s="28" t="str">
        <x:v>Legacy text/formulas superseded where inconsistent; exact original retained in companion source archive.</x:v>
      </x:c>
      <x:c r="H25" s="28" t="str">
        <x:v>Original upload + source_extracted.json</x:v>
      </x:c>
    </x:row>
    <x:row r="26" ht="76" customHeight="1">
      <x:c r="A26" s="28" t="str">
        <x:v>Decor Progression</x:v>
      </x:c>
      <x:c r="B26" s="28" t="n">
        <x:v>76</x:v>
      </x:c>
      <x:c r="C26" s="28" t="n">
        <x:v>708</x:v>
      </x:c>
      <x:c r="D26" s="28" t="n">
        <x:v>814</x:v>
      </x:c>
      <x:c r="E26" s="28" t="str">
        <x:v>Decor Catalog; XP &amp; Unlocks; Daily Ledger</x:v>
      </x:c>
      <x:c r="F26" s="28" t="str">
        <x:v>Reviewed; replaced / integrated</x:v>
      </x:c>
      <x:c r="G26" s="28" t="str">
        <x:v>Legacy text/formulas superseded where inconsistent; exact original retained in companion source archive.</x:v>
      </x:c>
      <x:c r="H26" s="28" t="str">
        <x:v>Original upload + source_extracted.json</x:v>
      </x:c>
    </x:row>
    <x:row r="27" ht="76" customHeight="1">
      <x:c r="A27" s="28" t="str">
        <x:v>Decor Guide</x:v>
      </x:c>
      <x:c r="B27" s="28" t="n">
        <x:v>62</x:v>
      </x:c>
      <x:c r="C27" s="28" t="n">
        <x:v>2</x:v>
      </x:c>
      <x:c r="D27" s="28" t="n">
        <x:v>447</x:v>
      </x:c>
      <x:c r="E27" s="28" t="str">
        <x:v>Decor Rules; UX &amp; Accessibility</x:v>
      </x:c>
      <x:c r="F27" s="28" t="str">
        <x:v>Reviewed; replaced / integrated</x:v>
      </x:c>
      <x:c r="G27" s="28" t="str">
        <x:v>Legacy text/formulas superseded where inconsistent; exact original retained in companion source archive.</x:v>
      </x:c>
      <x:c r="H27" s="28" t="str">
        <x:v>Original upload + source_extracted.json</x:v>
      </x:c>
    </x:row>
  </x:sheetData>
  <x:mergeCells>
    <x:mergeCell ref="A1:H1"/>
    <x:mergeCell ref="A2:H2"/>
  </x:mergeCells>
  <x:pageMargins left="0.7" right="0.7" top="0.75" bottom="0.75" header="0.3" footer="0.3"/>
  <x:tableParts count="1">
    <x:tablePart xmlns:r="http://schemas.openxmlformats.org/officeDocument/2006/relationships" r:id="R014b7901932843d1"/>
  </x:tableParts>
</x:worksheet>
</file>

<file path=xl/worksheets/sheet36.xml><?xml version="1.0" encoding="utf-8"?>
<x:worksheet xmlns:x="http://schemas.openxmlformats.org/spreadsheetml/2006/main">
  <x:sheetFormatPr defaultRowHeight="15"/>
  <x:cols>
    <x:col min="1" max="1" width="12" hidden="0" customWidth="1"/>
    <x:col min="2" max="2" width="30" hidden="0" customWidth="1"/>
    <x:col min="3" max="3" width="65" hidden="0" customWidth="1"/>
    <x:col min="4" max="4" width="130" hidden="0" customWidth="1"/>
    <x:col min="5" max="5" width="20" hidden="0" customWidth="1"/>
    <x:col min="6" max="6" width="117" hidden="0" customWidth="1"/>
    <x:col min="7" max="7" width="116" hidden="0" customWidth="1"/>
    <x:col min="8" max="8" width="120" hidden="0" customWidth="1"/>
  </x:cols>
  <x:sheetData>
    <x:row r="1" ht="34" customHeight="1">
      <x:c r="A1" s="6" t="str">
        <x:v>SOURCES &amp; EVIDENCE | provenance without false certainty</x:v>
      </x:c>
      <x:c r="B1" s="6"/>
      <x:c r="C1" s="6"/>
      <x:c r="D1" s="6"/>
      <x:c r="E1" s="6"/>
      <x:c r="F1" s="6"/>
      <x:c r="G1" s="6"/>
      <x:c r="H1" s="6"/>
    </x:row>
    <x:row r="2" ht="32" customHeight="1">
      <x:c r="A2" s="13" t="str">
        <x:v>Retrieved 13 September 2026. Primary research, official policies, benchmarks, source observations and original design proposals are distinct evidence classes.</x:v>
      </x:c>
      <x:c r="B2" s="13"/>
      <x:c r="C2" s="13"/>
      <x:c r="D2" s="13"/>
      <x:c r="E2" s="13"/>
      <x:c r="F2" s="13"/>
      <x:c r="G2" s="13"/>
      <x:c r="H2" s="13"/>
    </x:row>
    <x:row r="3">
      <x:c r="A3" s="2"/>
      <x:c r="B3" s="2"/>
      <x:c r="C3" s="2"/>
      <x:c r="D3" s="2"/>
      <x:c r="E3" s="2"/>
      <x:c r="F3" s="2"/>
      <x:c r="G3" s="2"/>
      <x:c r="H3" s="2"/>
    </x:row>
    <x:row r="4" ht="32" customHeight="1">
      <x:c r="A4" s="21" t="str">
        <x:v>ID</x:v>
      </x:c>
      <x:c r="B4" s="21" t="str">
        <x:v>Evidence class</x:v>
      </x:c>
      <x:c r="C4" s="21" t="str">
        <x:v>Source</x:v>
      </x:c>
      <x:c r="D4" s="21" t="str">
        <x:v>Location / URL</x:v>
      </x:c>
      <x:c r="E4" s="21" t="str">
        <x:v>Reviewed</x:v>
      </x:c>
      <x:c r="F4" s="21" t="str">
        <x:v>What it supports</x:v>
      </x:c>
      <x:c r="G4" s="21" t="str">
        <x:v>What it cannot establish</x:v>
      </x:c>
      <x:c r="H4" s="21" t="str">
        <x:v>Application / audit trail</x:v>
      </x:c>
    </x:row>
    <x:row r="5" ht="100" customHeight="1">
      <x:c r="A5" s="28" t="str">
        <x:v>SRC01</x:v>
      </x:c>
      <x:c r="B5" s="28" t="str">
        <x:v>User-supplied design</x:v>
      </x:c>
      <x:c r="C5" s="28" t="str">
        <x:v>070c2484-4199-4177-9cb7-f5d07aa21d16.xlsx</x:v>
      </x:c>
      <x:c r="D5" s="28" t="str">
        <x:v>Uploaded in this conversation</x:v>
      </x:c>
      <x:c r="E5" s="28" t="str">
        <x:v>2026-09-13</x:v>
      </x:c>
      <x:c r="F5" s="28" t="str">
        <x:v>All 23 source sheets; original prices, formulas, rules and detailed art.</x:v>
      </x:c>
      <x:c r="G5" s="28" t="str">
        <x:v>Authoritative for what the previous workbook contained, not evidence that those values retain users.</x:v>
      </x:c>
      <x:c r="H5" s="28" t="str">
        <x:v>Original file and parsed cell/formula dump preserved in companion package.</x:v>
      </x:c>
    </x:row>
    <x:row r="6" ht="100" customHeight="1">
      <x:c r="A6" s="28" t="str">
        <x:v>SRC02</x:v>
      </x:c>
      <x:c r="B6" s="28" t="str">
        <x:v>Revised design / math</x:v>
      </x:c>
      <x:c r="C6" s="28" t="str">
        <x:v>Aquarium master v4 + event simulator</x:v>
      </x:c>
      <x:c r="D6" s="28" t="str">
        <x:v>aquarium_model.py; aquarium_model_config.json; Daily Ledger; Balance Tests</x:v>
      </x:c>
      <x:c r="E6" s="28" t="str">
        <x:v>2026-09-13</x:v>
      </x:c>
      <x:c r="F6" s="28" t="str">
        <x:v>All revised numeric tuning, actor assumptions, source/sink accounting and scenario outputs.</x:v>
      </x:c>
      <x:c r="G6" s="28" t="str">
        <x:v>Synthetic deterministic model; no user telemetry, behavioral distribution, conversion or retention prediction.</x:v>
      </x:c>
      <x:c r="H6" s="28" t="str">
        <x:v>Code/config/CSV output included; any tuning change requires rerun.</x:v>
      </x:c>
    </x:row>
    <x:row r="7" ht="100" customHeight="1">
      <x:c r="A7" s="28" t="str">
        <x:v>SRC03</x:v>
      </x:c>
      <x:c r="B7" s="28" t="str">
        <x:v>Prior user design decisions</x:v>
      </x:c>
      <x:c r="C7" s="28" t="str">
        <x:v>Aquarium UI / decor context</x:v>
      </x:c>
      <x:c r="D7" s="28" t="str">
        <x:v>Current conversation context and retrieved prior aquarium design preferences</x:v>
      </x:c>
      <x:c r="E7" s="28" t="str">
        <x:v>2026-09-13</x:v>
      </x:c>
      <x:c r="F7" s="28" t="str">
        <x:v>Landscape mobile, colorful cartoony UI, compact cards, no decorative bubbles/plants inside cards, permanent non-power decor.</x:v>
      </x:c>
      <x:c r="G7" s="28" t="str">
        <x:v>Useful product intent, not measurements or a verified implementation state.</x:v>
      </x:c>
      <x:c r="H7" s="28" t="str">
        <x:v>Workbook does not assume a connected source repo or deployed game was inspected.</x:v>
      </x:c>
    </x:row>
    <x:row r="8" ht="100" customHeight="1">
      <x:c r="A8" s="28" t="str">
        <x:v>SRC04</x:v>
      </x:c>
      <x:c r="B8" s="28" t="str">
        <x:v>Primary research</x:v>
      </x:c>
      <x:c r="C8" s="28" t="str">
        <x:v>Ryan, Rigby &amp; Przybylski (2006): The Motivational Pull of Video Games</x:v>
      </x:c>
      <x:c r="D8" s="28" t="str">
        <x:v>https://selfdeterminationtheory.org/SDT/documents/2006_RyanRigbyPrzybylski_MandE.pdf</x:v>
      </x:c>
      <x:c r="E8" s="28" t="str">
        <x:v>2026-09-13</x:v>
      </x:c>
      <x:c r="F8" s="28" t="str">
        <x:v>Studies associate autonomy, competence and relatedness with enjoyment and future play.</x:v>
      </x:c>
      <x:c r="G8" s="28" t="str">
        <x:v>Supports a motivational design hypothesis, not a guaranteed outcome for this aquarium game.</x:v>
      </x:c>
      <x:c r="H8" s="28" t="str">
        <x:v>Applied as optional goals, expressive choices, readable controls and noncoercive social play.</x:v>
      </x:c>
    </x:row>
    <x:row r="9" ht="100" customHeight="1">
      <x:c r="A9" s="28" t="str">
        <x:v>SRC05</x:v>
      </x:c>
      <x:c r="B9" s="28" t="str">
        <x:v>Current benchmark context</x:v>
      </x:c>
      <x:c r="C9" s="28" t="str">
        <x:v>GameAnalytics: 2026 Mobile &amp; PC Gaming Benchmarks</x:v>
      </x:c>
      <x:c r="D9" s="28" t="str">
        <x:v>https://www.gameanalytics.com/reports/2026-mobile-pc-gaming-benchmarks</x:v>
      </x:c>
      <x:c r="E9" s="28" t="str">
        <x:v>2026-09-13</x:v>
      </x:c>
      <x:c r="F9" s="28" t="str">
        <x:v>Report of 2025 data: median mobile D1 about 22%, D7 just under 4%, D30 roughly 0.7–0.8%. Page updated August 24, 2026.</x:v>
      </x:c>
      <x:c r="G9" s="28" t="str">
        <x:v>Broad measured game population, not a matched aquarium cohort; metric methods and acquisition mix may differ.</x:v>
      </x:c>
      <x:c r="H9" s="28" t="str">
        <x:v>Workbook D1 35% / D7 12% / D30 6% are aspirational internal goals, not borrowed expected values.</x:v>
      </x:c>
    </x:row>
    <x:row r="10" ht="100" customHeight="1">
      <x:c r="A10" s="28" t="str">
        <x:v>SRC06</x:v>
      </x:c>
      <x:c r="B10" s="28" t="str">
        <x:v>Official platform policy</x:v>
      </x:c>
      <x:c r="C10" s="28" t="str">
        <x:v>Apple App Review Guidelines</x:v>
      </x:c>
      <x:c r="D10" s="28" t="str">
        <x:v>https://developer.apple.com/app-store/review/guidelines/</x:v>
      </x:c>
      <x:c r="E10" s="28" t="str">
        <x:v>2026-09-13</x:v>
      </x:c>
      <x:c r="F10" s="28" t="str">
        <x:v>Reference for purchase disclosures, digital-goods review, UGC safety, children and intellectual-property considerations.</x:v>
      </x:c>
      <x:c r="G10" s="28" t="str">
        <x:v>Requirements vary by implementation, territory and current policy. No legal or store-approval guarantee.</x:v>
      </x:c>
      <x:c r="H10" s="28" t="str">
        <x:v>Re-review the applicable sections and territories before launch; no copied protected assets.</x:v>
      </x:c>
    </x:row>
    <x:row r="11" ht="100" customHeight="1">
      <x:c r="A11" s="28" t="str">
        <x:v>SRC07</x:v>
      </x:c>
      <x:c r="B11" s="28" t="str">
        <x:v>Official rewarded-ad policy</x:v>
      </x:c>
      <x:c r="C11" s="28" t="str">
        <x:v>Google AdMob: Policies for ad units that offer rewards</x:v>
      </x:c>
      <x:c r="D11" s="28" t="str">
        <x:v>https://support.google.com/admob/answer/7313578?hl=en-GB</x:v>
      </x:c>
      <x:c r="E11" s="28" t="str">
        <x:v>2026-09-13</x:v>
      </x:c>
      <x:c r="F11" s="28" t="str">
        <x:v>Disclose promised reward; obtain affirmative opt-in for the chosen rewarded format; skipping cannot block normal use; deliver earned reward.</x:v>
      </x:c>
      <x:c r="G11" s="28" t="str">
        <x:v>The game's 3/day and 2%-income caps are original design choices, not Google-mandated limits.</x:v>
      </x:c>
      <x:c r="H11" s="28" t="str">
        <x:v>Implement optional rewarded video only; no coerced interactions or false completion reward.</x:v>
      </x:c>
    </x:row>
    <x:row r="12" ht="100" customHeight="1">
      <x:c r="A12" s="28" t="str">
        <x:v>SRC08</x:v>
      </x:c>
      <x:c r="B12" s="28" t="str">
        <x:v>Missing evidence</x:v>
      </x:c>
      <x:c r="C12" s="28" t="str">
        <x:v>Live game telemetry and cost data</x:v>
      </x:c>
      <x:c r="D12" s="28" t="str">
        <x:v>Not supplied / not measured</x:v>
      </x:c>
      <x:c r="E12" s="28" t="str">
        <x:v>2026-09-13</x:v>
      </x:c>
      <x:c r="F12" s="28" t="str">
        <x:v>Retention, fun, payer conversion, refunds, ad fill, service cost, content cost, CAC and LTV remain unknown.</x:v>
      </x:c>
      <x:c r="G12" s="28" t="str">
        <x:v>No spreadsheet can establish these outcomes without actual use and financial inputs.</x:v>
      </x:c>
      <x:c r="H12" s="28" t="str">
        <x:v>Telemetry / Experiments / Release Plan define how to obtain decision-quality evidence.</x:v>
      </x:c>
    </x:row>
    <x:row r="13" ht="100" customHeight="1">
      <x:c r="A13" s="28" t="str">
        <x:v>SRC09</x:v>
      </x:c>
      <x:c r="B13" s="28" t="str">
        <x:v>Historical inspiration</x:v>
      </x:c>
      <x:c r="C13" s="28" t="str">
        <x:v>Legacy references contained in source Sources tab</x:v>
      </x:c>
      <x:c r="D13" s="28" t="str">
        <x:v>See unchanged original workbook in companion archive</x:v>
      </x:c>
      <x:c r="E13" s="28" t="str">
        <x:v>2026-09-13</x:v>
      </x:c>
      <x:c r="F13" s="28" t="str">
        <x:v>Preserved as traceable design history only.</x:v>
      </x:c>
      <x:c r="G13" s="28" t="str">
        <x:v>Historical FishVille references are not current benchmarks and do not license copying protected art or branding.</x:v>
      </x:c>
      <x:c r="H13" s="28" t="str">
        <x:v>Use original species art, dialogue, UI assets and licensed audio.</x:v>
      </x:c>
    </x:row>
  </x:sheetData>
  <x:mergeCells>
    <x:mergeCell ref="A1:H1"/>
    <x:mergeCell ref="A2:H2"/>
  </x:mergeCells>
  <x:pageMargins left="0.7" right="0.7" top="0.75" bottom="0.75" header="0.3" footer="0.3"/>
  <x:tableParts count="1">
    <x:tablePart xmlns:r="http://schemas.openxmlformats.org/officeDocument/2006/relationships" r:id="R2736b629d5364144"/>
  </x:tableParts>
</x:worksheet>
</file>

<file path=xl/worksheets/sheet37.xml><?xml version="1.0" encoding="utf-8"?>
<x:worksheet xmlns:x="http://schemas.openxmlformats.org/spreadsheetml/2006/main">
  <x:sheetFormatPr defaultRowHeight="15"/>
  <x:cols>
    <x:col min="1" max="1" width="12" hidden="0" customWidth="1"/>
    <x:col min="2" max="2" width="30" hidden="0" customWidth="1"/>
    <x:col min="3" max="3" width="131" hidden="0" customWidth="1"/>
    <x:col min="4" max="4" width="122" hidden="0" customWidth="1"/>
    <x:col min="5" max="5" width="118" hidden="0" customWidth="1"/>
  </x:cols>
  <x:sheetData>
    <x:row r="1" ht="34" customHeight="1">
      <x:c r="A1" s="6" t="str">
        <x:v>DATA CONTRACTS | transactional correctness is game balance</x:v>
      </x:c>
      <x:c r="B1" s="6"/>
      <x:c r="C1" s="6"/>
      <x:c r="D1" s="6"/>
      <x:c r="E1" s="6"/>
    </x:row>
    <x:row r="2" ht="32" customHeight="1">
      <x:c r="A2" s="13" t="str">
        <x:v>Stack-neutral schema and state-machine requirements. Implementation QA is not performed by this workbook.</x:v>
      </x:c>
      <x:c r="B2" s="13"/>
      <x:c r="C2" s="13"/>
      <x:c r="D2" s="13"/>
      <x:c r="E2" s="13"/>
    </x:row>
    <x:row r="3">
      <x:c r="A3" s="2"/>
      <x:c r="B3" s="2"/>
      <x:c r="C3" s="2"/>
      <x:c r="D3" s="2"/>
      <x:c r="E3" s="2"/>
    </x:row>
    <x:row r="4" ht="32" customHeight="1">
      <x:c r="A4" s="21" t="str">
        <x:v>ID</x:v>
      </x:c>
      <x:c r="B4" s="21" t="str">
        <x:v>Entity / service</x:v>
      </x:c>
      <x:c r="C4" s="21" t="str">
        <x:v>Required fields</x:v>
      </x:c>
      <x:c r="D4" s="21" t="str">
        <x:v>Invariant / state rule</x:v>
      </x:c>
      <x:c r="E4" s="21" t="str">
        <x:v>Failure / recovery behavior</x:v>
      </x:c>
    </x:row>
    <x:row r="5" ht="92" customHeight="1">
      <x:c r="A5" s="28" t="str">
        <x:v>DC01</x:v>
      </x:c>
      <x:c r="B5" s="28" t="str">
        <x:v>Account</x:v>
      </x:c>
      <x:c r="C5" s="28" t="str">
        <x:v>account_id; created_at_utc; level; account_xp; lifetime_xp; active_config_version; tutorial_version</x:v>
      </x:c>
      <x:c r="D5" s="28" t="str">
        <x:v>Primary key account_id; clamp account_xp at launch cap; lifetime stats never grant future levels.</x:v>
      </x:c>
      <x:c r="E5" s="28" t="str">
        <x:v>Server updates inside a transaction; idempotent tutorial milestones.</x:v>
      </x:c>
    </x:row>
    <x:row r="6" ht="92" customHeight="1">
      <x:c r="A6" s="28" t="str">
        <x:v>DC02</x:v>
      </x:c>
      <x:c r="B6" s="28" t="str">
        <x:v>Wallet ledger</x:v>
      </x:c>
      <x:c r="C6" s="28" t="str">
        <x:v>ledger_id; account_id; currency; signed_amount; reason; source_id; request_id; created_at; balance_after</x:v>
      </x:c>
      <x:c r="D6" s="28" t="str">
        <x:v>Append-only integer amounts; unique(account_id, reason, source_id); no negative available balance.</x:v>
      </x:c>
      <x:c r="E6" s="28" t="str">
        <x:v>Coins/pearls/tokens separate; reversals are new entries, not destructive edits.</x:v>
      </x:c>
    </x:row>
    <x:row r="7" ht="92" customHeight="1">
      <x:c r="A7" s="28" t="str">
        <x:v>DC03</x:v>
      </x:c>
      <x:c r="B7" s="28" t="str">
        <x:v>Fish instance</x:v>
      </x:c>
      <x:c r="C7" s="28" t="str">
        <x:v>instance_id; species_id; purchase_level; config_version; principal_paid; profit_snapshot; xp_snapshot; purchased_at; ready_at; status</x:v>
      </x:c>
      <x:c r="D7" s="28" t="str">
        <x:v>Status growing→settled OR canceled; exactly one terminal transition. Actual paid basis immutable; free gift basis=0.</x:v>
      </x:c>
      <x:c r="E7" s="28" t="str">
        <x:v>Concurrent adult, partial rehome and batch requests lock the same instance.</x:v>
      </x:c>
    </x:row>
    <x:row r="8" ht="92" customHeight="1">
      <x:c r="A8" s="28" t="str">
        <x:v>DC04</x:v>
      </x:c>
      <x:c r="B8" s="28" t="str">
        <x:v>Species config</x:v>
      </x:c>
      <x:c r="C8" s="28" t="str">
        <x:v>species_id; release_gate; unlock_level; schedule_id; coin_weight; xp_weight; asset_manifest_version</x:v>
      </x:c>
      <x:c r="D8" s="28" t="str">
        <x:v>Launch species only; known schedule; bounded weights; no missing asset dependency.</x:v>
      </x:c>
      <x:c r="E8" s="28" t="str">
        <x:v>Catalog preview price recalculated at account level; pre-authorized offer snapshot persists.</x:v>
      </x:c>
    </x:row>
    <x:row r="9" ht="92" customHeight="1">
      <x:c r="A9" s="28" t="str">
        <x:v>DC05</x:v>
      </x:c>
      <x:c r="B9" s="28" t="str">
        <x:v>Stage evaluation</x:v>
      </x:c>
      <x:c r="C9" s="28" t="str">
        <x:v>server_now; purchased_at; duration; thresholds .25/.55/.8/1</x:v>
      </x:c>
      <x:c r="D9" s="28" t="str">
        <x:v>Evaluate monotonically from server elapsed time; exact boundary belongs to later stage.</x:v>
      </x:c>
      <x:c r="E9" s="28" t="str">
        <x:v>No device clock authority; zero or negative duration rejected.</x:v>
      </x:c>
    </x:row>
    <x:row r="10" ht="92" customHeight="1">
      <x:c r="A10" s="28" t="str">
        <x:v>DC06</x:v>
      </x:c>
      <x:c r="B10" s="28" t="str">
        <x:v>Batch settlement</x:v>
      </x:c>
      <x:c r="C10" s="28" t="str">
        <x:v>batch_request_id; instance_ids; disposition_by_instance; response_receipt</x:v>
      </x:c>
      <x:c r="D10" s="28" t="str">
        <x:v>One atomic outcome per instance, even across partial batch retry; already-settled returns prior receipt.</x:v>
      </x:c>
      <x:c r="E10" s="28" t="str">
        <x:v>One instance cannot belong to two successful settlement grants.</x:v>
      </x:c>
    </x:row>
    <x:row r="11" ht="92" customHeight="1">
      <x:c r="A11" s="28" t="str">
        <x:v>DC07</x:v>
      </x:c>
      <x:c r="B11" s="28" t="str">
        <x:v>Showcase ownership</x:v>
      </x:c>
      <x:c r="C11" s="28" t="str">
        <x:v>account_id; companion_id; origin_instance_id; display_variant; favorite; nickname; created_at</x:v>
      </x:c>
      <x:c r="D11" s="28" t="str">
        <x:v>Unique origin prevents duplicate conversion. No principal, production timer or economic settlement fields.</x:v>
      </x:c>
      <x:c r="E11" s="28" t="str">
        <x:v>Keep and Rehome pay identically; display slots are not growth slots.</x:v>
      </x:c>
    </x:row>
    <x:row r="12" ht="92" customHeight="1">
      <x:c r="A12" s="28" t="str">
        <x:v>DC08</x:v>
      </x:c>
      <x:c r="B12" s="28" t="str">
        <x:v>Capacity ownership</x:v>
      </x:c>
      <x:c r="C12" s="28" t="str">
        <x:v>account_id; entitlement_id; payment_currency; amount_paid; receipt_id; granted_at</x:v>
      </x:c>
      <x:c r="D12" s="28" t="str">
        <x:v>Unique(account,entitlement); prerequisites and level checked with wallet spend atomically.</x:v>
      </x:c>
      <x:c r="E12" s="28" t="str">
        <x:v>Do not grant twice when coin and pearl requests race.</x:v>
      </x:c>
    </x:row>
    <x:row r="13" ht="92" customHeight="1">
      <x:c r="A13" s="28" t="str">
        <x:v>DC09</x:v>
      </x:c>
      <x:c r="B13" s="28" t="str">
        <x:v>Decoration inventory</x:v>
      </x:c>
      <x:c r="C13" s="28" t="str">
        <x:v>account_id; item_id; quantity_owned; acquisition_source; manifest_version</x:v>
      </x:c>
      <x:c r="D13" s="28" t="str">
        <x:v>No resale or expiry; quantities nonnegative; bundle contents explicit.</x:v>
      </x:c>
      <x:c r="E13" s="28" t="str">
        <x:v>Storage/transfer edits placements only; cannot regenerate purchased ownership.</x:v>
      </x:c>
    </x:row>
    <x:row r="14" ht="92" customHeight="1">
      <x:c r="A14" s="28" t="str">
        <x:v>DC10</x:v>
      </x:c>
      <x:c r="B14" s="28" t="str">
        <x:v>Scene placement</x:v>
      </x:c>
      <x:c r="C14" s="28" t="str">
        <x:v>placement_id; account_id; tank_id; item_id; transform; layer; scene_version</x:v>
      </x:c>
      <x:c r="D14" s="28" t="str">
        <x:v>Quantity placed &lt;= quantity owned across all tanks; enforce visual limits; optimistic scene version.</x:v>
      </x:c>
      <x:c r="E14" s="28" t="str">
        <x:v>Conflict merge preserves ownership; provide undo and fallback for unsupported assets.</x:v>
      </x:c>
    </x:row>
    <x:row r="15" ht="92" customHeight="1">
      <x:c r="A15" s="28" t="str">
        <x:v>DC11</x:v>
      </x:c>
      <x:c r="B15" s="28" t="str">
        <x:v>Quest offer</x:v>
      </x:c>
      <x:c r="C15" s="28" t="str">
        <x:v>offer_id; account_id; server_day/week; issue_level; xp_pool; coin_pool; claim_slots; deadline; grace_until</x:v>
      </x:c>
      <x:c r="D15" s="28" t="str">
        <x:v>Budget snapshotted once; replacements share claim slots; expired/replayed offer cannot mint new value.</x:v>
      </x:c>
      <x:c r="E15" s="28" t="str">
        <x:v>Late-week L5 unlock policy in Quests; claim grace never doubles a daily pool.</x:v>
      </x:c>
    </x:row>
    <x:row r="16" ht="92" customHeight="1">
      <x:c r="A16" s="28" t="str">
        <x:v>DC12</x:v>
      </x:c>
      <x:c r="B16" s="28" t="str">
        <x:v>Mastery</x:v>
      </x:c>
      <x:c r="C16" s="28" t="str">
        <x:v>account_id; species_id; adult_count; distinct_care_dates; claimed_tiers</x:v>
      </x:c>
      <x:c r="D16" s="28" t="str">
        <x:v>Count real adult settlements once, including gifted growth but excluding scripted tutorial and early rehome.</x:v>
      </x:c>
      <x:c r="E16" s="28" t="str">
        <x:v>Cosmetic tiers only; chapter claim key lifetime account+chapter.</x:v>
      </x:c>
    </x:row>
    <x:row r="17" ht="92" customHeight="1">
      <x:c r="A17" s="28" t="str">
        <x:v>DC13</x:v>
      </x:c>
      <x:c r="B17" s="28" t="str">
        <x:v>Event progress</x:v>
      </x:c>
      <x:c r="C17" s="28" t="str">
        <x:v>account_id; event_instance_id; opened_opportunity; spent_opportunity; earned_points; claimed_thresholds</x:v>
      </x:c>
      <x:c r="D17" s="28" t="str">
        <x:v>Opportunity&lt;=20×elapsed_event_days and&lt;=280; earn&lt;=40/day and&lt;=available bank; thresholds once.</x:v>
      </x:c>
      <x:c r="E17" s="28" t="str">
        <x:v>No purchased points; event boundaries UTC; owned reward survives expiry.</x:v>
      </x:c>
    </x:row>
    <x:row r="18" ht="92" customHeight="1">
      <x:c r="A18" s="28" t="str">
        <x:v>DC14</x:v>
      </x:c>
      <x:c r="B18" s="28" t="str">
        <x:v>Project progress</x:v>
      </x:c>
      <x:c r="C18" s="28" t="str">
        <x:v>account_id; project_id; snapshotted_total_cost; paid_to_date; claimed_milestones</x:v>
      </x:c>
      <x:c r="D18" s="28" t="str">
        <x:v>0&lt;=paid&lt;=total; contribution min(requested,remaining); unique project+threshold reward.</x:v>
      </x:c>
      <x:c r="E18" s="28" t="str">
        <x:v>No refunds except transaction error; all costs previewed; no loss/expiry.</x:v>
      </x:c>
    </x:row>
    <x:row r="19" ht="92" customHeight="1">
      <x:c r="A19" s="28" t="str">
        <x:v>DC15</x:v>
      </x:c>
      <x:c r="B19" s="28" t="str">
        <x:v>IAP fulfillment</x:v>
      </x:c>
      <x:c r="C19" s="28" t="str">
        <x:v>provider; original_transaction_id; product_id; localized_price; currency; receipt_verification; grant_status</x:v>
      </x:c>
      <x:c r="D19" s="28" t="str">
        <x:v>Verify with applicable platform; unique provider transaction; grant known product contents atomically.</x:v>
      </x:c>
      <x:c r="E19" s="28" t="str">
        <x:v>Refund/revocation flow distinguishes consumed currency and permanent entitlements; support safe remediation.</x:v>
      </x:c>
    </x:row>
    <x:row r="20" ht="92" customHeight="1">
      <x:c r="A20" s="28" t="str">
        <x:v>DC16</x:v>
      </x:c>
      <x:c r="B20" s="28" t="str">
        <x:v>Ad fulfillment</x:v>
      </x:c>
      <x:c r="C20" s="28" t="str">
        <x:v>provider_event_id; account_id; offer_id; reward_snapshot; completion_verified; server_day_slot</x:v>
      </x:c>
      <x:c r="D20" s="28" t="str">
        <x:v>Unique provider event; cap consumed only on valid grant; honor disclosed guaranteed reward.</x:v>
      </x:c>
      <x:c r="E20" s="28" t="str">
        <x:v>No-fill/skip never burns currency or core action; cooldown uses server time.</x:v>
      </x:c>
    </x:row>
    <x:row r="21" ht="92" customHeight="1">
      <x:c r="A21" s="28" t="str">
        <x:v>DC17</x:v>
      </x:c>
      <x:c r="B21" s="28" t="str">
        <x:v>Gift tokens</x:v>
      </x:c>
      <x:c r="C21" s="28" t="str">
        <x:v>account_id; server_day; token_slot; visitor_id; visitor_type</x:v>
      </x:c>
      <x:c r="D21" s="28" t="str">
        <x:v>Three shared slots across NPC and real visitors, not three per source.</x:v>
      </x:c>
      <x:c r="E21" s="28" t="str">
        <x:v>No transfer or currency exchange; visitor spam does not mint extra tokens.</x:v>
      </x:c>
    </x:row>
    <x:row r="22" ht="92" customHeight="1">
      <x:c r="A22" s="28" t="str">
        <x:v>DC18</x:v>
      </x:c>
      <x:c r="B22" s="28" t="str">
        <x:v>Config publishing</x:v>
      </x:c>
      <x:c r="C22" s="28" t="str">
        <x:v>version; schema_version; effective_at; checksum; environment; rollout_cohort; rollback_version</x:v>
      </x:c>
      <x:c r="D22" s="28" t="str">
        <x:v>Validate all referenced IDs, positive numbers, gating, rounded price policy and manifest readiness.</x:v>
      </x:c>
      <x:c r="E22" s="28" t="str">
        <x:v>Never mutate purchase snapshots; rollback new offers, not settled account history.</x:v>
      </x:c>
    </x:row>
    <x:row r="23" ht="92" customHeight="1">
      <x:c r="A23" s="28" t="str">
        <x:v>DC19</x:v>
      </x:c>
      <x:c r="B23" s="28" t="str">
        <x:v>Save / multi-device</x:v>
      </x:c>
      <x:c r="C23" s="28" t="str">
        <x:v>account_version; request_id; client_pending_actions; server_receipts</x:v>
      </x:c>
      <x:c r="D23" s="28" t="str">
        <x:v>Reconcile authoritative receipts; repeat the same request id after network failure.</x:v>
      </x:c>
      <x:c r="E23" s="28" t="str">
        <x:v>No client-side currency merge; simulation of offline views is non-authoritative.</x:v>
      </x:c>
    </x:row>
    <x:row r="24" ht="92" customHeight="1">
      <x:c r="A24" s="28" t="str">
        <x:v>DC20</x:v>
      </x:c>
      <x:c r="B24" s="28" t="str">
        <x:v>Migration audit</x:v>
      </x:c>
      <x:c r="C24" s="28" t="str">
        <x:v>migration_id; account_id; before_hash; after_hash; grant_ledger_ids; verification_status</x:v>
      </x:c>
      <x:c r="D24" s="28" t="str">
        <x:v>Idempotent, versioned and reversible compensations; preserve protected ownership and levels.</x:v>
      </x:c>
      <x:c r="E24" s="28" t="str">
        <x:v>Dry-run, sample audits and rollback before broad rollout.</x:v>
      </x:c>
    </x:row>
    <x:row r="25" ht="92" customHeight="1">
      <x:c r="A25" s="28" t="str">
        <x:v>DC21</x:v>
      </x:c>
      <x:c r="B25" s="28" t="str">
        <x:v>Analytics envelope</x:v>
      </x:c>
      <x:c r="C25" s="28" t="str">
        <x:v>event_id; pseudonymous_account_id; session_id; schema_version; event_time; received_time; platform; build; cohort</x:v>
      </x:c>
      <x:c r="D25" s="28" t="str">
        <x:v>Dedupe event_id; separate client intent from server-confirmed success; no unnecessary PII.</x:v>
      </x:c>
      <x:c r="E25" s="28" t="str">
        <x:v>Respect consent/retention requirements; no contact lists or payment credentials in telemetry.</x:v>
      </x:c>
    </x:row>
    <x:row r="26" ht="92" customHeight="1">
      <x:c r="A26" s="28" t="str">
        <x:v>DC22</x:v>
      </x:c>
      <x:c r="B26" s="28" t="str">
        <x:v>Support / integrity</x:v>
      </x:c>
      <x:c r="C26" s="28" t="str">
        <x:v>transaction lookup; asset restore; deletion workflow; anomaly queue; admin action ledger</x:v>
      </x:c>
      <x:c r="D26" s="28" t="str">
        <x:v>Least privilege; every manual grant/reversal attributed and idempotent.</x:v>
      </x:c>
      <x:c r="E26" s="28" t="str">
        <x:v>P0 test: never fix a failed purchase with an untracked wallet mutation.</x:v>
      </x:c>
    </x:row>
  </x:sheetData>
  <x:mergeCells>
    <x:mergeCell ref="A1:E1"/>
    <x:mergeCell ref="A2:E2"/>
  </x:mergeCells>
  <x:pageMargins left="0.7" right="0.7" top="0.75" bottom="0.75" header="0.3" footer="0.3"/>
  <x:tableParts count="1">
    <x:tablePart xmlns:r="http://schemas.openxmlformats.org/officeDocument/2006/relationships" r:id="R208e9354044d4770"/>
  </x:tableParts>
</x:worksheet>
</file>

<file path=xl/worksheets/sheet38.xml><?xml version="1.0" encoding="utf-8"?>
<x:worksheet xmlns:x="http://schemas.openxmlformats.org/spreadsheetml/2006/main">
  <x:sheetFormatPr defaultRowHeight="15"/>
  <x:cols>
    <x:col min="1" max="1" width="12" hidden="0" customWidth="1"/>
    <x:col min="2" max="2" width="27" hidden="0" customWidth="1"/>
    <x:col min="3" max="3" width="48" hidden="0" customWidth="1"/>
    <x:col min="4" max="4" width="105" hidden="0" customWidth="1"/>
    <x:col min="5" max="5" width="93" hidden="0" customWidth="1"/>
    <x:col min="6" max="6" width="95" hidden="0" customWidth="1"/>
  </x:cols>
  <x:sheetData>
    <x:row r="1" ht="34" customHeight="1">
      <x:c r="A1" s="6" t="str">
        <x:v>ART &amp; INTERACTION PRODUCTION | asset count is a real cost</x:v>
      </x:c>
      <x:c r="B1" s="6"/>
      <x:c r="C1" s="6"/>
      <x:c r="D1" s="6"/>
      <x:c r="E1" s="6"/>
      <x:c r="F1" s="6"/>
    </x:row>
    <x:row r="2" ht="32" customHeight="1">
      <x:c r="A2" s="13" t="str">
        <x:v>Catalog completeness is not production completeness. Preserve original decor briefs and build a validated launch manifest.</x:v>
      </x:c>
      <x:c r="B2" s="13"/>
      <x:c r="C2" s="13"/>
      <x:c r="D2" s="13"/>
      <x:c r="E2" s="13"/>
      <x:c r="F2" s="13"/>
    </x:row>
    <x:row r="3">
      <x:c r="A3" s="2"/>
      <x:c r="B3" s="2"/>
      <x:c r="C3" s="2"/>
      <x:c r="D3" s="2"/>
      <x:c r="E3" s="2"/>
      <x:c r="F3" s="2"/>
    </x:row>
    <x:row r="4" ht="32" customHeight="1">
      <x:c r="A4" s="21" t="str">
        <x:v>ID</x:v>
      </x:c>
      <x:c r="B4" s="21" t="str">
        <x:v>Workstream</x:v>
      </x:c>
      <x:c r="C4" s="21" t="str">
        <x:v>Scope</x:v>
      </x:c>
      <x:c r="D4" s="21" t="str">
        <x:v>Creative / technical brief</x:v>
      </x:c>
      <x:c r="E4" s="21" t="str">
        <x:v>Acceptance condition</x:v>
      </x:c>
      <x:c r="F4" s="21" t="str">
        <x:v>Status / risk</x:v>
      </x:c>
    </x:row>
    <x:row r="5" ht="85" customHeight="1">
      <x:c r="A5" s="28" t="str">
        <x:v>ART01</x:v>
      </x:c>
      <x:c r="B5" s="28" t="str">
        <x:v>Launch coin fish</x:v>
      </x:c>
      <x:c r="C5" s="28" t="str">
        <x:v>40 launch species; 5 lifecycle states</x:v>
      </x:c>
      <x:c r="D5" s="28" t="str">
        <x:v>Original silhouettes and readable personality; reuse rigs and proportions where appropriate, not identical recolors.</x:v>
      </x:c>
      <x:c r="E5" s="28" t="str">
        <x:v>Asset manifest for every Coin Fish row with Release=Launch.</x:v>
      </x:c>
      <x:c r="F5" s="28" t="str">
        <x:v>Unbuilt until asset review; 200 state appearances does not necessarily mean 200 unique rigs.</x:v>
      </x:c>
    </x:row>
    <x:row r="6" ht="85" customHeight="1">
      <x:c r="A6" s="28" t="str">
        <x:v>ART02</x:v>
      </x:c>
      <x:c r="B6" s="28" t="str">
        <x:v>Starter personality</x:v>
      </x:c>
      <x:c r="C6" s="28" t="str">
        <x:v>Neon / Guppy / Platy / Molly</x:v>
      </x:c>
      <x:c r="D6" s="28" t="str">
        <x:v>Neon: tight dart-and-settle; Guppy: curious fan-tail turn; Platy: rounded calm bob; Molly: confident slow glide.</x:v>
      </x:c>
      <x:c r="E6" s="28" t="str">
        <x:v>Behavior cosmetic only; independent of production multipliers.</x:v>
      </x:c>
      <x:c r="F6" s="28" t="str">
        <x:v>Implement these four first and playtest without rewards.</x:v>
      </x:c>
    </x:row>
    <x:row r="7" ht="85" customHeight="1">
      <x:c r="A7" s="28" t="str">
        <x:v>ART03</x:v>
      </x:c>
      <x:c r="B7" s="28" t="str">
        <x:v>Schedule read</x:v>
      </x:c>
      <x:c r="C7" s="28" t="str">
        <x:v>Egg and juvenile scale</x:v>
      </x:c>
      <x:c r="D7" s="28" t="str">
        <x:v>Egg clearly differs from Junior/Young/Mature/Adult; stage changes do not change timer definition.</x:v>
      </x:c>
      <x:c r="E7" s="28" t="str">
        <x:v>Preview exact final silhouette without hiding behind paid reveal.</x:v>
      </x:c>
      <x:c r="F7" s="28" t="str">
        <x:v>Maintain stable selection hitbox and collision-safe visuals.</x:v>
      </x:c>
    </x:row>
    <x:row r="8" ht="85" customHeight="1">
      <x:c r="A8" s="28" t="str">
        <x:v>ART04</x:v>
      </x:c>
      <x:c r="B8" s="28" t="str">
        <x:v>Companions</x:v>
      </x:c>
      <x:c r="C8" s="28" t="str">
        <x:v>27 catalog concepts, release gated</x:v>
      </x:c>
      <x:c r="D8" s="28" t="str">
        <x:v>Premium and seasonal appeal from expressive movement, material treatment and distinctive silhouette.</x:v>
      </x:c>
      <x:c r="E8" s="28" t="str">
        <x:v>No economic modifiers or opaque rarity advantage; permanent ownership.</x:v>
      </x:c>
      <x:c r="F8" s="28" t="str">
        <x:v>Only launch-ready, event-ready IDs enabled in store.</x:v>
      </x:c>
    </x:row>
    <x:row r="9" ht="85" customHeight="1">
      <x:c r="A9" s="28" t="str">
        <x:v>ART05</x:v>
      </x:c>
      <x:c r="B9" s="28" t="str">
        <x:v>Decor assets</x:v>
      </x:c>
      <x:c r="C9" s="28" t="str">
        <x:v>120 preserved detailed briefs</x:v>
      </x:c>
      <x:c r="D9" s="28" t="str">
        <x:v>Read Decor Art Briefs for shape, palette, materials, footprint, placement and restrained motion.</x:v>
      </x:c>
      <x:c r="E9" s="28" t="str">
        <x:v>1:1 ID mapping; art uses new catalog dimensions and score.</x:v>
      </x:c>
      <x:c r="F9" s="28" t="str">
        <x:v>Retain original authoring detail; do not flatten into generic visual descriptions.</x:v>
      </x:c>
    </x:row>
    <x:row r="10" ht="85" customHeight="1">
      <x:c r="A10" s="28" t="str">
        <x:v>ART06</x:v>
      </x:c>
      <x:c r="B10" s="28" t="str">
        <x:v>Projects</x:v>
      </x:c>
      <x:c r="C10" s="28" t="str">
        <x:v>10 four-stage scene projects</x:v>
      </x:c>
      <x:c r="D10" s="28" t="str">
        <x:v>Accent at 25%, backdrop at 50%, frame at 75%, complete scene at 100%; each is visible and previewable.</x:v>
      </x:c>
      <x:c r="E10" s="28" t="str">
        <x:v>Completed scene does not replace or delete already owned decor.</x:v>
      </x:c>
      <x:c r="F10" s="28" t="str">
        <x:v>40 authored milestones; production cost must be scoped before enabling.</x:v>
      </x:c>
    </x:row>
    <x:row r="11" ht="85" customHeight="1">
      <x:c r="A11" s="28" t="str">
        <x:v>ART07</x:v>
      </x:c>
      <x:c r="B11" s="28" t="str">
        <x:v>Seasonal content</x:v>
      </x:c>
      <x:c r="C11" s="28" t="str">
        <x:v>12 theme concepts</x:v>
      </x:c>
      <x:c r="D11" s="28" t="str">
        <x:v>At most one live event per 28-day cycle; theme includes coin/pearl decor plus free main reward and optional extended cosmetic.</x:v>
      </x:c>
      <x:c r="E11" s="28" t="str">
        <x:v>Non-fish events award new frames/scene variants; those assets are explicitly not yet built.</x:v>
      </x:c>
      <x:c r="F11" s="28" t="str">
        <x:v>Do not sell or launch a track whose reward asset is missing.</x:v>
      </x:c>
    </x:row>
    <x:row r="12" ht="85" customHeight="1">
      <x:c r="A12" s="28" t="str">
        <x:v>ART08</x:v>
      </x:c>
      <x:c r="B12" s="28" t="str">
        <x:v>Collection rewards</x:v>
      </x:c>
      <x:c r="C12" s="28" t="str">
        <x:v>40 species × 4 mastery milestones + 8 chapters</x:v>
      </x:c>
      <x:c r="D12" s="28" t="str">
        <x:v>Journal portrait, sticker, display pose/palette, badge/frame; prefer reusable visual systems.</x:v>
      </x:c>
      <x:c r="E12" s="28" t="str">
        <x:v>Cosmetic rewards must be distinguishable and deterministic.</x:v>
      </x:c>
      <x:c r="F12" s="28" t="str">
        <x:v>Ship only when every displayed milestone has an actual deliverable.</x:v>
      </x:c>
    </x:row>
    <x:row r="13" ht="85" customHeight="1">
      <x:c r="A13" s="28" t="str">
        <x:v>ART09</x:v>
      </x:c>
      <x:c r="B13" s="28" t="str">
        <x:v>Visual style</x:v>
      </x:c>
      <x:c r="C13" s="28" t="str">
        <x:v>Clean colorful 2D mobile</x:v>
      </x:c>
      <x:c r="D13" s="28" t="str">
        <x:v>Rounded silhouettes, appealing contrast, soft highlights, limited texture, clear negative space; no copied FishVille assets or protected characters.</x:v>
      </x:c>
      <x:c r="E13" s="28" t="str">
        <x:v>UI cards stay free of decorative plants/bubbles; aquarium can contain restrained authored effects.</x:v>
      </x:c>
      <x:c r="F13" s="28" t="str">
        <x:v>Original/licensed source registry and export provenance.</x:v>
      </x:c>
    </x:row>
    <x:row r="14" ht="85" customHeight="1">
      <x:c r="A14" s="28" t="str">
        <x:v>ART10</x:v>
      </x:c>
      <x:c r="B14" s="28" t="str">
        <x:v>Rendering budget</x:v>
      </x:c>
      <x:c r="C14" s="28" t="str">
        <x:v>One visible tank</x:v>
      </x:c>
      <x:c r="D14" s="28" t="str">
        <x:v>32 decor, 6 animated props, 8 display fish; offscreen tanks update time but do not animate.</x:v>
      </x:c>
      <x:c r="E14" s="28" t="str">
        <x:v>Pool fish/particles; batch sprites; cap overdraw and transparent effects.</x:v>
      </x:c>
      <x:c r="F14" s="28" t="str">
        <x:v>Profile frame time and memory on selected minimum device; no performance claim until measured.</x:v>
      </x:c>
    </x:row>
    <x:row r="15" ht="85" customHeight="1">
      <x:c r="A15" s="28" t="str">
        <x:v>ART11</x:v>
      </x:c>
      <x:c r="B15" s="28" t="str">
        <x:v>Animation readability</x:v>
      </x:c>
      <x:c r="C15" s="28" t="str">
        <x:v>Small-screen motion</x:v>
      </x:c>
      <x:c r="D15" s="28" t="str">
        <x:v>Gentle leaf sway, opening shell, glow pulse with low contrast, slow spin; one clear motion idea per premium prop.</x:v>
      </x:c>
      <x:c r="E15" s="28" t="str">
        <x:v>Reduced-motion static fallback preserves identity; no seizure-risk flashing patterns.</x:v>
      </x:c>
      <x:c r="F15" s="28" t="str">
        <x:v>Review every animation with a reduced-motion preview.</x:v>
      </x:c>
    </x:row>
    <x:row r="16" ht="85" customHeight="1">
      <x:c r="A16" s="28" t="str">
        <x:v>ART12</x:v>
      </x:c>
      <x:c r="B16" s="28" t="str">
        <x:v>Audio / haptics</x:v>
      </x:c>
      <x:c r="C16" s="28" t="str">
        <x:v>Optional sensory feedback</x:v>
      </x:c>
      <x:c r="D16" s="28" t="str">
        <x:v>Soft settle chime, restrained purchase confirm, variation in care sounds; no loud urgency cues.</x:v>
      </x:c>
      <x:c r="E16" s="28" t="str">
        <x:v>Independent sound/music/haptic controls persisted.</x:v>
      </x:c>
      <x:c r="F16" s="28" t="str">
        <x:v>Peak-loudness and repeated-action fatigue playtest.</x:v>
      </x:c>
    </x:row>
    <x:row r="17" ht="85" customHeight="1">
      <x:c r="A17" s="28" t="str">
        <x:v>ART13</x:v>
      </x:c>
      <x:c r="B17" s="28" t="str">
        <x:v>Asset readiness</x:v>
      </x:c>
      <x:c r="C17" s="28" t="str">
        <x:v>Manifest schema</x:v>
      </x:c>
      <x:c r="D17" s="28" t="str">
        <x:v>item_id, asset_version, atlas, rig, lifecycle_state, hitbox, fallback, reduced_motion, localization_keys, license, QA_status.</x:v>
      </x:c>
      <x:c r="E17" s="28" t="str">
        <x:v>Catalog release flag requires all dependencies; missing asset uses nonpurchasable placeholder.</x:v>
      </x:c>
      <x:c r="F17" s="28" t="str">
        <x:v>Build validation blocks dangling references and missing paid rewards.</x:v>
      </x:c>
    </x:row>
    <x:row r="18" ht="85" customHeight="1">
      <x:c r="A18" s="28" t="str">
        <x:v>ART14</x:v>
      </x:c>
      <x:c r="B18" s="28" t="str">
        <x:v>Scope control</x:v>
      </x:c>
      <x:c r="C18" s="28" t="str">
        <x:v>Vertical slice before full catalog</x:v>
      </x:c>
      <x:c r="D18" s="28" t="str">
        <x:v>Start 4 fish, 1 tank with upgrade, 8 decor, one chapter stub and two projects; validate interaction quality, then scale.</x:v>
      </x:c>
      <x:c r="E18" s="28" t="str">
        <x:v>The full spreadsheet is a launch design target, not a mandate to build everything before learning.</x:v>
      </x:c>
      <x:c r="F18" s="28" t="str">
        <x:v>Release Plan controls rollout; no false claim that all 40 fish are playable today.</x:v>
      </x:c>
    </x:row>
  </x:sheetData>
  <x:mergeCells>
    <x:mergeCell ref="A1:F1"/>
    <x:mergeCell ref="A2:F2"/>
  </x:mergeCells>
  <x:pageMargins left="0.7" right="0.7" top="0.75" bottom="0.75" header="0.3" footer="0.3"/>
  <x:tableParts count="1">
    <x:tablePart xmlns:r="http://schemas.openxmlformats.org/officeDocument/2006/relationships" r:id="R0aeb0ccfaa3d423a"/>
  </x:tableParts>
</x:worksheet>
</file>

<file path=xl/worksheets/sheet39.xml><?xml version="1.0" encoding="utf-8"?>
<x:worksheet xmlns:x="http://schemas.openxmlformats.org/spreadsheetml/2006/main">
  <x:sheetFormatPr defaultRowHeight="15"/>
  <x:cols>
    <x:col min="1" max="1" width="18" hidden="0" customWidth="1"/>
    <x:col min="2" max="2" width="30" hidden="0" customWidth="1"/>
    <x:col min="3" max="3" width="13" hidden="0" customWidth="1"/>
    <x:col min="4" max="4" width="22" hidden="0" customWidth="1"/>
    <x:col min="5" max="5" width="22" hidden="0" customWidth="1"/>
    <x:col min="6" max="6" width="25" hidden="0" customWidth="1"/>
    <x:col min="7" max="7" width="42" hidden="0" customWidth="1"/>
    <x:col min="8" max="8" width="12" hidden="0" customWidth="1"/>
    <x:col min="9" max="9" width="19" hidden="0" customWidth="1"/>
    <x:col min="10" max="10" width="62" hidden="0" customWidth="1"/>
    <x:col min="11" max="11" width="65" hidden="0" customWidth="1"/>
    <x:col min="12" max="12" width="28" hidden="0" customWidth="1"/>
  </x:cols>
  <x:sheetData>
    <x:row r="1" ht="34" customHeight="1">
      <x:c r="A1" s="6" t="str">
        <x:v>AQUASCAPE PROJECTS • LONG-TERM COIN GOALS</x:v>
      </x:c>
      <x:c r="B1" s="6"/>
      <x:c r="C1" s="6"/>
      <x:c r="D1" s="6"/>
      <x:c r="E1" s="6"/>
      <x:c r="F1" s="6"/>
      <x:c r="G1" s="6"/>
      <x:c r="H1" s="6"/>
      <x:c r="I1" s="6"/>
      <x:c r="J1" s="6"/>
      <x:c r="K1" s="6"/>
      <x:c r="L1" s="6"/>
    </x:row>
    <x:row r="2" ht="32" customHeight="1">
      <x:c r="A2" s="13" t="str">
        <x:v>Optional permanent scenery builds with visible intermediate rewards. No upkeep, no loss and no progression gate. Model shows finite content eventually runs out; the endgame needs tested content demand.</x:v>
      </x:c>
      <x:c r="B2" s="13"/>
      <x:c r="C2" s="13"/>
      <x:c r="D2" s="13"/>
      <x:c r="E2" s="13"/>
      <x:c r="F2" s="13"/>
      <x:c r="G2" s="13"/>
      <x:c r="H2" s="13"/>
      <x:c r="I2" s="13"/>
      <x:c r="J2" s="13"/>
      <x:c r="K2" s="13"/>
      <x:c r="L2" s="13"/>
    </x:row>
    <x:row r="3">
      <x:c r="A3" s="2"/>
      <x:c r="B3" s="2"/>
      <x:c r="C3" s="2"/>
      <x:c r="D3" s="2"/>
      <x:c r="E3" s="2"/>
      <x:c r="F3" s="2"/>
      <x:c r="G3" s="2"/>
      <x:c r="H3" s="2"/>
      <x:c r="I3" s="2"/>
      <x:c r="J3" s="2"/>
      <x:c r="K3" s="2"/>
      <x:c r="L3" s="2"/>
    </x:row>
    <x:row r="4" ht="32" customHeight="1">
      <x:c r="A4" s="21" t="str">
        <x:v>Project ID</x:v>
      </x:c>
      <x:c r="B4" s="21" t="str">
        <x:v>Project</x:v>
      </x:c>
      <x:c r="C4" s="21" t="str">
        <x:v>Unlock</x:v>
      </x:c>
      <x:c r="D4" s="21" t="str">
        <x:v>Price / reference day</x:v>
      </x:c>
      <x:c r="E4" s="21" t="str">
        <x:v>Total coin cost</x:v>
      </x:c>
      <x:c r="F4" s="21" t="str">
        <x:v>Milestone fractions</x:v>
      </x:c>
      <x:c r="G4" s="21" t="str">
        <x:v>Guaranteed rewards</x:v>
      </x:c>
      <x:c r="H4" s="21" t="str">
        <x:v>XP</x:v>
      </x:c>
      <x:c r="I4" s="21" t="str">
        <x:v>Production bonus</x:v>
      </x:c>
      <x:c r="J4" s="21" t="str">
        <x:v>Visual brief</x:v>
      </x:c>
      <x:c r="K4" s="21" t="str">
        <x:v>Player rule</x:v>
      </x:c>
      <x:c r="L4" s="21" t="str">
        <x:v>Production status</x:v>
      </x:c>
    </x:row>
    <x:row r="5" ht="80" customHeight="1">
      <x:c r="A5" s="28" t="str">
        <x:v>PRJ-01</x:v>
      </x:c>
      <x:c r="B5" s="28" t="str">
        <x:v>Riverbank Retreat</x:v>
      </x:c>
      <x:c r="C5" s="28" t="n">
        <x:v>5</x:v>
      </x:c>
      <x:c r="D5" s="32" t="n">
        <x:v>0.25</x:v>
      </x:c>
      <x:c r="E5" s="38" t="n">
        <x:f>MAX(100,ROUND(VLOOKUP(C5,'XP &amp; Unlocks'!$A$5:$N$74,4,FALSE)*D5/5,0)*5)</x:f>
        <x:v>1325</x:v>
      </x:c>
      <x:c r="F5" s="28" t="str">
        <x:v>25% / 50% / 75% / 100%</x:v>
      </x:c>
      <x:c r="G5" s="28" t="str">
        <x:v>Accent / backdrop / frame / completed scene</x:v>
      </x:c>
      <x:c r="H5" s="28" t="n">
        <x:v>0</x:v>
      </x:c>
      <x:c r="I5" s="28" t="n">
        <x:v>0</x:v>
      </x:c>
      <x:c r="J5" s="28" t="str">
        <x:v>Rounded riverbank background; warm grey stones; soft green reeds</x:v>
      </x:c>
      <x:c r="K5" s="28" t="str">
        <x:v>Independent optional goal. Invest any amount; no deadline, power, RNG, sell-back or required task.</x:v>
      </x:c>
      <x:c r="L5" s="28" t="str">
        <x:v>Proposed art brief; not production complete</x:v>
      </x:c>
    </x:row>
    <x:row r="6" ht="80" customHeight="1">
      <x:c r="A6" s="28" t="str">
        <x:v>PRJ-02</x:v>
      </x:c>
      <x:c r="B6" s="28" t="str">
        <x:v>Coral Cove</x:v>
      </x:c>
      <x:c r="C6" s="28" t="n">
        <x:v>10</x:v>
      </x:c>
      <x:c r="D6" s="32" t="n">
        <x:v>0.5</x:v>
      </x:c>
      <x:c r="E6" s="38" t="n">
        <x:f>MAX(100,ROUND(VLOOKUP(C6,'XP &amp; Unlocks'!$A$5:$N$74,4,FALSE)*D6/5,0)*5)</x:f>
        <x:v>6325</x:v>
      </x:c>
      <x:c r="F6" s="28" t="str">
        <x:v>25% / 50% / 75% / 100%</x:v>
      </x:c>
      <x:c r="G6" s="28" t="str">
        <x:v>Accent / backdrop / frame / completed scene</x:v>
      </x:c>
      <x:c r="H6" s="28" t="n">
        <x:v>0</x:v>
      </x:c>
      <x:c r="I6" s="28" t="n">
        <x:v>0</x:v>
      </x:c>
      <x:c r="J6" s="28" t="str">
        <x:v>Turquoise reef backdrop with chunky coral silhouettes</x:v>
      </x:c>
      <x:c r="K6" s="28" t="str">
        <x:v>Independent optional goal. Invest any amount; no deadline, power, RNG, sell-back or required task.</x:v>
      </x:c>
      <x:c r="L6" s="28" t="str">
        <x:v>Proposed art brief; not production complete</x:v>
      </x:c>
    </x:row>
    <x:row r="7" ht="80" customHeight="1">
      <x:c r="A7" s="28" t="str">
        <x:v>PRJ-03</x:v>
      </x:c>
      <x:c r="B7" s="28" t="str">
        <x:v>Sunken Library</x:v>
      </x:c>
      <x:c r="C7" s="28" t="n">
        <x:v>15</x:v>
      </x:c>
      <x:c r="D7" s="32" t="n">
        <x:v>1</x:v>
      </x:c>
      <x:c r="E7" s="38" t="n">
        <x:f>MAX(100,ROUND(VLOOKUP(C7,'XP &amp; Unlocks'!$A$5:$N$74,4,FALSE)*D7/5,0)*5)</x:f>
        <x:v>17115</x:v>
      </x:c>
      <x:c r="F7" s="28" t="str">
        <x:v>25% / 50% / 75% / 100%</x:v>
      </x:c>
      <x:c r="G7" s="28" t="str">
        <x:v>Accent / backdrop / frame / completed scene</x:v>
      </x:c>
      <x:c r="H7" s="28" t="n">
        <x:v>0</x:v>
      </x:c>
      <x:c r="I7" s="28" t="n">
        <x:v>0</x:v>
      </x:c>
      <x:c r="J7" s="28" t="str">
        <x:v>Stone arch, book-shaped ceramic accents, amber window backdrop</x:v>
      </x:c>
      <x:c r="K7" s="28" t="str">
        <x:v>Independent optional goal. Invest any amount; no deadline, power, RNG, sell-back or required task.</x:v>
      </x:c>
      <x:c r="L7" s="28" t="str">
        <x:v>Proposed art brief; not production complete</x:v>
      </x:c>
    </x:row>
    <x:row r="8" ht="80" customHeight="1">
      <x:c r="A8" s="28" t="str">
        <x:v>PRJ-04</x:v>
      </x:c>
      <x:c r="B8" s="28" t="str">
        <x:v>Moonlit Zen Garden</x:v>
      </x:c>
      <x:c r="C8" s="28" t="n">
        <x:v>20</x:v>
      </x:c>
      <x:c r="D8" s="32" t="n">
        <x:v>1.5</x:v>
      </x:c>
      <x:c r="E8" s="38" t="n">
        <x:f>MAX(100,ROUND(VLOOKUP(C8,'XP &amp; Unlocks'!$A$5:$N$74,4,FALSE)*D8/5,0)*5)</x:f>
        <x:v>41740</x:v>
      </x:c>
      <x:c r="F8" s="28" t="str">
        <x:v>25% / 50% / 75% / 100%</x:v>
      </x:c>
      <x:c r="G8" s="28" t="str">
        <x:v>Accent / backdrop / frame / completed scene</x:v>
      </x:c>
      <x:c r="H8" s="28" t="n">
        <x:v>0</x:v>
      </x:c>
      <x:c r="I8" s="28" t="n">
        <x:v>0</x:v>
      </x:c>
      <x:c r="J8" s="28" t="str">
        <x:v>Indigo gradient, pale moon disc, calm bamboo silhouettes</x:v>
      </x:c>
      <x:c r="K8" s="28" t="str">
        <x:v>Independent optional goal. Invest any amount; no deadline, power, RNG, sell-back or required task.</x:v>
      </x:c>
      <x:c r="L8" s="28" t="str">
        <x:v>Proposed art brief; not production complete</x:v>
      </x:c>
    </x:row>
    <x:row r="9" ht="80" customHeight="1">
      <x:c r="A9" s="28" t="str">
        <x:v>PRJ-05</x:v>
      </x:c>
      <x:c r="B9" s="28" t="str">
        <x:v>Miniature Harbor</x:v>
      </x:c>
      <x:c r="C9" s="28" t="n">
        <x:v>25</x:v>
      </x:c>
      <x:c r="D9" s="32" t="n">
        <x:v>2</x:v>
      </x:c>
      <x:c r="E9" s="38" t="n">
        <x:f>MAX(100,ROUND(VLOOKUP(C9,'XP &amp; Unlocks'!$A$5:$N$74,4,FALSE)*D9/5,0)*5)</x:f>
        <x:v>81120</x:v>
      </x:c>
      <x:c r="F9" s="28" t="str">
        <x:v>25% / 50% / 75% / 100%</x:v>
      </x:c>
      <x:c r="G9" s="28" t="str">
        <x:v>Accent / backdrop / frame / completed scene</x:v>
      </x:c>
      <x:c r="H9" s="28" t="n">
        <x:v>0</x:v>
      </x:c>
      <x:c r="I9" s="28" t="n">
        <x:v>0</x:v>
      </x:c>
      <x:c r="J9" s="28" t="str">
        <x:v>Toy wooden piers and a distant sailboat background</x:v>
      </x:c>
      <x:c r="K9" s="28" t="str">
        <x:v>Independent optional goal. Invest any amount; no deadline, power, RNG, sell-back or required task.</x:v>
      </x:c>
      <x:c r="L9" s="28" t="str">
        <x:v>Proposed art brief; not production complete</x:v>
      </x:c>
    </x:row>
    <x:row r="10" ht="80" customHeight="1">
      <x:c r="A10" s="28" t="str">
        <x:v>PRJ-06</x:v>
      </x:c>
      <x:c r="B10" s="28" t="str">
        <x:v>Glasshouse Lagoon</x:v>
      </x:c>
      <x:c r="C10" s="28" t="n">
        <x:v>30</x:v>
      </x:c>
      <x:c r="D10" s="32" t="n">
        <x:v>2.5</x:v>
      </x:c>
      <x:c r="E10" s="38" t="n">
        <x:f>MAX(100,ROUND(VLOOKUP(C10,'XP &amp; Unlocks'!$A$5:$N$74,4,FALSE)*D10/5,0)*5)</x:f>
        <x:v>129655</x:v>
      </x:c>
      <x:c r="F10" s="28" t="str">
        <x:v>25% / 50% / 75% / 100%</x:v>
      </x:c>
      <x:c r="G10" s="28" t="str">
        <x:v>Accent / backdrop / frame / completed scene</x:v>
      </x:c>
      <x:c r="H10" s="28" t="n">
        <x:v>0</x:v>
      </x:c>
      <x:c r="I10" s="28" t="n">
        <x:v>0</x:v>
      </x:c>
      <x:c r="J10" s="28" t="str">
        <x:v>Rounded glasshouse arches and hanging botanical silhouettes</x:v>
      </x:c>
      <x:c r="K10" s="28" t="str">
        <x:v>Independent optional goal. Invest any amount; no deadline, power, RNG, sell-back or required task.</x:v>
      </x:c>
      <x:c r="L10" s="28" t="str">
        <x:v>Proposed art brief; not production complete</x:v>
      </x:c>
    </x:row>
    <x:row r="11" ht="80" customHeight="1">
      <x:c r="A11" s="28" t="str">
        <x:v>PRJ-07</x:v>
      </x:c>
      <x:c r="B11" s="28" t="str">
        <x:v>Ancient Reef Palace</x:v>
      </x:c>
      <x:c r="C11" s="28" t="n">
        <x:v>34</x:v>
      </x:c>
      <x:c r="D11" s="32" t="n">
        <x:v>3</x:v>
      </x:c>
      <x:c r="E11" s="38" t="n">
        <x:f>MAX(100,ROUND(VLOOKUP(C11,'XP &amp; Unlocks'!$A$5:$N$74,4,FALSE)*D11/5,0)*5)</x:f>
        <x:v>190100</x:v>
      </x:c>
      <x:c r="F11" s="28" t="str">
        <x:v>25% / 50% / 75% / 100%</x:v>
      </x:c>
      <x:c r="G11" s="28" t="str">
        <x:v>Accent / backdrop / frame / completed scene</x:v>
      </x:c>
      <x:c r="H11" s="28" t="n">
        <x:v>0</x:v>
      </x:c>
      <x:c r="I11" s="28" t="n">
        <x:v>0</x:v>
      </x:c>
      <x:c r="J11" s="28" t="str">
        <x:v>Weathered sandstone arcade and a turquoise central arch</x:v>
      </x:c>
      <x:c r="K11" s="28" t="str">
        <x:v>Independent optional goal. Invest any amount; no deadline, power, RNG, sell-back or required task.</x:v>
      </x:c>
      <x:c r="L11" s="28" t="str">
        <x:v>Proposed art brief; not production complete</x:v>
      </x:c>
    </x:row>
    <x:row r="12" ht="80" customHeight="1">
      <x:c r="A12" s="28" t="str">
        <x:v>PRJ-08</x:v>
      </x:c>
      <x:c r="B12" s="28" t="str">
        <x:v>Starlight Observatory</x:v>
      </x:c>
      <x:c r="C12" s="28" t="n">
        <x:v>38</x:v>
      </x:c>
      <x:c r="D12" s="32" t="n">
        <x:v>4</x:v>
      </x:c>
      <x:c r="E12" s="38" t="n">
        <x:f>MAX(100,ROUND(VLOOKUP(C12,'XP &amp; Unlocks'!$A$5:$N$74,4,FALSE)*D12/5,0)*5)</x:f>
        <x:v>303810</x:v>
      </x:c>
      <x:c r="F12" s="28" t="str">
        <x:v>25% / 50% / 75% / 100%</x:v>
      </x:c>
      <x:c r="G12" s="28" t="str">
        <x:v>Accent / backdrop / frame / completed scene</x:v>
      </x:c>
      <x:c r="H12" s="28" t="n">
        <x:v>0</x:v>
      </x:c>
      <x:c r="I12" s="28" t="n">
        <x:v>0</x:v>
      </x:c>
      <x:c r="J12" s="28" t="str">
        <x:v>Soft night-sky background and an ornamental telescope</x:v>
      </x:c>
      <x:c r="K12" s="28" t="str">
        <x:v>Independent optional goal. Invest any amount; no deadline, power, RNG, sell-back or required task.</x:v>
      </x:c>
      <x:c r="L12" s="28" t="str">
        <x:v>Proposed art brief; not production complete</x:v>
      </x:c>
    </x:row>
    <x:row r="13" ht="80" customHeight="1">
      <x:c r="A13" s="28" t="str">
        <x:v>PRJ-09</x:v>
      </x:c>
      <x:c r="B13" s="28" t="str">
        <x:v>Aurora Sanctuary</x:v>
      </x:c>
      <x:c r="C13" s="28" t="n">
        <x:v>40</x:v>
      </x:c>
      <x:c r="D13" s="32" t="n">
        <x:v>6</x:v>
      </x:c>
      <x:c r="E13" s="38" t="n">
        <x:f>MAX(100,ROUND(VLOOKUP(C13,'XP &amp; Unlocks'!$A$5:$N$74,4,FALSE)*D13/5,0)*5)</x:f>
        <x:v>495900</x:v>
      </x:c>
      <x:c r="F13" s="28" t="str">
        <x:v>25% / 50% / 75% / 100%</x:v>
      </x:c>
      <x:c r="G13" s="28" t="str">
        <x:v>Accent / backdrop / frame / completed scene</x:v>
      </x:c>
      <x:c r="H13" s="28" t="n">
        <x:v>0</x:v>
      </x:c>
      <x:c r="I13" s="28" t="n">
        <x:v>0</x:v>
      </x:c>
      <x:c r="J13" s="28" t="str">
        <x:v>Layered teal-violet aurora ribbons; reduced-motion still</x:v>
      </x:c>
      <x:c r="K13" s="28" t="str">
        <x:v>Independent optional goal. Invest any amount; no deadline, power, RNG, sell-back or required task.</x:v>
      </x:c>
      <x:c r="L13" s="28" t="str">
        <x:v>Proposed art brief; not production complete</x:v>
      </x:c>
    </x:row>
    <x:row r="14" ht="80" customHeight="1">
      <x:c r="A14" s="28" t="str">
        <x:v>PRJ-10</x:v>
      </x:c>
      <x:c r="B14" s="28" t="str">
        <x:v>Grand Ocean Gallery</x:v>
      </x:c>
      <x:c r="C14" s="28" t="n">
        <x:v>40</x:v>
      </x:c>
      <x:c r="D14" s="32" t="n">
        <x:v>12</x:v>
      </x:c>
      <x:c r="E14" s="38" t="n">
        <x:f>MAX(100,ROUND(VLOOKUP(C14,'XP &amp; Unlocks'!$A$5:$N$74,4,FALSE)*D14/5,0)*5)</x:f>
        <x:v>991800</x:v>
      </x:c>
      <x:c r="F14" s="28" t="str">
        <x:v>25% / 50% / 75% / 100%</x:v>
      </x:c>
      <x:c r="G14" s="28" t="str">
        <x:v>Accent / backdrop / frame / completed scene</x:v>
      </x:c>
      <x:c r="H14" s="28" t="n">
        <x:v>0</x:v>
      </x:c>
      <x:c r="I14" s="28" t="n">
        <x:v>0</x:v>
      </x:c>
      <x:c r="J14" s="28" t="str">
        <x:v>A panoramic aquarium hall background and earned gallery frame</x:v>
      </x:c>
      <x:c r="K14" s="28" t="str">
        <x:v>Independent optional goal. Invest any amount; no deadline, power, RNG, sell-back or required task.</x:v>
      </x:c>
      <x:c r="L14" s="28" t="str">
        <x:v>Proposed art brief; not production complete</x:v>
      </x:c>
    </x:row>
  </x:sheetData>
  <x:mergeCells>
    <x:mergeCell ref="A1:L1"/>
    <x:mergeCell ref="A2:L2"/>
  </x:mergeCells>
  <x:pageMargins left="0.7" right="0.7" top="0.75" bottom="0.75" header="0.3" footer="0.3"/>
  <x:tableParts count="1">
    <x:tablePart xmlns:r="http://schemas.openxmlformats.org/officeDocument/2006/relationships" r:id="R118dbcb80b2547df"/>
  </x:tableParts>
</x:worksheet>
</file>